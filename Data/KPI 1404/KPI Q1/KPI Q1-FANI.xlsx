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275EA055-365E-4A57-8929-39A3C55BB16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روسای فنی" sheetId="2" r:id="rId1"/>
    <sheet name="واحد برنامه ریزی نت" sheetId="3" r:id="rId2"/>
    <sheet name="برق و ابزاردقیق" sheetId="4" r:id="rId3"/>
    <sheet name="واحد تاسیسات" sheetId="5" r:id="rId4"/>
    <sheet name="طراحی مهندسی" sheetId="6" r:id="rId5"/>
    <sheet name="فلزکاری تراشکاری" sheetId="7" r:id="rId6"/>
    <sheet name="واحد ماشین آلات" sheetId="8" r:id="rId7"/>
    <sheet name="واحد مکانیک" sheetId="9" r:id="rId8"/>
  </sheets>
  <definedNames>
    <definedName name="_xlnm._FilterDatabase" localSheetId="2" hidden="1">'برق و ابزاردقیق'!$A$1:$T$181</definedName>
    <definedName name="_xlnm._FilterDatabase" localSheetId="0" hidden="1">'روسای فنی'!$A$1:$T$72</definedName>
    <definedName name="_xlnm._FilterDatabase" localSheetId="1" hidden="1">'واحد برنامه ریزی نت'!$A$1:$T$131</definedName>
    <definedName name="_xlnm._FilterDatabase" localSheetId="3" hidden="1">'واحد تاسیسات'!$A$1:$T$10</definedName>
    <definedName name="_xlnm._FilterDatabase" localSheetId="6" hidden="1">'واحد ماشین آلات'!$A$1:$T$8</definedName>
    <definedName name="_xlnm._FilterDatabase" localSheetId="7" hidden="1">'واحد مکانیک'!$A$1:$T$10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9" i="9" l="1"/>
  <c r="R109" i="9" s="1"/>
  <c r="Q108" i="9"/>
  <c r="R108" i="9" s="1"/>
  <c r="Q107" i="9"/>
  <c r="R107" i="9" s="1"/>
  <c r="Q106" i="9"/>
  <c r="R106" i="9" s="1"/>
  <c r="Q105" i="9"/>
  <c r="R105" i="9" s="1"/>
  <c r="Q104" i="9"/>
  <c r="R104" i="9" s="1"/>
  <c r="Q103" i="9"/>
  <c r="R103" i="9" s="1"/>
  <c r="Q102" i="9"/>
  <c r="R102" i="9" s="1"/>
  <c r="R101" i="9"/>
  <c r="Q101" i="9"/>
  <c r="R100" i="9"/>
  <c r="Q100" i="9"/>
  <c r="Q99" i="9"/>
  <c r="R99" i="9" s="1"/>
  <c r="R98" i="9"/>
  <c r="Q98" i="9"/>
  <c r="R97" i="9"/>
  <c r="Q97" i="9"/>
  <c r="R96" i="9"/>
  <c r="Q96" i="9"/>
  <c r="Q95" i="9"/>
  <c r="R95" i="9" s="1"/>
  <c r="R94" i="9"/>
  <c r="Q94" i="9"/>
  <c r="R93" i="9"/>
  <c r="Q93" i="9"/>
  <c r="Q92" i="9"/>
  <c r="R92" i="9" s="1"/>
  <c r="Q91" i="9"/>
  <c r="R91" i="9" s="1"/>
  <c r="Q90" i="9"/>
  <c r="R90" i="9" s="1"/>
  <c r="Q89" i="9"/>
  <c r="R89" i="9" s="1"/>
  <c r="Q88" i="9"/>
  <c r="R88" i="9" s="1"/>
  <c r="Q87" i="9"/>
  <c r="R87" i="9" s="1"/>
  <c r="Q86" i="9"/>
  <c r="R86" i="9" s="1"/>
  <c r="Q85" i="9"/>
  <c r="R85" i="9" s="1"/>
  <c r="Q84" i="9"/>
  <c r="R84" i="9" s="1"/>
  <c r="R83" i="9"/>
  <c r="Q83" i="9"/>
  <c r="R82" i="9"/>
  <c r="Q82" i="9"/>
  <c r="R81" i="9"/>
  <c r="Q81" i="9"/>
  <c r="Q80" i="9"/>
  <c r="R80" i="9" s="1"/>
  <c r="R79" i="9"/>
  <c r="Q79" i="9"/>
  <c r="R78" i="9"/>
  <c r="Q78" i="9"/>
  <c r="R77" i="9"/>
  <c r="Q77" i="9"/>
  <c r="Q76" i="9"/>
  <c r="R76" i="9" s="1"/>
  <c r="R75" i="9"/>
  <c r="Q75" i="9"/>
  <c r="Q74" i="9"/>
  <c r="R74" i="9" s="1"/>
  <c r="Q73" i="9"/>
  <c r="R73" i="9" s="1"/>
  <c r="Q72" i="9"/>
  <c r="R72" i="9" s="1"/>
  <c r="Q71" i="9"/>
  <c r="R71" i="9" s="1"/>
  <c r="Q70" i="9"/>
  <c r="R70" i="9" s="1"/>
  <c r="Q69" i="9"/>
  <c r="R69" i="9" s="1"/>
  <c r="Q68" i="9"/>
  <c r="R68" i="9" s="1"/>
  <c r="Q67" i="9"/>
  <c r="R67" i="9" s="1"/>
  <c r="Q66" i="9"/>
  <c r="R66" i="9" s="1"/>
  <c r="Q65" i="9"/>
  <c r="R65" i="9" s="1"/>
  <c r="R64" i="9"/>
  <c r="Q64" i="9"/>
  <c r="R63" i="9"/>
  <c r="Q63" i="9"/>
  <c r="R62" i="9"/>
  <c r="Q62" i="9"/>
  <c r="Q61" i="9"/>
  <c r="R61" i="9" s="1"/>
  <c r="R60" i="9"/>
  <c r="Q60" i="9"/>
  <c r="R59" i="9"/>
  <c r="Q59" i="9"/>
  <c r="R58" i="9"/>
  <c r="Q58" i="9"/>
  <c r="Q57" i="9"/>
  <c r="R57" i="9" s="1"/>
  <c r="Q56" i="9"/>
  <c r="R56" i="9" s="1"/>
  <c r="T56" i="9" s="1"/>
  <c r="Q55" i="9"/>
  <c r="R55" i="9" s="1"/>
  <c r="Q54" i="9"/>
  <c r="R54" i="9" s="1"/>
  <c r="Q53" i="9"/>
  <c r="R53" i="9" s="1"/>
  <c r="Q52" i="9"/>
  <c r="R52" i="9" s="1"/>
  <c r="Q51" i="9"/>
  <c r="R51" i="9" s="1"/>
  <c r="Q50" i="9"/>
  <c r="R50" i="9" s="1"/>
  <c r="Q49" i="9"/>
  <c r="R49" i="9" s="1"/>
  <c r="Q48" i="9"/>
  <c r="R48" i="9" s="1"/>
  <c r="R47" i="9"/>
  <c r="Q47" i="9"/>
  <c r="Q46" i="9"/>
  <c r="R46" i="9" s="1"/>
  <c r="R45" i="9"/>
  <c r="Q45" i="9"/>
  <c r="R44" i="9"/>
  <c r="Q44" i="9"/>
  <c r="R43" i="9"/>
  <c r="Q43" i="9"/>
  <c r="Q42" i="9"/>
  <c r="R42" i="9" s="1"/>
  <c r="R41" i="9"/>
  <c r="Q41" i="9"/>
  <c r="R40" i="9"/>
  <c r="Q40" i="9"/>
  <c r="R39" i="9"/>
  <c r="Q39" i="9"/>
  <c r="Q38" i="9"/>
  <c r="R38" i="9" s="1"/>
  <c r="Q37" i="9"/>
  <c r="R37" i="9" s="1"/>
  <c r="Q36" i="9"/>
  <c r="R36" i="9" s="1"/>
  <c r="Q35" i="9"/>
  <c r="R35" i="9" s="1"/>
  <c r="Q34" i="9"/>
  <c r="R34" i="9" s="1"/>
  <c r="Q33" i="9"/>
  <c r="R33" i="9" s="1"/>
  <c r="Q32" i="9"/>
  <c r="R32" i="9" s="1"/>
  <c r="Q31" i="9"/>
  <c r="R31" i="9" s="1"/>
  <c r="Q30" i="9"/>
  <c r="R30" i="9" s="1"/>
  <c r="R29" i="9"/>
  <c r="Q29" i="9"/>
  <c r="R28" i="9"/>
  <c r="Q28" i="9"/>
  <c r="Q27" i="9"/>
  <c r="R27" i="9" s="1"/>
  <c r="R26" i="9"/>
  <c r="Q26" i="9"/>
  <c r="R25" i="9"/>
  <c r="Q25" i="9"/>
  <c r="R24" i="9"/>
  <c r="Q24" i="9"/>
  <c r="Q23" i="9"/>
  <c r="R23" i="9" s="1"/>
  <c r="R22" i="9"/>
  <c r="Q22" i="9"/>
  <c r="R21" i="9"/>
  <c r="Q21" i="9"/>
  <c r="R20" i="9"/>
  <c r="Q20" i="9"/>
  <c r="Q19" i="9"/>
  <c r="R19" i="9" s="1"/>
  <c r="Q18" i="9"/>
  <c r="R18" i="9" s="1"/>
  <c r="Q17" i="9"/>
  <c r="R17" i="9" s="1"/>
  <c r="R16" i="9"/>
  <c r="Q16" i="9"/>
  <c r="Q15" i="9"/>
  <c r="R15" i="9" s="1"/>
  <c r="Q14" i="9"/>
  <c r="R14" i="9" s="1"/>
  <c r="Q13" i="9"/>
  <c r="R13" i="9" s="1"/>
  <c r="R12" i="9"/>
  <c r="Q12" i="9"/>
  <c r="R11" i="9"/>
  <c r="Q11" i="9"/>
  <c r="R10" i="9"/>
  <c r="Q10" i="9"/>
  <c r="R9" i="9"/>
  <c r="Q9" i="9"/>
  <c r="Q8" i="9"/>
  <c r="R8" i="9" s="1"/>
  <c r="R7" i="9"/>
  <c r="Q7" i="9"/>
  <c r="R6" i="9"/>
  <c r="Q6" i="9"/>
  <c r="R5" i="9"/>
  <c r="Q5" i="9"/>
  <c r="Q4" i="9"/>
  <c r="R4" i="9" s="1"/>
  <c r="R3" i="9"/>
  <c r="Q3" i="9"/>
  <c r="Q2" i="9"/>
  <c r="R2" i="9" s="1"/>
  <c r="T2" i="9" l="1"/>
  <c r="T11" i="9"/>
  <c r="T29" i="9"/>
  <c r="T38" i="9"/>
  <c r="T47" i="9"/>
  <c r="T65" i="9"/>
  <c r="T74" i="9"/>
  <c r="T83" i="9"/>
  <c r="T20" i="9"/>
  <c r="T92" i="9"/>
  <c r="T101" i="9"/>
  <c r="Q50" i="8" l="1"/>
  <c r="R50" i="8" s="1"/>
  <c r="Q48" i="8"/>
  <c r="R48" i="8" s="1"/>
  <c r="Q47" i="8"/>
  <c r="R47" i="8" s="1"/>
  <c r="Q46" i="8"/>
  <c r="R46" i="8" s="1"/>
  <c r="Q45" i="8"/>
  <c r="R45" i="8" s="1"/>
  <c r="R44" i="8"/>
  <c r="Q44" i="8"/>
  <c r="Q43" i="8"/>
  <c r="R43" i="8" s="1"/>
  <c r="Q41" i="8"/>
  <c r="R41" i="8" s="1"/>
  <c r="R40" i="8"/>
  <c r="Q40" i="8"/>
  <c r="R39" i="8"/>
  <c r="Q39" i="8"/>
  <c r="Q38" i="8"/>
  <c r="R38" i="8" s="1"/>
  <c r="Q37" i="8"/>
  <c r="R37" i="8" s="1"/>
  <c r="Q36" i="8"/>
  <c r="R36" i="8" s="1"/>
  <c r="Q34" i="8"/>
  <c r="R34" i="8" s="1"/>
  <c r="Q33" i="8"/>
  <c r="R33" i="8" s="1"/>
  <c r="Q32" i="8"/>
  <c r="R32" i="8" s="1"/>
  <c r="Q31" i="8"/>
  <c r="R31" i="8" s="1"/>
  <c r="Q30" i="8"/>
  <c r="R30" i="8" s="1"/>
  <c r="Q29" i="8"/>
  <c r="R29" i="8" s="1"/>
  <c r="R27" i="8"/>
  <c r="Q27" i="8"/>
  <c r="R26" i="8"/>
  <c r="Q26" i="8"/>
  <c r="Q25" i="8"/>
  <c r="R25" i="8" s="1"/>
  <c r="Q24" i="8"/>
  <c r="R24" i="8" s="1"/>
  <c r="Q23" i="8"/>
  <c r="R23" i="8" s="1"/>
  <c r="R22" i="8"/>
  <c r="Q22" i="8"/>
  <c r="Q20" i="8"/>
  <c r="R20" i="8" s="1"/>
  <c r="Q19" i="8"/>
  <c r="R19" i="8" s="1"/>
  <c r="Q18" i="8"/>
  <c r="R18" i="8" s="1"/>
  <c r="R17" i="8"/>
  <c r="Q17" i="8"/>
  <c r="Q16" i="8"/>
  <c r="R16" i="8" s="1"/>
  <c r="R15" i="8"/>
  <c r="Q15" i="8"/>
  <c r="R13" i="8"/>
  <c r="Q13" i="8"/>
  <c r="Q12" i="8"/>
  <c r="R12" i="8" s="1"/>
  <c r="Q11" i="8"/>
  <c r="R11" i="8" s="1"/>
  <c r="R10" i="8"/>
  <c r="Q10" i="8"/>
  <c r="R9" i="8"/>
  <c r="Q9" i="8"/>
  <c r="Q8" i="8"/>
  <c r="R8" i="8" s="1"/>
  <c r="Q6" i="8"/>
  <c r="R6" i="8" s="1"/>
  <c r="Q5" i="8"/>
  <c r="R5" i="8" s="1"/>
  <c r="R4" i="8"/>
  <c r="Q4" i="8"/>
  <c r="Q3" i="8"/>
  <c r="R3" i="8" s="1"/>
  <c r="R2" i="8"/>
  <c r="Q2" i="8"/>
  <c r="T37" i="8" l="1"/>
  <c r="T2" i="8"/>
  <c r="T44" i="8"/>
  <c r="T16" i="8"/>
  <c r="T23" i="8"/>
  <c r="T30" i="8"/>
  <c r="T9" i="8"/>
  <c r="Q25" i="7"/>
  <c r="R25" i="7" s="1"/>
  <c r="Q24" i="7"/>
  <c r="R24" i="7" s="1"/>
  <c r="R23" i="7"/>
  <c r="Q23" i="7"/>
  <c r="Q22" i="7"/>
  <c r="R22" i="7" s="1"/>
  <c r="Q21" i="7"/>
  <c r="R21" i="7" s="1"/>
  <c r="Q20" i="7"/>
  <c r="R20" i="7" s="1"/>
  <c r="Q19" i="7"/>
  <c r="R19" i="7" s="1"/>
  <c r="Q18" i="7"/>
  <c r="R18" i="7" s="1"/>
  <c r="Q17" i="7"/>
  <c r="R17" i="7" s="1"/>
  <c r="Q16" i="7"/>
  <c r="R16" i="7" s="1"/>
  <c r="Q15" i="7"/>
  <c r="R15" i="7" s="1"/>
  <c r="Q14" i="7"/>
  <c r="R14" i="7" s="1"/>
  <c r="Q13" i="7"/>
  <c r="R13" i="7" s="1"/>
  <c r="Q12" i="7"/>
  <c r="R12" i="7" s="1"/>
  <c r="Q11" i="7"/>
  <c r="R11" i="7" s="1"/>
  <c r="Q10" i="7"/>
  <c r="R10" i="7" s="1"/>
  <c r="Q9" i="7"/>
  <c r="R9" i="7" s="1"/>
  <c r="Q8" i="7"/>
  <c r="R8" i="7" s="1"/>
  <c r="Q7" i="7"/>
  <c r="R7" i="7" s="1"/>
  <c r="Q6" i="7"/>
  <c r="R6" i="7" s="1"/>
  <c r="Q5" i="7"/>
  <c r="R5" i="7" s="1"/>
  <c r="Q4" i="7"/>
  <c r="R4" i="7" s="1"/>
  <c r="Q3" i="7"/>
  <c r="R3" i="7" s="1"/>
  <c r="Q2" i="7"/>
  <c r="R2" i="7" s="1"/>
  <c r="T14" i="7" l="1"/>
  <c r="T20" i="7"/>
  <c r="T2" i="7"/>
  <c r="T8" i="7"/>
  <c r="Q15" i="6"/>
  <c r="R15" i="6" s="1"/>
  <c r="Q14" i="6"/>
  <c r="R14" i="6" s="1"/>
  <c r="Q13" i="6"/>
  <c r="R13" i="6" s="1"/>
  <c r="Q12" i="6"/>
  <c r="R12" i="6" s="1"/>
  <c r="Q11" i="6"/>
  <c r="R11" i="6" s="1"/>
  <c r="Q10" i="6"/>
  <c r="R10" i="6" s="1"/>
  <c r="Q9" i="6"/>
  <c r="R9" i="6" s="1"/>
  <c r="R8" i="6"/>
  <c r="Q8" i="6"/>
  <c r="Q7" i="6"/>
  <c r="R7" i="6" s="1"/>
  <c r="Q6" i="6"/>
  <c r="R6" i="6" s="1"/>
  <c r="Q5" i="6"/>
  <c r="R5" i="6" s="1"/>
  <c r="R4" i="6"/>
  <c r="Q4" i="6"/>
  <c r="Q3" i="6"/>
  <c r="R3" i="6" s="1"/>
  <c r="Q2" i="6"/>
  <c r="R2" i="6" s="1"/>
  <c r="T2" i="6" l="1"/>
  <c r="T9" i="6"/>
  <c r="R136" i="5"/>
  <c r="Q136" i="5"/>
  <c r="Q135" i="5"/>
  <c r="R135" i="5" s="1"/>
  <c r="Q134" i="5"/>
  <c r="R134" i="5" s="1"/>
  <c r="Q133" i="5"/>
  <c r="R133" i="5" s="1"/>
  <c r="R132" i="5"/>
  <c r="Q132" i="5"/>
  <c r="Q131" i="5"/>
  <c r="R131" i="5" s="1"/>
  <c r="Q130" i="5"/>
  <c r="R130" i="5" s="1"/>
  <c r="Q129" i="5"/>
  <c r="R129" i="5" s="1"/>
  <c r="R128" i="5"/>
  <c r="Q128" i="5"/>
  <c r="R127" i="5"/>
  <c r="Q127" i="5"/>
  <c r="Q126" i="5"/>
  <c r="R126" i="5" s="1"/>
  <c r="Q125" i="5"/>
  <c r="R125" i="5" s="1"/>
  <c r="R124" i="5"/>
  <c r="Q124" i="5"/>
  <c r="R123" i="5"/>
  <c r="Q123" i="5"/>
  <c r="Q122" i="5"/>
  <c r="R122" i="5" s="1"/>
  <c r="Q121" i="5"/>
  <c r="R121" i="5" s="1"/>
  <c r="R120" i="5"/>
  <c r="Q120" i="5"/>
  <c r="Q119" i="5"/>
  <c r="R119" i="5" s="1"/>
  <c r="Q118" i="5"/>
  <c r="R118" i="5" s="1"/>
  <c r="R117" i="5"/>
  <c r="Q117" i="5"/>
  <c r="Q116" i="5"/>
  <c r="R116" i="5" s="1"/>
  <c r="Q115" i="5"/>
  <c r="R115" i="5" s="1"/>
  <c r="Q114" i="5"/>
  <c r="R114" i="5" s="1"/>
  <c r="R113" i="5"/>
  <c r="Q113" i="5"/>
  <c r="Q112" i="5"/>
  <c r="R112" i="5" s="1"/>
  <c r="Q111" i="5"/>
  <c r="R111" i="5" s="1"/>
  <c r="Q110" i="5"/>
  <c r="R110" i="5" s="1"/>
  <c r="R109" i="5"/>
  <c r="Q109" i="5"/>
  <c r="R108" i="5"/>
  <c r="Q108" i="5"/>
  <c r="Q107" i="5"/>
  <c r="R107" i="5" s="1"/>
  <c r="Q106" i="5"/>
  <c r="R106" i="5" s="1"/>
  <c r="R105" i="5"/>
  <c r="Q105" i="5"/>
  <c r="R104" i="5"/>
  <c r="Q104" i="5"/>
  <c r="Q103" i="5"/>
  <c r="R103" i="5" s="1"/>
  <c r="Q102" i="5"/>
  <c r="R102" i="5" s="1"/>
  <c r="Q101" i="5"/>
  <c r="R101" i="5" s="1"/>
  <c r="Q100" i="5"/>
  <c r="R100" i="5" s="1"/>
  <c r="Q99" i="5"/>
  <c r="R99" i="5" s="1"/>
  <c r="R98" i="5"/>
  <c r="Q98" i="5"/>
  <c r="Q97" i="5"/>
  <c r="R97" i="5" s="1"/>
  <c r="Q96" i="5"/>
  <c r="R96" i="5" s="1"/>
  <c r="Q95" i="5"/>
  <c r="R95" i="5" s="1"/>
  <c r="R94" i="5"/>
  <c r="Q94" i="5"/>
  <c r="Q93" i="5"/>
  <c r="R93" i="5" s="1"/>
  <c r="Q92" i="5"/>
  <c r="R92" i="5" s="1"/>
  <c r="Q91" i="5"/>
  <c r="R91" i="5" s="1"/>
  <c r="R90" i="5"/>
  <c r="Q90" i="5"/>
  <c r="R89" i="5"/>
  <c r="Q89" i="5"/>
  <c r="Q88" i="5"/>
  <c r="R88" i="5" s="1"/>
  <c r="Q87" i="5"/>
  <c r="R87" i="5" s="1"/>
  <c r="R86" i="5"/>
  <c r="Q86" i="5"/>
  <c r="R85" i="5"/>
  <c r="Q85" i="5"/>
  <c r="Q84" i="5"/>
  <c r="R84" i="5" s="1"/>
  <c r="R83" i="5"/>
  <c r="Q83" i="5"/>
  <c r="Q82" i="5"/>
  <c r="R82" i="5" s="1"/>
  <c r="R81" i="5"/>
  <c r="Q81" i="5"/>
  <c r="Q80" i="5"/>
  <c r="R80" i="5" s="1"/>
  <c r="R79" i="5"/>
  <c r="Q79" i="5"/>
  <c r="Q78" i="5"/>
  <c r="R78" i="5" s="1"/>
  <c r="R77" i="5"/>
  <c r="Q77" i="5"/>
  <c r="Q76" i="5"/>
  <c r="R76" i="5" s="1"/>
  <c r="R75" i="5"/>
  <c r="Q75" i="5"/>
  <c r="R74" i="5"/>
  <c r="T74" i="5" s="1"/>
  <c r="Q74" i="5"/>
  <c r="Q73" i="5"/>
  <c r="R73" i="5" s="1"/>
  <c r="Q72" i="5"/>
  <c r="R72" i="5" s="1"/>
  <c r="R71" i="5"/>
  <c r="Q71" i="5"/>
  <c r="R70" i="5"/>
  <c r="Q70" i="5"/>
  <c r="Q69" i="5"/>
  <c r="R69" i="5" s="1"/>
  <c r="Q68" i="5"/>
  <c r="R68" i="5" s="1"/>
  <c r="R67" i="5"/>
  <c r="Q67" i="5"/>
  <c r="R66" i="5"/>
  <c r="Q66" i="5"/>
  <c r="Q65" i="5"/>
  <c r="R65" i="5" s="1"/>
  <c r="R64" i="5"/>
  <c r="Q64" i="5"/>
  <c r="Q63" i="5"/>
  <c r="R63" i="5" s="1"/>
  <c r="R62" i="5"/>
  <c r="Q62" i="5"/>
  <c r="Q61" i="5"/>
  <c r="R61" i="5" s="1"/>
  <c r="R60" i="5"/>
  <c r="Q60" i="5"/>
  <c r="Q59" i="5"/>
  <c r="R59" i="5" s="1"/>
  <c r="R58" i="5"/>
  <c r="Q58" i="5"/>
  <c r="Q57" i="5"/>
  <c r="R57" i="5" s="1"/>
  <c r="R56" i="5"/>
  <c r="Q56" i="5"/>
  <c r="R55" i="5"/>
  <c r="Q55" i="5"/>
  <c r="Q54" i="5"/>
  <c r="R54" i="5" s="1"/>
  <c r="Q53" i="5"/>
  <c r="R53" i="5" s="1"/>
  <c r="R52" i="5"/>
  <c r="Q52" i="5"/>
  <c r="R51" i="5"/>
  <c r="Q51" i="5"/>
  <c r="Q50" i="5"/>
  <c r="R50" i="5" s="1"/>
  <c r="Q49" i="5"/>
  <c r="R49" i="5" s="1"/>
  <c r="T47" i="5" s="1"/>
  <c r="R48" i="5"/>
  <c r="Q48" i="5"/>
  <c r="R47" i="5"/>
  <c r="Q47" i="5"/>
  <c r="Q46" i="5"/>
  <c r="R46" i="5" s="1"/>
  <c r="R45" i="5"/>
  <c r="Q45" i="5"/>
  <c r="Q44" i="5"/>
  <c r="R44" i="5" s="1"/>
  <c r="R43" i="5"/>
  <c r="Q43" i="5"/>
  <c r="Q42" i="5"/>
  <c r="R42" i="5" s="1"/>
  <c r="R41" i="5"/>
  <c r="Q41" i="5"/>
  <c r="Q40" i="5"/>
  <c r="R40" i="5" s="1"/>
  <c r="R39" i="5"/>
  <c r="Q39" i="5"/>
  <c r="Q38" i="5"/>
  <c r="R38" i="5" s="1"/>
  <c r="R37" i="5"/>
  <c r="Q37" i="5"/>
  <c r="R36" i="5"/>
  <c r="Q36" i="5"/>
  <c r="Q35" i="5"/>
  <c r="R35" i="5" s="1"/>
  <c r="Q34" i="5"/>
  <c r="R34" i="5" s="1"/>
  <c r="R33" i="5"/>
  <c r="Q33" i="5"/>
  <c r="R32" i="5"/>
  <c r="Q32" i="5"/>
  <c r="Q31" i="5"/>
  <c r="R31" i="5" s="1"/>
  <c r="Q30" i="5"/>
  <c r="R30" i="5" s="1"/>
  <c r="Q29" i="5"/>
  <c r="R29" i="5" s="1"/>
  <c r="R28" i="5"/>
  <c r="Q28" i="5"/>
  <c r="Q27" i="5"/>
  <c r="R27" i="5" s="1"/>
  <c r="R26" i="5"/>
  <c r="Q26" i="5"/>
  <c r="Q25" i="5"/>
  <c r="R25" i="5" s="1"/>
  <c r="R24" i="5"/>
  <c r="Q24" i="5"/>
  <c r="Q23" i="5"/>
  <c r="R23" i="5" s="1"/>
  <c r="R22" i="5"/>
  <c r="Q22" i="5"/>
  <c r="Q21" i="5"/>
  <c r="R21" i="5" s="1"/>
  <c r="Q20" i="5"/>
  <c r="R20" i="5" s="1"/>
  <c r="T20" i="5" s="1"/>
  <c r="Q19" i="5"/>
  <c r="R19" i="5" s="1"/>
  <c r="R18" i="5"/>
  <c r="Q18" i="5"/>
  <c r="R17" i="5"/>
  <c r="Q17" i="5"/>
  <c r="Q16" i="5"/>
  <c r="R16" i="5" s="1"/>
  <c r="Q15" i="5"/>
  <c r="R15" i="5" s="1"/>
  <c r="R14" i="5"/>
  <c r="Q14" i="5"/>
  <c r="R13" i="5"/>
  <c r="Q13" i="5"/>
  <c r="Q12" i="5"/>
  <c r="R12" i="5" s="1"/>
  <c r="R11" i="5"/>
  <c r="T11" i="5" s="1"/>
  <c r="Q11" i="5"/>
  <c r="Q10" i="5"/>
  <c r="R10" i="5" s="1"/>
  <c r="R9" i="5"/>
  <c r="Q9" i="5"/>
  <c r="Q8" i="5"/>
  <c r="R8" i="5" s="1"/>
  <c r="R7" i="5"/>
  <c r="Q7" i="5"/>
  <c r="Q6" i="5"/>
  <c r="R6" i="5" s="1"/>
  <c r="R5" i="5"/>
  <c r="Q5" i="5"/>
  <c r="Q4" i="5"/>
  <c r="R4" i="5" s="1"/>
  <c r="R3" i="5"/>
  <c r="Q3" i="5"/>
  <c r="R2" i="5"/>
  <c r="Q2" i="5"/>
  <c r="T38" i="5" l="1"/>
  <c r="T92" i="5"/>
  <c r="T110" i="5"/>
  <c r="T2" i="5"/>
  <c r="T29" i="5"/>
  <c r="T65" i="5"/>
  <c r="T128" i="5"/>
  <c r="T56" i="5"/>
  <c r="T83" i="5"/>
  <c r="T101" i="5"/>
  <c r="T119" i="5"/>
  <c r="Q181" i="4"/>
  <c r="R181" i="4" s="1"/>
  <c r="Q180" i="4"/>
  <c r="R180" i="4" s="1"/>
  <c r="Q179" i="4"/>
  <c r="R179" i="4" s="1"/>
  <c r="Q178" i="4"/>
  <c r="R178" i="4" s="1"/>
  <c r="Q177" i="4"/>
  <c r="R177" i="4" s="1"/>
  <c r="Q176" i="4"/>
  <c r="R176" i="4" s="1"/>
  <c r="Q175" i="4"/>
  <c r="R175" i="4" s="1"/>
  <c r="Q174" i="4"/>
  <c r="R174" i="4" s="1"/>
  <c r="R173" i="4"/>
  <c r="Q173" i="4"/>
  <c r="R172" i="4"/>
  <c r="Q172" i="4"/>
  <c r="R171" i="4"/>
  <c r="Q171" i="4"/>
  <c r="R170" i="4"/>
  <c r="Q170" i="4"/>
  <c r="R169" i="4"/>
  <c r="Q169" i="4"/>
  <c r="R168" i="4"/>
  <c r="Q168" i="4"/>
  <c r="R167" i="4"/>
  <c r="Q167" i="4"/>
  <c r="R166" i="4"/>
  <c r="Q166" i="4"/>
  <c r="R165" i="4"/>
  <c r="Q165" i="4"/>
  <c r="Q164" i="4"/>
  <c r="R164" i="4" s="1"/>
  <c r="T164" i="4" s="1"/>
  <c r="Q163" i="4"/>
  <c r="R163" i="4" s="1"/>
  <c r="Q162" i="4"/>
  <c r="R162" i="4" s="1"/>
  <c r="Q161" i="4"/>
  <c r="R161" i="4" s="1"/>
  <c r="Q160" i="4"/>
  <c r="R160" i="4" s="1"/>
  <c r="Q159" i="4"/>
  <c r="R159" i="4" s="1"/>
  <c r="Q158" i="4"/>
  <c r="R158" i="4" s="1"/>
  <c r="Q157" i="4"/>
  <c r="R157" i="4" s="1"/>
  <c r="Q156" i="4"/>
  <c r="R156" i="4" s="1"/>
  <c r="R155" i="4"/>
  <c r="Q155" i="4"/>
  <c r="R154" i="4"/>
  <c r="Q154" i="4"/>
  <c r="R153" i="4"/>
  <c r="Q153" i="4"/>
  <c r="R152" i="4"/>
  <c r="Q152" i="4"/>
  <c r="R151" i="4"/>
  <c r="Q151" i="4"/>
  <c r="R150" i="4"/>
  <c r="Q150" i="4"/>
  <c r="R149" i="4"/>
  <c r="Q149" i="4"/>
  <c r="R148" i="4"/>
  <c r="Q148" i="4"/>
  <c r="R147" i="4"/>
  <c r="Q147" i="4"/>
  <c r="Q146" i="4"/>
  <c r="R146" i="4" s="1"/>
  <c r="T146" i="4" s="1"/>
  <c r="Q145" i="4"/>
  <c r="R145" i="4" s="1"/>
  <c r="Q144" i="4"/>
  <c r="R144" i="4" s="1"/>
  <c r="Q143" i="4"/>
  <c r="R143" i="4" s="1"/>
  <c r="Q142" i="4"/>
  <c r="R142" i="4" s="1"/>
  <c r="Q141" i="4"/>
  <c r="R141" i="4" s="1"/>
  <c r="Q140" i="4"/>
  <c r="R140" i="4" s="1"/>
  <c r="Q139" i="4"/>
  <c r="R139" i="4" s="1"/>
  <c r="Q138" i="4"/>
  <c r="R138" i="4" s="1"/>
  <c r="R137" i="4"/>
  <c r="Q137" i="4"/>
  <c r="R136" i="4"/>
  <c r="Q136" i="4"/>
  <c r="R135" i="4"/>
  <c r="Q135" i="4"/>
  <c r="R134" i="4"/>
  <c r="Q134" i="4"/>
  <c r="R133" i="4"/>
  <c r="Q133" i="4"/>
  <c r="R132" i="4"/>
  <c r="Q132" i="4"/>
  <c r="R131" i="4"/>
  <c r="Q131" i="4"/>
  <c r="R130" i="4"/>
  <c r="Q130" i="4"/>
  <c r="R129" i="4"/>
  <c r="Q129" i="4"/>
  <c r="Q128" i="4"/>
  <c r="R128" i="4" s="1"/>
  <c r="T128" i="4" s="1"/>
  <c r="Q127" i="4"/>
  <c r="R127" i="4" s="1"/>
  <c r="Q126" i="4"/>
  <c r="R126" i="4" s="1"/>
  <c r="Q125" i="4"/>
  <c r="R125" i="4" s="1"/>
  <c r="Q124" i="4"/>
  <c r="R124" i="4" s="1"/>
  <c r="Q123" i="4"/>
  <c r="R123" i="4" s="1"/>
  <c r="Q122" i="4"/>
  <c r="R122" i="4" s="1"/>
  <c r="Q121" i="4"/>
  <c r="R121" i="4" s="1"/>
  <c r="Q120" i="4"/>
  <c r="R120" i="4" s="1"/>
  <c r="R119" i="4"/>
  <c r="Q119" i="4"/>
  <c r="R118" i="4"/>
  <c r="Q118" i="4"/>
  <c r="R117" i="4"/>
  <c r="Q117" i="4"/>
  <c r="R116" i="4"/>
  <c r="Q116" i="4"/>
  <c r="R115" i="4"/>
  <c r="Q115" i="4"/>
  <c r="R114" i="4"/>
  <c r="Q114" i="4"/>
  <c r="R113" i="4"/>
  <c r="Q113" i="4"/>
  <c r="R112" i="4"/>
  <c r="Q112" i="4"/>
  <c r="R111" i="4"/>
  <c r="Q111" i="4"/>
  <c r="Q110" i="4"/>
  <c r="R110" i="4" s="1"/>
  <c r="T110" i="4" s="1"/>
  <c r="Q109" i="4"/>
  <c r="R109" i="4" s="1"/>
  <c r="Q108" i="4"/>
  <c r="R108" i="4" s="1"/>
  <c r="Q107" i="4"/>
  <c r="R107" i="4" s="1"/>
  <c r="Q106" i="4"/>
  <c r="R106" i="4" s="1"/>
  <c r="Q105" i="4"/>
  <c r="R105" i="4" s="1"/>
  <c r="Q104" i="4"/>
  <c r="R104" i="4" s="1"/>
  <c r="Q103" i="4"/>
  <c r="R103" i="4" s="1"/>
  <c r="Q102" i="4"/>
  <c r="R102" i="4" s="1"/>
  <c r="R101" i="4"/>
  <c r="Q101" i="4"/>
  <c r="R100" i="4"/>
  <c r="Q100" i="4"/>
  <c r="R99" i="4"/>
  <c r="Q99" i="4"/>
  <c r="R98" i="4"/>
  <c r="Q98" i="4"/>
  <c r="R97" i="4"/>
  <c r="Q97" i="4"/>
  <c r="R96" i="4"/>
  <c r="Q96" i="4"/>
  <c r="R95" i="4"/>
  <c r="Q95" i="4"/>
  <c r="R94" i="4"/>
  <c r="Q94" i="4"/>
  <c r="R93" i="4"/>
  <c r="Q93" i="4"/>
  <c r="Q92" i="4"/>
  <c r="R92" i="4" s="1"/>
  <c r="T92" i="4" s="1"/>
  <c r="Q91" i="4"/>
  <c r="R91" i="4" s="1"/>
  <c r="Q90" i="4"/>
  <c r="R90" i="4" s="1"/>
  <c r="Q89" i="4"/>
  <c r="R89" i="4" s="1"/>
  <c r="Q88" i="4"/>
  <c r="R88" i="4" s="1"/>
  <c r="Q87" i="4"/>
  <c r="R87" i="4" s="1"/>
  <c r="Q86" i="4"/>
  <c r="R86" i="4" s="1"/>
  <c r="Q85" i="4"/>
  <c r="R85" i="4" s="1"/>
  <c r="Q84" i="4"/>
  <c r="R84" i="4" s="1"/>
  <c r="R83" i="4"/>
  <c r="T83" i="4" s="1"/>
  <c r="Q83" i="4"/>
  <c r="R82" i="4"/>
  <c r="Q82" i="4"/>
  <c r="R81" i="4"/>
  <c r="Q81" i="4"/>
  <c r="R80" i="4"/>
  <c r="Q80" i="4"/>
  <c r="R79" i="4"/>
  <c r="Q79" i="4"/>
  <c r="R78" i="4"/>
  <c r="Q78" i="4"/>
  <c r="R77" i="4"/>
  <c r="Q77" i="4"/>
  <c r="R76" i="4"/>
  <c r="Q76" i="4"/>
  <c r="R75" i="4"/>
  <c r="Q75" i="4"/>
  <c r="Q74" i="4"/>
  <c r="R74" i="4" s="1"/>
  <c r="T74" i="4" s="1"/>
  <c r="Q73" i="4"/>
  <c r="R73" i="4" s="1"/>
  <c r="Q72" i="4"/>
  <c r="R72" i="4" s="1"/>
  <c r="Q71" i="4"/>
  <c r="R71" i="4" s="1"/>
  <c r="Q70" i="4"/>
  <c r="R70" i="4" s="1"/>
  <c r="Q69" i="4"/>
  <c r="R69" i="4" s="1"/>
  <c r="Q68" i="4"/>
  <c r="R68" i="4" s="1"/>
  <c r="Q67" i="4"/>
  <c r="R67" i="4" s="1"/>
  <c r="Q66" i="4"/>
  <c r="R66" i="4" s="1"/>
  <c r="R65" i="4"/>
  <c r="Q65" i="4"/>
  <c r="T56" i="4"/>
  <c r="T47" i="4"/>
  <c r="R46" i="4"/>
  <c r="Q46" i="4"/>
  <c r="R45" i="4"/>
  <c r="Q45" i="4"/>
  <c r="R44" i="4"/>
  <c r="Q44" i="4"/>
  <c r="R43" i="4"/>
  <c r="Q43" i="4"/>
  <c r="R42" i="4"/>
  <c r="Q42" i="4"/>
  <c r="R41" i="4"/>
  <c r="Q41" i="4"/>
  <c r="R40" i="4"/>
  <c r="Q40" i="4"/>
  <c r="R39" i="4"/>
  <c r="Q39" i="4"/>
  <c r="Q38" i="4"/>
  <c r="R38" i="4" s="1"/>
  <c r="T38" i="4" s="1"/>
  <c r="Q37" i="4"/>
  <c r="R37" i="4" s="1"/>
  <c r="Q36" i="4"/>
  <c r="R36" i="4" s="1"/>
  <c r="Q35" i="4"/>
  <c r="R35" i="4" s="1"/>
  <c r="Q34" i="4"/>
  <c r="R34" i="4" s="1"/>
  <c r="Q33" i="4"/>
  <c r="R33" i="4" s="1"/>
  <c r="Q32" i="4"/>
  <c r="R32" i="4" s="1"/>
  <c r="Q31" i="4"/>
  <c r="R31" i="4" s="1"/>
  <c r="Q30" i="4"/>
  <c r="R30" i="4" s="1"/>
  <c r="R29" i="4"/>
  <c r="Q29" i="4"/>
  <c r="R28" i="4"/>
  <c r="Q28" i="4"/>
  <c r="R27" i="4"/>
  <c r="Q27" i="4"/>
  <c r="R26" i="4"/>
  <c r="Q26" i="4"/>
  <c r="R25" i="4"/>
  <c r="Q25" i="4"/>
  <c r="R24" i="4"/>
  <c r="Q24" i="4"/>
  <c r="R23" i="4"/>
  <c r="Q23" i="4"/>
  <c r="R22" i="4"/>
  <c r="Q22" i="4"/>
  <c r="R21" i="4"/>
  <c r="Q21" i="4"/>
  <c r="Q20" i="4"/>
  <c r="R20" i="4" s="1"/>
  <c r="T20" i="4" s="1"/>
  <c r="Q19" i="4"/>
  <c r="R19" i="4" s="1"/>
  <c r="Q18" i="4"/>
  <c r="R18" i="4" s="1"/>
  <c r="Q17" i="4"/>
  <c r="R17" i="4" s="1"/>
  <c r="Q16" i="4"/>
  <c r="R16" i="4" s="1"/>
  <c r="Q15" i="4"/>
  <c r="R15" i="4" s="1"/>
  <c r="Q14" i="4"/>
  <c r="R14" i="4" s="1"/>
  <c r="Q13" i="4"/>
  <c r="R13" i="4" s="1"/>
  <c r="Q12" i="4"/>
  <c r="R12" i="4" s="1"/>
  <c r="R11" i="4"/>
  <c r="Q11" i="4"/>
  <c r="R10" i="4"/>
  <c r="Q10" i="4"/>
  <c r="R9" i="4"/>
  <c r="Q9" i="4"/>
  <c r="R8" i="4"/>
  <c r="Q8" i="4"/>
  <c r="R7" i="4"/>
  <c r="Q7" i="4"/>
  <c r="R6" i="4"/>
  <c r="Q6" i="4"/>
  <c r="R5" i="4"/>
  <c r="Q5" i="4"/>
  <c r="R4" i="4"/>
  <c r="Q4" i="4"/>
  <c r="R3" i="4"/>
  <c r="Q3" i="4"/>
  <c r="Q2" i="4"/>
  <c r="R2" i="4" s="1"/>
  <c r="T2" i="4" s="1"/>
  <c r="T29" i="4" l="1"/>
  <c r="T101" i="4"/>
  <c r="T155" i="4"/>
  <c r="T11" i="4"/>
  <c r="T65" i="4"/>
  <c r="T119" i="4"/>
  <c r="T137" i="4"/>
  <c r="T173" i="4"/>
  <c r="Q131" i="3"/>
  <c r="R131" i="3" s="1"/>
  <c r="Q130" i="3"/>
  <c r="R130" i="3" s="1"/>
  <c r="Q129" i="3"/>
  <c r="R129" i="3" s="1"/>
  <c r="Q128" i="3"/>
  <c r="R128" i="3" s="1"/>
  <c r="Q127" i="3"/>
  <c r="R127" i="3" s="1"/>
  <c r="Q126" i="3"/>
  <c r="R126" i="3" s="1"/>
  <c r="Q125" i="3"/>
  <c r="R125" i="3" s="1"/>
  <c r="Q124" i="3"/>
  <c r="R124" i="3" s="1"/>
  <c r="Q122" i="3"/>
  <c r="R122" i="3" s="1"/>
  <c r="Q121" i="3"/>
  <c r="R121" i="3" s="1"/>
  <c r="Q120" i="3"/>
  <c r="R120" i="3" s="1"/>
  <c r="Q119" i="3"/>
  <c r="R119" i="3" s="1"/>
  <c r="Q117" i="3"/>
  <c r="R117" i="3" s="1"/>
  <c r="Q116" i="3"/>
  <c r="R116" i="3" s="1"/>
  <c r="Q115" i="3"/>
  <c r="R115" i="3" s="1"/>
  <c r="R114" i="3"/>
  <c r="Q114" i="3"/>
  <c r="Q113" i="3"/>
  <c r="R113" i="3" s="1"/>
  <c r="Q112" i="3"/>
  <c r="R112" i="3" s="1"/>
  <c r="Q111" i="3"/>
  <c r="R111" i="3" s="1"/>
  <c r="Q110" i="3"/>
  <c r="R110" i="3" s="1"/>
  <c r="Q109" i="3"/>
  <c r="R109" i="3" s="1"/>
  <c r="Q107" i="3"/>
  <c r="R107" i="3" s="1"/>
  <c r="Q106" i="3"/>
  <c r="R106" i="3" s="1"/>
  <c r="Q105" i="3"/>
  <c r="R105" i="3" s="1"/>
  <c r="Q104" i="3"/>
  <c r="R104" i="3" s="1"/>
  <c r="Q103" i="3"/>
  <c r="R103" i="3" s="1"/>
  <c r="Q102" i="3"/>
  <c r="R102" i="3" s="1"/>
  <c r="Q101" i="3"/>
  <c r="R101" i="3" s="1"/>
  <c r="Q100" i="3"/>
  <c r="R100" i="3" s="1"/>
  <c r="Q99" i="3"/>
  <c r="R99" i="3" s="1"/>
  <c r="Q97" i="3"/>
  <c r="R97" i="3" s="1"/>
  <c r="Q96" i="3"/>
  <c r="R96" i="3" s="1"/>
  <c r="Q95" i="3"/>
  <c r="R95" i="3" s="1"/>
  <c r="Q94" i="3"/>
  <c r="R94" i="3" s="1"/>
  <c r="Q92" i="3"/>
  <c r="R92" i="3" s="1"/>
  <c r="Q91" i="3"/>
  <c r="R91" i="3" s="1"/>
  <c r="Q90" i="3"/>
  <c r="R90" i="3" s="1"/>
  <c r="Q89" i="3"/>
  <c r="R89" i="3" s="1"/>
  <c r="Q88" i="3"/>
  <c r="R88" i="3" s="1"/>
  <c r="Q87" i="3"/>
  <c r="R87" i="3" s="1"/>
  <c r="Q86" i="3"/>
  <c r="R86" i="3" s="1"/>
  <c r="Q85" i="3"/>
  <c r="R85" i="3" s="1"/>
  <c r="Q84" i="3"/>
  <c r="R84" i="3" s="1"/>
  <c r="R82" i="3"/>
  <c r="Q82" i="3"/>
  <c r="Q81" i="3"/>
  <c r="R81" i="3" s="1"/>
  <c r="Q80" i="3"/>
  <c r="R80" i="3" s="1"/>
  <c r="Q79" i="3"/>
  <c r="R79" i="3" s="1"/>
  <c r="Q77" i="3"/>
  <c r="R77" i="3" s="1"/>
  <c r="Q76" i="3"/>
  <c r="R76" i="3" s="1"/>
  <c r="Q75" i="3"/>
  <c r="R75" i="3" s="1"/>
  <c r="Q74" i="3"/>
  <c r="R74" i="3" s="1"/>
  <c r="Q73" i="3"/>
  <c r="R73" i="3" s="1"/>
  <c r="Q72" i="3"/>
  <c r="R72" i="3" s="1"/>
  <c r="Q71" i="3"/>
  <c r="R71" i="3" s="1"/>
  <c r="Q70" i="3"/>
  <c r="R70" i="3" s="1"/>
  <c r="Q69" i="3"/>
  <c r="R69" i="3" s="1"/>
  <c r="Q67" i="3"/>
  <c r="R67" i="3" s="1"/>
  <c r="Q66" i="3"/>
  <c r="R66" i="3" s="1"/>
  <c r="Q65" i="3"/>
  <c r="R65" i="3" s="1"/>
  <c r="Q64" i="3"/>
  <c r="R64" i="3" s="1"/>
  <c r="Q62" i="3"/>
  <c r="R62" i="3" s="1"/>
  <c r="Q61" i="3"/>
  <c r="R61" i="3" s="1"/>
  <c r="Q60" i="3"/>
  <c r="R60" i="3" s="1"/>
  <c r="Q59" i="3"/>
  <c r="R59" i="3" s="1"/>
  <c r="Q58" i="3"/>
  <c r="R58" i="3" s="1"/>
  <c r="Q57" i="3"/>
  <c r="R57" i="3" s="1"/>
  <c r="Q56" i="3"/>
  <c r="R56" i="3" s="1"/>
  <c r="Q55" i="3"/>
  <c r="R55" i="3" s="1"/>
  <c r="Q54" i="3"/>
  <c r="R54" i="3" s="1"/>
  <c r="Q52" i="3"/>
  <c r="R52" i="3" s="1"/>
  <c r="Q51" i="3"/>
  <c r="R51" i="3" s="1"/>
  <c r="Q50" i="3"/>
  <c r="R50" i="3" s="1"/>
  <c r="Q49" i="3"/>
  <c r="R49" i="3" s="1"/>
  <c r="Q47" i="3"/>
  <c r="R47" i="3" s="1"/>
  <c r="Q46" i="3"/>
  <c r="R46" i="3" s="1"/>
  <c r="Q45" i="3"/>
  <c r="R45" i="3" s="1"/>
  <c r="Q44" i="3"/>
  <c r="R44" i="3" s="1"/>
  <c r="Q43" i="3"/>
  <c r="R43" i="3" s="1"/>
  <c r="Q42" i="3"/>
  <c r="R42" i="3" s="1"/>
  <c r="Q41" i="3"/>
  <c r="R41" i="3" s="1"/>
  <c r="Q40" i="3"/>
  <c r="R40" i="3" s="1"/>
  <c r="Q39" i="3"/>
  <c r="R39" i="3" s="1"/>
  <c r="Q37" i="3"/>
  <c r="R37" i="3" s="1"/>
  <c r="Q36" i="3"/>
  <c r="R36" i="3" s="1"/>
  <c r="Q35" i="3"/>
  <c r="R35" i="3" s="1"/>
  <c r="Q34" i="3"/>
  <c r="R34" i="3" s="1"/>
  <c r="Q32" i="3"/>
  <c r="R32" i="3" s="1"/>
  <c r="Q31" i="3"/>
  <c r="R31" i="3" s="1"/>
  <c r="Q30" i="3"/>
  <c r="R30" i="3" s="1"/>
  <c r="Q29" i="3"/>
  <c r="R29" i="3" s="1"/>
  <c r="Q28" i="3"/>
  <c r="R28" i="3" s="1"/>
  <c r="Q27" i="3"/>
  <c r="R27" i="3" s="1"/>
  <c r="Q26" i="3"/>
  <c r="R26" i="3" s="1"/>
  <c r="Q25" i="3"/>
  <c r="R25" i="3" s="1"/>
  <c r="Q24" i="3"/>
  <c r="R24" i="3" s="1"/>
  <c r="Q23" i="3"/>
  <c r="R23" i="3" s="1"/>
  <c r="Q22" i="3"/>
  <c r="R22" i="3" s="1"/>
  <c r="Q21" i="3"/>
  <c r="R21" i="3" s="1"/>
  <c r="Q20" i="3"/>
  <c r="R20" i="3" s="1"/>
  <c r="Q19" i="3"/>
  <c r="R19" i="3" s="1"/>
  <c r="Q18" i="3"/>
  <c r="R18" i="3" s="1"/>
  <c r="Q17" i="3"/>
  <c r="R17" i="3" s="1"/>
  <c r="Q16" i="3"/>
  <c r="R16" i="3" s="1"/>
  <c r="Q14" i="3"/>
  <c r="R14" i="3" s="1"/>
  <c r="Q13" i="3"/>
  <c r="R13" i="3" s="1"/>
  <c r="Q12" i="3"/>
  <c r="R12" i="3" s="1"/>
  <c r="Q11" i="3"/>
  <c r="R11" i="3" s="1"/>
  <c r="Q9" i="3"/>
  <c r="R9" i="3" s="1"/>
  <c r="Q8" i="3"/>
  <c r="R8" i="3" s="1"/>
  <c r="Q7" i="3"/>
  <c r="R7" i="3" s="1"/>
  <c r="Q6" i="3"/>
  <c r="R6" i="3" s="1"/>
  <c r="Q5" i="3"/>
  <c r="R5" i="3" s="1"/>
  <c r="Q4" i="3"/>
  <c r="R4" i="3" s="1"/>
  <c r="Q3" i="3"/>
  <c r="R3" i="3" s="1"/>
  <c r="Q2" i="3"/>
  <c r="R2" i="3" s="1"/>
  <c r="T17" i="3" l="1"/>
  <c r="T40" i="3"/>
  <c r="T2" i="3"/>
  <c r="T110" i="3"/>
  <c r="T125" i="3"/>
  <c r="T85" i="3"/>
  <c r="T25" i="3"/>
  <c r="T55" i="3"/>
  <c r="T100" i="3"/>
  <c r="T70" i="3"/>
  <c r="Q70" i="2" l="1"/>
  <c r="R70" i="2" s="1"/>
  <c r="Q69" i="2"/>
  <c r="R69" i="2" s="1"/>
  <c r="Q68" i="2"/>
  <c r="R68" i="2" s="1"/>
  <c r="Q67" i="2"/>
  <c r="R67" i="2" s="1"/>
  <c r="Q66" i="2"/>
  <c r="R66" i="2" s="1"/>
  <c r="Q65" i="2"/>
  <c r="R65" i="2" s="1"/>
  <c r="Q64" i="2"/>
  <c r="R64" i="2" s="1"/>
  <c r="Q63" i="2"/>
  <c r="R63" i="2" s="1"/>
  <c r="Q62" i="2"/>
  <c r="R62" i="2" s="1"/>
  <c r="Q61" i="2"/>
  <c r="R61" i="2" s="1"/>
  <c r="Q60" i="2"/>
  <c r="R60" i="2" s="1"/>
  <c r="Q59" i="2"/>
  <c r="R59" i="2" s="1"/>
  <c r="Q58" i="2"/>
  <c r="R58" i="2" s="1"/>
  <c r="Q57" i="2"/>
  <c r="R57" i="2" s="1"/>
  <c r="Q56" i="2"/>
  <c r="R56" i="2" s="1"/>
  <c r="Q55" i="2"/>
  <c r="R55" i="2" s="1"/>
  <c r="Q21" i="2"/>
  <c r="R21" i="2" s="1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8" i="2"/>
  <c r="R8" i="2" s="1"/>
  <c r="Q7" i="2"/>
  <c r="R7" i="2" s="1"/>
  <c r="Q6" i="2"/>
  <c r="R6" i="2" s="1"/>
  <c r="Q5" i="2"/>
  <c r="R5" i="2" s="1"/>
  <c r="Q4" i="2"/>
  <c r="R4" i="2" s="1"/>
  <c r="Q3" i="2"/>
  <c r="R3" i="2" s="1"/>
  <c r="Q2" i="2"/>
  <c r="R2" i="2" s="1"/>
  <c r="T11" i="2" l="1"/>
  <c r="T62" i="2"/>
  <c r="T2" i="2"/>
  <c r="T55" i="2"/>
</calcChain>
</file>

<file path=xl/sharedStrings.xml><?xml version="1.0" encoding="utf-8"?>
<sst xmlns="http://schemas.openxmlformats.org/spreadsheetml/2006/main" count="8673" uniqueCount="476">
  <si>
    <t>ردیف</t>
  </si>
  <si>
    <t>نام شرکت</t>
  </si>
  <si>
    <t>فصل</t>
  </si>
  <si>
    <t>کد پرسنلی</t>
  </si>
  <si>
    <t>نام و نام خانوادگی</t>
  </si>
  <si>
    <t>عنوان شغلی</t>
  </si>
  <si>
    <t>مدیر مستقیم</t>
  </si>
  <si>
    <t>دپارتمان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</si>
  <si>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</si>
  <si>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</si>
  <si>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</si>
  <si>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</si>
  <si>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</si>
  <si>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</si>
  <si>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</si>
  <si>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</si>
  <si>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</si>
  <si>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</si>
  <si>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</si>
  <si>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Sum</t>
  </si>
  <si>
    <t>تخته فشرده</t>
  </si>
  <si>
    <t>Q1</t>
  </si>
  <si>
    <t>5546</t>
  </si>
  <si>
    <t>علی اصغر کلانتری</t>
  </si>
  <si>
    <t>رئیس برنامه ریزی نگهداری و تعمیرات</t>
  </si>
  <si>
    <t>هادی کرد</t>
  </si>
  <si>
    <t>فنی و مهندسی</t>
  </si>
  <si>
    <t>MainTasks</t>
  </si>
  <si>
    <t>Maintenance Needs Prediction Accuracy</t>
  </si>
  <si>
    <t>دقت در پیش‌بینی نیازهای نگهداری و تعمیرات</t>
  </si>
  <si>
    <t>ارزیابی دقت پیش‌بینی نیازهای نگهداری و تعمیرات برای ماشین‌آلات.</t>
  </si>
  <si>
    <t>+</t>
  </si>
  <si>
    <t>Reduction of Program Delays</t>
  </si>
  <si>
    <t>کاهش تاخیر در اجرای برنامه‌ها</t>
  </si>
  <si>
    <t>درصد کاهش تاخیر در اجرای برنامه‌های نگهداری و تعمیرات.</t>
  </si>
  <si>
    <t>10% کاهش</t>
  </si>
  <si>
    <t>-</t>
  </si>
  <si>
    <t>Budget vs Actual Repair Costs</t>
  </si>
  <si>
    <t>مقایسه بودجه تعمیرات با هزینه واقعی</t>
  </si>
  <si>
    <t>مقایسه هزینه واقعی تعمیرات با بودجه تعیین شده.</t>
  </si>
  <si>
    <t>Quality of Reporting and Internal Communication</t>
  </si>
  <si>
    <t>کیفیت گزارش‌دهی و ارتباطات داخلی</t>
  </si>
  <si>
    <t>ارزیابی دقت و کیفیت گزارش‌های داخلی و ارتباطات.</t>
  </si>
  <si>
    <t>Compliance with Safety Standards in Planning</t>
  </si>
  <si>
    <t>رعایت استانداردهای ایمنی در برنامه‌ریزی تعمیرات</t>
  </si>
  <si>
    <t>ارزیابی میزان رعایت استانداردهای ایمنی در هنگام برنامه‌ریزی تعمیرات.</t>
  </si>
  <si>
    <t>Completion Rate of Procedures</t>
  </si>
  <si>
    <t>نرخ تکمیل دستورالعمل‌ها</t>
  </si>
  <si>
    <t>درصد تکمیل دستورالعمل‌های نگهداری و تعمیرات.</t>
  </si>
  <si>
    <t>Technical Documentation Archiving</t>
  </si>
  <si>
    <t>آرشیو مستندات فنی</t>
  </si>
  <si>
    <t>ارزیابی وضعیت بایگانی مستندات فنی.</t>
  </si>
  <si>
    <t>MTTR (Mean Time to Repair)</t>
  </si>
  <si>
    <t>MTTR (میانگین زمان تعمیر)</t>
  </si>
  <si>
    <t>میانگین زمان تعمیر ماشین‌آلات پس از خرابی.</t>
  </si>
  <si>
    <t>MTBF (Mean Time Between Failures)</t>
  </si>
  <si>
    <t>MTBF (میانگین زمان بین خرابی‌ها)</t>
  </si>
  <si>
    <t>میانگین زمان بین خرابی‌های ماشین‌آلات.</t>
  </si>
  <si>
    <t>افزایش 10%</t>
  </si>
  <si>
    <t>Projects</t>
  </si>
  <si>
    <t>Completion Rate of Machine Projects</t>
  </si>
  <si>
    <t>نرخ تکمیل پروژه‌ها</t>
  </si>
  <si>
    <t>درصد تکمیل پروژه‌ها در زمان و بودجه پیش‌بینی شده.</t>
  </si>
  <si>
    <t>5595</t>
  </si>
  <si>
    <t>مصطفی علیزاده</t>
  </si>
  <si>
    <t>رئیس واحد برق و ابزاردقیق</t>
  </si>
  <si>
    <t>Repair Completion Rate</t>
  </si>
  <si>
    <t xml:space="preserve">نرخ تکمیل تعمیرات در موعد مقرر </t>
  </si>
  <si>
    <t>Repair Completion Rate=(Number of Repairs Completed on Schedule-PM)/(Total Planned Repairs-PM)*100</t>
  </si>
  <si>
    <t>MTTR Performance</t>
  </si>
  <si>
    <t xml:space="preserve">میانگین زمان تعمیر (MTTR) نسبت به استاندارد </t>
  </si>
  <si>
    <t>MTTR Performance=(Current MTTR-Previous Month MTTR)/Previous Month MTTR*100</t>
  </si>
  <si>
    <t>نزولی</t>
  </si>
  <si>
    <t>PM Compliance Rate</t>
  </si>
  <si>
    <t xml:space="preserve">درصد اجرای تعمیرات پیشگیرانه (PM Compliance) </t>
  </si>
  <si>
    <t>PM Compliance Rate=Number of PMs Completed/Total Planned PMs*100</t>
  </si>
  <si>
    <t>MTBF Improvement</t>
  </si>
  <si>
    <t xml:space="preserve">افزایش فاصله بین خرابی‌ها (MTBF) </t>
  </si>
  <si>
    <t>MTBF Improvement=(Current MTBF-Previous Month MTBF)/Previous Month MTBF*100</t>
  </si>
  <si>
    <t>هدف افزایش حداقل 5%</t>
  </si>
  <si>
    <t>Breakdown Reduction</t>
  </si>
  <si>
    <t xml:space="preserve">کاهش خرابی‌های اضطراری </t>
  </si>
  <si>
    <t>Breakdown Reduction=(Emergency Breakdowns This Month-Emergency Breakdowns Last Month)/Emergency Breakdowns Last Month</t>
  </si>
  <si>
    <t>حداقل 10% کاهش نسبت به ماه گذشته</t>
  </si>
  <si>
    <t>Rework Rate</t>
  </si>
  <si>
    <t xml:space="preserve">درصد کاهش تعمیرات تکراری (Rework Rate) </t>
  </si>
  <si>
    <t>Rework Rate=Number of Repeat Repairs/(Total Repairs)*100</t>
  </si>
  <si>
    <t>Spare Parts Utilization</t>
  </si>
  <si>
    <t xml:space="preserve">بهینه‌سازی مصرف قطعات یدکی </t>
  </si>
  <si>
    <t>Spare Parts Utilization=Number of Used Spare Parts from Inventory/Total Purchased Spare Parts*100</t>
  </si>
  <si>
    <t>Maintenance Cost Reduction</t>
  </si>
  <si>
    <t xml:space="preserve">	کاهش هزینه‌های نگهداری و تعمیرات </t>
  </si>
  <si>
    <t>Maintenance Cost Reduction=(Previous Month Maintenance Cost-Current Month Maintenance Cost)/Previous Month Maintenance Cost</t>
  </si>
  <si>
    <t>رعایت نکات ایمنی در تعمیرات (بدون حادثه یا شبه‌حادثه)</t>
  </si>
  <si>
    <t xml:space="preserve">	تکمیل چک‌لیست‌های تعمیرات و ثبت صحیح گزارشات </t>
  </si>
  <si>
    <t>Participation Rate</t>
  </si>
  <si>
    <t xml:space="preserve">نرخ مشارکت در جلسات و ارائه پیشنهادات بهبود </t>
  </si>
  <si>
    <t>Participation Rate=Number of Suggestions Given/Total Number of Meetings*100</t>
  </si>
  <si>
    <t>5217</t>
  </si>
  <si>
    <t>خلیل دیلمی</t>
  </si>
  <si>
    <t>رئیس واحد مکانیک</t>
  </si>
  <si>
    <t>3073</t>
  </si>
  <si>
    <t>مجتبی هدایت</t>
  </si>
  <si>
    <t>رئیس واحد تاسیسات</t>
  </si>
  <si>
    <t>رضا عینلوند</t>
  </si>
  <si>
    <t>رئیس واحد مکانیک عمومی</t>
  </si>
  <si>
    <t>3681</t>
  </si>
  <si>
    <t>جواد فرج الهی</t>
  </si>
  <si>
    <t>رئیس واحد طراحی مهندسی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</si>
  <si>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</si>
  <si>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</si>
  <si>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</si>
  <si>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≥ 95%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</si>
  <si>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</si>
  <si>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</si>
  <si>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</si>
  <si>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≥ 98%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</si>
  <si>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</si>
  <si>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</si>
  <si>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</si>
  <si>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≤ 3 days</t>
  </si>
  <si>
    <t>BOM Accuracy</t>
  </si>
  <si>
    <t>دقت در تهیه لیست اقلام (BOM)</t>
  </si>
  <si>
    <t>درصد BOMهایی که بدون خطا تحویل داده شده‌اند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</si>
  <si>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</si>
  <si>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</si>
  <si>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</si>
  <si>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≥ 90%</t>
  </si>
  <si>
    <t>Project Completion Rate</t>
  </si>
  <si>
    <t>نرخ تکمیل پروژه‌های مهندسی</t>
  </si>
  <si>
    <t>درصد پروژه‌هایی که طبق برنامه تحویل شده‌اند</t>
  </si>
  <si>
    <t>Innovation &amp; Cooperation</t>
  </si>
  <si>
    <t>Innovation Index</t>
  </si>
  <si>
    <t>شاخص نوآوری</t>
  </si>
  <si>
    <t>تعداد جلسات یا تعاملات ثبت‌شده با سایر واحدها (PM، تولید، انبار...)</t>
  </si>
  <si>
    <t>≥ 2 per quarter</t>
  </si>
  <si>
    <t>3527</t>
  </si>
  <si>
    <t>رضا زلقی</t>
  </si>
  <si>
    <t>رئیس واحد ماشین آلات</t>
  </si>
  <si>
    <t>Equipment Availability Rate</t>
  </si>
  <si>
    <t>نرخ آماده‌به‌کاری ماشین‌آلات</t>
  </si>
  <si>
    <t>درصد زمانی که ماشین‌آلات در دسترس و قابل بهره‌برداری هستند</t>
  </si>
  <si>
    <t>Preventive Maintenance Compliance</t>
  </si>
  <si>
    <t>درصد اجرای PM ماشین‌آلات</t>
  </si>
  <si>
    <t>نسبت تعمیرات پیشگیرانه انجام‌شده به کل برنامه‌ریزی‌شده</t>
  </si>
  <si>
    <t>Emergency Breakdown Rate</t>
  </si>
  <si>
    <t>نرخ خرابی‌های اضطراری ماشین‌آلات</t>
  </si>
  <si>
    <t>نسبت خرابی‌های اضطراری به کل خرابی‌ها</t>
  </si>
  <si>
    <t>≤ 10%</t>
  </si>
  <si>
    <t>Maintenance Budget Deviation</t>
  </si>
  <si>
    <t>انحراف هزینه از بودجه ماشین‌آلات</t>
  </si>
  <si>
    <t>اختلاف هزینه واقعی نگهداری و تعمیر با بودجه مصوب</t>
  </si>
  <si>
    <t>≤ ±5%</t>
  </si>
  <si>
    <t>Safety Incident Rate</t>
  </si>
  <si>
    <t>نرخ حوادث ایمنی</t>
  </si>
  <si>
    <t>تعداد حوادث یا شبه‌حادثه مرتبط با ماشین‌آلات در یک دوره زمانی</t>
  </si>
  <si>
    <t>صفر حادثه</t>
  </si>
  <si>
    <t>Spare Parts Utilization Optimization</t>
  </si>
  <si>
    <t>بهینه‌سازی مصرف قطعات یدکی</t>
  </si>
  <si>
    <t>درصد استفاده از قطعات موجود در انبار نسبت به خریدهای جدید</t>
  </si>
  <si>
    <t>≥ 70%</t>
  </si>
  <si>
    <t>Q2</t>
  </si>
  <si>
    <t>3528</t>
  </si>
  <si>
    <t>Mean Time Between Failures (MTBF)</t>
  </si>
  <si>
    <t>میانگین زمان بین دو خرابی (MTBF)</t>
  </si>
  <si>
    <t>مدت زمان میانگین بین دو خرابی متوالی در ماشین‌آلات</t>
  </si>
  <si>
    <t>روند صعودی ≥ 300h</t>
  </si>
  <si>
    <t>Q3</t>
  </si>
  <si>
    <t>3529</t>
  </si>
  <si>
    <t>Mean Time To Repair (MTTR)</t>
  </si>
  <si>
    <t>میانگین زمان تعمیر ماشین‌آلات (MTTR)</t>
  </si>
  <si>
    <t>مدت زمان میانگین برای تعمیر ماشین‌آلات بعد از خرابی</t>
  </si>
  <si>
    <t>روند نزولی ≤ 2h</t>
  </si>
  <si>
    <t>سارا کرم سراجی</t>
  </si>
  <si>
    <t>كارشناس برنامه ريزي،نگهداري و تعميراتPM</t>
  </si>
  <si>
    <t xml:space="preserve">علی اصغر کلانتری </t>
  </si>
  <si>
    <t>فني و مهندسي-نت</t>
  </si>
  <si>
    <t>Maintenance Schedule Adherence</t>
  </si>
  <si>
    <t>درصد تحقق برنامه زمان‌بندی‌شده تعمیرات</t>
  </si>
  <si>
    <t>درصد انجام تعمیرات طبق برنامه زمان‌بندی‌شده</t>
  </si>
  <si>
    <t>Preventive Maintenance Execution Rate</t>
  </si>
  <si>
    <t>درصد اجرای PM</t>
  </si>
  <si>
    <t>میزان اجرای برنامه‌های PM نسبت به برنامه‌های تعریف‌شده</t>
  </si>
  <si>
    <t>Planning to Execution Lead Time</t>
  </si>
  <si>
    <t>میانگین زمان برنامه‌ریزی تا اجرا</t>
  </si>
  <si>
    <t>متوسط زمان بین برنامه‌ریزی فعالیت و اجرای واقعی آن</t>
  </si>
  <si>
    <t>≤ 3 روز</t>
  </si>
  <si>
    <t>Unplanned Maintenance Ratio</t>
  </si>
  <si>
    <t>درصد تعمیرات بدون برنامه</t>
  </si>
  <si>
    <t>میزان تعمیرات اضطراری و بدون برنامه نسبت به کل فعالیت‌ها</t>
  </si>
  <si>
    <t>Documentation Completion Rate</t>
  </si>
  <si>
    <t>درصد تکمیل مستندسازی</t>
  </si>
  <si>
    <t>میزان تکمیل مستندات پس از انجام فعالیت‌های نگهداری</t>
  </si>
  <si>
    <t>Planning Accuracy</t>
  </si>
  <si>
    <t>درصد خطاهای برنامه‌ریزی</t>
  </si>
  <si>
    <t>تعداد خطاها یا ناهماهنگی‌های برنامه‌ریزی نسبت به کل برنامه‌ها</t>
  </si>
  <si>
    <t>≤ 5%</t>
  </si>
  <si>
    <t>Asset Data Update Rate</t>
  </si>
  <si>
    <t>درصد به‌روزرسانی اطلاعات تجهیزات</t>
  </si>
  <si>
    <t>نسبت به‌روزرسانی اطلاعات تجهیزات نسبت به تعداد کل تجهیزات تحت نظارت</t>
  </si>
  <si>
    <t>≥ 85%</t>
  </si>
  <si>
    <t>Participation &amp; Suggestions</t>
  </si>
  <si>
    <t>مشارکت در جلسات و پیشنهادات</t>
  </si>
  <si>
    <t>مشارکت در جلسات کاری و ارائه پیشنهاد برای بهبود فرآیندها</t>
  </si>
  <si>
    <t>≥ 2 مورد/ماه</t>
  </si>
  <si>
    <t>Scheduling Accuracy</t>
  </si>
  <si>
    <t>دقت در زمان‌بندی اجرا</t>
  </si>
  <si>
    <t>تفاوت بین زمان‌بندی اولیه و اجرای واقعی فعالیت‌ها</t>
  </si>
  <si>
    <t>≤ ±1 روز</t>
  </si>
  <si>
    <t>Asset Coding &amp; Documentation Coverage</t>
  </si>
  <si>
    <t>پوشش کدگذاری و مستندسازی تجهیزات</t>
  </si>
  <si>
    <t>درصد تجهیزاتی که دارای کد، مشخصات، و مستندات کامل هستند</t>
  </si>
  <si>
    <t>SOP Completion Rate</t>
  </si>
  <si>
    <t>تعداد دستورالعمل‌های تدوین‌شده نسبت به تعداد برنامه‌ریزی‌شده</t>
  </si>
  <si>
    <t>میزان پیشرفت و اتمام پروژه‌های تعریف‌شده در بازه زمانی مشخص</t>
  </si>
  <si>
    <t>MTBF Tracking Accuracy</t>
  </si>
  <si>
    <t>دقت در پایش MTBF</t>
  </si>
  <si>
    <t>میزان صحت اندازه‌گیری و ثبت میانگین زمان بین خرابی‌ها</t>
  </si>
  <si>
    <t>MTTR Tracking Accuracy</t>
  </si>
  <si>
    <t>دقت در پایش MTTR</t>
  </si>
  <si>
    <t>صحت ثبت و تحلیل میانگین زمان تعمیرات</t>
  </si>
  <si>
    <t>Root Cause Analysis &amp; Planning</t>
  </si>
  <si>
    <t>تحلیل ریشه‌ای مشکلات و برنامه‌ریزی</t>
  </si>
  <si>
    <t>استخراج مشکلات پرتکرار از گزارشات و برنامه‌ریزی برای حذف یا پیشگیری آن‌ها</t>
  </si>
  <si>
    <t>≥ 80%</t>
  </si>
  <si>
    <t>آیدا آبسالان</t>
  </si>
  <si>
    <t>Report Accuracy</t>
  </si>
  <si>
    <t>دقت گزارشات</t>
  </si>
  <si>
    <t>(Number of Accurate Reports / Total Reports) * 100</t>
  </si>
  <si>
    <t>Timeliness of Report Submission</t>
  </si>
  <si>
    <t>موقعیت زمانی ارسال گزارشات</t>
  </si>
  <si>
    <t>(Number of Reports Submitted on Time / Total Reports) * 100</t>
  </si>
  <si>
    <t>Documentation and Procedure Completion</t>
  </si>
  <si>
    <t>تکمیل مستندات و دستورالعمل‌ها</t>
  </si>
  <si>
    <t>(Number of Procedures Completed / Total Procedures) * 100</t>
  </si>
  <si>
    <t>KPI Calculation Accuracy</t>
  </si>
  <si>
    <t>دقت محاسبه شاخص‌ها</t>
  </si>
  <si>
    <t>(Number of Accurate KPI Calculations / Total KPI Calculations) * 100</t>
  </si>
  <si>
    <t>Document Archiving Compliance</t>
  </si>
  <si>
    <t>رعایت اصول بایگانی مستندات</t>
  </si>
  <si>
    <t>(Number of Documents Archived Correctly / Total Documents) * 100</t>
  </si>
  <si>
    <t>Process Improvement Suggestions</t>
  </si>
  <si>
    <t>پیشنهادات بهبود فرآیند</t>
  </si>
  <si>
    <t>Number of Suggestions</t>
  </si>
  <si>
    <t>Target Completion Rate</t>
  </si>
  <si>
    <t>نرخ تکمیل اهداف</t>
  </si>
  <si>
    <t>(Completed Targets / Total Targets) * 100</t>
  </si>
  <si>
    <t>SAP Data Entry Accuracy</t>
  </si>
  <si>
    <t>دقت وارد کردن داده‌ها در SAP</t>
  </si>
  <si>
    <t>(Number of Correct SAP Entries / Total SAP Entries) * 100</t>
  </si>
  <si>
    <t>الهام احمدیان</t>
  </si>
  <si>
    <t>پگاه محمودی کوهی</t>
  </si>
  <si>
    <t>نیلوفر جباری نژاد</t>
  </si>
  <si>
    <t>سامان تکریمی</t>
  </si>
  <si>
    <t>علی رضا آل کثیر</t>
  </si>
  <si>
    <t>پویا پایور</t>
  </si>
  <si>
    <t>Schedule Compliance</t>
  </si>
  <si>
    <t>(Number of Completed Scheduled Tasks / Total Scheduled Tasks) * 100</t>
  </si>
  <si>
    <t>(Number of PMs Completed / Total Planned PMs) * 100</t>
  </si>
  <si>
    <t>100%</t>
  </si>
  <si>
    <t>Planning Lead Time</t>
  </si>
  <si>
    <t>(Total Days Between Planning Date and Execution) / Number of Tasks</t>
  </si>
  <si>
    <t>≤ 2 days</t>
  </si>
  <si>
    <t>Unplanned Maintenance Rate</t>
  </si>
  <si>
    <t>(Number of Unplanned Tasks / Total Maintenance Tasks) * 100</t>
  </si>
  <si>
    <t>Documentation Accuracy</t>
  </si>
  <si>
    <t>(Number of Tasks with Complete Documentation / Total Tasks) * 100</t>
  </si>
  <si>
    <t>Planning Error Rate</t>
  </si>
  <si>
    <t>(Number of Planning Errors / Total Planned Tasks) * 100</t>
  </si>
  <si>
    <t>Equipment Data Update Rate</t>
  </si>
  <si>
    <t>(Number of Updated Equipment Records / Total Equipment Records) * 100</t>
  </si>
  <si>
    <t>Meeting Participation &amp; Suggestions</t>
  </si>
  <si>
    <t xml:space="preserve"> (Number of Suggestions / Number of Meetings) * 100</t>
  </si>
  <si>
    <t>≥ 1 per month</t>
  </si>
  <si>
    <t>(Tasks Executed Within Time Window / Total Scheduled Tasks) * 100</t>
  </si>
  <si>
    <t>(Coded &amp; Documented Assets / Total Assets) * 100</t>
  </si>
  <si>
    <t>امین حمید نژاد</t>
  </si>
  <si>
    <t>رضا دیناروندی پور</t>
  </si>
  <si>
    <t>Monitoring Coverage</t>
  </si>
  <si>
    <t>پوشش پایش وضعیت تجهیزات</t>
  </si>
  <si>
    <t>(Number of Equipment Under Monitoring / Total Equipment) * 100</t>
  </si>
  <si>
    <t>Failure Detection Time</t>
  </si>
  <si>
    <t>زمان شناسایی خرابی‌ها</t>
  </si>
  <si>
    <t>Average Time to Detect Failure</t>
  </si>
  <si>
    <t>کمتر از 24 ساعت</t>
  </si>
  <si>
    <t>Preventive Maintenance Alerts</t>
  </si>
  <si>
    <t>هشدارهای پیشگیرانه به موقع</t>
  </si>
  <si>
    <t>(Number of Preventive Alerts Issued on Time / Total Preventive Alerts) * 100</t>
  </si>
  <si>
    <t>Accuracy of Monitoring</t>
  </si>
  <si>
    <t>دقت پایش وضعیت</t>
  </si>
  <si>
    <t>(Correctly Detected Conditions / Total Detected Conditions) * 100</t>
  </si>
  <si>
    <t>Condition-based Maintenance Initiation</t>
  </si>
  <si>
    <t>شروع نگهداری بر اساس وضعیت</t>
  </si>
  <si>
    <t>(Number of Corrective or Preventive Actions Based on CM / Total CM Alerts) * 100</t>
  </si>
  <si>
    <t>False Alarm Rate</t>
  </si>
  <si>
    <t>نرخ هشدارهای کاذب</t>
  </si>
  <si>
    <t>(Number of False Alarms / Total Alarms Issued) * 100</t>
  </si>
  <si>
    <t>کمتر از 5%</t>
  </si>
  <si>
    <t>Monitoring System Uptime</t>
  </si>
  <si>
    <t>درصد عملکرد صحیح سیستم پایش</t>
  </si>
  <si>
    <t>(System Uptime Hours / Total Available Hours) * 100</t>
  </si>
  <si>
    <t>3320</t>
  </si>
  <si>
    <t>مجتبی کرد</t>
  </si>
  <si>
    <t>تکنسین</t>
  </si>
  <si>
    <t>فني و مهندسي-برق و ابزادقیق</t>
  </si>
  <si>
    <t>نرخ تکمیل تعمیرات در موعد مقرر</t>
  </si>
  <si>
    <t>نسبت تعمیرات انجام‌شده در زمان مقرر به کل تعمیرات برنامه‌ریزی‌شده</t>
  </si>
  <si>
    <t>MTTR Compliance</t>
  </si>
  <si>
    <t>انطباق میانگین زمان تعمیر با استاندارد</t>
  </si>
  <si>
    <t>مقایسه MTTR واقعی با مقدار مرجع استاندارد برای هر تجهیز</t>
  </si>
  <si>
    <t>≤ استاندارد تعریف‌شده</t>
  </si>
  <si>
    <t>PM Execution Rate</t>
  </si>
  <si>
    <t>درصد اجرای تعمیرات پیشگیرانه</t>
  </si>
  <si>
    <t>درصد اجرای PM طبق برنامه زمان‌بندی</t>
  </si>
  <si>
    <t>نرخ خرابی‌های اضطراری</t>
  </si>
  <si>
    <t>درصد خرابی‌های اضطراری نسبت به کل خرابی‌ها</t>
  </si>
  <si>
    <t>نرخ تعمیرات تکراری</t>
  </si>
  <si>
    <t>نشان‌دهنده کیفیت تعمیرات اولیه</t>
  </si>
  <si>
    <t>Spare Parts Responsibility</t>
  </si>
  <si>
    <t>دقت در مصرف قطعات یدکی</t>
  </si>
  <si>
    <t>مصرف درست، گزارش‌دهی دقیق و بهینه‌سازی مصرف قطعات</t>
  </si>
  <si>
    <t>Safety Compliance</t>
  </si>
  <si>
    <t>رعایت نکات ایمنی</t>
  </si>
  <si>
    <t>نداشتن حادثه یا شبه‌حادثه در مدت ارزیابی</t>
  </si>
  <si>
    <t>Report Quality</t>
  </si>
  <si>
    <t>کیفیت گزارش‌نویسی</t>
  </si>
  <si>
    <t>وضوح، دقت، و جامعیت گزارش تعمیرات</t>
  </si>
  <si>
    <t>Participation in Projects</t>
  </si>
  <si>
    <t>مشارکت در پروژه‌های بهبود</t>
  </si>
  <si>
    <t>همکاری در پروژه‌های ارتقاء عملکرد یا کاهش خرابی</t>
  </si>
  <si>
    <t>فعال در حداقل 1 پروژه</t>
  </si>
  <si>
    <t>سید رضا فاضلی اصل</t>
  </si>
  <si>
    <t>جلیل ثانی زاده</t>
  </si>
  <si>
    <t>سرشیفت</t>
  </si>
  <si>
    <t>میلاد سرخه</t>
  </si>
  <si>
    <t>کارشناس</t>
  </si>
  <si>
    <t>Inspection Execution Rate</t>
  </si>
  <si>
    <t>نرخ اجرای بازدیدهای دوره‌ای</t>
  </si>
  <si>
    <t>درصد بازدیدهای انجام‌شده نسبت به برنامه‌ریزی‌شده</t>
  </si>
  <si>
    <t>Switchgear Maintenance Accuracy</t>
  </si>
  <si>
    <t>دقت در نگهداری تجهیزات فشارقوی</t>
  </si>
  <si>
    <t>صحت عملکرد تجهیزات بعد از تعمیرات یا سرویس</t>
  </si>
  <si>
    <t>Emergency Downtime Rate</t>
  </si>
  <si>
    <t>نرخ قطعی اضطراری پست برق</t>
  </si>
  <si>
    <t>درصد خاموشی‌های اضطراری نسبت به کل زمان در دسترس</t>
  </si>
  <si>
    <t>≤ 3%</t>
  </si>
  <si>
    <t>Relay Testing Completion Rate</t>
  </si>
  <si>
    <t>نرخ تکمیل تست‌های رله و حفاظت</t>
  </si>
  <si>
    <t>درصد تست‌های رله‌های حفاظتی که طبق برنامه انجام شده‌اند</t>
  </si>
  <si>
    <t>Transformer Oil Test Compliance</t>
  </si>
  <si>
    <t>تطابق تست روغن ترانس با استاندارد</t>
  </si>
  <si>
    <t>میزان تطابق نتایج آنالیز روغن ترانس با مقادیر استاندارد</t>
  </si>
  <si>
    <t>PM Implementation Rate</t>
  </si>
  <si>
    <t>نسبت اجرای PM به برنامه‌ریزی‌های صورت‌گرفته</t>
  </si>
  <si>
    <t>Incident Reporting Accuracy</t>
  </si>
  <si>
    <t>دقت گزارش‌دهی وقایع</t>
  </si>
  <si>
    <t>صحت، کامل بودن و ارسال به‌موقع گزارشات وقایع مهم و حوادث احتمالی</t>
  </si>
  <si>
    <t>Safety Compliance in HV Works</t>
  </si>
  <si>
    <t>رعایت ایمنی در کارهای فشارقوی</t>
  </si>
  <si>
    <t>رعایت دقیق الزامات ایمنی در محیط‌های پست و تجهیزات فشارقوی</t>
  </si>
  <si>
    <t>بدون حادثه ایمنی</t>
  </si>
  <si>
    <t>Participation in Preventive Planning</t>
  </si>
  <si>
    <t>مشارکت در برنامه‌ریزی پیشگیرانه</t>
  </si>
  <si>
    <t>همکاری فعال در تهیه یا به‌روزرسانی برنامه‌های PM تجهیزات پست</t>
  </si>
  <si>
    <t>≥ 2 مورد/شش‌ماه</t>
  </si>
  <si>
    <t>رضا زبیدی</t>
  </si>
  <si>
    <t>سید حسن فاضلی مطلق</t>
  </si>
  <si>
    <t>میلاد تیموری نیا</t>
  </si>
  <si>
    <t>محمد ذات محمد علی</t>
  </si>
  <si>
    <t>سعید داردان</t>
  </si>
  <si>
    <t>سرپرست</t>
  </si>
  <si>
    <t>صادق عرفانیان</t>
  </si>
  <si>
    <t>علی زمانی کیا</t>
  </si>
  <si>
    <t>صادق سرخه</t>
  </si>
  <si>
    <t>دانیال دیناروند</t>
  </si>
  <si>
    <t>علی یار فرجی آرپناهی</t>
  </si>
  <si>
    <t>اکبر پاپی</t>
  </si>
  <si>
    <t>شعاع سعیدی</t>
  </si>
  <si>
    <t>علی علی زاده</t>
  </si>
  <si>
    <t>هادی کاوندی</t>
  </si>
  <si>
    <t>علی معلا</t>
  </si>
  <si>
    <t>عباس صفرپور</t>
  </si>
  <si>
    <t>5087</t>
  </si>
  <si>
    <t>محمد آویش</t>
  </si>
  <si>
    <t>كارشناس</t>
  </si>
  <si>
    <t>فني و مهندسي-تاسیسات</t>
  </si>
  <si>
    <t>محمد سعدی</t>
  </si>
  <si>
    <t>سر شیفت</t>
  </si>
  <si>
    <t>رامین رفعت پناه</t>
  </si>
  <si>
    <t>جواد منصوری</t>
  </si>
  <si>
    <t>علی خنیفر</t>
  </si>
  <si>
    <t>عیسی یعقوبی معین</t>
  </si>
  <si>
    <t>میثم اسد</t>
  </si>
  <si>
    <t>سجاد نیسی</t>
  </si>
  <si>
    <t>جاسم الهایی</t>
  </si>
  <si>
    <t>علی حاج بابایی</t>
  </si>
  <si>
    <t>علی کرم اله کعب</t>
  </si>
  <si>
    <t>سعید باقری کاکش</t>
  </si>
  <si>
    <t>رضا عطیه شنگری</t>
  </si>
  <si>
    <t>کارگر</t>
  </si>
  <si>
    <t>عظیم حمید</t>
  </si>
  <si>
    <t>رضا آیتی نیا</t>
  </si>
  <si>
    <t>کارشناس طراحی و مهندسی</t>
  </si>
  <si>
    <t>جواد فرج اللهی</t>
  </si>
  <si>
    <t>3651</t>
  </si>
  <si>
    <t>یعقوب بدوی</t>
  </si>
  <si>
    <t xml:space="preserve"> </t>
  </si>
  <si>
    <t>مجتبی یزدیان</t>
  </si>
  <si>
    <t>سرپرست موقت تراشکاری</t>
  </si>
  <si>
    <t>مکانیک عمومی</t>
  </si>
  <si>
    <t xml:space="preserve">نرخ تکمیل کارهای انجام شده به درخواست های تعمیراتی </t>
  </si>
  <si>
    <t>نرخ تکمیل کارهای انجام شده به فرم های PM</t>
  </si>
  <si>
    <t>میانگین زمان تعمیر هر قطعه</t>
  </si>
  <si>
    <t>تعداد قطعات برگشتی از تیم های فنی و تولید</t>
  </si>
  <si>
    <t>مقدار زمان توقفات غیر مجاز</t>
  </si>
  <si>
    <t>تعداد تخلفات ایمنی و حوادث</t>
  </si>
  <si>
    <t>احمد سرخه</t>
  </si>
  <si>
    <t>سرپرست فلزکاری</t>
  </si>
  <si>
    <t>مجید آل کثیر</t>
  </si>
  <si>
    <t>مسئول رنگ و سند بلاست</t>
  </si>
  <si>
    <t>مسعود  اورشم</t>
  </si>
  <si>
    <t>سید سعید هاشمی نیا</t>
  </si>
  <si>
    <t>فني و مهندسي-ماشین آلات</t>
  </si>
  <si>
    <t>Work Order Completion Rate</t>
  </si>
  <si>
    <t>نرخ تکمیل دستور کار</t>
  </si>
  <si>
    <t>درصد دستورکارهایی که طبق زمان‌بندی و با کیفیت انجام شده‌اند</t>
  </si>
  <si>
    <t>Repair Quality Score</t>
  </si>
  <si>
    <t>کیفیت تعمیرات</t>
  </si>
  <si>
    <t>ارزیابی کیفیت تعمیرات براساس دفعات برگشت و رضایت سرپرست</t>
  </si>
  <si>
    <t>Reporting Accuracy</t>
  </si>
  <si>
    <t>دقت گزارش‌نویسی</t>
  </si>
  <si>
    <t>دقت در گزارش‌دهی تعمیرات، ثبت قطعات، زمان اجرا و شفافیت توضیحات</t>
  </si>
  <si>
    <t>Downtime Response Time</t>
  </si>
  <si>
    <t>زمان واکنش به خرابی</t>
  </si>
  <si>
    <t>مدت زمانی که از اعلام خرابی تا شروع اقدام فنی می‌گذرد</t>
  </si>
  <si>
    <t>≤ 15 دقیقه</t>
  </si>
  <si>
    <t>رعایت دستورالعمل‌های ایمنی حین تعمیرات</t>
  </si>
  <si>
    <t>Preventive Task Participation</t>
  </si>
  <si>
    <t>مشارکت در PM</t>
  </si>
  <si>
    <t>حضور و همکاری در اجرای برنامه‌های تعمیرات پیشگیرانه</t>
  </si>
  <si>
    <t>سید مسعود پالیزیان</t>
  </si>
  <si>
    <t>مهراب مهرآرا</t>
  </si>
  <si>
    <t>یزدان منصوری نیا</t>
  </si>
  <si>
    <t>سید محمدرضا فاضلی اصل</t>
  </si>
  <si>
    <t>مهدی عبدالخانی</t>
  </si>
  <si>
    <t>علی کیان فر</t>
  </si>
  <si>
    <t>3071</t>
  </si>
  <si>
    <t>عبداله بیلاوی</t>
  </si>
  <si>
    <t>فني و مهندسي-مکانیک</t>
  </si>
  <si>
    <t>5265</t>
  </si>
  <si>
    <t>کریم امیری اصل</t>
  </si>
  <si>
    <t>5266</t>
  </si>
  <si>
    <t>مسعود بابادی</t>
  </si>
  <si>
    <t>5288</t>
  </si>
  <si>
    <t>محمد شوشتری زاده</t>
  </si>
  <si>
    <t>5948</t>
  </si>
  <si>
    <t>دانیال خوراهه</t>
  </si>
  <si>
    <t>6128</t>
  </si>
  <si>
    <t>رحیم معتمدیان</t>
  </si>
  <si>
    <t>6129</t>
  </si>
  <si>
    <t>6274</t>
  </si>
  <si>
    <t>حسین محمد باقری</t>
  </si>
  <si>
    <t>6449</t>
  </si>
  <si>
    <t>جاسم آل کثیری</t>
  </si>
  <si>
    <t>6455</t>
  </si>
  <si>
    <t>سعید دریکوندی</t>
  </si>
  <si>
    <t>6484</t>
  </si>
  <si>
    <t>مسعود ارشم</t>
  </si>
  <si>
    <t>6485</t>
  </si>
  <si>
    <t>علی رضا دیناروند</t>
  </si>
  <si>
    <t xml:space="preserve">کاهش هزینه‌های نگهداری و تعمیرات </t>
  </si>
  <si>
    <t>Maintenance Report Quality-MRQ</t>
  </si>
  <si>
    <t xml:space="preserve"> کیفیت گزارش‌های نگهداری و تعمیرات</t>
  </si>
  <si>
    <t>MRQ=Number of reports meeting quality standards/Total number of maintenance reports</t>
  </si>
  <si>
    <t>Q4</t>
  </si>
  <si>
    <t>Project Completion Rate (%)=Number of Completed Projects⁄(Total Number of Planned Projects)*100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</si>
</sst>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name val="B Nazanin"/>
      <charset val="178"/>
    </font>
    <font>
      <sz val="8"/>
      <color theme="1"/>
      <name val="B Nazanin"/>
      <charset val="178"/>
    </font>
    <font>
      <sz val="8"/>
      <color theme="1"/>
      <name val="Calibri"/>
      <family val="2"/>
      <scheme val="minor"/>
    </font>
    <font>
      <b/>
      <sz val="8"/>
      <color theme="0"/>
      <name val="B Titr"/>
      <charset val="178"/>
    </font>
    <font>
      <sz val="11"/>
      <color theme="1"/>
      <name val="B Titr"/>
      <charset val="178"/>
    </font>
    <font>
      <sz val="8"/>
      <name val="Calibri"/>
      <family val="2"/>
      <scheme val="minor"/>
    </font>
    <font>
      <sz val="14"/>
      <name val="B Nazanin"/>
      <charset val="178"/>
    </font>
    <font>
      <sz val="10"/>
      <color rgb="FF000000"/>
      <name val="Calibri"/>
      <family val="2"/>
      <scheme val="minor"/>
    </font>
    <font>
      <b/>
      <sz val="10"/>
      <color theme="0"/>
      <name val="B Titr"/>
      <charset val="178"/>
    </font>
    <font>
      <sz val="10"/>
      <name val="B Nazanin"/>
      <charset val="178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96">
    <xf numFmtId="0" fontId="0" fillId="0" borderId="0" xfId="0"/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1" applyFont="1" applyFill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 wrapText="1"/>
    </xf>
    <xf numFmtId="1" fontId="4" fillId="3" borderId="1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" fontId="6" fillId="5" borderId="1" xfId="1" applyNumberFormat="1" applyFont="1" applyFill="1" applyBorder="1" applyAlignment="1">
      <alignment horizontal="center" vertical="center" wrapText="1"/>
    </xf>
    <xf numFmtId="9" fontId="6" fillId="6" borderId="1" xfId="1" applyFont="1" applyFill="1" applyBorder="1" applyAlignment="1">
      <alignment horizontal="center" vertical="center" wrapText="1"/>
    </xf>
    <xf numFmtId="0" fontId="9" fillId="0" borderId="0" xfId="0" applyFont="1"/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 wrapText="1"/>
    </xf>
    <xf numFmtId="10" fontId="5" fillId="5" borderId="0" xfId="0" applyNumberFormat="1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9" fontId="5" fillId="5" borderId="1" xfId="1" applyFont="1" applyFill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9" fontId="6" fillId="0" borderId="1" xfId="1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1" fontId="5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9" fontId="6" fillId="0" borderId="1" xfId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4" fillId="3" borderId="1" xfId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/>
    </xf>
    <xf numFmtId="9" fontId="6" fillId="5" borderId="1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1" fontId="6" fillId="5" borderId="1" xfId="1" applyNumberFormat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1" fontId="6" fillId="5" borderId="1" xfId="2" applyNumberFormat="1" applyFont="1" applyFill="1" applyBorder="1" applyAlignment="1">
      <alignment horizontal="center" vertical="center"/>
    </xf>
    <xf numFmtId="10" fontId="5" fillId="5" borderId="0" xfId="0" applyNumberFormat="1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9" fontId="18" fillId="2" borderId="1" xfId="1" applyFont="1" applyFill="1" applyBorder="1" applyAlignment="1">
      <alignment horizontal="center"/>
    </xf>
    <xf numFmtId="0" fontId="18" fillId="2" borderId="1" xfId="0" applyFont="1" applyFill="1" applyBorder="1" applyAlignment="1">
      <alignment horizontal="right" vertical="center"/>
    </xf>
    <xf numFmtId="9" fontId="18" fillId="2" borderId="1" xfId="1" applyFont="1" applyFill="1" applyBorder="1" applyAlignment="1">
      <alignment horizontal="center" vertical="center"/>
    </xf>
    <xf numFmtId="9" fontId="19" fillId="3" borderId="1" xfId="1" applyFont="1" applyFill="1" applyBorder="1" applyAlignment="1">
      <alignment vertical="center"/>
    </xf>
    <xf numFmtId="1" fontId="19" fillId="3" borderId="1" xfId="1" applyNumberFormat="1" applyFont="1" applyFill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9" fontId="2" fillId="2" borderId="3" xfId="1" applyFont="1" applyFill="1" applyBorder="1" applyAlignment="1">
      <alignment horizontal="center" vertical="center"/>
    </xf>
    <xf numFmtId="9" fontId="20" fillId="3" borderId="3" xfId="1" applyFont="1" applyFill="1" applyBorder="1" applyAlignment="1">
      <alignment horizontal="center" vertical="center"/>
    </xf>
    <xf numFmtId="1" fontId="20" fillId="3" borderId="3" xfId="1" applyNumberFormat="1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9" fontId="2" fillId="2" borderId="4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E13D339D-88B6-497E-8C3D-3EE6F96641DA}"/>
  </cellStyles>
  <dxfs count="4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indent="0" justifyLastLine="0" shrinkToFit="0" readingOrder="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20B4E-B0BC-4C5D-8446-3E1C4DE9D989}" name="Table1" displayName="Table1" ref="A1:T25" totalsRowShown="0" headerRowDxfId="32" headerRowBorderDxfId="31" tableBorderDxfId="30" totalsRowBorderDxfId="29">
  <autoFilter ref="A1:T25" xr:uid="{CF93E1D0-DA74-4837-A6F2-5FCCC5703A5E}"/>
  <tableColumns count="20">
    <tableColumn id="1" xr3:uid="{A48DCF98-16AA-47F2-8B38-4006ABC30F7D}" name="ردیف" dataDxfId="28"/>
    <tableColumn id="2" xr3:uid="{DCAD93A0-8184-49E1-8338-F89E598460FC}" name="نام شرکت" dataDxfId="27"/>
    <tableColumn id="3" xr3:uid="{1358D3E3-82CA-435C-A226-5E0734FEB86D}" name="فصل" dataDxfId="26"/>
    <tableColumn id="4" xr3:uid="{44ED40D9-C285-498B-A88C-1CAF04992F8B}" name="کد پرسنلی" dataDxfId="25"/>
    <tableColumn id="5" xr3:uid="{4776158F-0C69-432F-AB65-C8ED9A663AE8}" name="نام و نام خانوادگی" dataDxfId="24"/>
    <tableColumn id="6" xr3:uid="{8BDC9AFD-BDFC-44C2-A9F1-C4DBF6DA7BBB}" name="عنوان شغلی" dataDxfId="23"/>
    <tableColumn id="7" xr3:uid="{EC477388-8DC1-4856-A51E-65D4543C1C80}" name="مدیر مستقیم" dataDxfId="22"/>
    <tableColumn id="8" xr3:uid="{6C3FF3FB-784F-42F3-9263-5AD09893C30B}" name="دپارتمان" dataDxfId="21"/>
    <tableColumn id="9" xr3:uid="{75E24AF5-397C-4F73-8714-2633D6F62FE2}" name="دسته بندی" dataDxfId="20"/>
    <tableColumn id="10" xr3:uid="{8FA23FCF-9360-4F02-B0EB-F38E2C44F9A0}" name="obj weight" dataDxfId="19" dataCellStyle="Percent"/>
    <tableColumn id="11" xr3:uid="{C7764BBC-C48B-400B-A058-86ABB698DFA4}" name="KPI En" dataDxfId="18"/>
    <tableColumn id="12" xr3:uid="{91C1BB38-EC19-43E3-9EA0-086FE12D3754}" name="KPI Fa" dataDxfId="17"/>
    <tableColumn id="13" xr3:uid="{355F1376-52C7-4635-B072-B8F570C660C0}" name="kpi INFO" dataDxfId="16"/>
    <tableColumn id="14" xr3:uid="{AF889496-C5D5-4DB4-83DC-003247BCADCC}" name="target" dataDxfId="15"/>
    <tableColumn id="15" xr3:uid="{56D77AB9-CA54-47B1-915B-12E504FBC925}" name="KPI weight" dataDxfId="14" dataCellStyle="Percent"/>
    <tableColumn id="16" xr3:uid="{B5F66BF2-6FC5-478F-A74A-D993298947DD}" name="KPI Achievement" dataDxfId="13" dataCellStyle="Percent"/>
    <tableColumn id="17" xr3:uid="{209CC960-F55B-49F7-AAF9-5E49AD26C627}" name="Percentage Achievement" dataDxfId="12" dataCellStyle="Percent">
      <calculatedColumnFormula>ROUND(IF(OR(N2="",P2=""),0,IF(AND(N2=0,P2=0),1,IF(S2="+",P2/N2,N2/P2))),2)</calculatedColumnFormula>
    </tableColumn>
    <tableColumn id="18" xr3:uid="{23F831D5-BCE2-48D8-B632-10BB27441E05}" name="Score Achievement" dataDxfId="11" dataCellStyle="Percent">
      <calculatedColumnFormula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calculatedColumnFormula>
    </tableColumn>
    <tableColumn id="19" xr3:uid="{D2A02068-D735-40DC-B161-C6394378C013}" name="type" dataDxfId="10" dataCellStyle="Percent"/>
    <tableColumn id="20" xr3:uid="{FCA2BD1D-5B23-4A7D-A134-19998CA9105E}" name="Sum" dataDxfId="9" dataCellStyle="Percent">
      <calculatedColumnFormula>SUM(R2:R25)%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A269-857C-4A87-AEA1-9E9E3BA4774C}">
  <sheetPr filterMode="1"/>
  <dimension ref="A1:AV72"/>
  <sheetViews>
    <sheetView zoomScale="115" zoomScaleNormal="11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64" sqref="J64:J65"/>
    </sheetView>
  </sheetViews>
  <sheetFormatPr defaultRowHeight="14.4" x14ac:dyDescent="0.3"/>
  <cols>
    <col min="1" max="1" width="6.77734375" customWidth="1"/>
    <col min="2" max="2" width="14.44140625" bestFit="1" customWidth="1"/>
    <col min="3" max="3" width="6.77734375" customWidth="1"/>
    <col min="5" max="5" width="19.77734375" bestFit="1" customWidth="1"/>
    <col min="6" max="6" width="13.5546875" customWidth="1"/>
    <col min="7" max="7" width="12.44140625" customWidth="1"/>
    <col min="8" max="8" width="11.77734375" customWidth="1"/>
    <col min="9" max="9" width="14.77734375" customWidth="1"/>
    <col min="10" max="10" width="9" customWidth="1"/>
    <col min="11" max="11" width="22.77734375" customWidth="1"/>
    <col min="12" max="12" width="42.21875" customWidth="1"/>
    <col min="13" max="13" width="51.77734375" customWidth="1"/>
    <col min="14" max="14" width="14.21875" customWidth="1"/>
    <col min="15" max="15" width="8.88671875" bestFit="1" customWidth="1"/>
    <col min="16" max="16" width="21.44140625" customWidth="1"/>
    <col min="17" max="17" width="17.6640625" bestFit="1" customWidth="1"/>
    <col min="18" max="18" width="13.77734375" bestFit="1" customWidth="1"/>
    <col min="19" max="19" width="3.88671875" bestFit="1" customWidth="1"/>
    <col min="20" max="20" width="7.77734375" customWidth="1"/>
  </cols>
  <sheetData>
    <row r="1" spans="1:48" ht="23.4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5" t="s">
        <v>17</v>
      </c>
      <c r="S1" s="6" t="s">
        <v>18</v>
      </c>
      <c r="T1" s="3" t="s">
        <v>19</v>
      </c>
    </row>
    <row r="2" spans="1:48" s="19" customFormat="1" ht="25.2" hidden="1" x14ac:dyDescent="0.2">
      <c r="A2" s="7">
        <v>2070</v>
      </c>
      <c r="B2" s="8" t="s">
        <v>20</v>
      </c>
      <c r="C2" s="9" t="s">
        <v>21</v>
      </c>
      <c r="D2" s="8" t="s">
        <v>22</v>
      </c>
      <c r="E2" s="10" t="s">
        <v>23</v>
      </c>
      <c r="F2" s="10" t="s">
        <v>24</v>
      </c>
      <c r="G2" s="10" t="s">
        <v>25</v>
      </c>
      <c r="H2" s="10" t="s">
        <v>26</v>
      </c>
      <c r="I2" s="11" t="s">
        <v>27</v>
      </c>
      <c r="J2" s="12">
        <v>0.7</v>
      </c>
      <c r="K2" s="13" t="s">
        <v>28</v>
      </c>
      <c r="L2" s="14" t="s">
        <v>29</v>
      </c>
      <c r="M2" s="13" t="s">
        <v>30</v>
      </c>
      <c r="N2" s="12">
        <v>0.95</v>
      </c>
      <c r="O2" s="12">
        <v>0.1</v>
      </c>
      <c r="P2" s="12"/>
      <c r="Q2" s="12">
        <f>ROUND(IF(OR(N2="",P2=""),0,IF(AND(N2=0,P2=0),1,IF(S2="+",P2/N2,N2/P2))),2)</f>
        <v>0</v>
      </c>
      <c r="R2" s="15">
        <f>IF(AND(Q2&gt;=60%,Q2&lt;100%),Q2*((O2*J2)),IF(Q2=100%,((O2*J2)*Q2)*100%,IF(Q2&gt;100%,((J2*O2)*100%)*100%,0)))*100</f>
        <v>0</v>
      </c>
      <c r="S2" s="12" t="s">
        <v>31</v>
      </c>
      <c r="T2" s="16">
        <f>SUM(R2:R10)%</f>
        <v>0</v>
      </c>
      <c r="U2" s="17"/>
      <c r="V2" s="17"/>
      <c r="W2" s="17"/>
      <c r="X2" s="17"/>
      <c r="Y2" s="17"/>
      <c r="Z2" s="17"/>
      <c r="AA2" s="17"/>
      <c r="AB2" s="17"/>
      <c r="AC2" s="17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spans="1:48" s="19" customFormat="1" ht="25.2" hidden="1" x14ac:dyDescent="0.2">
      <c r="A3" s="7">
        <v>2071</v>
      </c>
      <c r="B3" s="8" t="s">
        <v>20</v>
      </c>
      <c r="C3" s="9" t="s">
        <v>21</v>
      </c>
      <c r="D3" s="8" t="s">
        <v>22</v>
      </c>
      <c r="E3" s="10" t="s">
        <v>23</v>
      </c>
      <c r="F3" s="10" t="s">
        <v>24</v>
      </c>
      <c r="G3" s="10" t="s">
        <v>25</v>
      </c>
      <c r="H3" s="10" t="s">
        <v>26</v>
      </c>
      <c r="I3" s="11" t="s">
        <v>27</v>
      </c>
      <c r="J3" s="12">
        <v>0.7</v>
      </c>
      <c r="K3" s="13" t="s">
        <v>32</v>
      </c>
      <c r="L3" s="14" t="s">
        <v>33</v>
      </c>
      <c r="M3" s="13" t="s">
        <v>34</v>
      </c>
      <c r="N3" s="12" t="s">
        <v>35</v>
      </c>
      <c r="O3" s="12">
        <v>0.1</v>
      </c>
      <c r="P3" s="20"/>
      <c r="Q3" s="12">
        <f>ROUND(IF(OR(N3="",P3=""),0,IF(AND(N3=0,P3=0),1,IF(S3="+",P3/N3,N3/P3))),2)</f>
        <v>0</v>
      </c>
      <c r="R3" s="15">
        <f>IF(AND(Q3&gt;=60%,Q3&lt;100%),Q3*((O3*J3)),IF(Q3=100%,((O3*J3)*Q3)*100%,IF(Q3&gt;100%,((J3*O3)*100%)*100%,0)))*100</f>
        <v>0</v>
      </c>
      <c r="S3" s="12" t="s">
        <v>36</v>
      </c>
      <c r="T3" s="12"/>
      <c r="U3" s="17"/>
      <c r="V3" s="17"/>
      <c r="W3" s="17"/>
      <c r="X3" s="17"/>
      <c r="Y3" s="17"/>
      <c r="Z3" s="17"/>
      <c r="AA3" s="17"/>
      <c r="AB3" s="17"/>
      <c r="AC3" s="17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8" s="19" customFormat="1" ht="25.2" hidden="1" x14ac:dyDescent="0.2">
      <c r="A4" s="7">
        <v>2072</v>
      </c>
      <c r="B4" s="8" t="s">
        <v>20</v>
      </c>
      <c r="C4" s="9" t="s">
        <v>21</v>
      </c>
      <c r="D4" s="8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1" t="s">
        <v>27</v>
      </c>
      <c r="J4" s="12">
        <v>0.7</v>
      </c>
      <c r="K4" s="13" t="s">
        <v>37</v>
      </c>
      <c r="L4" s="14" t="s">
        <v>38</v>
      </c>
      <c r="M4" s="13" t="s">
        <v>39</v>
      </c>
      <c r="N4" s="12">
        <v>0.95</v>
      </c>
      <c r="O4" s="12">
        <v>0.15</v>
      </c>
      <c r="P4" s="20"/>
      <c r="Q4" s="12">
        <f t="shared" ref="Q4:Q8" si="0">ROUND(IF(OR(N4="",P4=""),0,IF(AND(N4=0,P4=0),1,IF(S4="+",P4/N4,N4/P4))),2)</f>
        <v>0</v>
      </c>
      <c r="R4" s="15">
        <f>IF(AND(Q4&gt;=60%,Q4&lt;100%),Q4*((O4*J4)),IF(Q4=100%,((O4*J4)*Q4)*100%,IF(Q4&gt;100%,((J4*O4)*100%)*100%,0)))*100</f>
        <v>0</v>
      </c>
      <c r="S4" s="12" t="s">
        <v>36</v>
      </c>
      <c r="T4" s="12"/>
      <c r="U4" s="17"/>
      <c r="V4" s="17"/>
      <c r="W4" s="17"/>
      <c r="X4" s="17"/>
      <c r="Y4" s="17"/>
      <c r="Z4" s="17"/>
      <c r="AA4" s="17"/>
      <c r="AB4" s="17"/>
      <c r="AC4" s="17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s="19" customFormat="1" ht="25.2" hidden="1" x14ac:dyDescent="0.2">
      <c r="A5" s="7">
        <v>2073</v>
      </c>
      <c r="B5" s="8" t="s">
        <v>20</v>
      </c>
      <c r="C5" s="9" t="s">
        <v>21</v>
      </c>
      <c r="D5" s="8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11" t="s">
        <v>27</v>
      </c>
      <c r="J5" s="12">
        <v>0.7</v>
      </c>
      <c r="K5" s="13" t="s">
        <v>40</v>
      </c>
      <c r="L5" s="14" t="s">
        <v>41</v>
      </c>
      <c r="M5" s="13" t="s">
        <v>42</v>
      </c>
      <c r="N5" s="12">
        <v>0.95</v>
      </c>
      <c r="O5" s="12">
        <v>0.1</v>
      </c>
      <c r="P5" s="21"/>
      <c r="Q5" s="12">
        <f t="shared" si="0"/>
        <v>0</v>
      </c>
      <c r="R5" s="15">
        <f>IF(AND(Q5&gt;=60%,Q5&lt;100%),Q5*((O5*J5)),IF(Q5=100%,((O5*J5)*Q5)*100%,IF(Q5&gt;100%,((J5*O5)*100%)*100%,0)))*100</f>
        <v>0</v>
      </c>
      <c r="S5" s="12" t="s">
        <v>31</v>
      </c>
      <c r="T5" s="12"/>
      <c r="U5" s="17"/>
      <c r="V5" s="17"/>
      <c r="W5" s="17"/>
      <c r="X5" s="17"/>
      <c r="Y5" s="17"/>
      <c r="Z5" s="17"/>
      <c r="AA5" s="17"/>
      <c r="AB5" s="17"/>
      <c r="AC5" s="17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</row>
    <row r="6" spans="1:48" s="19" customFormat="1" ht="25.2" hidden="1" x14ac:dyDescent="0.2">
      <c r="A6" s="7">
        <v>2074</v>
      </c>
      <c r="B6" s="8" t="s">
        <v>20</v>
      </c>
      <c r="C6" s="9" t="s">
        <v>21</v>
      </c>
      <c r="D6" s="8" t="s">
        <v>22</v>
      </c>
      <c r="E6" s="10" t="s">
        <v>23</v>
      </c>
      <c r="F6" s="10" t="s">
        <v>24</v>
      </c>
      <c r="G6" s="10" t="s">
        <v>25</v>
      </c>
      <c r="H6" s="10" t="s">
        <v>26</v>
      </c>
      <c r="I6" s="11" t="s">
        <v>27</v>
      </c>
      <c r="J6" s="12">
        <v>0.7</v>
      </c>
      <c r="K6" s="13" t="s">
        <v>43</v>
      </c>
      <c r="L6" s="22" t="s">
        <v>44</v>
      </c>
      <c r="M6" s="13" t="s">
        <v>45</v>
      </c>
      <c r="N6" s="23">
        <v>0.95</v>
      </c>
      <c r="O6" s="12">
        <v>0.1</v>
      </c>
      <c r="P6" s="24"/>
      <c r="Q6" s="12">
        <f>ROUND(IF(OR(N6="",P6=""),0,IF(AND(N6=0,P6=0),1,IF(S6="+",P6/N6,N6/P6))),2)</f>
        <v>0</v>
      </c>
      <c r="R6" s="15">
        <f t="shared" ref="R6:R10" si="1">IF(AND(Q6&gt;=60%,Q6&lt;100%),Q6*((O6*J6)),IF(Q6=100%,((O6*J6)*Q6)*100%,IF(Q6&gt;100%,((J6*O6)*100%)*100%,0)))*100</f>
        <v>0</v>
      </c>
      <c r="S6" s="12" t="s">
        <v>31</v>
      </c>
      <c r="T6" s="12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1:48" s="19" customFormat="1" ht="25.2" hidden="1" x14ac:dyDescent="0.2">
      <c r="A7" s="7">
        <v>2075</v>
      </c>
      <c r="B7" s="8" t="s">
        <v>20</v>
      </c>
      <c r="C7" s="9" t="s">
        <v>21</v>
      </c>
      <c r="D7" s="8" t="s">
        <v>22</v>
      </c>
      <c r="E7" s="10" t="s">
        <v>23</v>
      </c>
      <c r="F7" s="10" t="s">
        <v>24</v>
      </c>
      <c r="G7" s="10" t="s">
        <v>25</v>
      </c>
      <c r="H7" s="10" t="s">
        <v>26</v>
      </c>
      <c r="I7" s="11" t="s">
        <v>27</v>
      </c>
      <c r="J7" s="12">
        <v>0.7</v>
      </c>
      <c r="K7" s="25" t="s">
        <v>46</v>
      </c>
      <c r="L7" s="22" t="s">
        <v>47</v>
      </c>
      <c r="M7" s="25" t="s">
        <v>48</v>
      </c>
      <c r="N7" s="26">
        <v>0.95</v>
      </c>
      <c r="O7" s="27">
        <v>0.15</v>
      </c>
      <c r="P7" s="24"/>
      <c r="Q7" s="27">
        <f t="shared" si="0"/>
        <v>0</v>
      </c>
      <c r="R7" s="28">
        <f t="shared" si="1"/>
        <v>0</v>
      </c>
      <c r="S7" s="27" t="s">
        <v>31</v>
      </c>
      <c r="T7" s="27"/>
      <c r="U7" s="17"/>
      <c r="V7" s="17"/>
      <c r="W7" s="17"/>
      <c r="X7" s="17"/>
      <c r="Y7" s="17"/>
      <c r="Z7" s="17"/>
      <c r="AA7" s="17"/>
      <c r="AB7" s="17"/>
      <c r="AC7" s="17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 s="19" customFormat="1" ht="25.2" hidden="1" x14ac:dyDescent="0.2">
      <c r="A8" s="7">
        <v>2076</v>
      </c>
      <c r="B8" s="8" t="s">
        <v>20</v>
      </c>
      <c r="C8" s="9" t="s">
        <v>21</v>
      </c>
      <c r="D8" s="8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25" t="s">
        <v>27</v>
      </c>
      <c r="J8" s="26">
        <v>0.7</v>
      </c>
      <c r="K8" s="25" t="s">
        <v>49</v>
      </c>
      <c r="L8" s="14" t="s">
        <v>50</v>
      </c>
      <c r="M8" s="25" t="s">
        <v>51</v>
      </c>
      <c r="N8" s="26">
        <v>0.95</v>
      </c>
      <c r="O8" s="27">
        <v>0.1</v>
      </c>
      <c r="P8" s="26"/>
      <c r="Q8" s="27">
        <f t="shared" si="0"/>
        <v>0</v>
      </c>
      <c r="R8" s="28">
        <f t="shared" si="1"/>
        <v>0</v>
      </c>
      <c r="S8" s="27" t="s">
        <v>31</v>
      </c>
      <c r="T8" s="27"/>
      <c r="U8" s="17"/>
      <c r="V8" s="17"/>
      <c r="W8" s="17"/>
      <c r="X8" s="17"/>
      <c r="Y8" s="17"/>
      <c r="Z8" s="17"/>
      <c r="AA8" s="17"/>
      <c r="AB8" s="17"/>
      <c r="AC8" s="1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</row>
    <row r="9" spans="1:48" s="19" customFormat="1" ht="25.2" hidden="1" x14ac:dyDescent="0.2">
      <c r="A9" s="7">
        <v>2077</v>
      </c>
      <c r="B9" s="8" t="s">
        <v>20</v>
      </c>
      <c r="C9" s="9" t="s">
        <v>21</v>
      </c>
      <c r="D9" s="8" t="s">
        <v>22</v>
      </c>
      <c r="E9" s="10" t="s">
        <v>23</v>
      </c>
      <c r="F9" s="10" t="s">
        <v>24</v>
      </c>
      <c r="G9" s="10" t="s">
        <v>25</v>
      </c>
      <c r="H9" s="10" t="s">
        <v>26</v>
      </c>
      <c r="I9" s="25" t="s">
        <v>27</v>
      </c>
      <c r="J9" s="26">
        <v>0.7</v>
      </c>
      <c r="K9" s="25" t="s">
        <v>55</v>
      </c>
      <c r="L9" s="22" t="s">
        <v>56</v>
      </c>
      <c r="M9" s="25" t="s">
        <v>57</v>
      </c>
      <c r="N9" s="26" t="s">
        <v>58</v>
      </c>
      <c r="O9" s="27">
        <v>0.1</v>
      </c>
      <c r="P9" s="29"/>
      <c r="Q9" s="27">
        <f>ROUND(IF(OR(N9="",P9=""),0,IF(AND(N9=0,P9=0),1,IF(S9="+",P9/N9,N9/P9))),2)</f>
        <v>0</v>
      </c>
      <c r="R9" s="28">
        <f t="shared" si="1"/>
        <v>0</v>
      </c>
      <c r="S9" s="27" t="s">
        <v>31</v>
      </c>
      <c r="T9" s="27"/>
      <c r="U9" s="17"/>
      <c r="V9" s="17"/>
      <c r="W9" s="17"/>
      <c r="X9" s="17"/>
      <c r="Y9" s="17"/>
      <c r="Z9" s="17"/>
      <c r="AA9" s="17"/>
      <c r="AB9" s="17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</row>
    <row r="10" spans="1:48" s="19" customFormat="1" ht="25.2" hidden="1" x14ac:dyDescent="0.2">
      <c r="A10" s="7">
        <v>2078</v>
      </c>
      <c r="B10" s="8" t="s">
        <v>20</v>
      </c>
      <c r="C10" s="9" t="s">
        <v>21</v>
      </c>
      <c r="D10" s="8" t="s">
        <v>22</v>
      </c>
      <c r="E10" s="10" t="s">
        <v>23</v>
      </c>
      <c r="F10" s="10" t="s">
        <v>24</v>
      </c>
      <c r="G10" s="10" t="s">
        <v>25</v>
      </c>
      <c r="H10" s="10" t="s">
        <v>26</v>
      </c>
      <c r="I10" s="25" t="s">
        <v>59</v>
      </c>
      <c r="J10" s="12">
        <v>0.3</v>
      </c>
      <c r="K10" s="25" t="s">
        <v>60</v>
      </c>
      <c r="L10" s="22" t="s">
        <v>61</v>
      </c>
      <c r="M10" s="25" t="s">
        <v>62</v>
      </c>
      <c r="N10" s="30">
        <v>1</v>
      </c>
      <c r="O10" s="27">
        <v>0.1</v>
      </c>
      <c r="P10" s="29"/>
      <c r="Q10" s="27">
        <f>ROUND(IF(OR(N10="",P10=""),0,IF(AND(N10=0,P10=0),1,IF(S10="+",P10/N10,N10/P10))),2)</f>
        <v>0</v>
      </c>
      <c r="R10" s="28">
        <f t="shared" si="1"/>
        <v>0</v>
      </c>
      <c r="S10" s="27" t="s">
        <v>31</v>
      </c>
      <c r="T10" s="27"/>
      <c r="U10" s="17"/>
      <c r="V10" s="17"/>
      <c r="W10" s="17"/>
      <c r="X10" s="17"/>
      <c r="Y10" s="17"/>
      <c r="Z10" s="17"/>
      <c r="AA10" s="17"/>
      <c r="AB10" s="17"/>
      <c r="AC10" s="1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s="19" customFormat="1" ht="20.399999999999999" hidden="1" x14ac:dyDescent="0.2">
      <c r="A11" s="7">
        <v>2081</v>
      </c>
      <c r="B11" s="8" t="s">
        <v>20</v>
      </c>
      <c r="C11" s="9" t="s">
        <v>21</v>
      </c>
      <c r="D11" s="8" t="s">
        <v>63</v>
      </c>
      <c r="E11" s="10" t="s">
        <v>64</v>
      </c>
      <c r="F11" s="10" t="s">
        <v>65</v>
      </c>
      <c r="G11" s="10" t="s">
        <v>25</v>
      </c>
      <c r="H11" s="10" t="s">
        <v>26</v>
      </c>
      <c r="I11" s="11" t="s">
        <v>27</v>
      </c>
      <c r="J11" s="12">
        <v>0.7</v>
      </c>
      <c r="K11" s="13" t="s">
        <v>66</v>
      </c>
      <c r="L11" s="14" t="s">
        <v>67</v>
      </c>
      <c r="M11" s="13" t="s">
        <v>68</v>
      </c>
      <c r="N11" s="12">
        <v>0.95</v>
      </c>
      <c r="O11" s="12">
        <v>0.15</v>
      </c>
      <c r="P11" s="12"/>
      <c r="Q11" s="12">
        <f>ROUND(IF(OR(N11="",P11=""),0,IF(AND(N11=0,P11=0),1,IF(S11="+",P11/N11,N11/P11))),2)</f>
        <v>0</v>
      </c>
      <c r="R11" s="15">
        <f>IF(AND(Q11&gt;=60%,Q11&lt;100%),Q11*((O11*J11)),IF(Q11=100%,((O11*J11)*Q11)*100%,IF(Q11&gt;100%,((J11*O11)*100%)*100%,0)))*100</f>
        <v>0</v>
      </c>
      <c r="S11" s="12" t="s">
        <v>31</v>
      </c>
      <c r="T11" s="16">
        <f>SUM(R11:R21)%</f>
        <v>0</v>
      </c>
      <c r="U11" s="17"/>
      <c r="V11" s="17"/>
      <c r="W11" s="17"/>
      <c r="X11" s="17"/>
      <c r="Y11" s="17"/>
      <c r="Z11" s="17"/>
      <c r="AA11" s="17"/>
      <c r="AB11" s="17"/>
      <c r="AC11" s="17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8" s="19" customFormat="1" ht="20.399999999999999" hidden="1" x14ac:dyDescent="0.2">
      <c r="A12" s="7">
        <v>2082</v>
      </c>
      <c r="B12" s="8" t="s">
        <v>20</v>
      </c>
      <c r="C12" s="9" t="s">
        <v>21</v>
      </c>
      <c r="D12" s="8" t="s">
        <v>63</v>
      </c>
      <c r="E12" s="10" t="s">
        <v>64</v>
      </c>
      <c r="F12" s="10" t="s">
        <v>65</v>
      </c>
      <c r="G12" s="10" t="s">
        <v>25</v>
      </c>
      <c r="H12" s="10" t="s">
        <v>26</v>
      </c>
      <c r="I12" s="11" t="s">
        <v>27</v>
      </c>
      <c r="J12" s="12">
        <v>0.7</v>
      </c>
      <c r="K12" s="13" t="s">
        <v>69</v>
      </c>
      <c r="L12" s="14" t="s">
        <v>70</v>
      </c>
      <c r="M12" s="13" t="s">
        <v>71</v>
      </c>
      <c r="N12" s="12" t="s">
        <v>72</v>
      </c>
      <c r="O12" s="12">
        <v>0.1</v>
      </c>
      <c r="P12" s="20"/>
      <c r="Q12" s="12">
        <f>ROUND(IF(OR(N12="",P12=""),0,IF(AND(N12=0,P12=0),1,IF(S12="+",P12/N12,N12/P12))),2)</f>
        <v>0</v>
      </c>
      <c r="R12" s="15">
        <f>IF(AND(Q12&gt;=60%,Q12&lt;100%),Q12*((O12*J12)),IF(Q12=100%,((O12*J12)*Q12)*100%,IF(Q12&gt;100%,((J12*O12)*100%)*100%,0)))*100</f>
        <v>0</v>
      </c>
      <c r="S12" s="12" t="s">
        <v>36</v>
      </c>
      <c r="T12" s="12"/>
      <c r="U12" s="17"/>
      <c r="V12" s="17"/>
      <c r="W12" s="17"/>
      <c r="X12" s="17"/>
      <c r="Y12" s="17"/>
      <c r="Z12" s="17"/>
      <c r="AA12" s="17"/>
      <c r="AB12" s="17"/>
      <c r="AC12" s="1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s="19" customFormat="1" ht="12.6" hidden="1" x14ac:dyDescent="0.2">
      <c r="A13" s="7">
        <v>2083</v>
      </c>
      <c r="B13" s="8" t="s">
        <v>20</v>
      </c>
      <c r="C13" s="9" t="s">
        <v>21</v>
      </c>
      <c r="D13" s="8" t="s">
        <v>63</v>
      </c>
      <c r="E13" s="10" t="s">
        <v>64</v>
      </c>
      <c r="F13" s="10" t="s">
        <v>65</v>
      </c>
      <c r="G13" s="10" t="s">
        <v>25</v>
      </c>
      <c r="H13" s="10" t="s">
        <v>26</v>
      </c>
      <c r="I13" s="11" t="s">
        <v>27</v>
      </c>
      <c r="J13" s="12">
        <v>0.7</v>
      </c>
      <c r="K13" s="13" t="s">
        <v>73</v>
      </c>
      <c r="L13" s="14" t="s">
        <v>74</v>
      </c>
      <c r="M13" s="13" t="s">
        <v>75</v>
      </c>
      <c r="N13" s="12">
        <v>1</v>
      </c>
      <c r="O13" s="12">
        <v>0.1</v>
      </c>
      <c r="P13" s="20"/>
      <c r="Q13" s="12">
        <f t="shared" ref="Q13:Q14" si="2">ROUND(IF(OR(N13="",P13=""),0,IF(AND(N13=0,P13=0),1,IF(S13="+",P13/N13,N13/P13))),2)</f>
        <v>0</v>
      </c>
      <c r="R13" s="15">
        <f>IF(AND(Q13&gt;=60%,Q13&lt;100%),Q13*((O13*J13)),IF(Q13=100%,((O13*J13)*Q13)*100%,IF(Q13&gt;100%,((J13*O13)*100%)*100%,0)))*100</f>
        <v>0</v>
      </c>
      <c r="S13" s="12" t="s">
        <v>31</v>
      </c>
      <c r="T13" s="12"/>
      <c r="U13" s="17"/>
      <c r="V13" s="17"/>
      <c r="W13" s="17"/>
      <c r="X13" s="17"/>
      <c r="Y13" s="17"/>
      <c r="Z13" s="17"/>
      <c r="AA13" s="17"/>
      <c r="AB13" s="17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8" s="19" customFormat="1" ht="20.399999999999999" hidden="1" x14ac:dyDescent="0.2">
      <c r="A14" s="7">
        <v>2084</v>
      </c>
      <c r="B14" s="8" t="s">
        <v>20</v>
      </c>
      <c r="C14" s="9" t="s">
        <v>21</v>
      </c>
      <c r="D14" s="8" t="s">
        <v>63</v>
      </c>
      <c r="E14" s="10" t="s">
        <v>64</v>
      </c>
      <c r="F14" s="10" t="s">
        <v>65</v>
      </c>
      <c r="G14" s="10" t="s">
        <v>25</v>
      </c>
      <c r="H14" s="10" t="s">
        <v>26</v>
      </c>
      <c r="I14" s="11" t="s">
        <v>27</v>
      </c>
      <c r="J14" s="12">
        <v>0.7</v>
      </c>
      <c r="K14" s="13" t="s">
        <v>76</v>
      </c>
      <c r="L14" s="14" t="s">
        <v>77</v>
      </c>
      <c r="M14" s="13" t="s">
        <v>78</v>
      </c>
      <c r="N14" s="12" t="s">
        <v>79</v>
      </c>
      <c r="O14" s="12">
        <v>0.15</v>
      </c>
      <c r="P14" s="21"/>
      <c r="Q14" s="12">
        <f t="shared" si="2"/>
        <v>0</v>
      </c>
      <c r="R14" s="15">
        <f>IF(AND(Q14&gt;=60%,Q14&lt;100%),Q14*((O14*J14)),IF(Q14=100%,((O14*J14)*Q14)*100%,IF(Q14&gt;100%,((J14*O14)*100%)*100%,0)))*100</f>
        <v>0</v>
      </c>
      <c r="S14" s="12" t="s">
        <v>31</v>
      </c>
      <c r="T14" s="12"/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8" s="19" customFormat="1" ht="20.399999999999999" hidden="1" x14ac:dyDescent="0.2">
      <c r="A15" s="7">
        <v>2085</v>
      </c>
      <c r="B15" s="8" t="s">
        <v>20</v>
      </c>
      <c r="C15" s="9" t="s">
        <v>21</v>
      </c>
      <c r="D15" s="8" t="s">
        <v>63</v>
      </c>
      <c r="E15" s="10" t="s">
        <v>64</v>
      </c>
      <c r="F15" s="10" t="s">
        <v>65</v>
      </c>
      <c r="G15" s="10" t="s">
        <v>25</v>
      </c>
      <c r="H15" s="10" t="s">
        <v>26</v>
      </c>
      <c r="I15" s="11" t="s">
        <v>27</v>
      </c>
      <c r="J15" s="12">
        <v>0.7</v>
      </c>
      <c r="K15" s="13" t="s">
        <v>80</v>
      </c>
      <c r="L15" s="14" t="s">
        <v>81</v>
      </c>
      <c r="M15" s="13" t="s">
        <v>82</v>
      </c>
      <c r="N15" s="23" t="s">
        <v>83</v>
      </c>
      <c r="O15" s="12">
        <v>0.1</v>
      </c>
      <c r="P15" s="24"/>
      <c r="Q15" s="12">
        <f>ROUND(IF(OR(N15="",P15=""),0,IF(AND(N15=0,P15=0),1,IF(S15="+",P15/N15,N15/P15))),2)</f>
        <v>0</v>
      </c>
      <c r="R15" s="15">
        <f t="shared" ref="R15:R21" si="3">IF(AND(Q15&gt;=60%,Q15&lt;100%),Q15*((O15*J15)),IF(Q15=100%,((O15*J15)*Q15)*100%,IF(Q15&gt;100%,((J15*O15)*100%)*100%,0)))*100</f>
        <v>0</v>
      </c>
      <c r="S15" s="12" t="s">
        <v>36</v>
      </c>
      <c r="T15" s="12"/>
      <c r="U15" s="17"/>
      <c r="V15" s="17"/>
      <c r="W15" s="17"/>
      <c r="X15" s="17"/>
      <c r="Y15" s="17"/>
      <c r="Z15" s="17"/>
      <c r="AA15" s="17"/>
      <c r="AB15" s="17"/>
      <c r="AC15" s="17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spans="1:48" s="19" customFormat="1" ht="12.6" hidden="1" x14ac:dyDescent="0.2">
      <c r="A16" s="7">
        <v>2086</v>
      </c>
      <c r="B16" s="8" t="s">
        <v>20</v>
      </c>
      <c r="C16" s="9" t="s">
        <v>21</v>
      </c>
      <c r="D16" s="8" t="s">
        <v>63</v>
      </c>
      <c r="E16" s="10" t="s">
        <v>64</v>
      </c>
      <c r="F16" s="10" t="s">
        <v>65</v>
      </c>
      <c r="G16" s="10" t="s">
        <v>25</v>
      </c>
      <c r="H16" s="10" t="s">
        <v>26</v>
      </c>
      <c r="I16" s="11" t="s">
        <v>27</v>
      </c>
      <c r="J16" s="12">
        <v>0.7</v>
      </c>
      <c r="K16" s="25" t="s">
        <v>84</v>
      </c>
      <c r="L16" s="22" t="s">
        <v>85</v>
      </c>
      <c r="M16" s="25" t="s">
        <v>86</v>
      </c>
      <c r="N16" s="26">
        <v>0.05</v>
      </c>
      <c r="O16" s="27">
        <v>0.05</v>
      </c>
      <c r="P16" s="24"/>
      <c r="Q16" s="27">
        <f t="shared" ref="Q16:Q17" si="4">ROUND(IF(OR(N16="",P16=""),0,IF(AND(N16=0,P16=0),1,IF(S16="+",P16/N16,N16/P16))),2)</f>
        <v>0</v>
      </c>
      <c r="R16" s="28">
        <f t="shared" si="3"/>
        <v>0</v>
      </c>
      <c r="S16" s="27" t="s">
        <v>36</v>
      </c>
      <c r="T16" s="27"/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1:48" s="19" customFormat="1" ht="20.399999999999999" hidden="1" x14ac:dyDescent="0.2">
      <c r="A17" s="7">
        <v>2087</v>
      </c>
      <c r="B17" s="8" t="s">
        <v>20</v>
      </c>
      <c r="C17" s="9" t="s">
        <v>21</v>
      </c>
      <c r="D17" s="8" t="s">
        <v>63</v>
      </c>
      <c r="E17" s="10" t="s">
        <v>64</v>
      </c>
      <c r="F17" s="10" t="s">
        <v>65</v>
      </c>
      <c r="G17" s="10" t="s">
        <v>25</v>
      </c>
      <c r="H17" s="10" t="s">
        <v>26</v>
      </c>
      <c r="I17" s="25" t="s">
        <v>59</v>
      </c>
      <c r="J17" s="26">
        <v>0.3</v>
      </c>
      <c r="K17" s="25" t="s">
        <v>87</v>
      </c>
      <c r="L17" s="22" t="s">
        <v>88</v>
      </c>
      <c r="M17" s="25" t="s">
        <v>89</v>
      </c>
      <c r="N17" s="26">
        <v>0.7</v>
      </c>
      <c r="O17" s="27">
        <v>0.1</v>
      </c>
      <c r="P17" s="26"/>
      <c r="Q17" s="27">
        <f t="shared" si="4"/>
        <v>0</v>
      </c>
      <c r="R17" s="28">
        <f t="shared" si="3"/>
        <v>0</v>
      </c>
      <c r="S17" s="27" t="s">
        <v>31</v>
      </c>
      <c r="T17" s="27"/>
      <c r="U17" s="17"/>
      <c r="V17" s="17"/>
      <c r="W17" s="17"/>
      <c r="X17" s="17"/>
      <c r="Y17" s="17"/>
      <c r="Z17" s="17"/>
      <c r="AA17" s="17"/>
      <c r="AB17" s="17"/>
      <c r="AC17" s="17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1:48" s="19" customFormat="1" ht="20.399999999999999" hidden="1" x14ac:dyDescent="0.2">
      <c r="A18" s="7">
        <v>2088</v>
      </c>
      <c r="B18" s="8" t="s">
        <v>20</v>
      </c>
      <c r="C18" s="9" t="s">
        <v>21</v>
      </c>
      <c r="D18" s="8" t="s">
        <v>63</v>
      </c>
      <c r="E18" s="10" t="s">
        <v>64</v>
      </c>
      <c r="F18" s="10" t="s">
        <v>65</v>
      </c>
      <c r="G18" s="10" t="s">
        <v>25</v>
      </c>
      <c r="H18" s="10" t="s">
        <v>26</v>
      </c>
      <c r="I18" s="25" t="s">
        <v>59</v>
      </c>
      <c r="J18" s="26">
        <v>0.3</v>
      </c>
      <c r="K18" s="25" t="s">
        <v>90</v>
      </c>
      <c r="L18" s="22" t="s">
        <v>470</v>
      </c>
      <c r="M18" s="25" t="s">
        <v>92</v>
      </c>
      <c r="N18" s="26" t="s">
        <v>72</v>
      </c>
      <c r="O18" s="27">
        <v>0.05</v>
      </c>
      <c r="P18" s="29"/>
      <c r="Q18" s="27">
        <f>ROUND(IF(OR(N18="",P18=""),0,IF(AND(N18=0,P18=0),1,IF(S18="+",P18/N18,N18/P18))),2)</f>
        <v>0</v>
      </c>
      <c r="R18" s="28">
        <f t="shared" si="3"/>
        <v>0</v>
      </c>
      <c r="S18" s="27" t="s">
        <v>36</v>
      </c>
      <c r="T18" s="2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 s="19" customFormat="1" ht="12.6" hidden="1" x14ac:dyDescent="0.2">
      <c r="A19" s="7">
        <v>2089</v>
      </c>
      <c r="B19" s="8" t="s">
        <v>20</v>
      </c>
      <c r="C19" s="9" t="s">
        <v>21</v>
      </c>
      <c r="D19" s="8" t="s">
        <v>63</v>
      </c>
      <c r="E19" s="10" t="s">
        <v>64</v>
      </c>
      <c r="F19" s="10" t="s">
        <v>65</v>
      </c>
      <c r="G19" s="10" t="s">
        <v>25</v>
      </c>
      <c r="H19" s="10" t="s">
        <v>26</v>
      </c>
      <c r="I19" s="25" t="s">
        <v>27</v>
      </c>
      <c r="J19" s="12">
        <v>0.7</v>
      </c>
      <c r="K19" s="25"/>
      <c r="L19" s="22" t="s">
        <v>93</v>
      </c>
      <c r="M19" s="25"/>
      <c r="N19" s="30">
        <v>0</v>
      </c>
      <c r="O19" s="27">
        <v>0.05</v>
      </c>
      <c r="P19" s="29"/>
      <c r="Q19" s="27">
        <f>ROUND(IF(OR(N19="",P19=""),0,IF(AND(N19=0,P19=0),1,IF(S19="+",P19/N19,N19/P19))),2)</f>
        <v>0</v>
      </c>
      <c r="R19" s="28">
        <f t="shared" si="3"/>
        <v>0</v>
      </c>
      <c r="S19" s="27" t="s">
        <v>31</v>
      </c>
      <c r="T19" s="27"/>
      <c r="U19" s="17"/>
      <c r="V19" s="17"/>
      <c r="W19" s="17"/>
      <c r="X19" s="17"/>
      <c r="Y19" s="17"/>
      <c r="Z19" s="17"/>
      <c r="AA19" s="17"/>
      <c r="AB19" s="17"/>
      <c r="AC19" s="17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s="19" customFormat="1" ht="12.6" hidden="1" x14ac:dyDescent="0.2">
      <c r="A20" s="7">
        <v>2090</v>
      </c>
      <c r="B20" s="8" t="s">
        <v>20</v>
      </c>
      <c r="C20" s="9" t="s">
        <v>21</v>
      </c>
      <c r="D20" s="8" t="s">
        <v>63</v>
      </c>
      <c r="E20" s="10" t="s">
        <v>64</v>
      </c>
      <c r="F20" s="10" t="s">
        <v>65</v>
      </c>
      <c r="G20" s="10" t="s">
        <v>25</v>
      </c>
      <c r="H20" s="10" t="s">
        <v>26</v>
      </c>
      <c r="I20" s="25" t="s">
        <v>27</v>
      </c>
      <c r="J20" s="12">
        <v>0.7</v>
      </c>
      <c r="K20" s="25"/>
      <c r="L20" s="22" t="s">
        <v>94</v>
      </c>
      <c r="M20" s="25"/>
      <c r="N20" s="26">
        <v>1</v>
      </c>
      <c r="O20" s="27">
        <v>0.1</v>
      </c>
      <c r="P20" s="29"/>
      <c r="Q20" s="27">
        <f t="shared" ref="Q20:Q21" si="5">ROUND(IF(OR(N20="",P20=""),0,IF(AND(N20=0,P20=0),1,IF(S20="+",P20/N20,N20/P20))),2)</f>
        <v>0</v>
      </c>
      <c r="R20" s="28">
        <f t="shared" si="3"/>
        <v>0</v>
      </c>
      <c r="S20" s="27" t="s">
        <v>31</v>
      </c>
      <c r="T20" s="27"/>
      <c r="U20" s="17"/>
      <c r="V20" s="17"/>
      <c r="W20" s="17"/>
      <c r="X20" s="17"/>
      <c r="Y20" s="17"/>
      <c r="Z20" s="17"/>
      <c r="AA20" s="17"/>
      <c r="AB20" s="17"/>
      <c r="AC20" s="17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s="19" customFormat="1" ht="12.6" hidden="1" x14ac:dyDescent="0.2">
      <c r="A21" s="7">
        <v>2091</v>
      </c>
      <c r="B21" s="8" t="s">
        <v>20</v>
      </c>
      <c r="C21" s="9" t="s">
        <v>21</v>
      </c>
      <c r="D21" s="8" t="s">
        <v>63</v>
      </c>
      <c r="E21" s="10" t="s">
        <v>64</v>
      </c>
      <c r="F21" s="10" t="s">
        <v>65</v>
      </c>
      <c r="G21" s="10" t="s">
        <v>25</v>
      </c>
      <c r="H21" s="10" t="s">
        <v>26</v>
      </c>
      <c r="I21" s="25" t="s">
        <v>59</v>
      </c>
      <c r="J21" s="26">
        <v>0.3</v>
      </c>
      <c r="K21" s="25" t="s">
        <v>95</v>
      </c>
      <c r="L21" s="22" t="s">
        <v>96</v>
      </c>
      <c r="M21" s="25" t="s">
        <v>97</v>
      </c>
      <c r="N21" s="30">
        <v>1</v>
      </c>
      <c r="O21" s="27">
        <v>0.05</v>
      </c>
      <c r="P21" s="31"/>
      <c r="Q21" s="27">
        <f t="shared" si="5"/>
        <v>0</v>
      </c>
      <c r="R21" s="28">
        <f t="shared" si="3"/>
        <v>0</v>
      </c>
      <c r="S21" s="27" t="s">
        <v>31</v>
      </c>
      <c r="T21" s="32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</row>
    <row r="22" spans="1:48" s="19" customFormat="1" ht="20.399999999999999" hidden="1" x14ac:dyDescent="0.2">
      <c r="A22" s="7">
        <v>2092</v>
      </c>
      <c r="B22" s="8" t="s">
        <v>20</v>
      </c>
      <c r="C22" s="9" t="s">
        <v>21</v>
      </c>
      <c r="D22" s="8" t="s">
        <v>98</v>
      </c>
      <c r="E22" s="10" t="s">
        <v>99</v>
      </c>
      <c r="F22" s="10" t="s">
        <v>100</v>
      </c>
      <c r="G22" s="10" t="s">
        <v>25</v>
      </c>
      <c r="H22" s="10" t="s">
        <v>26</v>
      </c>
      <c r="I22" s="11" t="s">
        <v>27</v>
      </c>
      <c r="J22" s="12">
        <v>0.7</v>
      </c>
      <c r="K22" s="13" t="s">
        <v>66</v>
      </c>
      <c r="L22" s="14" t="s">
        <v>67</v>
      </c>
      <c r="M22" s="13" t="s">
        <v>68</v>
      </c>
      <c r="N22" s="12">
        <v>0.95</v>
      </c>
      <c r="O22" s="12">
        <v>0.15</v>
      </c>
      <c r="P22" s="12"/>
      <c r="Q22" s="12">
        <v>0</v>
      </c>
      <c r="R22" s="15">
        <v>0</v>
      </c>
      <c r="S22" s="12" t="s">
        <v>31</v>
      </c>
      <c r="T22" s="16">
        <v>0</v>
      </c>
      <c r="U22" s="17"/>
      <c r="V22" s="17"/>
      <c r="W22" s="17"/>
      <c r="X22" s="17"/>
      <c r="Y22" s="17"/>
      <c r="Z22" s="17"/>
      <c r="AA22" s="17"/>
      <c r="AB22" s="17"/>
      <c r="AC22" s="17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</row>
    <row r="23" spans="1:48" s="19" customFormat="1" ht="20.399999999999999" hidden="1" x14ac:dyDescent="0.2">
      <c r="A23" s="7">
        <v>2093</v>
      </c>
      <c r="B23" s="8" t="s">
        <v>20</v>
      </c>
      <c r="C23" s="9" t="s">
        <v>21</v>
      </c>
      <c r="D23" s="8" t="s">
        <v>98</v>
      </c>
      <c r="E23" s="10" t="s">
        <v>99</v>
      </c>
      <c r="F23" s="10" t="s">
        <v>100</v>
      </c>
      <c r="G23" s="10" t="s">
        <v>25</v>
      </c>
      <c r="H23" s="10" t="s">
        <v>26</v>
      </c>
      <c r="I23" s="11" t="s">
        <v>27</v>
      </c>
      <c r="J23" s="12">
        <v>0.7</v>
      </c>
      <c r="K23" s="13" t="s">
        <v>69</v>
      </c>
      <c r="L23" s="14" t="s">
        <v>70</v>
      </c>
      <c r="M23" s="13" t="s">
        <v>71</v>
      </c>
      <c r="N23" s="12" t="s">
        <v>72</v>
      </c>
      <c r="O23" s="12">
        <v>0.1</v>
      </c>
      <c r="P23" s="20"/>
      <c r="Q23" s="12">
        <v>0</v>
      </c>
      <c r="R23" s="15">
        <v>0</v>
      </c>
      <c r="S23" s="12" t="s">
        <v>36</v>
      </c>
      <c r="T23" s="12"/>
      <c r="U23" s="17"/>
      <c r="V23" s="17"/>
      <c r="W23" s="17"/>
      <c r="X23" s="17"/>
      <c r="Y23" s="17"/>
      <c r="Z23" s="17"/>
      <c r="AA23" s="17"/>
      <c r="AB23" s="17"/>
      <c r="AC23" s="17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</row>
    <row r="24" spans="1:48" s="19" customFormat="1" ht="12.6" hidden="1" x14ac:dyDescent="0.2">
      <c r="A24" s="7">
        <v>2094</v>
      </c>
      <c r="B24" s="8" t="s">
        <v>20</v>
      </c>
      <c r="C24" s="9" t="s">
        <v>21</v>
      </c>
      <c r="D24" s="8" t="s">
        <v>98</v>
      </c>
      <c r="E24" s="10" t="s">
        <v>99</v>
      </c>
      <c r="F24" s="10" t="s">
        <v>100</v>
      </c>
      <c r="G24" s="10" t="s">
        <v>25</v>
      </c>
      <c r="H24" s="10" t="s">
        <v>26</v>
      </c>
      <c r="I24" s="11" t="s">
        <v>27</v>
      </c>
      <c r="J24" s="12">
        <v>0.7</v>
      </c>
      <c r="K24" s="13" t="s">
        <v>73</v>
      </c>
      <c r="L24" s="14" t="s">
        <v>74</v>
      </c>
      <c r="M24" s="13" t="s">
        <v>75</v>
      </c>
      <c r="N24" s="12">
        <v>1</v>
      </c>
      <c r="O24" s="12">
        <v>0.1</v>
      </c>
      <c r="P24" s="20"/>
      <c r="Q24" s="12">
        <v>0</v>
      </c>
      <c r="R24" s="15">
        <v>0</v>
      </c>
      <c r="S24" s="12" t="s">
        <v>31</v>
      </c>
      <c r="T24" s="12"/>
      <c r="U24" s="17"/>
      <c r="V24" s="17"/>
      <c r="W24" s="17"/>
      <c r="X24" s="17"/>
      <c r="Y24" s="17"/>
      <c r="Z24" s="17"/>
      <c r="AA24" s="17"/>
      <c r="AB24" s="17"/>
      <c r="AC24" s="17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</row>
    <row r="25" spans="1:48" s="19" customFormat="1" ht="20.399999999999999" hidden="1" x14ac:dyDescent="0.2">
      <c r="A25" s="7">
        <v>2095</v>
      </c>
      <c r="B25" s="8" t="s">
        <v>20</v>
      </c>
      <c r="C25" s="9" t="s">
        <v>21</v>
      </c>
      <c r="D25" s="8" t="s">
        <v>98</v>
      </c>
      <c r="E25" s="10" t="s">
        <v>99</v>
      </c>
      <c r="F25" s="10" t="s">
        <v>100</v>
      </c>
      <c r="G25" s="10" t="s">
        <v>25</v>
      </c>
      <c r="H25" s="10" t="s">
        <v>26</v>
      </c>
      <c r="I25" s="11" t="s">
        <v>27</v>
      </c>
      <c r="J25" s="12">
        <v>0.7</v>
      </c>
      <c r="K25" s="13" t="s">
        <v>76</v>
      </c>
      <c r="L25" s="14" t="s">
        <v>77</v>
      </c>
      <c r="M25" s="13" t="s">
        <v>78</v>
      </c>
      <c r="N25" s="12" t="s">
        <v>79</v>
      </c>
      <c r="O25" s="12">
        <v>0.15</v>
      </c>
      <c r="P25" s="21"/>
      <c r="Q25" s="12">
        <v>0</v>
      </c>
      <c r="R25" s="15">
        <v>0</v>
      </c>
      <c r="S25" s="12" t="s">
        <v>31</v>
      </c>
      <c r="T25" s="12"/>
      <c r="U25" s="17"/>
      <c r="V25" s="17"/>
      <c r="W25" s="17"/>
      <c r="X25" s="17"/>
      <c r="Y25" s="17"/>
      <c r="Z25" s="17"/>
      <c r="AA25" s="17"/>
      <c r="AB25" s="17"/>
      <c r="AC25" s="17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  <row r="26" spans="1:48" s="19" customFormat="1" ht="20.399999999999999" hidden="1" x14ac:dyDescent="0.2">
      <c r="A26" s="7">
        <v>2096</v>
      </c>
      <c r="B26" s="8" t="s">
        <v>20</v>
      </c>
      <c r="C26" s="9" t="s">
        <v>21</v>
      </c>
      <c r="D26" s="8" t="s">
        <v>98</v>
      </c>
      <c r="E26" s="10" t="s">
        <v>99</v>
      </c>
      <c r="F26" s="10" t="s">
        <v>100</v>
      </c>
      <c r="G26" s="10" t="s">
        <v>25</v>
      </c>
      <c r="H26" s="10" t="s">
        <v>26</v>
      </c>
      <c r="I26" s="11" t="s">
        <v>27</v>
      </c>
      <c r="J26" s="12">
        <v>0.7</v>
      </c>
      <c r="K26" s="13" t="s">
        <v>80</v>
      </c>
      <c r="L26" s="14" t="s">
        <v>81</v>
      </c>
      <c r="M26" s="13" t="s">
        <v>82</v>
      </c>
      <c r="N26" s="23" t="s">
        <v>83</v>
      </c>
      <c r="O26" s="12">
        <v>0.1</v>
      </c>
      <c r="P26" s="24"/>
      <c r="Q26" s="12">
        <v>0</v>
      </c>
      <c r="R26" s="15">
        <v>0</v>
      </c>
      <c r="S26" s="12" t="s">
        <v>36</v>
      </c>
      <c r="T26" s="12"/>
      <c r="U26" s="17"/>
      <c r="V26" s="17"/>
      <c r="W26" s="17"/>
      <c r="X26" s="17"/>
      <c r="Y26" s="17"/>
      <c r="Z26" s="17"/>
      <c r="AA26" s="17"/>
      <c r="AB26" s="17"/>
      <c r="AC26" s="17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</row>
    <row r="27" spans="1:48" s="19" customFormat="1" ht="12.6" hidden="1" x14ac:dyDescent="0.2">
      <c r="A27" s="7">
        <v>2097</v>
      </c>
      <c r="B27" s="8" t="s">
        <v>20</v>
      </c>
      <c r="C27" s="9" t="s">
        <v>21</v>
      </c>
      <c r="D27" s="8" t="s">
        <v>98</v>
      </c>
      <c r="E27" s="10" t="s">
        <v>99</v>
      </c>
      <c r="F27" s="10" t="s">
        <v>100</v>
      </c>
      <c r="G27" s="10" t="s">
        <v>25</v>
      </c>
      <c r="H27" s="10" t="s">
        <v>26</v>
      </c>
      <c r="I27" s="11" t="s">
        <v>27</v>
      </c>
      <c r="J27" s="12">
        <v>0.7</v>
      </c>
      <c r="K27" s="25" t="s">
        <v>84</v>
      </c>
      <c r="L27" s="22" t="s">
        <v>85</v>
      </c>
      <c r="M27" s="25" t="s">
        <v>86</v>
      </c>
      <c r="N27" s="26">
        <v>0.05</v>
      </c>
      <c r="O27" s="27">
        <v>0.05</v>
      </c>
      <c r="P27" s="24"/>
      <c r="Q27" s="27">
        <v>0</v>
      </c>
      <c r="R27" s="28">
        <v>0</v>
      </c>
      <c r="S27" s="27" t="s">
        <v>36</v>
      </c>
      <c r="T27" s="27"/>
      <c r="U27" s="17"/>
      <c r="V27" s="17"/>
      <c r="W27" s="17"/>
      <c r="X27" s="17"/>
      <c r="Y27" s="17"/>
      <c r="Z27" s="17"/>
      <c r="AA27" s="17"/>
      <c r="AB27" s="17"/>
      <c r="AC27" s="17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</row>
    <row r="28" spans="1:48" s="19" customFormat="1" ht="20.399999999999999" hidden="1" x14ac:dyDescent="0.2">
      <c r="A28" s="7">
        <v>2098</v>
      </c>
      <c r="B28" s="8" t="s">
        <v>20</v>
      </c>
      <c r="C28" s="9" t="s">
        <v>21</v>
      </c>
      <c r="D28" s="8" t="s">
        <v>98</v>
      </c>
      <c r="E28" s="10" t="s">
        <v>99</v>
      </c>
      <c r="F28" s="10" t="s">
        <v>100</v>
      </c>
      <c r="G28" s="10" t="s">
        <v>25</v>
      </c>
      <c r="H28" s="10" t="s">
        <v>26</v>
      </c>
      <c r="I28" s="25" t="s">
        <v>59</v>
      </c>
      <c r="J28" s="26">
        <v>0.3</v>
      </c>
      <c r="K28" s="25" t="s">
        <v>87</v>
      </c>
      <c r="L28" s="22" t="s">
        <v>88</v>
      </c>
      <c r="M28" s="25" t="s">
        <v>89</v>
      </c>
      <c r="N28" s="26">
        <v>0.7</v>
      </c>
      <c r="O28" s="27">
        <v>0.1</v>
      </c>
      <c r="P28" s="26"/>
      <c r="Q28" s="27">
        <v>0</v>
      </c>
      <c r="R28" s="28">
        <v>0</v>
      </c>
      <c r="S28" s="27" t="s">
        <v>31</v>
      </c>
      <c r="T28" s="27"/>
      <c r="U28" s="17"/>
      <c r="V28" s="17"/>
      <c r="W28" s="17"/>
      <c r="X28" s="17"/>
      <c r="Y28" s="17"/>
      <c r="Z28" s="17"/>
      <c r="AA28" s="17"/>
      <c r="AB28" s="17"/>
      <c r="AC28" s="17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</row>
    <row r="29" spans="1:48" s="19" customFormat="1" ht="20.399999999999999" hidden="1" x14ac:dyDescent="0.2">
      <c r="A29" s="7">
        <v>2099</v>
      </c>
      <c r="B29" s="8" t="s">
        <v>20</v>
      </c>
      <c r="C29" s="9" t="s">
        <v>21</v>
      </c>
      <c r="D29" s="8" t="s">
        <v>98</v>
      </c>
      <c r="E29" s="10" t="s">
        <v>99</v>
      </c>
      <c r="F29" s="10" t="s">
        <v>100</v>
      </c>
      <c r="G29" s="10" t="s">
        <v>25</v>
      </c>
      <c r="H29" s="10" t="s">
        <v>26</v>
      </c>
      <c r="I29" s="25" t="s">
        <v>59</v>
      </c>
      <c r="J29" s="26">
        <v>0.3</v>
      </c>
      <c r="K29" s="25" t="s">
        <v>90</v>
      </c>
      <c r="L29" s="22" t="s">
        <v>91</v>
      </c>
      <c r="M29" s="25" t="s">
        <v>92</v>
      </c>
      <c r="N29" s="26" t="s">
        <v>72</v>
      </c>
      <c r="O29" s="27">
        <v>0.05</v>
      </c>
      <c r="P29" s="29"/>
      <c r="Q29" s="27">
        <v>0</v>
      </c>
      <c r="R29" s="28">
        <v>0</v>
      </c>
      <c r="S29" s="27" t="s">
        <v>36</v>
      </c>
      <c r="T29" s="27"/>
      <c r="U29" s="17"/>
      <c r="V29" s="17"/>
      <c r="W29" s="17"/>
      <c r="X29" s="17"/>
      <c r="Y29" s="17"/>
      <c r="Z29" s="17"/>
      <c r="AA29" s="17"/>
      <c r="AB29" s="17"/>
      <c r="AC29" s="17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</row>
    <row r="30" spans="1:48" s="19" customFormat="1" ht="12.6" hidden="1" x14ac:dyDescent="0.2">
      <c r="A30" s="7">
        <v>2100</v>
      </c>
      <c r="B30" s="8" t="s">
        <v>20</v>
      </c>
      <c r="C30" s="9" t="s">
        <v>21</v>
      </c>
      <c r="D30" s="8" t="s">
        <v>98</v>
      </c>
      <c r="E30" s="10" t="s">
        <v>99</v>
      </c>
      <c r="F30" s="10" t="s">
        <v>100</v>
      </c>
      <c r="G30" s="10" t="s">
        <v>25</v>
      </c>
      <c r="H30" s="10" t="s">
        <v>26</v>
      </c>
      <c r="I30" s="25" t="s">
        <v>27</v>
      </c>
      <c r="J30" s="12">
        <v>0.7</v>
      </c>
      <c r="K30" s="25"/>
      <c r="L30" s="22" t="s">
        <v>93</v>
      </c>
      <c r="M30" s="25"/>
      <c r="N30" s="30">
        <v>0</v>
      </c>
      <c r="O30" s="27">
        <v>0.05</v>
      </c>
      <c r="P30" s="29"/>
      <c r="Q30" s="27">
        <v>0</v>
      </c>
      <c r="R30" s="28">
        <v>0</v>
      </c>
      <c r="S30" s="27" t="s">
        <v>31</v>
      </c>
      <c r="T30" s="2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</row>
    <row r="31" spans="1:48" s="19" customFormat="1" ht="12.6" hidden="1" x14ac:dyDescent="0.2">
      <c r="A31" s="7">
        <v>2101</v>
      </c>
      <c r="B31" s="8" t="s">
        <v>20</v>
      </c>
      <c r="C31" s="9" t="s">
        <v>21</v>
      </c>
      <c r="D31" s="8" t="s">
        <v>98</v>
      </c>
      <c r="E31" s="10" t="s">
        <v>99</v>
      </c>
      <c r="F31" s="10" t="s">
        <v>100</v>
      </c>
      <c r="G31" s="10" t="s">
        <v>25</v>
      </c>
      <c r="H31" s="10" t="s">
        <v>26</v>
      </c>
      <c r="I31" s="25" t="s">
        <v>27</v>
      </c>
      <c r="J31" s="12">
        <v>0.7</v>
      </c>
      <c r="K31" s="25"/>
      <c r="L31" s="22" t="s">
        <v>94</v>
      </c>
      <c r="M31" s="25"/>
      <c r="N31" s="26">
        <v>1</v>
      </c>
      <c r="O31" s="27">
        <v>0.1</v>
      </c>
      <c r="P31" s="29"/>
      <c r="Q31" s="27">
        <v>0</v>
      </c>
      <c r="R31" s="28">
        <v>0</v>
      </c>
      <c r="S31" s="27" t="s">
        <v>31</v>
      </c>
      <c r="T31" s="27"/>
      <c r="U31" s="17"/>
      <c r="V31" s="17"/>
      <c r="W31" s="17"/>
      <c r="X31" s="17"/>
      <c r="Y31" s="17"/>
      <c r="Z31" s="17"/>
      <c r="AA31" s="17"/>
      <c r="AB31" s="17"/>
      <c r="AC31" s="17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</row>
    <row r="32" spans="1:48" s="19" customFormat="1" ht="12.6" hidden="1" x14ac:dyDescent="0.2">
      <c r="A32" s="7">
        <v>2102</v>
      </c>
      <c r="B32" s="8" t="s">
        <v>20</v>
      </c>
      <c r="C32" s="9" t="s">
        <v>21</v>
      </c>
      <c r="D32" s="8" t="s">
        <v>98</v>
      </c>
      <c r="E32" s="10" t="s">
        <v>99</v>
      </c>
      <c r="F32" s="10" t="s">
        <v>100</v>
      </c>
      <c r="G32" s="10" t="s">
        <v>25</v>
      </c>
      <c r="H32" s="10" t="s">
        <v>26</v>
      </c>
      <c r="I32" s="25" t="s">
        <v>59</v>
      </c>
      <c r="J32" s="26">
        <v>0.3</v>
      </c>
      <c r="K32" s="25" t="s">
        <v>95</v>
      </c>
      <c r="L32" s="22" t="s">
        <v>96</v>
      </c>
      <c r="M32" s="25" t="s">
        <v>97</v>
      </c>
      <c r="N32" s="30">
        <v>1</v>
      </c>
      <c r="O32" s="27">
        <v>0.05</v>
      </c>
      <c r="P32" s="31"/>
      <c r="Q32" s="27">
        <v>0</v>
      </c>
      <c r="R32" s="28">
        <v>0</v>
      </c>
      <c r="S32" s="27" t="s">
        <v>31</v>
      </c>
      <c r="T32" s="32"/>
      <c r="U32" s="17"/>
      <c r="V32" s="17"/>
      <c r="W32" s="17"/>
      <c r="X32" s="17"/>
      <c r="Y32" s="17"/>
      <c r="Z32" s="17"/>
      <c r="AA32" s="17"/>
      <c r="AB32" s="17"/>
      <c r="AC32" s="17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</row>
    <row r="33" spans="1:48" s="19" customFormat="1" ht="20.399999999999999" hidden="1" x14ac:dyDescent="0.2">
      <c r="A33" s="7">
        <v>2103</v>
      </c>
      <c r="B33" s="8" t="s">
        <v>20</v>
      </c>
      <c r="C33" s="9" t="s">
        <v>21</v>
      </c>
      <c r="D33" s="8" t="s">
        <v>101</v>
      </c>
      <c r="E33" s="10" t="s">
        <v>102</v>
      </c>
      <c r="F33" s="10" t="s">
        <v>103</v>
      </c>
      <c r="G33" s="10" t="s">
        <v>25</v>
      </c>
      <c r="H33" s="10" t="s">
        <v>26</v>
      </c>
      <c r="I33" s="11" t="s">
        <v>27</v>
      </c>
      <c r="J33" s="12">
        <v>0.7</v>
      </c>
      <c r="K33" s="13" t="s">
        <v>66</v>
      </c>
      <c r="L33" s="14" t="s">
        <v>67</v>
      </c>
      <c r="M33" s="13" t="s">
        <v>68</v>
      </c>
      <c r="N33" s="12">
        <v>0.95</v>
      </c>
      <c r="O33" s="12">
        <v>0.15</v>
      </c>
      <c r="P33" s="12"/>
      <c r="Q33" s="12">
        <v>0</v>
      </c>
      <c r="R33" s="15">
        <v>0</v>
      </c>
      <c r="S33" s="12" t="s">
        <v>31</v>
      </c>
      <c r="T33" s="16">
        <v>0</v>
      </c>
      <c r="U33" s="17"/>
      <c r="V33" s="17"/>
      <c r="W33" s="17"/>
      <c r="X33" s="17"/>
      <c r="Y33" s="17"/>
      <c r="Z33" s="17"/>
      <c r="AA33" s="17"/>
      <c r="AB33" s="17"/>
      <c r="AC33" s="17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</row>
    <row r="34" spans="1:48" s="19" customFormat="1" ht="20.399999999999999" hidden="1" x14ac:dyDescent="0.2">
      <c r="A34" s="7">
        <v>2104</v>
      </c>
      <c r="B34" s="8" t="s">
        <v>20</v>
      </c>
      <c r="C34" s="9" t="s">
        <v>21</v>
      </c>
      <c r="D34" s="8" t="s">
        <v>101</v>
      </c>
      <c r="E34" s="10" t="s">
        <v>102</v>
      </c>
      <c r="F34" s="10" t="s">
        <v>103</v>
      </c>
      <c r="G34" s="10" t="s">
        <v>25</v>
      </c>
      <c r="H34" s="10" t="s">
        <v>26</v>
      </c>
      <c r="I34" s="11" t="s">
        <v>27</v>
      </c>
      <c r="J34" s="12">
        <v>0.7</v>
      </c>
      <c r="K34" s="13" t="s">
        <v>69</v>
      </c>
      <c r="L34" s="14" t="s">
        <v>70</v>
      </c>
      <c r="M34" s="13" t="s">
        <v>71</v>
      </c>
      <c r="N34" s="12" t="s">
        <v>72</v>
      </c>
      <c r="O34" s="12">
        <v>0.1</v>
      </c>
      <c r="P34" s="20"/>
      <c r="Q34" s="12">
        <v>0</v>
      </c>
      <c r="R34" s="15">
        <v>0</v>
      </c>
      <c r="S34" s="12" t="s">
        <v>36</v>
      </c>
      <c r="T34" s="12"/>
      <c r="U34" s="17"/>
      <c r="V34" s="17"/>
      <c r="W34" s="17"/>
      <c r="X34" s="17"/>
      <c r="Y34" s="17"/>
      <c r="Z34" s="17"/>
      <c r="AA34" s="17"/>
      <c r="AB34" s="17"/>
      <c r="AC34" s="17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</row>
    <row r="35" spans="1:48" s="19" customFormat="1" ht="12.6" hidden="1" x14ac:dyDescent="0.2">
      <c r="A35" s="7">
        <v>2105</v>
      </c>
      <c r="B35" s="8" t="s">
        <v>20</v>
      </c>
      <c r="C35" s="9" t="s">
        <v>21</v>
      </c>
      <c r="D35" s="8" t="s">
        <v>101</v>
      </c>
      <c r="E35" s="10" t="s">
        <v>102</v>
      </c>
      <c r="F35" s="10" t="s">
        <v>103</v>
      </c>
      <c r="G35" s="10" t="s">
        <v>25</v>
      </c>
      <c r="H35" s="10" t="s">
        <v>26</v>
      </c>
      <c r="I35" s="11" t="s">
        <v>27</v>
      </c>
      <c r="J35" s="12">
        <v>0.7</v>
      </c>
      <c r="K35" s="13" t="s">
        <v>73</v>
      </c>
      <c r="L35" s="14" t="s">
        <v>74</v>
      </c>
      <c r="M35" s="13" t="s">
        <v>75</v>
      </c>
      <c r="N35" s="12">
        <v>1</v>
      </c>
      <c r="O35" s="12">
        <v>0.1</v>
      </c>
      <c r="P35" s="20"/>
      <c r="Q35" s="12">
        <v>0</v>
      </c>
      <c r="R35" s="15">
        <v>0</v>
      </c>
      <c r="S35" s="12" t="s">
        <v>31</v>
      </c>
      <c r="T35" s="12"/>
      <c r="U35" s="17"/>
      <c r="V35" s="17"/>
      <c r="W35" s="17"/>
      <c r="X35" s="17"/>
      <c r="Y35" s="17"/>
      <c r="Z35" s="17"/>
      <c r="AA35" s="17"/>
      <c r="AB35" s="17"/>
      <c r="AC35" s="17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</row>
    <row r="36" spans="1:48" s="19" customFormat="1" ht="20.399999999999999" hidden="1" x14ac:dyDescent="0.2">
      <c r="A36" s="7">
        <v>2106</v>
      </c>
      <c r="B36" s="8" t="s">
        <v>20</v>
      </c>
      <c r="C36" s="9" t="s">
        <v>21</v>
      </c>
      <c r="D36" s="8" t="s">
        <v>101</v>
      </c>
      <c r="E36" s="10" t="s">
        <v>102</v>
      </c>
      <c r="F36" s="10" t="s">
        <v>103</v>
      </c>
      <c r="G36" s="10" t="s">
        <v>25</v>
      </c>
      <c r="H36" s="10" t="s">
        <v>26</v>
      </c>
      <c r="I36" s="11" t="s">
        <v>27</v>
      </c>
      <c r="J36" s="12">
        <v>0.7</v>
      </c>
      <c r="K36" s="13" t="s">
        <v>76</v>
      </c>
      <c r="L36" s="14" t="s">
        <v>77</v>
      </c>
      <c r="M36" s="13" t="s">
        <v>78</v>
      </c>
      <c r="N36" s="12" t="s">
        <v>79</v>
      </c>
      <c r="O36" s="12">
        <v>0.15</v>
      </c>
      <c r="P36" s="21"/>
      <c r="Q36" s="12">
        <v>0</v>
      </c>
      <c r="R36" s="15">
        <v>0</v>
      </c>
      <c r="S36" s="12" t="s">
        <v>31</v>
      </c>
      <c r="T36" s="12"/>
      <c r="U36" s="17"/>
      <c r="V36" s="17"/>
      <c r="W36" s="17"/>
      <c r="X36" s="17"/>
      <c r="Y36" s="17"/>
      <c r="Z36" s="17"/>
      <c r="AA36" s="17"/>
      <c r="AB36" s="17"/>
      <c r="AC36" s="17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</row>
    <row r="37" spans="1:48" s="19" customFormat="1" ht="20.399999999999999" hidden="1" x14ac:dyDescent="0.2">
      <c r="A37" s="7">
        <v>2107</v>
      </c>
      <c r="B37" s="8" t="s">
        <v>20</v>
      </c>
      <c r="C37" s="9" t="s">
        <v>21</v>
      </c>
      <c r="D37" s="8" t="s">
        <v>101</v>
      </c>
      <c r="E37" s="10" t="s">
        <v>102</v>
      </c>
      <c r="F37" s="10" t="s">
        <v>103</v>
      </c>
      <c r="G37" s="10" t="s">
        <v>25</v>
      </c>
      <c r="H37" s="10" t="s">
        <v>26</v>
      </c>
      <c r="I37" s="11" t="s">
        <v>27</v>
      </c>
      <c r="J37" s="12">
        <v>0.7</v>
      </c>
      <c r="K37" s="13" t="s">
        <v>80</v>
      </c>
      <c r="L37" s="14" t="s">
        <v>81</v>
      </c>
      <c r="M37" s="13" t="s">
        <v>82</v>
      </c>
      <c r="N37" s="23" t="s">
        <v>83</v>
      </c>
      <c r="O37" s="12">
        <v>0.1</v>
      </c>
      <c r="P37" s="24"/>
      <c r="Q37" s="12">
        <v>0</v>
      </c>
      <c r="R37" s="15">
        <v>0</v>
      </c>
      <c r="S37" s="12" t="s">
        <v>36</v>
      </c>
      <c r="T37" s="12"/>
      <c r="U37" s="17"/>
      <c r="V37" s="17"/>
      <c r="W37" s="17"/>
      <c r="X37" s="17"/>
      <c r="Y37" s="17"/>
      <c r="Z37" s="17"/>
      <c r="AA37" s="17"/>
      <c r="AB37" s="17"/>
      <c r="AC37" s="17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</row>
    <row r="38" spans="1:48" s="19" customFormat="1" ht="12.6" hidden="1" x14ac:dyDescent="0.2">
      <c r="A38" s="7">
        <v>2108</v>
      </c>
      <c r="B38" s="8" t="s">
        <v>20</v>
      </c>
      <c r="C38" s="9" t="s">
        <v>21</v>
      </c>
      <c r="D38" s="8" t="s">
        <v>101</v>
      </c>
      <c r="E38" s="10" t="s">
        <v>102</v>
      </c>
      <c r="F38" s="10" t="s">
        <v>103</v>
      </c>
      <c r="G38" s="10" t="s">
        <v>25</v>
      </c>
      <c r="H38" s="10" t="s">
        <v>26</v>
      </c>
      <c r="I38" s="11" t="s">
        <v>27</v>
      </c>
      <c r="J38" s="12">
        <v>0.7</v>
      </c>
      <c r="K38" s="25" t="s">
        <v>84</v>
      </c>
      <c r="L38" s="22" t="s">
        <v>85</v>
      </c>
      <c r="M38" s="25" t="s">
        <v>86</v>
      </c>
      <c r="N38" s="26">
        <v>0.05</v>
      </c>
      <c r="O38" s="27">
        <v>0.05</v>
      </c>
      <c r="P38" s="24"/>
      <c r="Q38" s="27">
        <v>0</v>
      </c>
      <c r="R38" s="28">
        <v>0</v>
      </c>
      <c r="S38" s="27" t="s">
        <v>36</v>
      </c>
      <c r="T38" s="27"/>
      <c r="U38" s="17"/>
      <c r="V38" s="17"/>
      <c r="W38" s="17"/>
      <c r="X38" s="17"/>
      <c r="Y38" s="17"/>
      <c r="Z38" s="17"/>
      <c r="AA38" s="17"/>
      <c r="AB38" s="17"/>
      <c r="AC38" s="17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spans="1:48" s="19" customFormat="1" ht="20.399999999999999" hidden="1" x14ac:dyDescent="0.2">
      <c r="A39" s="7">
        <v>2109</v>
      </c>
      <c r="B39" s="8" t="s">
        <v>20</v>
      </c>
      <c r="C39" s="9" t="s">
        <v>21</v>
      </c>
      <c r="D39" s="8" t="s">
        <v>101</v>
      </c>
      <c r="E39" s="10" t="s">
        <v>102</v>
      </c>
      <c r="F39" s="10" t="s">
        <v>103</v>
      </c>
      <c r="G39" s="10" t="s">
        <v>25</v>
      </c>
      <c r="H39" s="10" t="s">
        <v>26</v>
      </c>
      <c r="I39" s="25" t="s">
        <v>59</v>
      </c>
      <c r="J39" s="26">
        <v>0.3</v>
      </c>
      <c r="K39" s="25" t="s">
        <v>87</v>
      </c>
      <c r="L39" s="22" t="s">
        <v>88</v>
      </c>
      <c r="M39" s="25" t="s">
        <v>89</v>
      </c>
      <c r="N39" s="26">
        <v>0.7</v>
      </c>
      <c r="O39" s="27">
        <v>0.1</v>
      </c>
      <c r="P39" s="26"/>
      <c r="Q39" s="27">
        <v>0</v>
      </c>
      <c r="R39" s="28">
        <v>0</v>
      </c>
      <c r="S39" s="27" t="s">
        <v>31</v>
      </c>
      <c r="T39" s="27"/>
      <c r="U39" s="17"/>
      <c r="V39" s="17"/>
      <c r="W39" s="17"/>
      <c r="X39" s="17"/>
      <c r="Y39" s="17"/>
      <c r="Z39" s="17"/>
      <c r="AA39" s="17"/>
      <c r="AB39" s="17"/>
      <c r="AC39" s="17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</row>
    <row r="40" spans="1:48" s="19" customFormat="1" ht="20.399999999999999" hidden="1" x14ac:dyDescent="0.2">
      <c r="A40" s="7">
        <v>2110</v>
      </c>
      <c r="B40" s="8" t="s">
        <v>20</v>
      </c>
      <c r="C40" s="9" t="s">
        <v>21</v>
      </c>
      <c r="D40" s="8" t="s">
        <v>101</v>
      </c>
      <c r="E40" s="10" t="s">
        <v>102</v>
      </c>
      <c r="F40" s="10" t="s">
        <v>103</v>
      </c>
      <c r="G40" s="10" t="s">
        <v>25</v>
      </c>
      <c r="H40" s="10" t="s">
        <v>26</v>
      </c>
      <c r="I40" s="25" t="s">
        <v>59</v>
      </c>
      <c r="J40" s="26">
        <v>0.3</v>
      </c>
      <c r="K40" s="25" t="s">
        <v>90</v>
      </c>
      <c r="L40" s="22" t="s">
        <v>91</v>
      </c>
      <c r="M40" s="25" t="s">
        <v>92</v>
      </c>
      <c r="N40" s="26" t="s">
        <v>72</v>
      </c>
      <c r="O40" s="27">
        <v>0.05</v>
      </c>
      <c r="P40" s="29"/>
      <c r="Q40" s="27">
        <v>0</v>
      </c>
      <c r="R40" s="28">
        <v>0</v>
      </c>
      <c r="S40" s="27" t="s">
        <v>36</v>
      </c>
      <c r="T40" s="27"/>
      <c r="U40" s="17"/>
      <c r="V40" s="17"/>
      <c r="W40" s="17"/>
      <c r="X40" s="17"/>
      <c r="Y40" s="17"/>
      <c r="Z40" s="17"/>
      <c r="AA40" s="17"/>
      <c r="AB40" s="17"/>
      <c r="AC40" s="17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</row>
    <row r="41" spans="1:48" s="19" customFormat="1" ht="12.6" hidden="1" x14ac:dyDescent="0.2">
      <c r="A41" s="7">
        <v>2111</v>
      </c>
      <c r="B41" s="8" t="s">
        <v>20</v>
      </c>
      <c r="C41" s="9" t="s">
        <v>21</v>
      </c>
      <c r="D41" s="8" t="s">
        <v>101</v>
      </c>
      <c r="E41" s="10" t="s">
        <v>102</v>
      </c>
      <c r="F41" s="10" t="s">
        <v>103</v>
      </c>
      <c r="G41" s="10" t="s">
        <v>25</v>
      </c>
      <c r="H41" s="10" t="s">
        <v>26</v>
      </c>
      <c r="I41" s="25" t="s">
        <v>27</v>
      </c>
      <c r="J41" s="12">
        <v>0.7</v>
      </c>
      <c r="K41" s="25"/>
      <c r="L41" s="22" t="s">
        <v>93</v>
      </c>
      <c r="M41" s="25"/>
      <c r="N41" s="30">
        <v>0</v>
      </c>
      <c r="O41" s="27">
        <v>0.05</v>
      </c>
      <c r="P41" s="29"/>
      <c r="Q41" s="27">
        <v>0</v>
      </c>
      <c r="R41" s="28">
        <v>0</v>
      </c>
      <c r="S41" s="27" t="s">
        <v>31</v>
      </c>
      <c r="T41" s="27"/>
      <c r="U41" s="17"/>
      <c r="V41" s="17"/>
      <c r="W41" s="17"/>
      <c r="X41" s="17"/>
      <c r="Y41" s="17"/>
      <c r="Z41" s="17"/>
      <c r="AA41" s="17"/>
      <c r="AB41" s="17"/>
      <c r="AC41" s="17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spans="1:48" s="19" customFormat="1" ht="12.6" hidden="1" x14ac:dyDescent="0.2">
      <c r="A42" s="7">
        <v>2112</v>
      </c>
      <c r="B42" s="8" t="s">
        <v>20</v>
      </c>
      <c r="C42" s="9" t="s">
        <v>21</v>
      </c>
      <c r="D42" s="8" t="s">
        <v>101</v>
      </c>
      <c r="E42" s="10" t="s">
        <v>102</v>
      </c>
      <c r="F42" s="10" t="s">
        <v>103</v>
      </c>
      <c r="G42" s="10" t="s">
        <v>25</v>
      </c>
      <c r="H42" s="10" t="s">
        <v>26</v>
      </c>
      <c r="I42" s="25" t="s">
        <v>27</v>
      </c>
      <c r="J42" s="12">
        <v>0.7</v>
      </c>
      <c r="K42" s="25"/>
      <c r="L42" s="22" t="s">
        <v>94</v>
      </c>
      <c r="M42" s="25"/>
      <c r="N42" s="26">
        <v>1</v>
      </c>
      <c r="O42" s="27">
        <v>0.1</v>
      </c>
      <c r="P42" s="29"/>
      <c r="Q42" s="27">
        <v>0</v>
      </c>
      <c r="R42" s="28">
        <v>0</v>
      </c>
      <c r="S42" s="27" t="s">
        <v>31</v>
      </c>
      <c r="T42" s="27"/>
      <c r="U42" s="17"/>
      <c r="V42" s="17"/>
      <c r="W42" s="17"/>
      <c r="X42" s="17"/>
      <c r="Y42" s="17"/>
      <c r="Z42" s="17"/>
      <c r="AA42" s="17"/>
      <c r="AB42" s="17"/>
      <c r="AC42" s="17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</row>
    <row r="43" spans="1:48" s="19" customFormat="1" ht="12.6" hidden="1" x14ac:dyDescent="0.2">
      <c r="A43" s="7">
        <v>2113</v>
      </c>
      <c r="B43" s="8" t="s">
        <v>20</v>
      </c>
      <c r="C43" s="9" t="s">
        <v>21</v>
      </c>
      <c r="D43" s="8" t="s">
        <v>101</v>
      </c>
      <c r="E43" s="10" t="s">
        <v>102</v>
      </c>
      <c r="F43" s="10" t="s">
        <v>103</v>
      </c>
      <c r="G43" s="10" t="s">
        <v>25</v>
      </c>
      <c r="H43" s="10" t="s">
        <v>26</v>
      </c>
      <c r="I43" s="25" t="s">
        <v>59</v>
      </c>
      <c r="J43" s="26">
        <v>0.3</v>
      </c>
      <c r="K43" s="25" t="s">
        <v>95</v>
      </c>
      <c r="L43" s="22" t="s">
        <v>96</v>
      </c>
      <c r="M43" s="25" t="s">
        <v>97</v>
      </c>
      <c r="N43" s="30">
        <v>1</v>
      </c>
      <c r="O43" s="27">
        <v>0.05</v>
      </c>
      <c r="P43" s="31"/>
      <c r="Q43" s="27">
        <v>0</v>
      </c>
      <c r="R43" s="28">
        <v>0</v>
      </c>
      <c r="S43" s="27" t="s">
        <v>31</v>
      </c>
      <c r="T43" s="32"/>
      <c r="U43" s="17"/>
      <c r="V43" s="17"/>
      <c r="W43" s="17"/>
      <c r="X43" s="17"/>
      <c r="Y43" s="17"/>
      <c r="Z43" s="17"/>
      <c r="AA43" s="17"/>
      <c r="AB43" s="17"/>
      <c r="AC43" s="17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</row>
    <row r="44" spans="1:48" s="19" customFormat="1" ht="27" hidden="1" customHeight="1" x14ac:dyDescent="0.2">
      <c r="A44" s="7">
        <v>2114</v>
      </c>
      <c r="B44" s="8" t="s">
        <v>20</v>
      </c>
      <c r="C44" s="9" t="s">
        <v>21</v>
      </c>
      <c r="D44" s="8"/>
      <c r="E44" s="10" t="s">
        <v>104</v>
      </c>
      <c r="F44" s="10" t="s">
        <v>105</v>
      </c>
      <c r="G44" s="10" t="s">
        <v>25</v>
      </c>
      <c r="H44" s="10" t="s">
        <v>26</v>
      </c>
      <c r="I44" s="11" t="s">
        <v>27</v>
      </c>
      <c r="J44" s="12">
        <v>0.7</v>
      </c>
      <c r="K44" s="13" t="s">
        <v>66</v>
      </c>
      <c r="L44" s="14" t="s">
        <v>67</v>
      </c>
      <c r="M44" s="13" t="s">
        <v>68</v>
      </c>
      <c r="N44" s="12">
        <v>0.95</v>
      </c>
      <c r="O44" s="12">
        <v>0.15</v>
      </c>
      <c r="P44" s="12"/>
      <c r="Q44" s="12">
        <v>0</v>
      </c>
      <c r="R44" s="15">
        <v>0</v>
      </c>
      <c r="S44" s="12" t="s">
        <v>31</v>
      </c>
      <c r="T44" s="16">
        <v>0</v>
      </c>
      <c r="U44" s="17"/>
      <c r="V44" s="17"/>
      <c r="W44" s="17"/>
      <c r="X44" s="17"/>
      <c r="Y44" s="17"/>
      <c r="Z44" s="17"/>
      <c r="AA44" s="17"/>
      <c r="AB44" s="17"/>
      <c r="AC44" s="17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</row>
    <row r="45" spans="1:48" s="19" customFormat="1" ht="26.4" hidden="1" customHeight="1" x14ac:dyDescent="0.2">
      <c r="A45" s="7">
        <v>2115</v>
      </c>
      <c r="B45" s="8" t="s">
        <v>20</v>
      </c>
      <c r="C45" s="9" t="s">
        <v>21</v>
      </c>
      <c r="D45" s="8"/>
      <c r="E45" s="10" t="s">
        <v>104</v>
      </c>
      <c r="F45" s="10" t="s">
        <v>105</v>
      </c>
      <c r="G45" s="10" t="s">
        <v>25</v>
      </c>
      <c r="H45" s="10" t="s">
        <v>26</v>
      </c>
      <c r="I45" s="11" t="s">
        <v>27</v>
      </c>
      <c r="J45" s="12">
        <v>0.7</v>
      </c>
      <c r="K45" s="13" t="s">
        <v>69</v>
      </c>
      <c r="L45" s="14" t="s">
        <v>70</v>
      </c>
      <c r="M45" s="13" t="s">
        <v>71</v>
      </c>
      <c r="N45" s="12" t="s">
        <v>72</v>
      </c>
      <c r="O45" s="12">
        <v>0.1</v>
      </c>
      <c r="P45" s="20"/>
      <c r="Q45" s="12">
        <v>0</v>
      </c>
      <c r="R45" s="15">
        <v>0</v>
      </c>
      <c r="S45" s="12" t="s">
        <v>36</v>
      </c>
      <c r="T45" s="12"/>
      <c r="U45" s="17"/>
      <c r="V45" s="17"/>
      <c r="W45" s="17"/>
      <c r="X45" s="17"/>
      <c r="Y45" s="17"/>
      <c r="Z45" s="17"/>
      <c r="AA45" s="17"/>
      <c r="AB45" s="17"/>
      <c r="AC45" s="17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</row>
    <row r="46" spans="1:48" s="19" customFormat="1" ht="26.4" hidden="1" customHeight="1" x14ac:dyDescent="0.2">
      <c r="A46" s="7">
        <v>2116</v>
      </c>
      <c r="B46" s="8" t="s">
        <v>20</v>
      </c>
      <c r="C46" s="9" t="s">
        <v>21</v>
      </c>
      <c r="D46" s="8"/>
      <c r="E46" s="10" t="s">
        <v>104</v>
      </c>
      <c r="F46" s="10" t="s">
        <v>105</v>
      </c>
      <c r="G46" s="10" t="s">
        <v>25</v>
      </c>
      <c r="H46" s="10" t="s">
        <v>26</v>
      </c>
      <c r="I46" s="11" t="s">
        <v>27</v>
      </c>
      <c r="J46" s="12">
        <v>0.7</v>
      </c>
      <c r="K46" s="13" t="s">
        <v>73</v>
      </c>
      <c r="L46" s="14" t="s">
        <v>74</v>
      </c>
      <c r="M46" s="13" t="s">
        <v>75</v>
      </c>
      <c r="N46" s="12">
        <v>1</v>
      </c>
      <c r="O46" s="12">
        <v>0.1</v>
      </c>
      <c r="P46" s="20"/>
      <c r="Q46" s="12">
        <v>0</v>
      </c>
      <c r="R46" s="15">
        <v>0</v>
      </c>
      <c r="S46" s="12" t="s">
        <v>31</v>
      </c>
      <c r="T46" s="12"/>
      <c r="U46" s="17"/>
      <c r="V46" s="17"/>
      <c r="W46" s="17"/>
      <c r="X46" s="17"/>
      <c r="Y46" s="17"/>
      <c r="Z46" s="17"/>
      <c r="AA46" s="17"/>
      <c r="AB46" s="17"/>
      <c r="AC46" s="17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48" s="19" customFormat="1" ht="26.4" hidden="1" customHeight="1" x14ac:dyDescent="0.2">
      <c r="A47" s="7">
        <v>2117</v>
      </c>
      <c r="B47" s="8" t="s">
        <v>20</v>
      </c>
      <c r="C47" s="9" t="s">
        <v>21</v>
      </c>
      <c r="D47" s="8"/>
      <c r="E47" s="10" t="s">
        <v>104</v>
      </c>
      <c r="F47" s="10" t="s">
        <v>105</v>
      </c>
      <c r="G47" s="10" t="s">
        <v>25</v>
      </c>
      <c r="H47" s="10" t="s">
        <v>26</v>
      </c>
      <c r="I47" s="11" t="s">
        <v>27</v>
      </c>
      <c r="J47" s="12">
        <v>0.7</v>
      </c>
      <c r="K47" s="13" t="s">
        <v>76</v>
      </c>
      <c r="L47" s="14" t="s">
        <v>77</v>
      </c>
      <c r="M47" s="13" t="s">
        <v>78</v>
      </c>
      <c r="N47" s="12" t="s">
        <v>79</v>
      </c>
      <c r="O47" s="12">
        <v>0.15</v>
      </c>
      <c r="P47" s="21"/>
      <c r="Q47" s="12">
        <v>0</v>
      </c>
      <c r="R47" s="15">
        <v>0</v>
      </c>
      <c r="S47" s="12" t="s">
        <v>31</v>
      </c>
      <c r="T47" s="12"/>
      <c r="U47" s="17"/>
      <c r="V47" s="17"/>
      <c r="W47" s="17"/>
      <c r="X47" s="17"/>
      <c r="Y47" s="17"/>
      <c r="Z47" s="17"/>
      <c r="AA47" s="17"/>
      <c r="AB47" s="17"/>
      <c r="AC47" s="17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</row>
    <row r="48" spans="1:48" s="19" customFormat="1" ht="26.4" hidden="1" customHeight="1" x14ac:dyDescent="0.2">
      <c r="A48" s="7">
        <v>2118</v>
      </c>
      <c r="B48" s="8" t="s">
        <v>20</v>
      </c>
      <c r="C48" s="9" t="s">
        <v>21</v>
      </c>
      <c r="D48" s="8"/>
      <c r="E48" s="10" t="s">
        <v>104</v>
      </c>
      <c r="F48" s="10" t="s">
        <v>105</v>
      </c>
      <c r="G48" s="10" t="s">
        <v>25</v>
      </c>
      <c r="H48" s="10" t="s">
        <v>26</v>
      </c>
      <c r="I48" s="11" t="s">
        <v>27</v>
      </c>
      <c r="J48" s="12">
        <v>0.7</v>
      </c>
      <c r="K48" s="13" t="s">
        <v>80</v>
      </c>
      <c r="L48" s="14" t="s">
        <v>81</v>
      </c>
      <c r="M48" s="13" t="s">
        <v>82</v>
      </c>
      <c r="N48" s="23" t="s">
        <v>83</v>
      </c>
      <c r="O48" s="12">
        <v>0.1</v>
      </c>
      <c r="P48" s="24"/>
      <c r="Q48" s="12">
        <v>0</v>
      </c>
      <c r="R48" s="15">
        <v>0</v>
      </c>
      <c r="S48" s="12" t="s">
        <v>36</v>
      </c>
      <c r="T48" s="12"/>
      <c r="U48" s="17"/>
      <c r="V48" s="17"/>
      <c r="W48" s="17"/>
      <c r="X48" s="17"/>
      <c r="Y48" s="17"/>
      <c r="Z48" s="17"/>
      <c r="AA48" s="17"/>
      <c r="AB48" s="17"/>
      <c r="AC48" s="17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9" customFormat="1" ht="26.4" hidden="1" customHeight="1" x14ac:dyDescent="0.2">
      <c r="A49" s="7">
        <v>2119</v>
      </c>
      <c r="B49" s="8" t="s">
        <v>20</v>
      </c>
      <c r="C49" s="9" t="s">
        <v>21</v>
      </c>
      <c r="D49" s="8"/>
      <c r="E49" s="10" t="s">
        <v>104</v>
      </c>
      <c r="F49" s="10" t="s">
        <v>105</v>
      </c>
      <c r="G49" s="10" t="s">
        <v>25</v>
      </c>
      <c r="H49" s="10" t="s">
        <v>26</v>
      </c>
      <c r="I49" s="11" t="s">
        <v>27</v>
      </c>
      <c r="J49" s="12">
        <v>0.7</v>
      </c>
      <c r="K49" s="25" t="s">
        <v>84</v>
      </c>
      <c r="L49" s="22" t="s">
        <v>85</v>
      </c>
      <c r="M49" s="25" t="s">
        <v>86</v>
      </c>
      <c r="N49" s="26">
        <v>0.05</v>
      </c>
      <c r="O49" s="27">
        <v>0.05</v>
      </c>
      <c r="P49" s="24"/>
      <c r="Q49" s="27">
        <v>0</v>
      </c>
      <c r="R49" s="28">
        <v>0</v>
      </c>
      <c r="S49" s="27" t="s">
        <v>36</v>
      </c>
      <c r="T49" s="27"/>
      <c r="U49" s="17"/>
      <c r="V49" s="17"/>
      <c r="W49" s="17"/>
      <c r="X49" s="17"/>
      <c r="Y49" s="17"/>
      <c r="Z49" s="17"/>
      <c r="AA49" s="17"/>
      <c r="AB49" s="17"/>
      <c r="AC49" s="17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</row>
    <row r="50" spans="1:48" s="19" customFormat="1" ht="26.4" hidden="1" customHeight="1" x14ac:dyDescent="0.2">
      <c r="A50" s="7">
        <v>2120</v>
      </c>
      <c r="B50" s="8" t="s">
        <v>20</v>
      </c>
      <c r="C50" s="9" t="s">
        <v>21</v>
      </c>
      <c r="D50" s="8"/>
      <c r="E50" s="10" t="s">
        <v>104</v>
      </c>
      <c r="F50" s="10" t="s">
        <v>105</v>
      </c>
      <c r="G50" s="10" t="s">
        <v>25</v>
      </c>
      <c r="H50" s="10" t="s">
        <v>26</v>
      </c>
      <c r="I50" s="25" t="s">
        <v>59</v>
      </c>
      <c r="J50" s="26">
        <v>0.3</v>
      </c>
      <c r="K50" s="25" t="s">
        <v>87</v>
      </c>
      <c r="L50" s="22" t="s">
        <v>88</v>
      </c>
      <c r="M50" s="25" t="s">
        <v>89</v>
      </c>
      <c r="N50" s="26">
        <v>0.7</v>
      </c>
      <c r="O50" s="27">
        <v>0.1</v>
      </c>
      <c r="P50" s="26"/>
      <c r="Q50" s="27">
        <v>0</v>
      </c>
      <c r="R50" s="28">
        <v>0</v>
      </c>
      <c r="S50" s="27" t="s">
        <v>31</v>
      </c>
      <c r="T50" s="27"/>
      <c r="U50" s="17"/>
      <c r="V50" s="17"/>
      <c r="W50" s="17"/>
      <c r="X50" s="17"/>
      <c r="Y50" s="17"/>
      <c r="Z50" s="17"/>
      <c r="AA50" s="17"/>
      <c r="AB50" s="17"/>
      <c r="AC50" s="17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9" customFormat="1" ht="26.4" hidden="1" customHeight="1" x14ac:dyDescent="0.2">
      <c r="A51" s="7">
        <v>2121</v>
      </c>
      <c r="B51" s="8" t="s">
        <v>20</v>
      </c>
      <c r="C51" s="9" t="s">
        <v>21</v>
      </c>
      <c r="D51" s="8"/>
      <c r="E51" s="10" t="s">
        <v>104</v>
      </c>
      <c r="F51" s="10" t="s">
        <v>105</v>
      </c>
      <c r="G51" s="10" t="s">
        <v>25</v>
      </c>
      <c r="H51" s="10" t="s">
        <v>26</v>
      </c>
      <c r="I51" s="25" t="s">
        <v>59</v>
      </c>
      <c r="J51" s="26">
        <v>0.3</v>
      </c>
      <c r="K51" s="25" t="s">
        <v>90</v>
      </c>
      <c r="L51" s="22" t="s">
        <v>91</v>
      </c>
      <c r="M51" s="25" t="s">
        <v>92</v>
      </c>
      <c r="N51" s="26" t="s">
        <v>72</v>
      </c>
      <c r="O51" s="27">
        <v>0.05</v>
      </c>
      <c r="P51" s="29"/>
      <c r="Q51" s="27">
        <v>0</v>
      </c>
      <c r="R51" s="28">
        <v>0</v>
      </c>
      <c r="S51" s="27" t="s">
        <v>36</v>
      </c>
      <c r="T51" s="27"/>
      <c r="U51" s="17"/>
      <c r="V51" s="17"/>
      <c r="W51" s="17"/>
      <c r="X51" s="17"/>
      <c r="Y51" s="17"/>
      <c r="Z51" s="17"/>
      <c r="AA51" s="17"/>
      <c r="AB51" s="17"/>
      <c r="AC51" s="17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</row>
    <row r="52" spans="1:48" s="19" customFormat="1" ht="26.4" hidden="1" customHeight="1" x14ac:dyDescent="0.2">
      <c r="A52" s="7">
        <v>2122</v>
      </c>
      <c r="B52" s="8" t="s">
        <v>20</v>
      </c>
      <c r="C52" s="9" t="s">
        <v>21</v>
      </c>
      <c r="D52" s="8"/>
      <c r="E52" s="10" t="s">
        <v>104</v>
      </c>
      <c r="F52" s="10" t="s">
        <v>105</v>
      </c>
      <c r="G52" s="10" t="s">
        <v>25</v>
      </c>
      <c r="H52" s="10" t="s">
        <v>26</v>
      </c>
      <c r="I52" s="25" t="s">
        <v>27</v>
      </c>
      <c r="J52" s="12">
        <v>0.7</v>
      </c>
      <c r="K52" s="25"/>
      <c r="L52" s="22" t="s">
        <v>93</v>
      </c>
      <c r="M52" s="25"/>
      <c r="N52" s="30">
        <v>0</v>
      </c>
      <c r="O52" s="27">
        <v>0.05</v>
      </c>
      <c r="P52" s="29"/>
      <c r="Q52" s="27">
        <v>0</v>
      </c>
      <c r="R52" s="28">
        <v>0</v>
      </c>
      <c r="S52" s="27" t="s">
        <v>31</v>
      </c>
      <c r="T52" s="27"/>
      <c r="U52" s="17"/>
      <c r="V52" s="17"/>
      <c r="W52" s="17"/>
      <c r="X52" s="17"/>
      <c r="Y52" s="17"/>
      <c r="Z52" s="17"/>
      <c r="AA52" s="17"/>
      <c r="AB52" s="17"/>
      <c r="AC52" s="17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</row>
    <row r="53" spans="1:48" s="19" customFormat="1" ht="26.4" hidden="1" customHeight="1" x14ac:dyDescent="0.2">
      <c r="A53" s="7">
        <v>2123</v>
      </c>
      <c r="B53" s="8" t="s">
        <v>20</v>
      </c>
      <c r="C53" s="9" t="s">
        <v>21</v>
      </c>
      <c r="D53" s="8"/>
      <c r="E53" s="10" t="s">
        <v>104</v>
      </c>
      <c r="F53" s="10" t="s">
        <v>105</v>
      </c>
      <c r="G53" s="10" t="s">
        <v>25</v>
      </c>
      <c r="H53" s="10" t="s">
        <v>26</v>
      </c>
      <c r="I53" s="25" t="s">
        <v>27</v>
      </c>
      <c r="J53" s="12">
        <v>0.7</v>
      </c>
      <c r="K53" s="25"/>
      <c r="L53" s="22" t="s">
        <v>94</v>
      </c>
      <c r="M53" s="25"/>
      <c r="N53" s="26">
        <v>1</v>
      </c>
      <c r="O53" s="27">
        <v>0.1</v>
      </c>
      <c r="P53" s="29"/>
      <c r="Q53" s="27">
        <v>0</v>
      </c>
      <c r="R53" s="28">
        <v>0</v>
      </c>
      <c r="S53" s="27" t="s">
        <v>31</v>
      </c>
      <c r="T53" s="27"/>
      <c r="U53" s="17"/>
      <c r="V53" s="17"/>
      <c r="W53" s="17"/>
      <c r="X53" s="17"/>
      <c r="Y53" s="17"/>
      <c r="Z53" s="17"/>
      <c r="AA53" s="17"/>
      <c r="AB53" s="17"/>
      <c r="AC53" s="17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</row>
    <row r="54" spans="1:48" s="19" customFormat="1" ht="26.4" hidden="1" customHeight="1" x14ac:dyDescent="0.2">
      <c r="A54" s="7">
        <v>2124</v>
      </c>
      <c r="B54" s="8" t="s">
        <v>20</v>
      </c>
      <c r="C54" s="9" t="s">
        <v>21</v>
      </c>
      <c r="D54" s="8"/>
      <c r="E54" s="10" t="s">
        <v>104</v>
      </c>
      <c r="F54" s="10" t="s">
        <v>105</v>
      </c>
      <c r="G54" s="10" t="s">
        <v>25</v>
      </c>
      <c r="H54" s="10" t="s">
        <v>26</v>
      </c>
      <c r="I54" s="25" t="s">
        <v>59</v>
      </c>
      <c r="J54" s="26">
        <v>0.3</v>
      </c>
      <c r="K54" s="25" t="s">
        <v>95</v>
      </c>
      <c r="L54" s="22" t="s">
        <v>96</v>
      </c>
      <c r="M54" s="25" t="s">
        <v>97</v>
      </c>
      <c r="N54" s="30">
        <v>1</v>
      </c>
      <c r="O54" s="27">
        <v>0.05</v>
      </c>
      <c r="P54" s="31"/>
      <c r="Q54" s="27">
        <v>0</v>
      </c>
      <c r="R54" s="28">
        <v>0</v>
      </c>
      <c r="S54" s="27" t="s">
        <v>31</v>
      </c>
      <c r="T54" s="32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</row>
    <row r="55" spans="1:48" s="19" customFormat="1" ht="26.4" hidden="1" customHeight="1" x14ac:dyDescent="0.2">
      <c r="A55" s="7">
        <v>2125</v>
      </c>
      <c r="B55" s="8" t="s">
        <v>20</v>
      </c>
      <c r="C55" s="9" t="s">
        <v>21</v>
      </c>
      <c r="D55" s="8" t="s">
        <v>106</v>
      </c>
      <c r="E55" s="10" t="s">
        <v>107</v>
      </c>
      <c r="F55" s="10" t="s">
        <v>108</v>
      </c>
      <c r="G55" s="10" t="s">
        <v>25</v>
      </c>
      <c r="H55" s="10" t="s">
        <v>26</v>
      </c>
      <c r="I55" s="11" t="s">
        <v>27</v>
      </c>
      <c r="J55" s="12">
        <v>0.7</v>
      </c>
      <c r="K55" s="13" t="s">
        <v>109</v>
      </c>
      <c r="L55" s="14" t="s">
        <v>110</v>
      </c>
      <c r="M55" s="13" t="s">
        <v>111</v>
      </c>
      <c r="N55" s="12" t="s">
        <v>112</v>
      </c>
      <c r="O55" s="12">
        <v>0.15</v>
      </c>
      <c r="P55" s="12"/>
      <c r="Q55" s="12">
        <f>ROUND(IF(OR(N55="",P55=""),0,IF(AND(N55=0,P55=0),1,IF(S55="+",P55/N55,N55/P55))),2)</f>
        <v>0</v>
      </c>
      <c r="R55" s="15">
        <f>IF(AND(Q55&gt;=60%,Q55&lt;100%),Q55*((O55*J55)),IF(Q55=100%,((O55*J55)*Q55)*100%,IF(Q55&gt;100%,((J55*O55)*100%)*100%,0)))*100</f>
        <v>0</v>
      </c>
      <c r="S55" s="12" t="s">
        <v>31</v>
      </c>
      <c r="T55" s="16">
        <f>SUM(R55:R61)%</f>
        <v>0</v>
      </c>
      <c r="U55" s="17"/>
      <c r="V55" s="17"/>
      <c r="W55" s="17"/>
      <c r="X55" s="17"/>
      <c r="Y55" s="17"/>
      <c r="Z55" s="17"/>
      <c r="AA55" s="17"/>
      <c r="AB55" s="17"/>
      <c r="AC55" s="17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</row>
    <row r="56" spans="1:48" s="19" customFormat="1" ht="26.4" hidden="1" customHeight="1" x14ac:dyDescent="0.2">
      <c r="A56" s="7">
        <v>2126</v>
      </c>
      <c r="B56" s="8" t="s">
        <v>20</v>
      </c>
      <c r="C56" s="9" t="s">
        <v>21</v>
      </c>
      <c r="D56" s="8" t="s">
        <v>106</v>
      </c>
      <c r="E56" s="10" t="s">
        <v>107</v>
      </c>
      <c r="F56" s="10" t="s">
        <v>108</v>
      </c>
      <c r="G56" s="10" t="s">
        <v>25</v>
      </c>
      <c r="H56" s="10" t="s">
        <v>26</v>
      </c>
      <c r="I56" s="11" t="s">
        <v>27</v>
      </c>
      <c r="J56" s="12">
        <v>0.7</v>
      </c>
      <c r="K56" s="13" t="s">
        <v>113</v>
      </c>
      <c r="L56" s="14" t="s">
        <v>114</v>
      </c>
      <c r="M56" s="13" t="s">
        <v>115</v>
      </c>
      <c r="N56" s="12" t="s">
        <v>116</v>
      </c>
      <c r="O56" s="12">
        <v>0.15</v>
      </c>
      <c r="P56" s="20"/>
      <c r="Q56" s="12">
        <f>ROUND(IF(OR(N56="",P56=""),0,IF(AND(N56=0,P56=0),1,IF(S56="+",P56/N56,N56/P56))),2)</f>
        <v>0</v>
      </c>
      <c r="R56" s="15">
        <f>IF(AND(Q56&gt;=60%,Q56&lt;100%),Q56*((O56*J56)),IF(Q56=100%,((O56*J56)*Q56)*100%,IF(Q56&gt;100%,((J56*O56)*100%)*100%,0)))*100</f>
        <v>0</v>
      </c>
      <c r="S56" s="12" t="s">
        <v>31</v>
      </c>
      <c r="T56" s="12"/>
      <c r="U56" s="17"/>
      <c r="V56" s="17"/>
      <c r="W56" s="17"/>
      <c r="X56" s="17"/>
      <c r="Y56" s="17"/>
      <c r="Z56" s="17"/>
      <c r="AA56" s="17"/>
      <c r="AB56" s="17"/>
      <c r="AC56" s="17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</row>
    <row r="57" spans="1:48" s="19" customFormat="1" ht="26.4" hidden="1" customHeight="1" x14ac:dyDescent="0.2">
      <c r="A57" s="7">
        <v>2127</v>
      </c>
      <c r="B57" s="8" t="s">
        <v>20</v>
      </c>
      <c r="C57" s="9" t="s">
        <v>21</v>
      </c>
      <c r="D57" s="8" t="s">
        <v>106</v>
      </c>
      <c r="E57" s="10" t="s">
        <v>107</v>
      </c>
      <c r="F57" s="10" t="s">
        <v>108</v>
      </c>
      <c r="G57" s="10" t="s">
        <v>25</v>
      </c>
      <c r="H57" s="10" t="s">
        <v>26</v>
      </c>
      <c r="I57" s="11" t="s">
        <v>27</v>
      </c>
      <c r="J57" s="12">
        <v>0.7</v>
      </c>
      <c r="K57" s="13" t="s">
        <v>117</v>
      </c>
      <c r="L57" s="14" t="s">
        <v>118</v>
      </c>
      <c r="M57" s="13" t="s">
        <v>119</v>
      </c>
      <c r="N57" s="12" t="s">
        <v>120</v>
      </c>
      <c r="O57" s="12">
        <v>0.1</v>
      </c>
      <c r="P57" s="20"/>
      <c r="Q57" s="12">
        <f t="shared" ref="Q57:Q58" si="6">ROUND(IF(OR(N57="",P57=""),0,IF(AND(N57=0,P57=0),1,IF(S57="+",P57/N57,N57/P57))),2)</f>
        <v>0</v>
      </c>
      <c r="R57" s="15">
        <f>IF(AND(Q57&gt;=60%,Q57&lt;100%),Q57*((O57*J57)),IF(Q57=100%,((O57*J57)*Q57)*100%,IF(Q57&gt;100%,((J57*O57)*100%)*100%,0)))*100</f>
        <v>0</v>
      </c>
      <c r="S57" s="12" t="s">
        <v>36</v>
      </c>
      <c r="T57" s="12"/>
      <c r="U57" s="17"/>
      <c r="V57" s="17"/>
      <c r="W57" s="17"/>
      <c r="X57" s="17"/>
      <c r="Y57" s="17"/>
      <c r="Z57" s="17"/>
      <c r="AA57" s="17"/>
      <c r="AB57" s="17"/>
      <c r="AC57" s="17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</row>
    <row r="58" spans="1:48" s="19" customFormat="1" ht="26.4" hidden="1" customHeight="1" x14ac:dyDescent="0.2">
      <c r="A58" s="7">
        <v>2128</v>
      </c>
      <c r="B58" s="8" t="s">
        <v>20</v>
      </c>
      <c r="C58" s="9" t="s">
        <v>21</v>
      </c>
      <c r="D58" s="8" t="s">
        <v>106</v>
      </c>
      <c r="E58" s="10" t="s">
        <v>107</v>
      </c>
      <c r="F58" s="10" t="s">
        <v>108</v>
      </c>
      <c r="G58" s="10" t="s">
        <v>25</v>
      </c>
      <c r="H58" s="10" t="s">
        <v>26</v>
      </c>
      <c r="I58" s="11" t="s">
        <v>27</v>
      </c>
      <c r="J58" s="12">
        <v>0.7</v>
      </c>
      <c r="K58" s="13" t="s">
        <v>121</v>
      </c>
      <c r="L58" s="14" t="s">
        <v>122</v>
      </c>
      <c r="M58" s="13" t="s">
        <v>123</v>
      </c>
      <c r="N58" s="12" t="s">
        <v>116</v>
      </c>
      <c r="O58" s="12">
        <v>0.1</v>
      </c>
      <c r="P58" s="21"/>
      <c r="Q58" s="12">
        <f t="shared" si="6"/>
        <v>0</v>
      </c>
      <c r="R58" s="15">
        <f>IF(AND(Q58&gt;=60%,Q58&lt;100%),Q58*((O58*J58)),IF(Q58=100%,((O58*J58)*Q58)*100%,IF(Q58&gt;100%,((J58*O58)*100%)*100%,0)))*100</f>
        <v>0</v>
      </c>
      <c r="S58" s="12" t="s">
        <v>31</v>
      </c>
      <c r="T58" s="12"/>
      <c r="U58" s="17"/>
      <c r="V58" s="17"/>
      <c r="W58" s="17"/>
      <c r="X58" s="17"/>
      <c r="Y58" s="17"/>
      <c r="Z58" s="17"/>
      <c r="AA58" s="17"/>
      <c r="AB58" s="17"/>
      <c r="AC58" s="17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</row>
    <row r="59" spans="1:48" s="19" customFormat="1" ht="26.4" hidden="1" customHeight="1" x14ac:dyDescent="0.2">
      <c r="A59" s="7">
        <v>2129</v>
      </c>
      <c r="B59" s="8" t="s">
        <v>20</v>
      </c>
      <c r="C59" s="9" t="s">
        <v>21</v>
      </c>
      <c r="D59" s="8" t="s">
        <v>106</v>
      </c>
      <c r="E59" s="10" t="s">
        <v>107</v>
      </c>
      <c r="F59" s="10" t="s">
        <v>108</v>
      </c>
      <c r="G59" s="10" t="s">
        <v>25</v>
      </c>
      <c r="H59" s="10" t="s">
        <v>26</v>
      </c>
      <c r="I59" s="11" t="s">
        <v>27</v>
      </c>
      <c r="J59" s="12">
        <v>0.7</v>
      </c>
      <c r="K59" s="13" t="s">
        <v>124</v>
      </c>
      <c r="L59" s="14" t="s">
        <v>125</v>
      </c>
      <c r="M59" s="13" t="s">
        <v>126</v>
      </c>
      <c r="N59" s="23" t="s">
        <v>127</v>
      </c>
      <c r="O59" s="12">
        <v>0.1</v>
      </c>
      <c r="P59" s="24"/>
      <c r="Q59" s="12">
        <f>ROUND(IF(OR(N59="",P59=""),0,IF(AND(N59=0,P59=0),1,IF(S59="+",P59/N59,N59/P59))),2)</f>
        <v>0</v>
      </c>
      <c r="R59" s="15">
        <f t="shared" ref="R59:R61" si="7">IF(AND(Q59&gt;=60%,Q59&lt;100%),Q59*((O59*J59)),IF(Q59=100%,((O59*J59)*Q59)*100%,IF(Q59&gt;100%,((J59*O59)*100%)*100%,0)))*100</f>
        <v>0</v>
      </c>
      <c r="S59" s="12" t="s">
        <v>31</v>
      </c>
      <c r="T59" s="12"/>
      <c r="U59" s="17"/>
      <c r="V59" s="17"/>
      <c r="W59" s="17"/>
      <c r="X59" s="17"/>
      <c r="Y59" s="17"/>
      <c r="Z59" s="17"/>
      <c r="AA59" s="17"/>
      <c r="AB59" s="17"/>
      <c r="AC59" s="17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</row>
    <row r="60" spans="1:48" s="19" customFormat="1" ht="26.4" hidden="1" customHeight="1" x14ac:dyDescent="0.2">
      <c r="A60" s="7">
        <v>2130</v>
      </c>
      <c r="B60" s="8" t="s">
        <v>20</v>
      </c>
      <c r="C60" s="9" t="s">
        <v>21</v>
      </c>
      <c r="D60" s="8" t="s">
        <v>106</v>
      </c>
      <c r="E60" s="10" t="s">
        <v>107</v>
      </c>
      <c r="F60" s="10" t="s">
        <v>108</v>
      </c>
      <c r="G60" s="10" t="s">
        <v>25</v>
      </c>
      <c r="H60" s="10" t="s">
        <v>26</v>
      </c>
      <c r="I60" s="11" t="s">
        <v>59</v>
      </c>
      <c r="J60" s="12">
        <v>0.2</v>
      </c>
      <c r="K60" s="25" t="s">
        <v>128</v>
      </c>
      <c r="L60" s="22" t="s">
        <v>129</v>
      </c>
      <c r="M60" s="25" t="s">
        <v>130</v>
      </c>
      <c r="N60" s="26" t="s">
        <v>112</v>
      </c>
      <c r="O60" s="27">
        <v>0.2</v>
      </c>
      <c r="P60" s="24"/>
      <c r="Q60" s="27">
        <f t="shared" ref="Q60" si="8">ROUND(IF(OR(N60="",P60=""),0,IF(AND(N60=0,P60=0),1,IF(S60="+",P60/N60,N60/P60))),2)</f>
        <v>0</v>
      </c>
      <c r="R60" s="28">
        <f t="shared" si="7"/>
        <v>0</v>
      </c>
      <c r="S60" s="27" t="s">
        <v>31</v>
      </c>
      <c r="T60" s="27"/>
      <c r="U60" s="17"/>
      <c r="V60" s="17"/>
      <c r="W60" s="17"/>
      <c r="X60" s="17"/>
      <c r="Y60" s="17"/>
      <c r="Z60" s="17"/>
      <c r="AA60" s="17"/>
      <c r="AB60" s="17"/>
      <c r="AC60" s="17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</row>
    <row r="61" spans="1:48" s="19" customFormat="1" ht="26.4" hidden="1" customHeight="1" x14ac:dyDescent="0.2">
      <c r="A61" s="7">
        <v>2132</v>
      </c>
      <c r="B61" s="8" t="s">
        <v>20</v>
      </c>
      <c r="C61" s="9" t="s">
        <v>21</v>
      </c>
      <c r="D61" s="8" t="s">
        <v>106</v>
      </c>
      <c r="E61" s="10" t="s">
        <v>107</v>
      </c>
      <c r="F61" s="10" t="s">
        <v>108</v>
      </c>
      <c r="G61" s="10" t="s">
        <v>25</v>
      </c>
      <c r="H61" s="10" t="s">
        <v>26</v>
      </c>
      <c r="I61" s="25" t="s">
        <v>131</v>
      </c>
      <c r="J61" s="26">
        <v>0.1</v>
      </c>
      <c r="K61" s="25" t="s">
        <v>132</v>
      </c>
      <c r="L61" s="22" t="s">
        <v>133</v>
      </c>
      <c r="M61" s="25" t="s">
        <v>134</v>
      </c>
      <c r="N61" s="26" t="s">
        <v>135</v>
      </c>
      <c r="O61" s="27">
        <v>0.2</v>
      </c>
      <c r="P61" s="29"/>
      <c r="Q61" s="27">
        <f>ROUND(IF(OR(N61="",P61=""),0,IF(AND(N61=0,P61=0),1,IF(S61="+",P61/N61,N61/P61))),2)</f>
        <v>0</v>
      </c>
      <c r="R61" s="28">
        <f t="shared" si="7"/>
        <v>0</v>
      </c>
      <c r="S61" s="27" t="s">
        <v>31</v>
      </c>
      <c r="T61" s="27"/>
      <c r="U61" s="17"/>
      <c r="V61" s="17"/>
      <c r="W61" s="17"/>
      <c r="X61" s="17"/>
      <c r="Y61" s="17"/>
      <c r="Z61" s="17"/>
      <c r="AA61" s="17"/>
      <c r="AB61" s="17"/>
      <c r="AC61" s="17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</row>
    <row r="62" spans="1:48" s="19" customFormat="1" ht="26.4" customHeight="1" x14ac:dyDescent="0.2">
      <c r="A62" s="7">
        <v>2136</v>
      </c>
      <c r="B62" s="8" t="s">
        <v>20</v>
      </c>
      <c r="C62" s="9" t="s">
        <v>21</v>
      </c>
      <c r="D62" s="8" t="s">
        <v>136</v>
      </c>
      <c r="E62" s="10" t="s">
        <v>137</v>
      </c>
      <c r="F62" s="10" t="s">
        <v>138</v>
      </c>
      <c r="G62" s="10" t="s">
        <v>25</v>
      </c>
      <c r="H62" s="10" t="s">
        <v>26</v>
      </c>
      <c r="I62" s="11" t="s">
        <v>27</v>
      </c>
      <c r="J62" s="12">
        <v>0.7</v>
      </c>
      <c r="K62" s="13" t="s">
        <v>139</v>
      </c>
      <c r="L62" s="14" t="s">
        <v>140</v>
      </c>
      <c r="M62" s="13" t="s">
        <v>141</v>
      </c>
      <c r="N62" s="12" t="s">
        <v>112</v>
      </c>
      <c r="O62" s="12">
        <v>0.1</v>
      </c>
      <c r="P62" s="12"/>
      <c r="Q62" s="12">
        <f>ROUND(IF(OR(N62="",P62=""),0,IF(AND(N62=0,P62=0),1,IF(S62="+",P62/N62,N62/P62))),2)</f>
        <v>0</v>
      </c>
      <c r="R62" s="15">
        <f>IF(AND(Q62&gt;=60%,Q62&lt;100%),Q62*((O62*J62)),IF(Q62=100%,((O62*J62)*Q62)*100%,IF(Q62&gt;100%,((J62*O62)*100%)*100%,0)))*100</f>
        <v>0</v>
      </c>
      <c r="S62" s="12" t="s">
        <v>31</v>
      </c>
      <c r="T62" s="16">
        <f>SUM(R62:R70)%</f>
        <v>0</v>
      </c>
      <c r="U62" s="17"/>
      <c r="V62" s="17"/>
      <c r="W62" s="17"/>
      <c r="X62" s="17"/>
      <c r="Y62" s="17"/>
      <c r="Z62" s="17"/>
      <c r="AA62" s="17"/>
      <c r="AB62" s="17"/>
      <c r="AC62" s="17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</row>
    <row r="63" spans="1:48" s="19" customFormat="1" ht="26.4" customHeight="1" x14ac:dyDescent="0.2">
      <c r="A63" s="7">
        <v>2137</v>
      </c>
      <c r="B63" s="8" t="s">
        <v>20</v>
      </c>
      <c r="C63" s="9" t="s">
        <v>21</v>
      </c>
      <c r="D63" s="8" t="s">
        <v>136</v>
      </c>
      <c r="E63" s="10" t="s">
        <v>137</v>
      </c>
      <c r="F63" s="10" t="s">
        <v>138</v>
      </c>
      <c r="G63" s="10" t="s">
        <v>25</v>
      </c>
      <c r="H63" s="10" t="s">
        <v>26</v>
      </c>
      <c r="I63" s="11" t="s">
        <v>27</v>
      </c>
      <c r="J63" s="12">
        <v>0.7</v>
      </c>
      <c r="K63" s="13" t="s">
        <v>142</v>
      </c>
      <c r="L63" s="14" t="s">
        <v>143</v>
      </c>
      <c r="M63" s="13" t="s">
        <v>144</v>
      </c>
      <c r="N63" s="12">
        <v>1</v>
      </c>
      <c r="O63" s="12">
        <v>0.1</v>
      </c>
      <c r="P63" s="20"/>
      <c r="Q63" s="12">
        <f>ROUND(IF(OR(N63="",P63=""),0,IF(AND(N63=0,P63=0),1,IF(S63="+",P63/N63,N63/P63))),2)</f>
        <v>0</v>
      </c>
      <c r="R63" s="15">
        <f>IF(AND(Q63&gt;=60%,Q63&lt;100%),Q63*((O63*J63)),IF(Q63=100%,((O63*J63)*Q63)*100%,IF(Q63&gt;100%,((J63*O63)*100%)*100%,0)))*100</f>
        <v>0</v>
      </c>
      <c r="S63" s="12" t="s">
        <v>31</v>
      </c>
      <c r="T63" s="12"/>
      <c r="U63" s="17"/>
      <c r="V63" s="17"/>
      <c r="W63" s="17"/>
      <c r="X63" s="17"/>
      <c r="Y63" s="17"/>
      <c r="Z63" s="17"/>
      <c r="AA63" s="17"/>
      <c r="AB63" s="17"/>
      <c r="AC63" s="17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</row>
    <row r="64" spans="1:48" s="19" customFormat="1" ht="26.4" customHeight="1" x14ac:dyDescent="0.2">
      <c r="A64" s="7">
        <v>2138</v>
      </c>
      <c r="B64" s="8" t="s">
        <v>20</v>
      </c>
      <c r="C64" s="9" t="s">
        <v>21</v>
      </c>
      <c r="D64" s="8" t="s">
        <v>136</v>
      </c>
      <c r="E64" s="10" t="s">
        <v>137</v>
      </c>
      <c r="F64" s="10" t="s">
        <v>138</v>
      </c>
      <c r="G64" s="10" t="s">
        <v>25</v>
      </c>
      <c r="H64" s="10" t="s">
        <v>26</v>
      </c>
      <c r="I64" s="11" t="s">
        <v>27</v>
      </c>
      <c r="J64" s="12">
        <v>0.7</v>
      </c>
      <c r="K64" s="13" t="s">
        <v>145</v>
      </c>
      <c r="L64" s="14" t="s">
        <v>146</v>
      </c>
      <c r="M64" s="13" t="s">
        <v>147</v>
      </c>
      <c r="N64" s="12" t="s">
        <v>148</v>
      </c>
      <c r="O64" s="12">
        <v>0.1</v>
      </c>
      <c r="P64" s="20"/>
      <c r="Q64" s="12">
        <f t="shared" ref="Q64:Q65" si="9">ROUND(IF(OR(N64="",P64=""),0,IF(AND(N64=0,P64=0),1,IF(S64="+",P64/N64,N64/P64))),2)</f>
        <v>0</v>
      </c>
      <c r="R64" s="15">
        <f>IF(AND(Q64&gt;=60%,Q64&lt;100%),Q64*((O64*J64)),IF(Q64=100%,((O64*J64)*Q64)*100%,IF(Q64&gt;100%,((J64*O64)*100%)*100%,0)))*100</f>
        <v>0</v>
      </c>
      <c r="S64" s="12" t="s">
        <v>36</v>
      </c>
      <c r="T64" s="12"/>
      <c r="U64" s="17"/>
      <c r="V64" s="17"/>
      <c r="W64" s="17"/>
      <c r="X64" s="17"/>
      <c r="Y64" s="17"/>
      <c r="Z64" s="17"/>
      <c r="AA64" s="17"/>
      <c r="AB64" s="17"/>
      <c r="AC64" s="17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</row>
    <row r="65" spans="1:48" s="19" customFormat="1" ht="26.4" customHeight="1" x14ac:dyDescent="0.2">
      <c r="A65" s="7">
        <v>2139</v>
      </c>
      <c r="B65" s="8" t="s">
        <v>20</v>
      </c>
      <c r="C65" s="9" t="s">
        <v>21</v>
      </c>
      <c r="D65" s="8" t="s">
        <v>136</v>
      </c>
      <c r="E65" s="10" t="s">
        <v>137</v>
      </c>
      <c r="F65" s="10" t="s">
        <v>138</v>
      </c>
      <c r="G65" s="10" t="s">
        <v>25</v>
      </c>
      <c r="H65" s="10" t="s">
        <v>26</v>
      </c>
      <c r="I65" s="11" t="s">
        <v>27</v>
      </c>
      <c r="J65" s="12">
        <v>0.7</v>
      </c>
      <c r="K65" s="13" t="s">
        <v>149</v>
      </c>
      <c r="L65" s="14" t="s">
        <v>150</v>
      </c>
      <c r="M65" s="13" t="s">
        <v>151</v>
      </c>
      <c r="N65" s="12" t="s">
        <v>152</v>
      </c>
      <c r="O65" s="12">
        <v>0.1</v>
      </c>
      <c r="P65" s="21"/>
      <c r="Q65" s="12">
        <f t="shared" si="9"/>
        <v>0</v>
      </c>
      <c r="R65" s="15">
        <f>IF(AND(Q65&gt;=60%,Q65&lt;100%),Q65*((O65*J65)),IF(Q65=100%,((O65*J65)*Q65)*100%,IF(Q65&gt;100%,((J65*O65)*100%)*100%,0)))*100</f>
        <v>0</v>
      </c>
      <c r="S65" s="12" t="s">
        <v>36</v>
      </c>
      <c r="T65" s="12"/>
      <c r="U65" s="17"/>
      <c r="V65" s="17"/>
      <c r="W65" s="17"/>
      <c r="X65" s="17"/>
      <c r="Y65" s="17"/>
      <c r="Z65" s="17"/>
      <c r="AA65" s="17"/>
      <c r="AB65" s="17"/>
      <c r="AC65" s="17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</row>
    <row r="66" spans="1:48" s="19" customFormat="1" ht="26.4" customHeight="1" x14ac:dyDescent="0.2">
      <c r="A66" s="7">
        <v>2140</v>
      </c>
      <c r="B66" s="8" t="s">
        <v>20</v>
      </c>
      <c r="C66" s="9" t="s">
        <v>21</v>
      </c>
      <c r="D66" s="8" t="s">
        <v>136</v>
      </c>
      <c r="E66" s="10" t="s">
        <v>137</v>
      </c>
      <c r="F66" s="10" t="s">
        <v>138</v>
      </c>
      <c r="G66" s="10" t="s">
        <v>25</v>
      </c>
      <c r="H66" s="10" t="s">
        <v>26</v>
      </c>
      <c r="I66" s="11" t="s">
        <v>27</v>
      </c>
      <c r="J66" s="12">
        <v>0.7</v>
      </c>
      <c r="K66" s="13" t="s">
        <v>471</v>
      </c>
      <c r="L66" s="14" t="s">
        <v>472</v>
      </c>
      <c r="M66" s="13" t="s">
        <v>473</v>
      </c>
      <c r="N66" s="23">
        <v>1</v>
      </c>
      <c r="O66" s="12">
        <v>0.08</v>
      </c>
      <c r="P66" s="24"/>
      <c r="Q66" s="12">
        <f>ROUND(IF(OR(N66="",P66=""),0,IF(AND(N66=0,P66=0),1,IF(S66="+",P66/N66,N66/P66))),2)</f>
        <v>0</v>
      </c>
      <c r="R66" s="15">
        <f t="shared" ref="R66:R70" si="10">IF(AND(Q66&gt;=60%,Q66&lt;100%),Q66*((O66*J66)),IF(Q66=100%,((O66*J66)*Q66)*100%,IF(Q66&gt;100%,((J66*O66)*100%)*100%,0)))*100</f>
        <v>0</v>
      </c>
      <c r="S66" s="12" t="s">
        <v>31</v>
      </c>
      <c r="T66" s="12"/>
      <c r="U66" s="17"/>
      <c r="V66" s="17"/>
      <c r="W66" s="17"/>
      <c r="X66" s="17"/>
      <c r="Y66" s="17"/>
      <c r="Z66" s="17"/>
      <c r="AA66" s="17"/>
      <c r="AB66" s="17"/>
      <c r="AC66" s="17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</row>
    <row r="67" spans="1:48" s="19" customFormat="1" ht="26.4" customHeight="1" x14ac:dyDescent="0.2">
      <c r="A67" s="7">
        <v>2141</v>
      </c>
      <c r="B67" s="8" t="s">
        <v>20</v>
      </c>
      <c r="C67" s="9" t="s">
        <v>21</v>
      </c>
      <c r="D67" s="8" t="s">
        <v>136</v>
      </c>
      <c r="E67" s="10" t="s">
        <v>137</v>
      </c>
      <c r="F67" s="10" t="s">
        <v>138</v>
      </c>
      <c r="G67" s="10" t="s">
        <v>25</v>
      </c>
      <c r="H67" s="10" t="s">
        <v>26</v>
      </c>
      <c r="I67" s="11" t="s">
        <v>27</v>
      </c>
      <c r="J67" s="12">
        <v>0.7</v>
      </c>
      <c r="K67" s="25" t="s">
        <v>153</v>
      </c>
      <c r="L67" s="22" t="s">
        <v>154</v>
      </c>
      <c r="M67" s="25" t="s">
        <v>155</v>
      </c>
      <c r="N67" s="26" t="s">
        <v>156</v>
      </c>
      <c r="O67" s="27">
        <v>0.08</v>
      </c>
      <c r="P67" s="24"/>
      <c r="Q67" s="27">
        <f t="shared" ref="Q67:Q69" si="11">ROUND(IF(OR(N67="",P67=""),0,IF(AND(N67=0,P67=0),1,IF(S67="+",P67/N67,N67/P67))),2)</f>
        <v>0</v>
      </c>
      <c r="R67" s="28">
        <f t="shared" si="10"/>
        <v>0</v>
      </c>
      <c r="S67" s="27" t="s">
        <v>36</v>
      </c>
      <c r="T67" s="27"/>
      <c r="U67" s="17"/>
      <c r="V67" s="17"/>
      <c r="W67" s="17"/>
      <c r="X67" s="17"/>
      <c r="Y67" s="17"/>
      <c r="Z67" s="17"/>
      <c r="AA67" s="17"/>
      <c r="AB67" s="17"/>
      <c r="AC67" s="17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</row>
    <row r="68" spans="1:48" s="19" customFormat="1" ht="26.4" customHeight="1" x14ac:dyDescent="0.2">
      <c r="A68" s="7">
        <v>2142</v>
      </c>
      <c r="B68" s="8" t="s">
        <v>20</v>
      </c>
      <c r="C68" s="9" t="s">
        <v>21</v>
      </c>
      <c r="D68" s="8" t="s">
        <v>136</v>
      </c>
      <c r="E68" s="10" t="s">
        <v>137</v>
      </c>
      <c r="F68" s="10" t="s">
        <v>138</v>
      </c>
      <c r="G68" s="10" t="s">
        <v>25</v>
      </c>
      <c r="H68" s="10" t="s">
        <v>26</v>
      </c>
      <c r="I68" s="25" t="s">
        <v>27</v>
      </c>
      <c r="J68" s="26">
        <v>0.7</v>
      </c>
      <c r="K68" s="25" t="s">
        <v>157</v>
      </c>
      <c r="L68" s="22" t="s">
        <v>158</v>
      </c>
      <c r="M68" s="25" t="s">
        <v>159</v>
      </c>
      <c r="N68" s="26" t="s">
        <v>160</v>
      </c>
      <c r="O68" s="27">
        <v>0.09</v>
      </c>
      <c r="P68" s="26"/>
      <c r="Q68" s="27">
        <f t="shared" si="11"/>
        <v>0</v>
      </c>
      <c r="R68" s="28">
        <f t="shared" si="10"/>
        <v>0</v>
      </c>
      <c r="S68" s="27" t="s">
        <v>31</v>
      </c>
      <c r="T68" s="27"/>
      <c r="U68" s="17"/>
      <c r="V68" s="17"/>
      <c r="W68" s="17"/>
      <c r="X68" s="17"/>
      <c r="Y68" s="17"/>
      <c r="Z68" s="17"/>
      <c r="AA68" s="17"/>
      <c r="AB68" s="17"/>
      <c r="AC68" s="17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</row>
    <row r="69" spans="1:48" s="19" customFormat="1" ht="26.4" customHeight="1" x14ac:dyDescent="0.2">
      <c r="A69" s="7">
        <v>2143</v>
      </c>
      <c r="B69" s="8" t="s">
        <v>20</v>
      </c>
      <c r="C69" s="9" t="s">
        <v>161</v>
      </c>
      <c r="D69" s="8" t="s">
        <v>162</v>
      </c>
      <c r="E69" s="10" t="s">
        <v>137</v>
      </c>
      <c r="F69" s="10" t="s">
        <v>138</v>
      </c>
      <c r="G69" s="10" t="s">
        <v>25</v>
      </c>
      <c r="H69" s="10" t="s">
        <v>26</v>
      </c>
      <c r="I69" s="25" t="s">
        <v>27</v>
      </c>
      <c r="J69" s="26">
        <v>0.7</v>
      </c>
      <c r="K69" s="25" t="s">
        <v>163</v>
      </c>
      <c r="L69" s="22" t="s">
        <v>164</v>
      </c>
      <c r="M69" s="25" t="s">
        <v>165</v>
      </c>
      <c r="N69" s="26" t="s">
        <v>166</v>
      </c>
      <c r="O69" s="27">
        <v>0.1</v>
      </c>
      <c r="P69" s="26"/>
      <c r="Q69" s="27">
        <f t="shared" si="11"/>
        <v>0</v>
      </c>
      <c r="R69" s="28">
        <f t="shared" si="10"/>
        <v>0</v>
      </c>
      <c r="S69" s="27" t="s">
        <v>31</v>
      </c>
      <c r="T69" s="27"/>
      <c r="U69" s="17"/>
      <c r="V69" s="17"/>
      <c r="W69" s="17"/>
      <c r="X69" s="17"/>
      <c r="Y69" s="17"/>
      <c r="Z69" s="17"/>
      <c r="AA69" s="17"/>
      <c r="AB69" s="17"/>
      <c r="AC69" s="17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</row>
    <row r="70" spans="1:48" s="19" customFormat="1" ht="26.4" customHeight="1" x14ac:dyDescent="0.2">
      <c r="A70" s="7">
        <v>2144</v>
      </c>
      <c r="B70" s="8" t="s">
        <v>20</v>
      </c>
      <c r="C70" s="9" t="s">
        <v>167</v>
      </c>
      <c r="D70" s="8" t="s">
        <v>168</v>
      </c>
      <c r="E70" s="10" t="s">
        <v>137</v>
      </c>
      <c r="F70" s="10" t="s">
        <v>138</v>
      </c>
      <c r="G70" s="10" t="s">
        <v>25</v>
      </c>
      <c r="H70" s="10" t="s">
        <v>26</v>
      </c>
      <c r="I70" s="25" t="s">
        <v>27</v>
      </c>
      <c r="J70" s="26">
        <v>0.7</v>
      </c>
      <c r="K70" s="25" t="s">
        <v>169</v>
      </c>
      <c r="L70" s="22" t="s">
        <v>170</v>
      </c>
      <c r="M70" s="25" t="s">
        <v>171</v>
      </c>
      <c r="N70" s="26" t="s">
        <v>172</v>
      </c>
      <c r="O70" s="27">
        <v>0.1</v>
      </c>
      <c r="P70" s="29"/>
      <c r="Q70" s="27">
        <f>ROUND(IF(OR(N70="",P70=""),0,IF(AND(N70=0,P70=0),1,IF(S70="+",P70/N70,N70/P70))),2)</f>
        <v>0</v>
      </c>
      <c r="R70" s="28">
        <f t="shared" si="10"/>
        <v>0</v>
      </c>
      <c r="S70" s="27" t="s">
        <v>36</v>
      </c>
      <c r="T70" s="27"/>
      <c r="U70" s="17"/>
      <c r="V70" s="17"/>
      <c r="W70" s="17"/>
      <c r="X70" s="17"/>
      <c r="Y70" s="17"/>
      <c r="Z70" s="17"/>
      <c r="AA70" s="17"/>
      <c r="AB70" s="17"/>
      <c r="AC70" s="17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</row>
    <row r="71" spans="1:48" s="19" customFormat="1" ht="26.4" customHeight="1" x14ac:dyDescent="0.2">
      <c r="A71" s="7">
        <v>2144</v>
      </c>
      <c r="B71" s="8" t="s">
        <v>20</v>
      </c>
      <c r="C71" s="9" t="s">
        <v>474</v>
      </c>
      <c r="D71" s="8" t="s">
        <v>168</v>
      </c>
      <c r="E71" s="10" t="s">
        <v>137</v>
      </c>
      <c r="F71" s="10" t="s">
        <v>138</v>
      </c>
      <c r="G71" s="10" t="s">
        <v>25</v>
      </c>
      <c r="H71" s="10" t="s">
        <v>26</v>
      </c>
      <c r="I71" s="25" t="s">
        <v>59</v>
      </c>
      <c r="J71" s="26">
        <v>0.3</v>
      </c>
      <c r="K71" s="25" t="s">
        <v>95</v>
      </c>
      <c r="L71" s="22" t="s">
        <v>96</v>
      </c>
      <c r="M71" s="25" t="s">
        <v>97</v>
      </c>
      <c r="N71" s="26">
        <v>1</v>
      </c>
      <c r="O71" s="27">
        <v>0.05</v>
      </c>
      <c r="P71" s="29"/>
      <c r="Q71" s="27">
        <v>0</v>
      </c>
      <c r="R71" s="28">
        <v>0</v>
      </c>
      <c r="S71" s="27" t="s">
        <v>31</v>
      </c>
      <c r="T71" s="27"/>
      <c r="U71" s="17"/>
      <c r="V71" s="17"/>
      <c r="W71" s="17"/>
      <c r="X71" s="17"/>
      <c r="Y71" s="17"/>
      <c r="Z71" s="17"/>
      <c r="AA71" s="17"/>
      <c r="AB71" s="17"/>
      <c r="AC71" s="17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</row>
    <row r="72" spans="1:48" s="19" customFormat="1" ht="26.4" customHeight="1" x14ac:dyDescent="0.2">
      <c r="A72" s="7">
        <v>2144</v>
      </c>
      <c r="B72" s="8" t="s">
        <v>20</v>
      </c>
      <c r="C72" s="9" t="s">
        <v>474</v>
      </c>
      <c r="D72" s="8" t="s">
        <v>168</v>
      </c>
      <c r="E72" s="10" t="s">
        <v>137</v>
      </c>
      <c r="F72" s="10" t="s">
        <v>138</v>
      </c>
      <c r="G72" s="10" t="s">
        <v>25</v>
      </c>
      <c r="H72" s="10" t="s">
        <v>26</v>
      </c>
      <c r="I72" s="25" t="s">
        <v>59</v>
      </c>
      <c r="J72" s="26">
        <v>0.3</v>
      </c>
      <c r="K72" s="25" t="s">
        <v>60</v>
      </c>
      <c r="L72" s="22" t="s">
        <v>61</v>
      </c>
      <c r="M72" s="25" t="s">
        <v>475</v>
      </c>
      <c r="N72" s="26">
        <v>0.9</v>
      </c>
      <c r="O72" s="27">
        <v>0.1</v>
      </c>
      <c r="P72" s="29"/>
      <c r="Q72" s="27">
        <v>0</v>
      </c>
      <c r="R72" s="28">
        <v>0</v>
      </c>
      <c r="S72" s="27" t="s">
        <v>31</v>
      </c>
      <c r="T72" s="27"/>
      <c r="U72" s="17"/>
      <c r="V72" s="17"/>
      <c r="W72" s="17"/>
      <c r="X72" s="17"/>
      <c r="Y72" s="17"/>
      <c r="Z72" s="17"/>
      <c r="AA72" s="17"/>
      <c r="AB72" s="17"/>
      <c r="AC72" s="17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</row>
  </sheetData>
  <autoFilter ref="A1:T72" xr:uid="{EF69ACD4-275F-4C9A-974B-AFD888C0C24A}">
    <filterColumn colId="4">
      <filters>
        <filter val="رضا زلقی"/>
      </filters>
    </filterColumn>
  </autoFilter>
  <phoneticPr fontId="12" type="noConversion"/>
  <conditionalFormatting sqref="K1:M70 I1:I70">
    <cfRule type="cellIs" dxfId="42" priority="3" operator="equal">
      <formula>"maintasks"</formula>
    </cfRule>
  </conditionalFormatting>
  <conditionalFormatting sqref="K71:M71 I71">
    <cfRule type="cellIs" dxfId="41" priority="2" operator="equal">
      <formula>"maintasks"</formula>
    </cfRule>
  </conditionalFormatting>
  <conditionalFormatting sqref="K72:M72 I72">
    <cfRule type="cellIs" dxfId="40" priority="1" operator="equal">
      <formula>"maintasks"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9B18-F458-4A48-8BC4-CFAD9194C558}">
  <sheetPr filterMode="1"/>
  <dimension ref="A1:AV131"/>
  <sheetViews>
    <sheetView tabSelected="1" topLeftCell="K7" zoomScale="145" zoomScaleNormal="145" workbookViewId="0">
      <selection activeCell="M10" sqref="M10"/>
    </sheetView>
  </sheetViews>
  <sheetFormatPr defaultRowHeight="14.4" x14ac:dyDescent="0.3"/>
  <cols>
    <col min="1" max="1" width="6.77734375" style="65" customWidth="1"/>
    <col min="2" max="2" width="14.44140625" style="65" bestFit="1" customWidth="1"/>
    <col min="3" max="3" width="6.77734375" style="65" customWidth="1"/>
    <col min="4" max="4" width="8.88671875" style="65"/>
    <col min="5" max="5" width="19.77734375" style="65" bestFit="1" customWidth="1"/>
    <col min="6" max="6" width="26.33203125" style="65" customWidth="1"/>
    <col min="7" max="7" width="12.44140625" style="65" customWidth="1"/>
    <col min="8" max="8" width="11.77734375" style="65" customWidth="1"/>
    <col min="9" max="9" width="14.77734375" style="65" customWidth="1"/>
    <col min="10" max="10" width="10" style="65" customWidth="1"/>
    <col min="11" max="11" width="22.77734375" style="65" customWidth="1"/>
    <col min="12" max="12" width="42.21875" style="65" customWidth="1"/>
    <col min="13" max="13" width="51.77734375" style="65" customWidth="1"/>
    <col min="14" max="14" width="14.21875" style="65" customWidth="1"/>
    <col min="15" max="15" width="7.77734375" style="65" customWidth="1"/>
    <col min="16" max="16" width="21.44140625" style="65" customWidth="1"/>
    <col min="17" max="17" width="19.109375" style="65" bestFit="1" customWidth="1"/>
    <col min="18" max="18" width="15" style="65" bestFit="1" customWidth="1"/>
    <col min="19" max="19" width="4" style="65" bestFit="1" customWidth="1"/>
    <col min="20" max="20" width="7.77734375" style="65" customWidth="1"/>
  </cols>
  <sheetData>
    <row r="1" spans="1:48" s="40" customFormat="1" ht="22.2" x14ac:dyDescent="0.75">
      <c r="A1" s="33" t="s">
        <v>0</v>
      </c>
      <c r="B1" s="34" t="s">
        <v>1</v>
      </c>
      <c r="C1" s="34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5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5" t="s">
        <v>14</v>
      </c>
      <c r="P1" s="36" t="s">
        <v>15</v>
      </c>
      <c r="Q1" s="37" t="s">
        <v>16</v>
      </c>
      <c r="R1" s="38" t="s">
        <v>17</v>
      </c>
      <c r="S1" s="39" t="s">
        <v>18</v>
      </c>
      <c r="T1" s="35" t="s">
        <v>19</v>
      </c>
    </row>
    <row r="2" spans="1:48" s="19" customFormat="1" ht="21.6" x14ac:dyDescent="0.2">
      <c r="A2" s="41">
        <v>2070</v>
      </c>
      <c r="B2" s="42" t="s">
        <v>20</v>
      </c>
      <c r="C2" s="43" t="s">
        <v>21</v>
      </c>
      <c r="D2" s="44">
        <v>3926</v>
      </c>
      <c r="E2" s="42" t="s">
        <v>173</v>
      </c>
      <c r="F2" s="45" t="s">
        <v>174</v>
      </c>
      <c r="G2" s="42" t="s">
        <v>175</v>
      </c>
      <c r="H2" s="45" t="s">
        <v>176</v>
      </c>
      <c r="I2" s="46" t="s">
        <v>27</v>
      </c>
      <c r="J2" s="47">
        <v>0.7</v>
      </c>
      <c r="K2" s="13" t="s">
        <v>177</v>
      </c>
      <c r="L2" s="14" t="s">
        <v>178</v>
      </c>
      <c r="M2" s="13" t="s">
        <v>179</v>
      </c>
      <c r="N2" s="48" t="s">
        <v>127</v>
      </c>
      <c r="O2" s="47">
        <v>0.1</v>
      </c>
      <c r="P2" s="47"/>
      <c r="Q2" s="47">
        <f t="shared" ref="Q2" si="0">ROUND(IF(OR(N2="",P2=""),0,IF(AND(N2=0,P2=0),1,IF(S2="+",P2/N2,N2/P2))),2)</f>
        <v>0</v>
      </c>
      <c r="R2" s="49">
        <f t="shared" ref="R2:R9" si="1">IF(AND(Q2&gt;=60%,Q2&lt;100%),Q2*((O2*J2)),IF(Q2=100%,((O2*J2)*Q2)*100%,IF(Q2&gt;100%,((J2*O2)*100%)*100%,0)))*100</f>
        <v>0</v>
      </c>
      <c r="S2" s="47" t="s">
        <v>31</v>
      </c>
      <c r="T2" s="50">
        <f>SUM(R2:R16)%</f>
        <v>0</v>
      </c>
      <c r="U2" s="17"/>
      <c r="V2" s="17"/>
      <c r="W2" s="17"/>
      <c r="X2" s="17"/>
      <c r="Y2" s="17"/>
      <c r="Z2" s="17"/>
      <c r="AA2" s="17"/>
      <c r="AB2" s="17"/>
      <c r="AC2" s="17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spans="1:48" s="19" customFormat="1" ht="21.6" x14ac:dyDescent="0.2">
      <c r="A3" s="41">
        <v>2071</v>
      </c>
      <c r="B3" s="42" t="s">
        <v>20</v>
      </c>
      <c r="C3" s="43" t="s">
        <v>21</v>
      </c>
      <c r="D3" s="44">
        <v>3926</v>
      </c>
      <c r="E3" s="42" t="s">
        <v>173</v>
      </c>
      <c r="F3" s="45" t="s">
        <v>174</v>
      </c>
      <c r="G3" s="42" t="s">
        <v>175</v>
      </c>
      <c r="H3" s="45" t="s">
        <v>176</v>
      </c>
      <c r="I3" s="46" t="s">
        <v>27</v>
      </c>
      <c r="J3" s="47">
        <v>0.7</v>
      </c>
      <c r="K3" s="13" t="s">
        <v>180</v>
      </c>
      <c r="L3" s="14" t="s">
        <v>181</v>
      </c>
      <c r="M3" s="13" t="s">
        <v>182</v>
      </c>
      <c r="N3" s="51" t="s">
        <v>112</v>
      </c>
      <c r="O3" s="47">
        <v>0.1</v>
      </c>
      <c r="P3" s="52"/>
      <c r="Q3" s="47">
        <f>ROUND(IF(OR(N3="",P3=""),0,IF(AND(N3=0,P3=0),1,IF(S3="+",P3/N3,N3/P3))),2)</f>
        <v>0</v>
      </c>
      <c r="R3" s="49">
        <f t="shared" si="1"/>
        <v>0</v>
      </c>
      <c r="S3" s="47" t="s">
        <v>31</v>
      </c>
      <c r="T3" s="47"/>
      <c r="U3" s="17"/>
      <c r="V3" s="17"/>
      <c r="W3" s="17"/>
      <c r="X3" s="17"/>
      <c r="Y3" s="17"/>
      <c r="Z3" s="17"/>
      <c r="AA3" s="17"/>
      <c r="AB3" s="17"/>
      <c r="AC3" s="17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8" s="19" customFormat="1" ht="21.6" x14ac:dyDescent="0.2">
      <c r="A4" s="41">
        <v>2072</v>
      </c>
      <c r="B4" s="42" t="s">
        <v>20</v>
      </c>
      <c r="C4" s="43" t="s">
        <v>21</v>
      </c>
      <c r="D4" s="44">
        <v>3926</v>
      </c>
      <c r="E4" s="42" t="s">
        <v>173</v>
      </c>
      <c r="F4" s="45" t="s">
        <v>174</v>
      </c>
      <c r="G4" s="42" t="s">
        <v>175</v>
      </c>
      <c r="H4" s="45" t="s">
        <v>176</v>
      </c>
      <c r="I4" s="46" t="s">
        <v>27</v>
      </c>
      <c r="J4" s="47">
        <v>0.7</v>
      </c>
      <c r="K4" s="13" t="s">
        <v>183</v>
      </c>
      <c r="L4" s="14" t="s">
        <v>184</v>
      </c>
      <c r="M4" s="13" t="s">
        <v>185</v>
      </c>
      <c r="N4" s="53" t="s">
        <v>186</v>
      </c>
      <c r="O4" s="47">
        <v>7.0000000000000007E-2</v>
      </c>
      <c r="P4" s="52"/>
      <c r="Q4" s="47">
        <f t="shared" ref="Q4:Q9" si="2">ROUND(IF(OR(N4="",P4=""),0,IF(AND(N4=0,P4=0),1,IF(S4="+",P4/N4,N4/P4))),2)</f>
        <v>0</v>
      </c>
      <c r="R4" s="49">
        <f t="shared" si="1"/>
        <v>0</v>
      </c>
      <c r="S4" s="47" t="s">
        <v>36</v>
      </c>
      <c r="T4" s="47"/>
      <c r="U4" s="17"/>
      <c r="V4" s="17"/>
      <c r="W4" s="17"/>
      <c r="X4" s="17"/>
      <c r="Y4" s="17"/>
      <c r="Z4" s="17"/>
      <c r="AA4" s="17"/>
      <c r="AB4" s="17"/>
      <c r="AC4" s="17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s="19" customFormat="1" ht="21.6" x14ac:dyDescent="0.2">
      <c r="A5" s="41">
        <v>2073</v>
      </c>
      <c r="B5" s="42" t="s">
        <v>20</v>
      </c>
      <c r="C5" s="43" t="s">
        <v>21</v>
      </c>
      <c r="D5" s="44">
        <v>3926</v>
      </c>
      <c r="E5" s="42" t="s">
        <v>173</v>
      </c>
      <c r="F5" s="45" t="s">
        <v>174</v>
      </c>
      <c r="G5" s="42" t="s">
        <v>175</v>
      </c>
      <c r="H5" s="45" t="s">
        <v>176</v>
      </c>
      <c r="I5" s="46" t="s">
        <v>27</v>
      </c>
      <c r="J5" s="47">
        <v>0.7</v>
      </c>
      <c r="K5" s="13" t="s">
        <v>187</v>
      </c>
      <c r="L5" s="14" t="s">
        <v>188</v>
      </c>
      <c r="M5" s="13" t="s">
        <v>189</v>
      </c>
      <c r="N5" s="52" t="s">
        <v>148</v>
      </c>
      <c r="O5" s="47">
        <v>0.08</v>
      </c>
      <c r="P5" s="54"/>
      <c r="Q5" s="47">
        <f t="shared" si="2"/>
        <v>0</v>
      </c>
      <c r="R5" s="49">
        <f t="shared" si="1"/>
        <v>0</v>
      </c>
      <c r="S5" s="47" t="s">
        <v>36</v>
      </c>
      <c r="T5" s="47"/>
      <c r="U5" s="17"/>
      <c r="V5" s="17"/>
      <c r="W5" s="17"/>
      <c r="X5" s="17"/>
      <c r="Y5" s="17"/>
      <c r="Z5" s="17"/>
      <c r="AA5" s="17"/>
      <c r="AB5" s="17"/>
      <c r="AC5" s="17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</row>
    <row r="6" spans="1:48" s="19" customFormat="1" ht="21.6" x14ac:dyDescent="0.2">
      <c r="A6" s="41">
        <v>2074</v>
      </c>
      <c r="B6" s="42" t="s">
        <v>20</v>
      </c>
      <c r="C6" s="43" t="s">
        <v>21</v>
      </c>
      <c r="D6" s="44">
        <v>3926</v>
      </c>
      <c r="E6" s="42" t="s">
        <v>173</v>
      </c>
      <c r="F6" s="45" t="s">
        <v>174</v>
      </c>
      <c r="G6" s="42" t="s">
        <v>175</v>
      </c>
      <c r="H6" s="45" t="s">
        <v>176</v>
      </c>
      <c r="I6" s="46" t="s">
        <v>27</v>
      </c>
      <c r="J6" s="47">
        <v>0.7</v>
      </c>
      <c r="K6" s="13" t="s">
        <v>190</v>
      </c>
      <c r="L6" s="14" t="s">
        <v>191</v>
      </c>
      <c r="M6" s="13" t="s">
        <v>192</v>
      </c>
      <c r="N6" s="55" t="s">
        <v>127</v>
      </c>
      <c r="O6" s="47">
        <v>0.06</v>
      </c>
      <c r="P6" s="56"/>
      <c r="Q6" s="47">
        <f t="shared" si="2"/>
        <v>0</v>
      </c>
      <c r="R6" s="49">
        <f t="shared" si="1"/>
        <v>0</v>
      </c>
      <c r="S6" s="47" t="s">
        <v>31</v>
      </c>
      <c r="T6" s="47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1:48" s="19" customFormat="1" ht="21.6" x14ac:dyDescent="0.2">
      <c r="A7" s="41">
        <v>2074</v>
      </c>
      <c r="B7" s="42" t="s">
        <v>20</v>
      </c>
      <c r="C7" s="43" t="s">
        <v>21</v>
      </c>
      <c r="D7" s="44">
        <v>3926</v>
      </c>
      <c r="E7" s="42" t="s">
        <v>173</v>
      </c>
      <c r="F7" s="45" t="s">
        <v>174</v>
      </c>
      <c r="G7" s="42" t="s">
        <v>175</v>
      </c>
      <c r="H7" s="45" t="s">
        <v>176</v>
      </c>
      <c r="I7" s="57" t="s">
        <v>27</v>
      </c>
      <c r="J7" s="58">
        <v>0.7</v>
      </c>
      <c r="K7" s="25" t="s">
        <v>193</v>
      </c>
      <c r="L7" s="22" t="s">
        <v>194</v>
      </c>
      <c r="M7" s="25" t="s">
        <v>195</v>
      </c>
      <c r="N7" s="59" t="s">
        <v>196</v>
      </c>
      <c r="O7" s="60">
        <v>0.06</v>
      </c>
      <c r="P7" s="56"/>
      <c r="Q7" s="60">
        <f t="shared" si="2"/>
        <v>0</v>
      </c>
      <c r="R7" s="61">
        <f t="shared" si="1"/>
        <v>0</v>
      </c>
      <c r="S7" s="60" t="s">
        <v>36</v>
      </c>
      <c r="T7" s="60"/>
      <c r="U7" s="17"/>
      <c r="V7" s="17"/>
      <c r="W7" s="17"/>
      <c r="X7" s="17"/>
      <c r="Y7" s="17"/>
      <c r="Z7" s="17"/>
      <c r="AA7" s="17"/>
      <c r="AB7" s="17"/>
      <c r="AC7" s="17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 s="19" customFormat="1" ht="21.6" x14ac:dyDescent="0.2">
      <c r="A8" s="41">
        <v>2074</v>
      </c>
      <c r="B8" s="42" t="s">
        <v>20</v>
      </c>
      <c r="C8" s="43" t="s">
        <v>21</v>
      </c>
      <c r="D8" s="44">
        <v>3926</v>
      </c>
      <c r="E8" s="42" t="s">
        <v>173</v>
      </c>
      <c r="F8" s="45" t="s">
        <v>174</v>
      </c>
      <c r="G8" s="42" t="s">
        <v>175</v>
      </c>
      <c r="H8" s="45" t="s">
        <v>176</v>
      </c>
      <c r="I8" s="57" t="s">
        <v>59</v>
      </c>
      <c r="J8" s="58">
        <v>0.3</v>
      </c>
      <c r="K8" s="25" t="s">
        <v>197</v>
      </c>
      <c r="L8" s="22" t="s">
        <v>198</v>
      </c>
      <c r="M8" s="25" t="s">
        <v>199</v>
      </c>
      <c r="N8" s="59" t="s">
        <v>200</v>
      </c>
      <c r="O8" s="60">
        <v>0.05</v>
      </c>
      <c r="P8" s="56"/>
      <c r="Q8" s="60">
        <f t="shared" si="2"/>
        <v>0</v>
      </c>
      <c r="R8" s="61">
        <f t="shared" si="1"/>
        <v>0</v>
      </c>
      <c r="S8" s="60" t="s">
        <v>31</v>
      </c>
      <c r="T8" s="60"/>
      <c r="U8" s="17"/>
      <c r="V8" s="17"/>
      <c r="W8" s="17"/>
      <c r="X8" s="17"/>
      <c r="Y8" s="17"/>
      <c r="Z8" s="17"/>
      <c r="AA8" s="17"/>
      <c r="AB8" s="17"/>
      <c r="AC8" s="1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</row>
    <row r="9" spans="1:48" s="19" customFormat="1" ht="21.6" x14ac:dyDescent="0.2">
      <c r="A9" s="41">
        <v>2074</v>
      </c>
      <c r="B9" s="42" t="s">
        <v>20</v>
      </c>
      <c r="C9" s="43" t="s">
        <v>21</v>
      </c>
      <c r="D9" s="44">
        <v>3926</v>
      </c>
      <c r="E9" s="42" t="s">
        <v>173</v>
      </c>
      <c r="F9" s="45" t="s">
        <v>174</v>
      </c>
      <c r="G9" s="42" t="s">
        <v>175</v>
      </c>
      <c r="H9" s="45" t="s">
        <v>176</v>
      </c>
      <c r="I9" s="57" t="s">
        <v>59</v>
      </c>
      <c r="J9" s="58">
        <v>0.3</v>
      </c>
      <c r="K9" s="25" t="s">
        <v>201</v>
      </c>
      <c r="L9" s="22" t="s">
        <v>202</v>
      </c>
      <c r="M9" s="25" t="s">
        <v>203</v>
      </c>
      <c r="N9" s="62" t="s">
        <v>204</v>
      </c>
      <c r="O9" s="60">
        <v>0.05</v>
      </c>
      <c r="P9" s="62"/>
      <c r="Q9" s="60">
        <f t="shared" si="2"/>
        <v>0</v>
      </c>
      <c r="R9" s="61">
        <f t="shared" si="1"/>
        <v>0</v>
      </c>
      <c r="S9" s="60" t="s">
        <v>31</v>
      </c>
      <c r="T9" s="60"/>
      <c r="U9" s="17"/>
      <c r="V9" s="17"/>
      <c r="W9" s="17"/>
      <c r="X9" s="17"/>
      <c r="Y9" s="17"/>
      <c r="Z9" s="17"/>
      <c r="AA9" s="17"/>
      <c r="AB9" s="17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</row>
    <row r="10" spans="1:48" s="19" customFormat="1" ht="21.6" x14ac:dyDescent="0.2">
      <c r="A10" s="41">
        <v>2074</v>
      </c>
      <c r="B10" s="42" t="s">
        <v>20</v>
      </c>
      <c r="C10" s="43" t="s">
        <v>21</v>
      </c>
      <c r="D10" s="44">
        <v>3926</v>
      </c>
      <c r="E10" s="42" t="s">
        <v>173</v>
      </c>
      <c r="F10" s="45" t="s">
        <v>174</v>
      </c>
      <c r="G10" s="42" t="s">
        <v>175</v>
      </c>
      <c r="H10" s="45" t="s">
        <v>176</v>
      </c>
      <c r="I10" s="57" t="s">
        <v>27</v>
      </c>
      <c r="J10" s="58">
        <v>0.7</v>
      </c>
      <c r="K10" s="25" t="s">
        <v>205</v>
      </c>
      <c r="L10" s="22" t="s">
        <v>206</v>
      </c>
      <c r="M10" s="25" t="s">
        <v>207</v>
      </c>
      <c r="N10" s="62" t="s">
        <v>208</v>
      </c>
      <c r="O10" s="60">
        <v>0.05</v>
      </c>
      <c r="P10" s="62"/>
      <c r="Q10" s="60"/>
      <c r="R10" s="61"/>
      <c r="S10" s="60" t="s">
        <v>36</v>
      </c>
      <c r="T10" s="60"/>
      <c r="U10" s="17"/>
      <c r="V10" s="17"/>
      <c r="W10" s="17"/>
      <c r="X10" s="17"/>
      <c r="Y10" s="17"/>
      <c r="Z10" s="17"/>
      <c r="AA10" s="17"/>
      <c r="AB10" s="17"/>
      <c r="AC10" s="1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s="19" customFormat="1" ht="21.6" x14ac:dyDescent="0.2">
      <c r="A11" s="41">
        <v>2074</v>
      </c>
      <c r="B11" s="42" t="s">
        <v>20</v>
      </c>
      <c r="C11" s="43" t="s">
        <v>21</v>
      </c>
      <c r="D11" s="44">
        <v>3926</v>
      </c>
      <c r="E11" s="42" t="s">
        <v>173</v>
      </c>
      <c r="F11" s="45" t="s">
        <v>174</v>
      </c>
      <c r="G11" s="42" t="s">
        <v>175</v>
      </c>
      <c r="H11" s="45" t="s">
        <v>176</v>
      </c>
      <c r="I11" s="57" t="s">
        <v>59</v>
      </c>
      <c r="J11" s="58">
        <v>0.3</v>
      </c>
      <c r="K11" s="25" t="s">
        <v>209</v>
      </c>
      <c r="L11" s="22" t="s">
        <v>210</v>
      </c>
      <c r="M11" s="25" t="s">
        <v>211</v>
      </c>
      <c r="N11" s="62" t="s">
        <v>127</v>
      </c>
      <c r="O11" s="60">
        <v>0.05</v>
      </c>
      <c r="P11" s="62"/>
      <c r="Q11" s="60">
        <f t="shared" ref="Q11:Q14" si="3">ROUND(IF(OR(N11="",P11=""),0,IF(AND(N11=0,P11=0),1,IF(S11="+",P11/N11,N11/P11))),2)</f>
        <v>0</v>
      </c>
      <c r="R11" s="61">
        <f t="shared" ref="R11:R14" si="4">IF(AND(Q11&gt;=60%,Q11&lt;100%),Q11*((O11*J11)),IF(Q11=100%,((O11*J11)*Q11)*100%,IF(Q11&gt;100%,((J11*O11)*100%)*100%,0)))*100</f>
        <v>0</v>
      </c>
      <c r="S11" s="60" t="s">
        <v>31</v>
      </c>
      <c r="T11" s="60"/>
      <c r="U11" s="17"/>
      <c r="V11" s="17"/>
      <c r="W11" s="17"/>
      <c r="X11" s="17"/>
      <c r="Y11" s="17"/>
      <c r="Z11" s="17"/>
      <c r="AA11" s="17"/>
      <c r="AB11" s="17"/>
      <c r="AC11" s="17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8" s="19" customFormat="1" ht="21.6" x14ac:dyDescent="0.2">
      <c r="A12" s="41">
        <v>2075</v>
      </c>
      <c r="B12" s="42" t="s">
        <v>20</v>
      </c>
      <c r="C12" s="43" t="s">
        <v>21</v>
      </c>
      <c r="D12" s="44">
        <v>3926</v>
      </c>
      <c r="E12" s="42" t="s">
        <v>173</v>
      </c>
      <c r="F12" s="45" t="s">
        <v>174</v>
      </c>
      <c r="G12" s="42" t="s">
        <v>175</v>
      </c>
      <c r="H12" s="45" t="s">
        <v>176</v>
      </c>
      <c r="I12" s="57" t="s">
        <v>59</v>
      </c>
      <c r="J12" s="58">
        <v>0.3</v>
      </c>
      <c r="K12" s="25" t="s">
        <v>212</v>
      </c>
      <c r="L12" s="22" t="s">
        <v>47</v>
      </c>
      <c r="M12" s="25" t="s">
        <v>213</v>
      </c>
      <c r="N12" s="59" t="s">
        <v>127</v>
      </c>
      <c r="O12" s="60">
        <v>0.05</v>
      </c>
      <c r="P12" s="56"/>
      <c r="Q12" s="60">
        <f t="shared" si="3"/>
        <v>0</v>
      </c>
      <c r="R12" s="61">
        <f t="shared" si="4"/>
        <v>0</v>
      </c>
      <c r="S12" s="60" t="s">
        <v>31</v>
      </c>
      <c r="T12" s="60"/>
      <c r="U12" s="17"/>
      <c r="V12" s="17"/>
      <c r="W12" s="17"/>
      <c r="X12" s="17"/>
      <c r="Y12" s="17"/>
      <c r="Z12" s="17"/>
      <c r="AA12" s="17"/>
      <c r="AB12" s="17"/>
      <c r="AC12" s="1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s="19" customFormat="1" ht="21.6" x14ac:dyDescent="0.2">
      <c r="A13" s="41">
        <v>2076</v>
      </c>
      <c r="B13" s="42" t="s">
        <v>20</v>
      </c>
      <c r="C13" s="43" t="s">
        <v>21</v>
      </c>
      <c r="D13" s="44">
        <v>3926</v>
      </c>
      <c r="E13" s="42" t="s">
        <v>173</v>
      </c>
      <c r="F13" s="45" t="s">
        <v>174</v>
      </c>
      <c r="G13" s="42" t="s">
        <v>175</v>
      </c>
      <c r="H13" s="45" t="s">
        <v>176</v>
      </c>
      <c r="I13" s="57" t="s">
        <v>59</v>
      </c>
      <c r="J13" s="58">
        <v>0.3</v>
      </c>
      <c r="K13" s="25" t="s">
        <v>128</v>
      </c>
      <c r="L13" s="22" t="s">
        <v>61</v>
      </c>
      <c r="M13" s="25" t="s">
        <v>214</v>
      </c>
      <c r="N13" s="59" t="s">
        <v>127</v>
      </c>
      <c r="O13" s="60">
        <v>0.05</v>
      </c>
      <c r="P13" s="56"/>
      <c r="Q13" s="60">
        <f t="shared" si="3"/>
        <v>0</v>
      </c>
      <c r="R13" s="61">
        <f t="shared" si="4"/>
        <v>0</v>
      </c>
      <c r="S13" s="60" t="s">
        <v>31</v>
      </c>
      <c r="T13" s="60"/>
      <c r="U13" s="17"/>
      <c r="V13" s="17"/>
      <c r="W13" s="17"/>
      <c r="X13" s="17"/>
      <c r="Y13" s="17"/>
      <c r="Z13" s="17"/>
      <c r="AA13" s="17"/>
      <c r="AB13" s="17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8" s="19" customFormat="1" ht="21.6" x14ac:dyDescent="0.2">
      <c r="A14" s="41">
        <v>2077</v>
      </c>
      <c r="B14" s="42" t="s">
        <v>20</v>
      </c>
      <c r="C14" s="43" t="s">
        <v>21</v>
      </c>
      <c r="D14" s="44">
        <v>3926</v>
      </c>
      <c r="E14" s="42" t="s">
        <v>173</v>
      </c>
      <c r="F14" s="45" t="s">
        <v>174</v>
      </c>
      <c r="G14" s="42" t="s">
        <v>175</v>
      </c>
      <c r="H14" s="45" t="s">
        <v>176</v>
      </c>
      <c r="I14" s="57" t="s">
        <v>27</v>
      </c>
      <c r="J14" s="58">
        <v>0.7</v>
      </c>
      <c r="K14" s="25" t="s">
        <v>215</v>
      </c>
      <c r="L14" s="22" t="s">
        <v>216</v>
      </c>
      <c r="M14" s="25" t="s">
        <v>217</v>
      </c>
      <c r="N14" s="62" t="s">
        <v>127</v>
      </c>
      <c r="O14" s="60">
        <v>0.04</v>
      </c>
      <c r="P14" s="62"/>
      <c r="Q14" s="60">
        <f t="shared" si="3"/>
        <v>0</v>
      </c>
      <c r="R14" s="61">
        <f t="shared" si="4"/>
        <v>0</v>
      </c>
      <c r="S14" s="60" t="s">
        <v>31</v>
      </c>
      <c r="T14" s="60"/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8" s="19" customFormat="1" ht="21.6" x14ac:dyDescent="0.2">
      <c r="A15" s="41">
        <v>2078</v>
      </c>
      <c r="B15" s="42" t="s">
        <v>20</v>
      </c>
      <c r="C15" s="43" t="s">
        <v>21</v>
      </c>
      <c r="D15" s="44">
        <v>3926</v>
      </c>
      <c r="E15" s="42" t="s">
        <v>173</v>
      </c>
      <c r="F15" s="45" t="s">
        <v>174</v>
      </c>
      <c r="G15" s="42" t="s">
        <v>175</v>
      </c>
      <c r="H15" s="45" t="s">
        <v>176</v>
      </c>
      <c r="I15" s="57" t="s">
        <v>27</v>
      </c>
      <c r="J15" s="58">
        <v>0.7</v>
      </c>
      <c r="K15" s="25" t="s">
        <v>218</v>
      </c>
      <c r="L15" s="22" t="s">
        <v>219</v>
      </c>
      <c r="M15" s="25" t="s">
        <v>220</v>
      </c>
      <c r="N15" s="62" t="s">
        <v>127</v>
      </c>
      <c r="O15" s="60">
        <v>0.04</v>
      </c>
      <c r="P15" s="62"/>
      <c r="Q15" s="60"/>
      <c r="R15" s="61"/>
      <c r="S15" s="60" t="s">
        <v>31</v>
      </c>
      <c r="T15" s="60"/>
      <c r="U15" s="17"/>
      <c r="V15" s="17"/>
      <c r="W15" s="17"/>
      <c r="X15" s="17"/>
      <c r="Y15" s="17"/>
      <c r="Z15" s="17"/>
      <c r="AA15" s="17"/>
      <c r="AB15" s="17"/>
      <c r="AC15" s="17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spans="1:48" s="19" customFormat="1" ht="21.6" x14ac:dyDescent="0.2">
      <c r="A16" s="41">
        <v>2079</v>
      </c>
      <c r="B16" s="42" t="s">
        <v>20</v>
      </c>
      <c r="C16" s="43" t="s">
        <v>21</v>
      </c>
      <c r="D16" s="44">
        <v>3926</v>
      </c>
      <c r="E16" s="42" t="s">
        <v>173</v>
      </c>
      <c r="F16" s="45" t="s">
        <v>174</v>
      </c>
      <c r="G16" s="42" t="s">
        <v>175</v>
      </c>
      <c r="H16" s="45" t="s">
        <v>176</v>
      </c>
      <c r="I16" s="57" t="s">
        <v>27</v>
      </c>
      <c r="J16" s="58">
        <v>0.7</v>
      </c>
      <c r="K16" s="25" t="s">
        <v>221</v>
      </c>
      <c r="L16" s="22" t="s">
        <v>222</v>
      </c>
      <c r="M16" s="25" t="s">
        <v>223</v>
      </c>
      <c r="N16" s="62" t="s">
        <v>224</v>
      </c>
      <c r="O16" s="60">
        <v>0.1</v>
      </c>
      <c r="P16" s="62"/>
      <c r="Q16" s="60">
        <f t="shared" ref="Q16:Q17" si="5">ROUND(IF(OR(N16="",P16=""),0,IF(AND(N16=0,P16=0),1,IF(S16="+",P16/N16,N16/P16))),2)</f>
        <v>0</v>
      </c>
      <c r="R16" s="61">
        <f t="shared" ref="R16:R37" si="6">IF(AND(Q16&gt;=60%,Q16&lt;100%),Q16*((O16*J16)),IF(Q16=100%,((O16*J16)*Q16)*100%,IF(Q16&gt;100%,((J16*O16)*100%)*100%,0)))*100</f>
        <v>0</v>
      </c>
      <c r="S16" s="60" t="s">
        <v>31</v>
      </c>
      <c r="T16" s="60"/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1:48" s="19" customFormat="1" ht="21.6" hidden="1" x14ac:dyDescent="0.2">
      <c r="A17" s="41">
        <v>2080</v>
      </c>
      <c r="B17" s="42" t="s">
        <v>20</v>
      </c>
      <c r="C17" s="43" t="s">
        <v>21</v>
      </c>
      <c r="D17" s="44">
        <v>5135</v>
      </c>
      <c r="E17" s="44" t="s">
        <v>225</v>
      </c>
      <c r="F17" s="45" t="s">
        <v>174</v>
      </c>
      <c r="G17" s="42" t="s">
        <v>175</v>
      </c>
      <c r="H17" s="45" t="s">
        <v>176</v>
      </c>
      <c r="I17" s="46" t="s">
        <v>27</v>
      </c>
      <c r="J17" s="47">
        <v>0.7</v>
      </c>
      <c r="K17" s="55" t="s">
        <v>226</v>
      </c>
      <c r="L17" s="63" t="s">
        <v>227</v>
      </c>
      <c r="M17" s="13" t="s">
        <v>228</v>
      </c>
      <c r="N17" s="47">
        <v>0.98</v>
      </c>
      <c r="O17" s="47">
        <v>0.15</v>
      </c>
      <c r="P17" s="47"/>
      <c r="Q17" s="47">
        <f t="shared" si="5"/>
        <v>0</v>
      </c>
      <c r="R17" s="49">
        <f t="shared" si="6"/>
        <v>0</v>
      </c>
      <c r="S17" s="47" t="s">
        <v>31</v>
      </c>
      <c r="T17" s="50">
        <f>SUM(R17:R24)%</f>
        <v>0</v>
      </c>
      <c r="U17" s="17"/>
      <c r="V17" s="17"/>
      <c r="W17" s="17"/>
      <c r="X17" s="17"/>
      <c r="Y17" s="17"/>
      <c r="Z17" s="17"/>
      <c r="AA17" s="17"/>
      <c r="AB17" s="17"/>
      <c r="AC17" s="17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1:48" s="19" customFormat="1" ht="21.6" hidden="1" x14ac:dyDescent="0.2">
      <c r="A18" s="41">
        <v>2081</v>
      </c>
      <c r="B18" s="42" t="s">
        <v>20</v>
      </c>
      <c r="C18" s="43" t="s">
        <v>21</v>
      </c>
      <c r="D18" s="44">
        <v>5135</v>
      </c>
      <c r="E18" s="44" t="s">
        <v>225</v>
      </c>
      <c r="F18" s="45" t="s">
        <v>174</v>
      </c>
      <c r="G18" s="42" t="s">
        <v>175</v>
      </c>
      <c r="H18" s="45" t="s">
        <v>176</v>
      </c>
      <c r="I18" s="46" t="s">
        <v>27</v>
      </c>
      <c r="J18" s="47">
        <v>0.7</v>
      </c>
      <c r="K18" s="55" t="s">
        <v>229</v>
      </c>
      <c r="L18" s="63" t="s">
        <v>230</v>
      </c>
      <c r="M18" s="55" t="s">
        <v>231</v>
      </c>
      <c r="N18" s="47">
        <v>1</v>
      </c>
      <c r="O18" s="47">
        <v>0.15</v>
      </c>
      <c r="P18" s="52"/>
      <c r="Q18" s="47">
        <f>ROUND(IF(OR(N18="",P18=""),0,IF(AND(N18=0,P18=0),1,IF(S18="+",P18/N18,N18/P18))),2)</f>
        <v>0</v>
      </c>
      <c r="R18" s="49">
        <f t="shared" si="6"/>
        <v>0</v>
      </c>
      <c r="S18" s="47" t="s">
        <v>31</v>
      </c>
      <c r="T18" s="4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 s="19" customFormat="1" ht="21.6" hidden="1" x14ac:dyDescent="0.2">
      <c r="A19" s="41">
        <v>2082</v>
      </c>
      <c r="B19" s="42" t="s">
        <v>20</v>
      </c>
      <c r="C19" s="43" t="s">
        <v>21</v>
      </c>
      <c r="D19" s="44">
        <v>5135</v>
      </c>
      <c r="E19" s="44" t="s">
        <v>225</v>
      </c>
      <c r="F19" s="45" t="s">
        <v>174</v>
      </c>
      <c r="G19" s="42" t="s">
        <v>175</v>
      </c>
      <c r="H19" s="45" t="s">
        <v>176</v>
      </c>
      <c r="I19" s="46" t="s">
        <v>27</v>
      </c>
      <c r="J19" s="47">
        <v>0.7</v>
      </c>
      <c r="K19" s="55" t="s">
        <v>232</v>
      </c>
      <c r="L19" s="63" t="s">
        <v>233</v>
      </c>
      <c r="M19" s="55" t="s">
        <v>234</v>
      </c>
      <c r="N19" s="47">
        <v>1</v>
      </c>
      <c r="O19" s="47">
        <v>0.15</v>
      </c>
      <c r="P19" s="52"/>
      <c r="Q19" s="47">
        <f t="shared" ref="Q19:Q25" si="7">ROUND(IF(OR(N19="",P19=""),0,IF(AND(N19=0,P19=0),1,IF(S19="+",P19/N19,N19/P19))),2)</f>
        <v>0</v>
      </c>
      <c r="R19" s="49">
        <f t="shared" si="6"/>
        <v>0</v>
      </c>
      <c r="S19" s="47" t="s">
        <v>31</v>
      </c>
      <c r="T19" s="47"/>
      <c r="U19" s="17"/>
      <c r="V19" s="17"/>
      <c r="W19" s="17"/>
      <c r="X19" s="17"/>
      <c r="Y19" s="17"/>
      <c r="Z19" s="17"/>
      <c r="AA19" s="17"/>
      <c r="AB19" s="17"/>
      <c r="AC19" s="17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s="19" customFormat="1" ht="21.6" hidden="1" x14ac:dyDescent="0.2">
      <c r="A20" s="41">
        <v>2083</v>
      </c>
      <c r="B20" s="42" t="s">
        <v>20</v>
      </c>
      <c r="C20" s="43" t="s">
        <v>21</v>
      </c>
      <c r="D20" s="44">
        <v>5135</v>
      </c>
      <c r="E20" s="44" t="s">
        <v>225</v>
      </c>
      <c r="F20" s="45" t="s">
        <v>174</v>
      </c>
      <c r="G20" s="42" t="s">
        <v>175</v>
      </c>
      <c r="H20" s="45" t="s">
        <v>176</v>
      </c>
      <c r="I20" s="46" t="s">
        <v>27</v>
      </c>
      <c r="J20" s="47">
        <v>0.7</v>
      </c>
      <c r="K20" s="55" t="s">
        <v>235</v>
      </c>
      <c r="L20" s="63" t="s">
        <v>236</v>
      </c>
      <c r="M20" s="55" t="s">
        <v>237</v>
      </c>
      <c r="N20" s="47">
        <v>0.99</v>
      </c>
      <c r="O20" s="47">
        <v>0.15</v>
      </c>
      <c r="P20" s="54"/>
      <c r="Q20" s="47">
        <f t="shared" si="7"/>
        <v>0</v>
      </c>
      <c r="R20" s="49">
        <f t="shared" si="6"/>
        <v>0</v>
      </c>
      <c r="S20" s="47" t="s">
        <v>31</v>
      </c>
      <c r="T20" s="47"/>
      <c r="U20" s="17"/>
      <c r="V20" s="17"/>
      <c r="W20" s="17"/>
      <c r="X20" s="17"/>
      <c r="Y20" s="17"/>
      <c r="Z20" s="17"/>
      <c r="AA20" s="17"/>
      <c r="AB20" s="17"/>
      <c r="AC20" s="17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s="19" customFormat="1" ht="21.6" hidden="1" x14ac:dyDescent="0.2">
      <c r="A21" s="41">
        <v>2084</v>
      </c>
      <c r="B21" s="42" t="s">
        <v>20</v>
      </c>
      <c r="C21" s="43" t="s">
        <v>21</v>
      </c>
      <c r="D21" s="44">
        <v>5135</v>
      </c>
      <c r="E21" s="44" t="s">
        <v>225</v>
      </c>
      <c r="F21" s="45" t="s">
        <v>174</v>
      </c>
      <c r="G21" s="42" t="s">
        <v>175</v>
      </c>
      <c r="H21" s="45" t="s">
        <v>176</v>
      </c>
      <c r="I21" s="46" t="s">
        <v>27</v>
      </c>
      <c r="J21" s="47">
        <v>0.7</v>
      </c>
      <c r="K21" s="55" t="s">
        <v>238</v>
      </c>
      <c r="L21" s="63" t="s">
        <v>239</v>
      </c>
      <c r="M21" s="55" t="s">
        <v>240</v>
      </c>
      <c r="N21" s="47">
        <v>1</v>
      </c>
      <c r="O21" s="47">
        <v>0.12</v>
      </c>
      <c r="P21" s="56"/>
      <c r="Q21" s="47">
        <f t="shared" si="7"/>
        <v>0</v>
      </c>
      <c r="R21" s="49">
        <f t="shared" si="6"/>
        <v>0</v>
      </c>
      <c r="S21" s="47" t="s">
        <v>31</v>
      </c>
      <c r="T21" s="47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</row>
    <row r="22" spans="1:48" s="19" customFormat="1" ht="21.6" hidden="1" x14ac:dyDescent="0.2">
      <c r="A22" s="41">
        <v>2085</v>
      </c>
      <c r="B22" s="42" t="s">
        <v>20</v>
      </c>
      <c r="C22" s="43" t="s">
        <v>21</v>
      </c>
      <c r="D22" s="44">
        <v>5135</v>
      </c>
      <c r="E22" s="44" t="s">
        <v>225</v>
      </c>
      <c r="F22" s="45" t="s">
        <v>174</v>
      </c>
      <c r="G22" s="42" t="s">
        <v>175</v>
      </c>
      <c r="H22" s="45" t="s">
        <v>176</v>
      </c>
      <c r="I22" s="57" t="s">
        <v>59</v>
      </c>
      <c r="J22" s="58">
        <v>0.3</v>
      </c>
      <c r="K22" s="57" t="s">
        <v>241</v>
      </c>
      <c r="L22" s="64" t="s">
        <v>242</v>
      </c>
      <c r="M22" s="57" t="s">
        <v>243</v>
      </c>
      <c r="N22" s="61">
        <v>5</v>
      </c>
      <c r="O22" s="60">
        <v>0.08</v>
      </c>
      <c r="P22" s="56"/>
      <c r="Q22" s="60">
        <f t="shared" si="7"/>
        <v>0</v>
      </c>
      <c r="R22" s="61">
        <f t="shared" si="6"/>
        <v>0</v>
      </c>
      <c r="S22" s="60" t="s">
        <v>31</v>
      </c>
      <c r="T22" s="60"/>
      <c r="U22" s="17"/>
      <c r="V22" s="17"/>
      <c r="W22" s="17"/>
      <c r="X22" s="17"/>
      <c r="Y22" s="17"/>
      <c r="Z22" s="17"/>
      <c r="AA22" s="17"/>
      <c r="AB22" s="17"/>
      <c r="AC22" s="17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</row>
    <row r="23" spans="1:48" s="19" customFormat="1" ht="21.6" hidden="1" x14ac:dyDescent="0.2">
      <c r="A23" s="41">
        <v>2086</v>
      </c>
      <c r="B23" s="42" t="s">
        <v>20</v>
      </c>
      <c r="C23" s="43" t="s">
        <v>21</v>
      </c>
      <c r="D23" s="44">
        <v>5135</v>
      </c>
      <c r="E23" s="44" t="s">
        <v>225</v>
      </c>
      <c r="F23" s="45" t="s">
        <v>174</v>
      </c>
      <c r="G23" s="42" t="s">
        <v>175</v>
      </c>
      <c r="H23" s="45" t="s">
        <v>176</v>
      </c>
      <c r="I23" s="57" t="s">
        <v>59</v>
      </c>
      <c r="J23" s="58">
        <v>0.3</v>
      </c>
      <c r="K23" s="57" t="s">
        <v>244</v>
      </c>
      <c r="L23" s="64" t="s">
        <v>245</v>
      </c>
      <c r="M23" s="57" t="s">
        <v>246</v>
      </c>
      <c r="N23" s="60">
        <v>1</v>
      </c>
      <c r="O23" s="60">
        <v>0.06</v>
      </c>
      <c r="P23" s="56"/>
      <c r="Q23" s="60">
        <f t="shared" si="7"/>
        <v>0</v>
      </c>
      <c r="R23" s="61">
        <f t="shared" si="6"/>
        <v>0</v>
      </c>
      <c r="S23" s="60" t="s">
        <v>31</v>
      </c>
      <c r="T23" s="60"/>
      <c r="U23" s="17"/>
      <c r="V23" s="17"/>
      <c r="W23" s="17"/>
      <c r="X23" s="17"/>
      <c r="Y23" s="17"/>
      <c r="Z23" s="17"/>
      <c r="AA23" s="17"/>
      <c r="AB23" s="17"/>
      <c r="AC23" s="17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</row>
    <row r="24" spans="1:48" s="19" customFormat="1" ht="21.6" hidden="1" x14ac:dyDescent="0.2">
      <c r="A24" s="41">
        <v>2087</v>
      </c>
      <c r="B24" s="42" t="s">
        <v>20</v>
      </c>
      <c r="C24" s="43" t="s">
        <v>21</v>
      </c>
      <c r="D24" s="44">
        <v>5135</v>
      </c>
      <c r="E24" s="44" t="s">
        <v>225</v>
      </c>
      <c r="F24" s="45" t="s">
        <v>174</v>
      </c>
      <c r="G24" s="42" t="s">
        <v>175</v>
      </c>
      <c r="H24" s="45" t="s">
        <v>176</v>
      </c>
      <c r="I24" s="57" t="s">
        <v>27</v>
      </c>
      <c r="J24" s="58">
        <v>0.7</v>
      </c>
      <c r="K24" s="57" t="s">
        <v>247</v>
      </c>
      <c r="L24" s="64" t="s">
        <v>248</v>
      </c>
      <c r="M24" s="25" t="s">
        <v>249</v>
      </c>
      <c r="N24" s="60">
        <v>0.99</v>
      </c>
      <c r="O24" s="60">
        <v>0.06</v>
      </c>
      <c r="P24" s="62"/>
      <c r="Q24" s="60">
        <f t="shared" si="7"/>
        <v>0</v>
      </c>
      <c r="R24" s="61">
        <f t="shared" si="6"/>
        <v>0</v>
      </c>
      <c r="S24" s="60" t="s">
        <v>31</v>
      </c>
      <c r="T24" s="60"/>
      <c r="U24" s="17"/>
      <c r="V24" s="17"/>
      <c r="W24" s="17"/>
      <c r="X24" s="17"/>
      <c r="Y24" s="17"/>
      <c r="Z24" s="17"/>
      <c r="AA24" s="17"/>
      <c r="AB24" s="17"/>
      <c r="AC24" s="17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</row>
    <row r="25" spans="1:48" s="19" customFormat="1" ht="21.6" hidden="1" x14ac:dyDescent="0.2">
      <c r="A25" s="41">
        <v>2090</v>
      </c>
      <c r="B25" s="42" t="s">
        <v>20</v>
      </c>
      <c r="C25" s="43" t="s">
        <v>21</v>
      </c>
      <c r="D25" s="44">
        <v>5300</v>
      </c>
      <c r="E25" s="44" t="s">
        <v>250</v>
      </c>
      <c r="F25" s="45" t="s">
        <v>174</v>
      </c>
      <c r="G25" s="42" t="s">
        <v>175</v>
      </c>
      <c r="H25" s="45" t="s">
        <v>176</v>
      </c>
      <c r="I25" s="46" t="s">
        <v>27</v>
      </c>
      <c r="J25" s="47">
        <v>0.7</v>
      </c>
      <c r="K25" s="13" t="s">
        <v>177</v>
      </c>
      <c r="L25" s="14" t="s">
        <v>178</v>
      </c>
      <c r="M25" s="13" t="s">
        <v>179</v>
      </c>
      <c r="N25" s="48" t="s">
        <v>127</v>
      </c>
      <c r="O25" s="47">
        <v>0.1</v>
      </c>
      <c r="P25" s="47"/>
      <c r="Q25" s="47">
        <f t="shared" si="7"/>
        <v>0</v>
      </c>
      <c r="R25" s="49">
        <f t="shared" si="6"/>
        <v>0</v>
      </c>
      <c r="S25" s="47" t="s">
        <v>31</v>
      </c>
      <c r="T25" s="50">
        <f>SUM(R25:R39)%</f>
        <v>0</v>
      </c>
      <c r="U25" s="17"/>
      <c r="V25" s="17"/>
      <c r="W25" s="17"/>
      <c r="X25" s="17"/>
      <c r="Y25" s="17"/>
      <c r="Z25" s="17"/>
      <c r="AA25" s="17"/>
      <c r="AB25" s="17"/>
      <c r="AC25" s="17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  <row r="26" spans="1:48" s="19" customFormat="1" ht="21.6" hidden="1" x14ac:dyDescent="0.2">
      <c r="A26" s="41">
        <v>2091</v>
      </c>
      <c r="B26" s="42" t="s">
        <v>20</v>
      </c>
      <c r="C26" s="43" t="s">
        <v>21</v>
      </c>
      <c r="D26" s="44">
        <v>5300</v>
      </c>
      <c r="E26" s="44" t="s">
        <v>250</v>
      </c>
      <c r="F26" s="45" t="s">
        <v>174</v>
      </c>
      <c r="G26" s="42" t="s">
        <v>175</v>
      </c>
      <c r="H26" s="45" t="s">
        <v>176</v>
      </c>
      <c r="I26" s="46" t="s">
        <v>27</v>
      </c>
      <c r="J26" s="47">
        <v>0.7</v>
      </c>
      <c r="K26" s="13" t="s">
        <v>180</v>
      </c>
      <c r="L26" s="14" t="s">
        <v>181</v>
      </c>
      <c r="M26" s="13" t="s">
        <v>182</v>
      </c>
      <c r="N26" s="51" t="s">
        <v>112</v>
      </c>
      <c r="O26" s="47">
        <v>0.1</v>
      </c>
      <c r="P26" s="52"/>
      <c r="Q26" s="47">
        <f>ROUND(IF(OR(N26="",P26=""),0,IF(AND(N26=0,P26=0),1,IF(S26="+",P26/N26,N26/P26))),2)</f>
        <v>0</v>
      </c>
      <c r="R26" s="49">
        <f t="shared" si="6"/>
        <v>0</v>
      </c>
      <c r="S26" s="47" t="s">
        <v>31</v>
      </c>
      <c r="T26" s="47"/>
      <c r="U26" s="17"/>
      <c r="V26" s="17"/>
      <c r="W26" s="17"/>
      <c r="X26" s="17"/>
      <c r="Y26" s="17"/>
      <c r="Z26" s="17"/>
      <c r="AA26" s="17"/>
      <c r="AB26" s="17"/>
      <c r="AC26" s="17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</row>
    <row r="27" spans="1:48" s="19" customFormat="1" ht="21.6" hidden="1" x14ac:dyDescent="0.2">
      <c r="A27" s="41">
        <v>2092</v>
      </c>
      <c r="B27" s="42" t="s">
        <v>20</v>
      </c>
      <c r="C27" s="43" t="s">
        <v>21</v>
      </c>
      <c r="D27" s="44">
        <v>5300</v>
      </c>
      <c r="E27" s="44" t="s">
        <v>250</v>
      </c>
      <c r="F27" s="45" t="s">
        <v>174</v>
      </c>
      <c r="G27" s="42" t="s">
        <v>175</v>
      </c>
      <c r="H27" s="45" t="s">
        <v>176</v>
      </c>
      <c r="I27" s="46" t="s">
        <v>27</v>
      </c>
      <c r="J27" s="47">
        <v>0.7</v>
      </c>
      <c r="K27" s="13" t="s">
        <v>183</v>
      </c>
      <c r="L27" s="14" t="s">
        <v>184</v>
      </c>
      <c r="M27" s="13" t="s">
        <v>185</v>
      </c>
      <c r="N27" s="53" t="s">
        <v>186</v>
      </c>
      <c r="O27" s="47">
        <v>7.0000000000000007E-2</v>
      </c>
      <c r="P27" s="52"/>
      <c r="Q27" s="47">
        <f t="shared" ref="Q27:Q37" si="8">ROUND(IF(OR(N27="",P27=""),0,IF(AND(N27=0,P27=0),1,IF(S27="+",P27/N27,N27/P27))),2)</f>
        <v>0</v>
      </c>
      <c r="R27" s="49">
        <f t="shared" si="6"/>
        <v>0</v>
      </c>
      <c r="S27" s="47" t="s">
        <v>36</v>
      </c>
      <c r="T27" s="47"/>
      <c r="U27" s="17"/>
      <c r="V27" s="17"/>
      <c r="W27" s="17"/>
      <c r="X27" s="17"/>
      <c r="Y27" s="17"/>
      <c r="Z27" s="17"/>
      <c r="AA27" s="17"/>
      <c r="AB27" s="17"/>
      <c r="AC27" s="17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</row>
    <row r="28" spans="1:48" s="19" customFormat="1" ht="21.6" hidden="1" x14ac:dyDescent="0.2">
      <c r="A28" s="41">
        <v>2093</v>
      </c>
      <c r="B28" s="42" t="s">
        <v>20</v>
      </c>
      <c r="C28" s="43" t="s">
        <v>21</v>
      </c>
      <c r="D28" s="44">
        <v>5300</v>
      </c>
      <c r="E28" s="44" t="s">
        <v>250</v>
      </c>
      <c r="F28" s="45" t="s">
        <v>174</v>
      </c>
      <c r="G28" s="42" t="s">
        <v>175</v>
      </c>
      <c r="H28" s="45" t="s">
        <v>176</v>
      </c>
      <c r="I28" s="46" t="s">
        <v>27</v>
      </c>
      <c r="J28" s="47">
        <v>0.7</v>
      </c>
      <c r="K28" s="13" t="s">
        <v>187</v>
      </c>
      <c r="L28" s="14" t="s">
        <v>188</v>
      </c>
      <c r="M28" s="13" t="s">
        <v>189</v>
      </c>
      <c r="N28" s="52" t="s">
        <v>148</v>
      </c>
      <c r="O28" s="47">
        <v>0.08</v>
      </c>
      <c r="P28" s="54"/>
      <c r="Q28" s="47">
        <f t="shared" si="8"/>
        <v>0</v>
      </c>
      <c r="R28" s="49">
        <f t="shared" si="6"/>
        <v>0</v>
      </c>
      <c r="S28" s="47" t="s">
        <v>36</v>
      </c>
      <c r="T28" s="47"/>
      <c r="U28" s="17"/>
      <c r="V28" s="17"/>
      <c r="W28" s="17"/>
      <c r="X28" s="17"/>
      <c r="Y28" s="17"/>
      <c r="Z28" s="17"/>
      <c r="AA28" s="17"/>
      <c r="AB28" s="17"/>
      <c r="AC28" s="17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</row>
    <row r="29" spans="1:48" s="19" customFormat="1" ht="21.6" hidden="1" x14ac:dyDescent="0.2">
      <c r="A29" s="41">
        <v>2094</v>
      </c>
      <c r="B29" s="42" t="s">
        <v>20</v>
      </c>
      <c r="C29" s="43" t="s">
        <v>21</v>
      </c>
      <c r="D29" s="44">
        <v>5300</v>
      </c>
      <c r="E29" s="44" t="s">
        <v>250</v>
      </c>
      <c r="F29" s="45" t="s">
        <v>174</v>
      </c>
      <c r="G29" s="42" t="s">
        <v>175</v>
      </c>
      <c r="H29" s="45" t="s">
        <v>176</v>
      </c>
      <c r="I29" s="46" t="s">
        <v>27</v>
      </c>
      <c r="J29" s="47">
        <v>0.7</v>
      </c>
      <c r="K29" s="13" t="s">
        <v>190</v>
      </c>
      <c r="L29" s="14" t="s">
        <v>191</v>
      </c>
      <c r="M29" s="13" t="s">
        <v>192</v>
      </c>
      <c r="N29" s="55" t="s">
        <v>127</v>
      </c>
      <c r="O29" s="47">
        <v>0.06</v>
      </c>
      <c r="P29" s="56"/>
      <c r="Q29" s="47">
        <f t="shared" si="8"/>
        <v>0</v>
      </c>
      <c r="R29" s="49">
        <f t="shared" si="6"/>
        <v>0</v>
      </c>
      <c r="S29" s="47" t="s">
        <v>31</v>
      </c>
      <c r="T29" s="47"/>
      <c r="U29" s="17"/>
      <c r="V29" s="17"/>
      <c r="W29" s="17"/>
      <c r="X29" s="17"/>
      <c r="Y29" s="17"/>
      <c r="Z29" s="17"/>
      <c r="AA29" s="17"/>
      <c r="AB29" s="17"/>
      <c r="AC29" s="17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</row>
    <row r="30" spans="1:48" s="19" customFormat="1" ht="21.6" hidden="1" x14ac:dyDescent="0.2">
      <c r="A30" s="41">
        <v>2095</v>
      </c>
      <c r="B30" s="42" t="s">
        <v>20</v>
      </c>
      <c r="C30" s="43" t="s">
        <v>21</v>
      </c>
      <c r="D30" s="44">
        <v>5300</v>
      </c>
      <c r="E30" s="44" t="s">
        <v>250</v>
      </c>
      <c r="F30" s="45" t="s">
        <v>174</v>
      </c>
      <c r="G30" s="42" t="s">
        <v>175</v>
      </c>
      <c r="H30" s="45" t="s">
        <v>176</v>
      </c>
      <c r="I30" s="57" t="s">
        <v>27</v>
      </c>
      <c r="J30" s="58">
        <v>0.7</v>
      </c>
      <c r="K30" s="25" t="s">
        <v>193</v>
      </c>
      <c r="L30" s="22" t="s">
        <v>194</v>
      </c>
      <c r="M30" s="25" t="s">
        <v>195</v>
      </c>
      <c r="N30" s="59" t="s">
        <v>196</v>
      </c>
      <c r="O30" s="60">
        <v>0.06</v>
      </c>
      <c r="P30" s="56"/>
      <c r="Q30" s="60">
        <f t="shared" si="8"/>
        <v>0</v>
      </c>
      <c r="R30" s="61">
        <f t="shared" si="6"/>
        <v>0</v>
      </c>
      <c r="S30" s="60" t="s">
        <v>36</v>
      </c>
      <c r="T30" s="60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</row>
    <row r="31" spans="1:48" s="19" customFormat="1" ht="21.6" hidden="1" x14ac:dyDescent="0.2">
      <c r="A31" s="41">
        <v>2096</v>
      </c>
      <c r="B31" s="42" t="s">
        <v>20</v>
      </c>
      <c r="C31" s="43" t="s">
        <v>21</v>
      </c>
      <c r="D31" s="44">
        <v>5300</v>
      </c>
      <c r="E31" s="44" t="s">
        <v>250</v>
      </c>
      <c r="F31" s="45" t="s">
        <v>174</v>
      </c>
      <c r="G31" s="42" t="s">
        <v>175</v>
      </c>
      <c r="H31" s="45" t="s">
        <v>176</v>
      </c>
      <c r="I31" s="57" t="s">
        <v>59</v>
      </c>
      <c r="J31" s="58">
        <v>0.3</v>
      </c>
      <c r="K31" s="25" t="s">
        <v>197</v>
      </c>
      <c r="L31" s="22" t="s">
        <v>198</v>
      </c>
      <c r="M31" s="25" t="s">
        <v>199</v>
      </c>
      <c r="N31" s="59" t="s">
        <v>200</v>
      </c>
      <c r="O31" s="60">
        <v>0.05</v>
      </c>
      <c r="P31" s="56"/>
      <c r="Q31" s="60">
        <f t="shared" si="8"/>
        <v>0</v>
      </c>
      <c r="R31" s="61">
        <f t="shared" si="6"/>
        <v>0</v>
      </c>
      <c r="S31" s="60" t="s">
        <v>31</v>
      </c>
      <c r="T31" s="60"/>
      <c r="U31" s="17"/>
      <c r="V31" s="17"/>
      <c r="W31" s="17"/>
      <c r="X31" s="17"/>
      <c r="Y31" s="17"/>
      <c r="Z31" s="17"/>
      <c r="AA31" s="17"/>
      <c r="AB31" s="17"/>
      <c r="AC31" s="17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</row>
    <row r="32" spans="1:48" s="19" customFormat="1" ht="21.6" hidden="1" x14ac:dyDescent="0.2">
      <c r="A32" s="41">
        <v>2097</v>
      </c>
      <c r="B32" s="42" t="s">
        <v>20</v>
      </c>
      <c r="C32" s="43" t="s">
        <v>21</v>
      </c>
      <c r="D32" s="44">
        <v>5300</v>
      </c>
      <c r="E32" s="44" t="s">
        <v>250</v>
      </c>
      <c r="F32" s="45" t="s">
        <v>174</v>
      </c>
      <c r="G32" s="42" t="s">
        <v>175</v>
      </c>
      <c r="H32" s="45" t="s">
        <v>176</v>
      </c>
      <c r="I32" s="57" t="s">
        <v>59</v>
      </c>
      <c r="J32" s="58">
        <v>0.3</v>
      </c>
      <c r="K32" s="25" t="s">
        <v>201</v>
      </c>
      <c r="L32" s="22" t="s">
        <v>202</v>
      </c>
      <c r="M32" s="25" t="s">
        <v>203</v>
      </c>
      <c r="N32" s="62" t="s">
        <v>204</v>
      </c>
      <c r="O32" s="60">
        <v>0.05</v>
      </c>
      <c r="P32" s="62"/>
      <c r="Q32" s="60">
        <f t="shared" si="8"/>
        <v>0</v>
      </c>
      <c r="R32" s="61">
        <f t="shared" si="6"/>
        <v>0</v>
      </c>
      <c r="S32" s="60" t="s">
        <v>31</v>
      </c>
      <c r="T32" s="60"/>
      <c r="U32" s="17"/>
      <c r="V32" s="17"/>
      <c r="W32" s="17"/>
      <c r="X32" s="17"/>
      <c r="Y32" s="17"/>
      <c r="Z32" s="17"/>
      <c r="AA32" s="17"/>
      <c r="AB32" s="17"/>
      <c r="AC32" s="17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</row>
    <row r="33" spans="1:48" s="19" customFormat="1" ht="21.6" hidden="1" x14ac:dyDescent="0.2">
      <c r="A33" s="41">
        <v>2098</v>
      </c>
      <c r="B33" s="42" t="s">
        <v>20</v>
      </c>
      <c r="C33" s="43" t="s">
        <v>21</v>
      </c>
      <c r="D33" s="44">
        <v>5300</v>
      </c>
      <c r="E33" s="44" t="s">
        <v>250</v>
      </c>
      <c r="F33" s="45" t="s">
        <v>174</v>
      </c>
      <c r="G33" s="42" t="s">
        <v>175</v>
      </c>
      <c r="H33" s="45" t="s">
        <v>176</v>
      </c>
      <c r="I33" s="57" t="s">
        <v>27</v>
      </c>
      <c r="J33" s="58">
        <v>0.7</v>
      </c>
      <c r="K33" s="25" t="s">
        <v>205</v>
      </c>
      <c r="L33" s="22" t="s">
        <v>206</v>
      </c>
      <c r="M33" s="25" t="s">
        <v>207</v>
      </c>
      <c r="N33" s="62" t="s">
        <v>208</v>
      </c>
      <c r="O33" s="60">
        <v>0.05</v>
      </c>
      <c r="P33" s="62"/>
      <c r="Q33" s="60"/>
      <c r="R33" s="61"/>
      <c r="S33" s="60" t="s">
        <v>36</v>
      </c>
      <c r="T33" s="60"/>
      <c r="U33" s="17"/>
      <c r="V33" s="17"/>
      <c r="W33" s="17"/>
      <c r="X33" s="17"/>
      <c r="Y33" s="17"/>
      <c r="Z33" s="17"/>
      <c r="AA33" s="17"/>
      <c r="AB33" s="17"/>
      <c r="AC33" s="17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</row>
    <row r="34" spans="1:48" s="19" customFormat="1" ht="21.6" hidden="1" x14ac:dyDescent="0.2">
      <c r="A34" s="41">
        <v>2099</v>
      </c>
      <c r="B34" s="42" t="s">
        <v>20</v>
      </c>
      <c r="C34" s="43" t="s">
        <v>21</v>
      </c>
      <c r="D34" s="44">
        <v>5300</v>
      </c>
      <c r="E34" s="44" t="s">
        <v>250</v>
      </c>
      <c r="F34" s="45" t="s">
        <v>174</v>
      </c>
      <c r="G34" s="42" t="s">
        <v>175</v>
      </c>
      <c r="H34" s="45" t="s">
        <v>176</v>
      </c>
      <c r="I34" s="57" t="s">
        <v>59</v>
      </c>
      <c r="J34" s="58">
        <v>0.3</v>
      </c>
      <c r="K34" s="25" t="s">
        <v>209</v>
      </c>
      <c r="L34" s="22" t="s">
        <v>210</v>
      </c>
      <c r="M34" s="25" t="s">
        <v>211</v>
      </c>
      <c r="N34" s="62" t="s">
        <v>127</v>
      </c>
      <c r="O34" s="60">
        <v>0.05</v>
      </c>
      <c r="P34" s="62"/>
      <c r="Q34" s="60">
        <f t="shared" ref="Q34" si="9">ROUND(IF(OR(N34="",P34=""),0,IF(AND(N34=0,P34=0),1,IF(S34="+",P34/N34,N34/P34))),2)</f>
        <v>0</v>
      </c>
      <c r="R34" s="61">
        <f t="shared" ref="R34" si="10">IF(AND(Q34&gt;=60%,Q34&lt;100%),Q34*((O34*J34)),IF(Q34=100%,((O34*J34)*Q34)*100%,IF(Q34&gt;100%,((J34*O34)*100%)*100%,0)))*100</f>
        <v>0</v>
      </c>
      <c r="S34" s="60" t="s">
        <v>31</v>
      </c>
      <c r="T34" s="60"/>
      <c r="U34" s="17"/>
      <c r="V34" s="17"/>
      <c r="W34" s="17"/>
      <c r="X34" s="17"/>
      <c r="Y34" s="17"/>
      <c r="Z34" s="17"/>
      <c r="AA34" s="17"/>
      <c r="AB34" s="17"/>
      <c r="AC34" s="17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</row>
    <row r="35" spans="1:48" s="19" customFormat="1" ht="21.6" hidden="1" x14ac:dyDescent="0.2">
      <c r="A35" s="41">
        <v>2095</v>
      </c>
      <c r="B35" s="42" t="s">
        <v>20</v>
      </c>
      <c r="C35" s="43" t="s">
        <v>21</v>
      </c>
      <c r="D35" s="44">
        <v>5300</v>
      </c>
      <c r="E35" s="44" t="s">
        <v>250</v>
      </c>
      <c r="F35" s="45" t="s">
        <v>174</v>
      </c>
      <c r="G35" s="42" t="s">
        <v>175</v>
      </c>
      <c r="H35" s="45" t="s">
        <v>176</v>
      </c>
      <c r="I35" s="57" t="s">
        <v>59</v>
      </c>
      <c r="J35" s="58">
        <v>0.3</v>
      </c>
      <c r="K35" s="25" t="s">
        <v>212</v>
      </c>
      <c r="L35" s="22" t="s">
        <v>47</v>
      </c>
      <c r="M35" s="25" t="s">
        <v>213</v>
      </c>
      <c r="N35" s="59" t="s">
        <v>127</v>
      </c>
      <c r="O35" s="60">
        <v>0.05</v>
      </c>
      <c r="P35" s="56"/>
      <c r="Q35" s="60">
        <f t="shared" si="8"/>
        <v>0</v>
      </c>
      <c r="R35" s="61">
        <f t="shared" si="6"/>
        <v>0</v>
      </c>
      <c r="S35" s="60" t="s">
        <v>31</v>
      </c>
      <c r="T35" s="60"/>
      <c r="U35" s="17"/>
      <c r="V35" s="17"/>
      <c r="W35" s="17"/>
      <c r="X35" s="17"/>
      <c r="Y35" s="17"/>
      <c r="Z35" s="17"/>
      <c r="AA35" s="17"/>
      <c r="AB35" s="17"/>
      <c r="AC35" s="17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</row>
    <row r="36" spans="1:48" s="19" customFormat="1" ht="21.6" hidden="1" x14ac:dyDescent="0.2">
      <c r="A36" s="41">
        <v>2096</v>
      </c>
      <c r="B36" s="42" t="s">
        <v>20</v>
      </c>
      <c r="C36" s="43" t="s">
        <v>21</v>
      </c>
      <c r="D36" s="44">
        <v>5300</v>
      </c>
      <c r="E36" s="44" t="s">
        <v>250</v>
      </c>
      <c r="F36" s="45" t="s">
        <v>174</v>
      </c>
      <c r="G36" s="42" t="s">
        <v>175</v>
      </c>
      <c r="H36" s="45" t="s">
        <v>176</v>
      </c>
      <c r="I36" s="57" t="s">
        <v>59</v>
      </c>
      <c r="J36" s="58">
        <v>0.3</v>
      </c>
      <c r="K36" s="25" t="s">
        <v>128</v>
      </c>
      <c r="L36" s="22" t="s">
        <v>61</v>
      </c>
      <c r="M36" s="25" t="s">
        <v>214</v>
      </c>
      <c r="N36" s="59" t="s">
        <v>127</v>
      </c>
      <c r="O36" s="60">
        <v>0.05</v>
      </c>
      <c r="P36" s="56"/>
      <c r="Q36" s="60">
        <f t="shared" si="8"/>
        <v>0</v>
      </c>
      <c r="R36" s="61">
        <f t="shared" si="6"/>
        <v>0</v>
      </c>
      <c r="S36" s="60" t="s">
        <v>31</v>
      </c>
      <c r="T36" s="60"/>
      <c r="U36" s="17"/>
      <c r="V36" s="17"/>
      <c r="W36" s="17"/>
      <c r="X36" s="17"/>
      <c r="Y36" s="17"/>
      <c r="Z36" s="17"/>
      <c r="AA36" s="17"/>
      <c r="AB36" s="17"/>
      <c r="AC36" s="17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</row>
    <row r="37" spans="1:48" s="19" customFormat="1" ht="21.6" hidden="1" x14ac:dyDescent="0.2">
      <c r="A37" s="41">
        <v>2097</v>
      </c>
      <c r="B37" s="42" t="s">
        <v>20</v>
      </c>
      <c r="C37" s="43" t="s">
        <v>21</v>
      </c>
      <c r="D37" s="44">
        <v>5300</v>
      </c>
      <c r="E37" s="44" t="s">
        <v>250</v>
      </c>
      <c r="F37" s="45" t="s">
        <v>174</v>
      </c>
      <c r="G37" s="42" t="s">
        <v>175</v>
      </c>
      <c r="H37" s="45" t="s">
        <v>176</v>
      </c>
      <c r="I37" s="57" t="s">
        <v>27</v>
      </c>
      <c r="J37" s="58">
        <v>0.7</v>
      </c>
      <c r="K37" s="25" t="s">
        <v>215</v>
      </c>
      <c r="L37" s="22" t="s">
        <v>216</v>
      </c>
      <c r="M37" s="25" t="s">
        <v>217</v>
      </c>
      <c r="N37" s="62" t="s">
        <v>127</v>
      </c>
      <c r="O37" s="60">
        <v>0.04</v>
      </c>
      <c r="P37" s="62"/>
      <c r="Q37" s="60">
        <f t="shared" si="8"/>
        <v>0</v>
      </c>
      <c r="R37" s="61">
        <f t="shared" si="6"/>
        <v>0</v>
      </c>
      <c r="S37" s="60" t="s">
        <v>31</v>
      </c>
      <c r="T37" s="60"/>
      <c r="U37" s="17"/>
      <c r="V37" s="17"/>
      <c r="W37" s="17"/>
      <c r="X37" s="17"/>
      <c r="Y37" s="17"/>
      <c r="Z37" s="17"/>
      <c r="AA37" s="17"/>
      <c r="AB37" s="17"/>
      <c r="AC37" s="17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</row>
    <row r="38" spans="1:48" s="19" customFormat="1" ht="21.6" hidden="1" x14ac:dyDescent="0.2">
      <c r="A38" s="41">
        <v>2098</v>
      </c>
      <c r="B38" s="42" t="s">
        <v>20</v>
      </c>
      <c r="C38" s="43" t="s">
        <v>21</v>
      </c>
      <c r="D38" s="44">
        <v>5300</v>
      </c>
      <c r="E38" s="44" t="s">
        <v>250</v>
      </c>
      <c r="F38" s="45" t="s">
        <v>174</v>
      </c>
      <c r="G38" s="42" t="s">
        <v>175</v>
      </c>
      <c r="H38" s="45" t="s">
        <v>176</v>
      </c>
      <c r="I38" s="57" t="s">
        <v>27</v>
      </c>
      <c r="J38" s="58">
        <v>0.7</v>
      </c>
      <c r="K38" s="25" t="s">
        <v>218</v>
      </c>
      <c r="L38" s="22" t="s">
        <v>219</v>
      </c>
      <c r="M38" s="25" t="s">
        <v>220</v>
      </c>
      <c r="N38" s="62" t="s">
        <v>127</v>
      </c>
      <c r="O38" s="60">
        <v>0.04</v>
      </c>
      <c r="P38" s="62"/>
      <c r="Q38" s="60"/>
      <c r="R38" s="61"/>
      <c r="S38" s="60" t="s">
        <v>31</v>
      </c>
      <c r="T38" s="60"/>
      <c r="U38" s="17"/>
      <c r="V38" s="17"/>
      <c r="W38" s="17"/>
      <c r="X38" s="17"/>
      <c r="Y38" s="17"/>
      <c r="Z38" s="17"/>
      <c r="AA38" s="17"/>
      <c r="AB38" s="17"/>
      <c r="AC38" s="17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spans="1:48" s="19" customFormat="1" ht="21.6" hidden="1" x14ac:dyDescent="0.2">
      <c r="A39" s="41">
        <v>2099</v>
      </c>
      <c r="B39" s="42" t="s">
        <v>20</v>
      </c>
      <c r="C39" s="43" t="s">
        <v>21</v>
      </c>
      <c r="D39" s="44">
        <v>5300</v>
      </c>
      <c r="E39" s="44" t="s">
        <v>250</v>
      </c>
      <c r="F39" s="45" t="s">
        <v>174</v>
      </c>
      <c r="G39" s="42" t="s">
        <v>175</v>
      </c>
      <c r="H39" s="45" t="s">
        <v>176</v>
      </c>
      <c r="I39" s="57" t="s">
        <v>27</v>
      </c>
      <c r="J39" s="58">
        <v>0.7</v>
      </c>
      <c r="K39" s="25" t="s">
        <v>221</v>
      </c>
      <c r="L39" s="22" t="s">
        <v>222</v>
      </c>
      <c r="M39" s="25" t="s">
        <v>223</v>
      </c>
      <c r="N39" s="62" t="s">
        <v>224</v>
      </c>
      <c r="O39" s="60">
        <v>0.1</v>
      </c>
      <c r="P39" s="62"/>
      <c r="Q39" s="60">
        <f t="shared" ref="Q39:Q40" si="11">ROUND(IF(OR(N39="",P39=""),0,IF(AND(N39=0,P39=0),1,IF(S39="+",P39/N39,N39/P39))),2)</f>
        <v>0</v>
      </c>
      <c r="R39" s="61">
        <f t="shared" ref="R39:R47" si="12">IF(AND(Q39&gt;=60%,Q39&lt;100%),Q39*((O39*J39)),IF(Q39=100%,((O39*J39)*Q39)*100%,IF(Q39&gt;100%,((J39*O39)*100%)*100%,0)))*100</f>
        <v>0</v>
      </c>
      <c r="S39" s="60" t="s">
        <v>31</v>
      </c>
      <c r="T39" s="60"/>
      <c r="U39" s="17"/>
      <c r="V39" s="17"/>
      <c r="W39" s="17"/>
      <c r="X39" s="17"/>
      <c r="Y39" s="17"/>
      <c r="Z39" s="17"/>
      <c r="AA39" s="17"/>
      <c r="AB39" s="17"/>
      <c r="AC39" s="17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</row>
    <row r="40" spans="1:48" s="19" customFormat="1" ht="21.6" hidden="1" x14ac:dyDescent="0.2">
      <c r="A40" s="41">
        <v>2100</v>
      </c>
      <c r="B40" s="42" t="s">
        <v>20</v>
      </c>
      <c r="C40" s="43" t="s">
        <v>21</v>
      </c>
      <c r="D40" s="44">
        <v>5814</v>
      </c>
      <c r="E40" s="44" t="s">
        <v>251</v>
      </c>
      <c r="F40" s="45" t="s">
        <v>174</v>
      </c>
      <c r="G40" s="42" t="s">
        <v>175</v>
      </c>
      <c r="H40" s="45" t="s">
        <v>176</v>
      </c>
      <c r="I40" s="46" t="s">
        <v>27</v>
      </c>
      <c r="J40" s="47">
        <v>0.7</v>
      </c>
      <c r="K40" s="13" t="s">
        <v>177</v>
      </c>
      <c r="L40" s="14" t="s">
        <v>178</v>
      </c>
      <c r="M40" s="13" t="s">
        <v>179</v>
      </c>
      <c r="N40" s="48" t="s">
        <v>127</v>
      </c>
      <c r="O40" s="47">
        <v>0.1</v>
      </c>
      <c r="P40" s="47"/>
      <c r="Q40" s="47">
        <f t="shared" si="11"/>
        <v>0</v>
      </c>
      <c r="R40" s="49">
        <f t="shared" si="12"/>
        <v>0</v>
      </c>
      <c r="S40" s="47" t="s">
        <v>31</v>
      </c>
      <c r="T40" s="50">
        <f>SUM(R40:R54)%</f>
        <v>0</v>
      </c>
      <c r="U40" s="17"/>
      <c r="V40" s="17"/>
      <c r="W40" s="17"/>
      <c r="X40" s="17"/>
      <c r="Y40" s="17"/>
      <c r="Z40" s="17"/>
      <c r="AA40" s="17"/>
      <c r="AB40" s="17"/>
      <c r="AC40" s="17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</row>
    <row r="41" spans="1:48" s="19" customFormat="1" ht="21.6" hidden="1" x14ac:dyDescent="0.2">
      <c r="A41" s="41">
        <v>2101</v>
      </c>
      <c r="B41" s="42" t="s">
        <v>20</v>
      </c>
      <c r="C41" s="43" t="s">
        <v>21</v>
      </c>
      <c r="D41" s="44">
        <v>5814</v>
      </c>
      <c r="E41" s="44" t="s">
        <v>251</v>
      </c>
      <c r="F41" s="45" t="s">
        <v>174</v>
      </c>
      <c r="G41" s="42" t="s">
        <v>175</v>
      </c>
      <c r="H41" s="45" t="s">
        <v>176</v>
      </c>
      <c r="I41" s="46" t="s">
        <v>27</v>
      </c>
      <c r="J41" s="47">
        <v>0.7</v>
      </c>
      <c r="K41" s="13" t="s">
        <v>180</v>
      </c>
      <c r="L41" s="14" t="s">
        <v>181</v>
      </c>
      <c r="M41" s="13" t="s">
        <v>182</v>
      </c>
      <c r="N41" s="51" t="s">
        <v>112</v>
      </c>
      <c r="O41" s="47">
        <v>0.1</v>
      </c>
      <c r="P41" s="52"/>
      <c r="Q41" s="47">
        <f>ROUND(IF(OR(N41="",P41=""),0,IF(AND(N41=0,P41=0),1,IF(S41="+",P41/N41,N41/P41))),2)</f>
        <v>0</v>
      </c>
      <c r="R41" s="49">
        <f t="shared" si="12"/>
        <v>0</v>
      </c>
      <c r="S41" s="47" t="s">
        <v>31</v>
      </c>
      <c r="T41" s="47"/>
      <c r="U41" s="17"/>
      <c r="V41" s="17"/>
      <c r="W41" s="17"/>
      <c r="X41" s="17"/>
      <c r="Y41" s="17"/>
      <c r="Z41" s="17"/>
      <c r="AA41" s="17"/>
      <c r="AB41" s="17"/>
      <c r="AC41" s="17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spans="1:48" s="19" customFormat="1" ht="21.6" hidden="1" x14ac:dyDescent="0.2">
      <c r="A42" s="41">
        <v>2102</v>
      </c>
      <c r="B42" s="42" t="s">
        <v>20</v>
      </c>
      <c r="C42" s="43" t="s">
        <v>21</v>
      </c>
      <c r="D42" s="44">
        <v>5814</v>
      </c>
      <c r="E42" s="44" t="s">
        <v>251</v>
      </c>
      <c r="F42" s="45" t="s">
        <v>174</v>
      </c>
      <c r="G42" s="42" t="s">
        <v>175</v>
      </c>
      <c r="H42" s="45" t="s">
        <v>176</v>
      </c>
      <c r="I42" s="46" t="s">
        <v>27</v>
      </c>
      <c r="J42" s="47">
        <v>0.7</v>
      </c>
      <c r="K42" s="13" t="s">
        <v>183</v>
      </c>
      <c r="L42" s="14" t="s">
        <v>184</v>
      </c>
      <c r="M42" s="13" t="s">
        <v>185</v>
      </c>
      <c r="N42" s="53" t="s">
        <v>186</v>
      </c>
      <c r="O42" s="47">
        <v>7.0000000000000007E-2</v>
      </c>
      <c r="P42" s="52"/>
      <c r="Q42" s="47">
        <f t="shared" ref="Q42:Q47" si="13">ROUND(IF(OR(N42="",P42=""),0,IF(AND(N42=0,P42=0),1,IF(S42="+",P42/N42,N42/P42))),2)</f>
        <v>0</v>
      </c>
      <c r="R42" s="49">
        <f t="shared" si="12"/>
        <v>0</v>
      </c>
      <c r="S42" s="47" t="s">
        <v>36</v>
      </c>
      <c r="T42" s="47"/>
      <c r="U42" s="17"/>
      <c r="V42" s="17"/>
      <c r="W42" s="17"/>
      <c r="X42" s="17"/>
      <c r="Y42" s="17"/>
      <c r="Z42" s="17"/>
      <c r="AA42" s="17"/>
      <c r="AB42" s="17"/>
      <c r="AC42" s="17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</row>
    <row r="43" spans="1:48" s="19" customFormat="1" ht="21.6" hidden="1" x14ac:dyDescent="0.2">
      <c r="A43" s="41">
        <v>2103</v>
      </c>
      <c r="B43" s="42" t="s">
        <v>20</v>
      </c>
      <c r="C43" s="43" t="s">
        <v>21</v>
      </c>
      <c r="D43" s="44">
        <v>5814</v>
      </c>
      <c r="E43" s="44" t="s">
        <v>251</v>
      </c>
      <c r="F43" s="45" t="s">
        <v>174</v>
      </c>
      <c r="G43" s="42" t="s">
        <v>175</v>
      </c>
      <c r="H43" s="45" t="s">
        <v>176</v>
      </c>
      <c r="I43" s="46" t="s">
        <v>27</v>
      </c>
      <c r="J43" s="47">
        <v>0.7</v>
      </c>
      <c r="K43" s="13" t="s">
        <v>187</v>
      </c>
      <c r="L43" s="14" t="s">
        <v>188</v>
      </c>
      <c r="M43" s="13" t="s">
        <v>189</v>
      </c>
      <c r="N43" s="52" t="s">
        <v>148</v>
      </c>
      <c r="O43" s="47">
        <v>0.08</v>
      </c>
      <c r="P43" s="54"/>
      <c r="Q43" s="47">
        <f t="shared" si="13"/>
        <v>0</v>
      </c>
      <c r="R43" s="49">
        <f t="shared" si="12"/>
        <v>0</v>
      </c>
      <c r="S43" s="47" t="s">
        <v>36</v>
      </c>
      <c r="T43" s="47"/>
      <c r="U43" s="17"/>
      <c r="V43" s="17"/>
      <c r="W43" s="17"/>
      <c r="X43" s="17"/>
      <c r="Y43" s="17"/>
      <c r="Z43" s="17"/>
      <c r="AA43" s="17"/>
      <c r="AB43" s="17"/>
      <c r="AC43" s="17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</row>
    <row r="44" spans="1:48" s="19" customFormat="1" ht="21.6" hidden="1" x14ac:dyDescent="0.2">
      <c r="A44" s="41">
        <v>2104</v>
      </c>
      <c r="B44" s="42" t="s">
        <v>20</v>
      </c>
      <c r="C44" s="43" t="s">
        <v>21</v>
      </c>
      <c r="D44" s="44">
        <v>5814</v>
      </c>
      <c r="E44" s="44" t="s">
        <v>251</v>
      </c>
      <c r="F44" s="45" t="s">
        <v>174</v>
      </c>
      <c r="G44" s="42" t="s">
        <v>175</v>
      </c>
      <c r="H44" s="45" t="s">
        <v>176</v>
      </c>
      <c r="I44" s="46" t="s">
        <v>27</v>
      </c>
      <c r="J44" s="47">
        <v>0.7</v>
      </c>
      <c r="K44" s="13" t="s">
        <v>190</v>
      </c>
      <c r="L44" s="14" t="s">
        <v>191</v>
      </c>
      <c r="M44" s="13" t="s">
        <v>192</v>
      </c>
      <c r="N44" s="55" t="s">
        <v>127</v>
      </c>
      <c r="O44" s="47">
        <v>0.06</v>
      </c>
      <c r="P44" s="56"/>
      <c r="Q44" s="47">
        <f t="shared" si="13"/>
        <v>0</v>
      </c>
      <c r="R44" s="49">
        <f t="shared" si="12"/>
        <v>0</v>
      </c>
      <c r="S44" s="47" t="s">
        <v>31</v>
      </c>
      <c r="T44" s="47"/>
      <c r="U44" s="17"/>
      <c r="V44" s="17"/>
      <c r="W44" s="17"/>
      <c r="X44" s="17"/>
      <c r="Y44" s="17"/>
      <c r="Z44" s="17"/>
      <c r="AA44" s="17"/>
      <c r="AB44" s="17"/>
      <c r="AC44" s="17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</row>
    <row r="45" spans="1:48" s="19" customFormat="1" ht="21.6" hidden="1" x14ac:dyDescent="0.2">
      <c r="A45" s="41">
        <v>2104</v>
      </c>
      <c r="B45" s="42" t="s">
        <v>20</v>
      </c>
      <c r="C45" s="43" t="s">
        <v>21</v>
      </c>
      <c r="D45" s="44">
        <v>5814</v>
      </c>
      <c r="E45" s="44" t="s">
        <v>251</v>
      </c>
      <c r="F45" s="45" t="s">
        <v>174</v>
      </c>
      <c r="G45" s="42" t="s">
        <v>175</v>
      </c>
      <c r="H45" s="45" t="s">
        <v>176</v>
      </c>
      <c r="I45" s="57" t="s">
        <v>27</v>
      </c>
      <c r="J45" s="58">
        <v>0.7</v>
      </c>
      <c r="K45" s="25" t="s">
        <v>193</v>
      </c>
      <c r="L45" s="22" t="s">
        <v>194</v>
      </c>
      <c r="M45" s="25" t="s">
        <v>195</v>
      </c>
      <c r="N45" s="59" t="s">
        <v>196</v>
      </c>
      <c r="O45" s="60">
        <v>0.06</v>
      </c>
      <c r="P45" s="56"/>
      <c r="Q45" s="60">
        <f t="shared" si="13"/>
        <v>0</v>
      </c>
      <c r="R45" s="61">
        <f t="shared" si="12"/>
        <v>0</v>
      </c>
      <c r="S45" s="60" t="s">
        <v>36</v>
      </c>
      <c r="T45" s="60"/>
      <c r="U45" s="17"/>
      <c r="V45" s="17"/>
      <c r="W45" s="17"/>
      <c r="X45" s="17"/>
      <c r="Y45" s="17"/>
      <c r="Z45" s="17"/>
      <c r="AA45" s="17"/>
      <c r="AB45" s="17"/>
      <c r="AC45" s="17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</row>
    <row r="46" spans="1:48" s="19" customFormat="1" ht="21.6" hidden="1" x14ac:dyDescent="0.2">
      <c r="A46" s="41">
        <v>2104</v>
      </c>
      <c r="B46" s="42" t="s">
        <v>20</v>
      </c>
      <c r="C46" s="43" t="s">
        <v>21</v>
      </c>
      <c r="D46" s="44">
        <v>5814</v>
      </c>
      <c r="E46" s="44" t="s">
        <v>251</v>
      </c>
      <c r="F46" s="45" t="s">
        <v>174</v>
      </c>
      <c r="G46" s="42" t="s">
        <v>175</v>
      </c>
      <c r="H46" s="45" t="s">
        <v>176</v>
      </c>
      <c r="I46" s="57" t="s">
        <v>59</v>
      </c>
      <c r="J46" s="58">
        <v>0.3</v>
      </c>
      <c r="K46" s="25" t="s">
        <v>197</v>
      </c>
      <c r="L46" s="22" t="s">
        <v>198</v>
      </c>
      <c r="M46" s="25" t="s">
        <v>199</v>
      </c>
      <c r="N46" s="59" t="s">
        <v>200</v>
      </c>
      <c r="O46" s="60">
        <v>0.05</v>
      </c>
      <c r="P46" s="56"/>
      <c r="Q46" s="60">
        <f t="shared" si="13"/>
        <v>0</v>
      </c>
      <c r="R46" s="61">
        <f t="shared" si="12"/>
        <v>0</v>
      </c>
      <c r="S46" s="60" t="s">
        <v>31</v>
      </c>
      <c r="T46" s="60"/>
      <c r="U46" s="17"/>
      <c r="V46" s="17"/>
      <c r="W46" s="17"/>
      <c r="X46" s="17"/>
      <c r="Y46" s="17"/>
      <c r="Z46" s="17"/>
      <c r="AA46" s="17"/>
      <c r="AB46" s="17"/>
      <c r="AC46" s="17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48" s="19" customFormat="1" ht="21.6" hidden="1" x14ac:dyDescent="0.2">
      <c r="A47" s="41">
        <v>2104</v>
      </c>
      <c r="B47" s="42" t="s">
        <v>20</v>
      </c>
      <c r="C47" s="43" t="s">
        <v>21</v>
      </c>
      <c r="D47" s="44">
        <v>5814</v>
      </c>
      <c r="E47" s="44" t="s">
        <v>251</v>
      </c>
      <c r="F47" s="45" t="s">
        <v>174</v>
      </c>
      <c r="G47" s="42" t="s">
        <v>175</v>
      </c>
      <c r="H47" s="45" t="s">
        <v>176</v>
      </c>
      <c r="I47" s="57" t="s">
        <v>59</v>
      </c>
      <c r="J47" s="58">
        <v>0.3</v>
      </c>
      <c r="K47" s="25" t="s">
        <v>201</v>
      </c>
      <c r="L47" s="22" t="s">
        <v>202</v>
      </c>
      <c r="M47" s="25" t="s">
        <v>203</v>
      </c>
      <c r="N47" s="62" t="s">
        <v>204</v>
      </c>
      <c r="O47" s="60">
        <v>0.05</v>
      </c>
      <c r="P47" s="62"/>
      <c r="Q47" s="60">
        <f t="shared" si="13"/>
        <v>0</v>
      </c>
      <c r="R47" s="61">
        <f t="shared" si="12"/>
        <v>0</v>
      </c>
      <c r="S47" s="60" t="s">
        <v>31</v>
      </c>
      <c r="T47" s="60"/>
      <c r="U47" s="17"/>
      <c r="V47" s="17"/>
      <c r="W47" s="17"/>
      <c r="X47" s="17"/>
      <c r="Y47" s="17"/>
      <c r="Z47" s="17"/>
      <c r="AA47" s="17"/>
      <c r="AB47" s="17"/>
      <c r="AC47" s="17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</row>
    <row r="48" spans="1:48" s="19" customFormat="1" ht="21.6" hidden="1" x14ac:dyDescent="0.2">
      <c r="A48" s="41">
        <v>2104</v>
      </c>
      <c r="B48" s="42" t="s">
        <v>20</v>
      </c>
      <c r="C48" s="43" t="s">
        <v>21</v>
      </c>
      <c r="D48" s="44">
        <v>5814</v>
      </c>
      <c r="E48" s="44" t="s">
        <v>251</v>
      </c>
      <c r="F48" s="45" t="s">
        <v>174</v>
      </c>
      <c r="G48" s="42" t="s">
        <v>175</v>
      </c>
      <c r="H48" s="45" t="s">
        <v>176</v>
      </c>
      <c r="I48" s="57" t="s">
        <v>27</v>
      </c>
      <c r="J48" s="58">
        <v>0.7</v>
      </c>
      <c r="K48" s="25" t="s">
        <v>205</v>
      </c>
      <c r="L48" s="22" t="s">
        <v>206</v>
      </c>
      <c r="M48" s="25" t="s">
        <v>207</v>
      </c>
      <c r="N48" s="62" t="s">
        <v>208</v>
      </c>
      <c r="O48" s="60">
        <v>0.05</v>
      </c>
      <c r="P48" s="62"/>
      <c r="Q48" s="60"/>
      <c r="R48" s="61"/>
      <c r="S48" s="60" t="s">
        <v>36</v>
      </c>
      <c r="T48" s="60"/>
      <c r="U48" s="17"/>
      <c r="V48" s="17"/>
      <c r="W48" s="17"/>
      <c r="X48" s="17"/>
      <c r="Y48" s="17"/>
      <c r="Z48" s="17"/>
      <c r="AA48" s="17"/>
      <c r="AB48" s="17"/>
      <c r="AC48" s="17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9" customFormat="1" ht="21.6" hidden="1" x14ac:dyDescent="0.2">
      <c r="A49" s="41">
        <v>2104</v>
      </c>
      <c r="B49" s="42" t="s">
        <v>20</v>
      </c>
      <c r="C49" s="43" t="s">
        <v>21</v>
      </c>
      <c r="D49" s="44">
        <v>5814</v>
      </c>
      <c r="E49" s="44" t="s">
        <v>251</v>
      </c>
      <c r="F49" s="45" t="s">
        <v>174</v>
      </c>
      <c r="G49" s="42" t="s">
        <v>175</v>
      </c>
      <c r="H49" s="45" t="s">
        <v>176</v>
      </c>
      <c r="I49" s="57" t="s">
        <v>59</v>
      </c>
      <c r="J49" s="58">
        <v>0.3</v>
      </c>
      <c r="K49" s="25" t="s">
        <v>209</v>
      </c>
      <c r="L49" s="22" t="s">
        <v>210</v>
      </c>
      <c r="M49" s="25" t="s">
        <v>211</v>
      </c>
      <c r="N49" s="62" t="s">
        <v>127</v>
      </c>
      <c r="O49" s="60">
        <v>0.05</v>
      </c>
      <c r="P49" s="62"/>
      <c r="Q49" s="60">
        <f t="shared" ref="Q49:Q52" si="14">ROUND(IF(OR(N49="",P49=""),0,IF(AND(N49=0,P49=0),1,IF(S49="+",P49/N49,N49/P49))),2)</f>
        <v>0</v>
      </c>
      <c r="R49" s="61">
        <f t="shared" ref="R49:R52" si="15">IF(AND(Q49&gt;=60%,Q49&lt;100%),Q49*((O49*J49)),IF(Q49=100%,((O49*J49)*Q49)*100%,IF(Q49&gt;100%,((J49*O49)*100%)*100%,0)))*100</f>
        <v>0</v>
      </c>
      <c r="S49" s="60" t="s">
        <v>31</v>
      </c>
      <c r="T49" s="60"/>
      <c r="U49" s="17"/>
      <c r="V49" s="17"/>
      <c r="W49" s="17"/>
      <c r="X49" s="17"/>
      <c r="Y49" s="17"/>
      <c r="Z49" s="17"/>
      <c r="AA49" s="17"/>
      <c r="AB49" s="17"/>
      <c r="AC49" s="17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</row>
    <row r="50" spans="1:48" s="19" customFormat="1" ht="21.6" hidden="1" x14ac:dyDescent="0.2">
      <c r="A50" s="41">
        <v>2105</v>
      </c>
      <c r="B50" s="42" t="s">
        <v>20</v>
      </c>
      <c r="C50" s="43" t="s">
        <v>21</v>
      </c>
      <c r="D50" s="44">
        <v>5814</v>
      </c>
      <c r="E50" s="44" t="s">
        <v>251</v>
      </c>
      <c r="F50" s="45" t="s">
        <v>174</v>
      </c>
      <c r="G50" s="42" t="s">
        <v>175</v>
      </c>
      <c r="H50" s="45" t="s">
        <v>176</v>
      </c>
      <c r="I50" s="57" t="s">
        <v>59</v>
      </c>
      <c r="J50" s="58">
        <v>0.3</v>
      </c>
      <c r="K50" s="25" t="s">
        <v>212</v>
      </c>
      <c r="L50" s="22" t="s">
        <v>47</v>
      </c>
      <c r="M50" s="25" t="s">
        <v>213</v>
      </c>
      <c r="N50" s="59" t="s">
        <v>127</v>
      </c>
      <c r="O50" s="60">
        <v>0.05</v>
      </c>
      <c r="P50" s="56"/>
      <c r="Q50" s="60">
        <f t="shared" si="14"/>
        <v>0</v>
      </c>
      <c r="R50" s="61">
        <f t="shared" si="15"/>
        <v>0</v>
      </c>
      <c r="S50" s="60" t="s">
        <v>31</v>
      </c>
      <c r="T50" s="60"/>
      <c r="U50" s="17"/>
      <c r="V50" s="17"/>
      <c r="W50" s="17"/>
      <c r="X50" s="17"/>
      <c r="Y50" s="17"/>
      <c r="Z50" s="17"/>
      <c r="AA50" s="17"/>
      <c r="AB50" s="17"/>
      <c r="AC50" s="17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9" customFormat="1" ht="21.6" hidden="1" x14ac:dyDescent="0.2">
      <c r="A51" s="41">
        <v>2106</v>
      </c>
      <c r="B51" s="42" t="s">
        <v>20</v>
      </c>
      <c r="C51" s="43" t="s">
        <v>21</v>
      </c>
      <c r="D51" s="44">
        <v>5814</v>
      </c>
      <c r="E51" s="44" t="s">
        <v>251</v>
      </c>
      <c r="F51" s="45" t="s">
        <v>174</v>
      </c>
      <c r="G51" s="42" t="s">
        <v>175</v>
      </c>
      <c r="H51" s="45" t="s">
        <v>176</v>
      </c>
      <c r="I51" s="57" t="s">
        <v>59</v>
      </c>
      <c r="J51" s="58">
        <v>0.3</v>
      </c>
      <c r="K51" s="25" t="s">
        <v>128</v>
      </c>
      <c r="L51" s="22" t="s">
        <v>61</v>
      </c>
      <c r="M51" s="25" t="s">
        <v>214</v>
      </c>
      <c r="N51" s="59" t="s">
        <v>127</v>
      </c>
      <c r="O51" s="60">
        <v>0.05</v>
      </c>
      <c r="P51" s="56"/>
      <c r="Q51" s="60">
        <f t="shared" si="14"/>
        <v>0</v>
      </c>
      <c r="R51" s="61">
        <f t="shared" si="15"/>
        <v>0</v>
      </c>
      <c r="S51" s="60" t="s">
        <v>31</v>
      </c>
      <c r="T51" s="60"/>
      <c r="U51" s="17"/>
      <c r="V51" s="17"/>
      <c r="W51" s="17"/>
      <c r="X51" s="17"/>
      <c r="Y51" s="17"/>
      <c r="Z51" s="17"/>
      <c r="AA51" s="17"/>
      <c r="AB51" s="17"/>
      <c r="AC51" s="17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</row>
    <row r="52" spans="1:48" s="19" customFormat="1" ht="21.6" hidden="1" x14ac:dyDescent="0.2">
      <c r="A52" s="41">
        <v>2107</v>
      </c>
      <c r="B52" s="42" t="s">
        <v>20</v>
      </c>
      <c r="C52" s="43" t="s">
        <v>21</v>
      </c>
      <c r="D52" s="44">
        <v>5814</v>
      </c>
      <c r="E52" s="44" t="s">
        <v>251</v>
      </c>
      <c r="F52" s="45" t="s">
        <v>174</v>
      </c>
      <c r="G52" s="42" t="s">
        <v>175</v>
      </c>
      <c r="H52" s="45" t="s">
        <v>176</v>
      </c>
      <c r="I52" s="57" t="s">
        <v>27</v>
      </c>
      <c r="J52" s="58">
        <v>0.7</v>
      </c>
      <c r="K52" s="25" t="s">
        <v>215</v>
      </c>
      <c r="L52" s="22" t="s">
        <v>216</v>
      </c>
      <c r="M52" s="25" t="s">
        <v>217</v>
      </c>
      <c r="N52" s="62" t="s">
        <v>127</v>
      </c>
      <c r="O52" s="60">
        <v>0.04</v>
      </c>
      <c r="P52" s="62"/>
      <c r="Q52" s="60">
        <f t="shared" si="14"/>
        <v>0</v>
      </c>
      <c r="R52" s="61">
        <f t="shared" si="15"/>
        <v>0</v>
      </c>
      <c r="S52" s="60" t="s">
        <v>31</v>
      </c>
      <c r="T52" s="60"/>
      <c r="U52" s="17"/>
      <c r="V52" s="17"/>
      <c r="W52" s="17"/>
      <c r="X52" s="17"/>
      <c r="Y52" s="17"/>
      <c r="Z52" s="17"/>
      <c r="AA52" s="17"/>
      <c r="AB52" s="17"/>
      <c r="AC52" s="17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</row>
    <row r="53" spans="1:48" s="19" customFormat="1" ht="21.6" hidden="1" x14ac:dyDescent="0.2">
      <c r="A53" s="41">
        <v>2108</v>
      </c>
      <c r="B53" s="42" t="s">
        <v>20</v>
      </c>
      <c r="C53" s="43" t="s">
        <v>21</v>
      </c>
      <c r="D53" s="44">
        <v>5814</v>
      </c>
      <c r="E53" s="44" t="s">
        <v>251</v>
      </c>
      <c r="F53" s="45" t="s">
        <v>174</v>
      </c>
      <c r="G53" s="42" t="s">
        <v>175</v>
      </c>
      <c r="H53" s="45" t="s">
        <v>176</v>
      </c>
      <c r="I53" s="57" t="s">
        <v>27</v>
      </c>
      <c r="J53" s="58">
        <v>0.7</v>
      </c>
      <c r="K53" s="25" t="s">
        <v>218</v>
      </c>
      <c r="L53" s="22" t="s">
        <v>219</v>
      </c>
      <c r="M53" s="25" t="s">
        <v>220</v>
      </c>
      <c r="N53" s="62" t="s">
        <v>127</v>
      </c>
      <c r="O53" s="60">
        <v>0.04</v>
      </c>
      <c r="P53" s="62"/>
      <c r="Q53" s="60"/>
      <c r="R53" s="61"/>
      <c r="S53" s="60" t="s">
        <v>31</v>
      </c>
      <c r="T53" s="60"/>
      <c r="U53" s="17"/>
      <c r="V53" s="17"/>
      <c r="W53" s="17"/>
      <c r="X53" s="17"/>
      <c r="Y53" s="17"/>
      <c r="Z53" s="17"/>
      <c r="AA53" s="17"/>
      <c r="AB53" s="17"/>
      <c r="AC53" s="17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</row>
    <row r="54" spans="1:48" s="19" customFormat="1" ht="21.6" hidden="1" x14ac:dyDescent="0.2">
      <c r="A54" s="41">
        <v>2109</v>
      </c>
      <c r="B54" s="42" t="s">
        <v>20</v>
      </c>
      <c r="C54" s="43" t="s">
        <v>21</v>
      </c>
      <c r="D54" s="44">
        <v>5814</v>
      </c>
      <c r="E54" s="44" t="s">
        <v>251</v>
      </c>
      <c r="F54" s="45" t="s">
        <v>174</v>
      </c>
      <c r="G54" s="42" t="s">
        <v>175</v>
      </c>
      <c r="H54" s="45" t="s">
        <v>176</v>
      </c>
      <c r="I54" s="57" t="s">
        <v>27</v>
      </c>
      <c r="J54" s="58">
        <v>0.7</v>
      </c>
      <c r="K54" s="25" t="s">
        <v>221</v>
      </c>
      <c r="L54" s="22" t="s">
        <v>222</v>
      </c>
      <c r="M54" s="25" t="s">
        <v>223</v>
      </c>
      <c r="N54" s="62" t="s">
        <v>224</v>
      </c>
      <c r="O54" s="60">
        <v>0.1</v>
      </c>
      <c r="P54" s="62"/>
      <c r="Q54" s="60">
        <f t="shared" ref="Q54:Q55" si="16">ROUND(IF(OR(N54="",P54=""),0,IF(AND(N54=0,P54=0),1,IF(S54="+",P54/N54,N54/P54))),2)</f>
        <v>0</v>
      </c>
      <c r="R54" s="61">
        <f t="shared" ref="R54:R62" si="17">IF(AND(Q54&gt;=60%,Q54&lt;100%),Q54*((O54*J54)),IF(Q54=100%,((O54*J54)*Q54)*100%,IF(Q54&gt;100%,((J54*O54)*100%)*100%,0)))*100</f>
        <v>0</v>
      </c>
      <c r="S54" s="60" t="s">
        <v>31</v>
      </c>
      <c r="T54" s="60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</row>
    <row r="55" spans="1:48" s="19" customFormat="1" ht="21.6" hidden="1" x14ac:dyDescent="0.2">
      <c r="A55" s="41">
        <v>2110</v>
      </c>
      <c r="B55" s="42" t="s">
        <v>20</v>
      </c>
      <c r="C55" s="43" t="s">
        <v>21</v>
      </c>
      <c r="D55" s="44">
        <v>6150</v>
      </c>
      <c r="E55" s="44" t="s">
        <v>252</v>
      </c>
      <c r="F55" s="45" t="s">
        <v>174</v>
      </c>
      <c r="G55" s="42" t="s">
        <v>175</v>
      </c>
      <c r="H55" s="45" t="s">
        <v>176</v>
      </c>
      <c r="I55" s="46" t="s">
        <v>27</v>
      </c>
      <c r="J55" s="47">
        <v>0.7</v>
      </c>
      <c r="K55" s="13" t="s">
        <v>177</v>
      </c>
      <c r="L55" s="14" t="s">
        <v>178</v>
      </c>
      <c r="M55" s="13" t="s">
        <v>179</v>
      </c>
      <c r="N55" s="48" t="s">
        <v>127</v>
      </c>
      <c r="O55" s="47">
        <v>0.1</v>
      </c>
      <c r="P55" s="47"/>
      <c r="Q55" s="47">
        <f t="shared" si="16"/>
        <v>0</v>
      </c>
      <c r="R55" s="49">
        <f t="shared" si="17"/>
        <v>0</v>
      </c>
      <c r="S55" s="47" t="s">
        <v>31</v>
      </c>
      <c r="T55" s="50">
        <f>SUM(R55:R69)%</f>
        <v>0</v>
      </c>
      <c r="U55" s="17"/>
      <c r="V55" s="17"/>
      <c r="W55" s="17"/>
      <c r="X55" s="17"/>
      <c r="Y55" s="17"/>
      <c r="Z55" s="17"/>
      <c r="AA55" s="17"/>
      <c r="AB55" s="17"/>
      <c r="AC55" s="17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</row>
    <row r="56" spans="1:48" s="19" customFormat="1" ht="21.6" hidden="1" x14ac:dyDescent="0.2">
      <c r="A56" s="41">
        <v>2111</v>
      </c>
      <c r="B56" s="42" t="s">
        <v>20</v>
      </c>
      <c r="C56" s="43" t="s">
        <v>21</v>
      </c>
      <c r="D56" s="44">
        <v>6150</v>
      </c>
      <c r="E56" s="44" t="s">
        <v>252</v>
      </c>
      <c r="F56" s="45" t="s">
        <v>174</v>
      </c>
      <c r="G56" s="42" t="s">
        <v>175</v>
      </c>
      <c r="H56" s="45" t="s">
        <v>176</v>
      </c>
      <c r="I56" s="46" t="s">
        <v>27</v>
      </c>
      <c r="J56" s="47">
        <v>0.7</v>
      </c>
      <c r="K56" s="13" t="s">
        <v>180</v>
      </c>
      <c r="L56" s="14" t="s">
        <v>181</v>
      </c>
      <c r="M56" s="13" t="s">
        <v>182</v>
      </c>
      <c r="N56" s="51" t="s">
        <v>112</v>
      </c>
      <c r="O56" s="47">
        <v>0.1</v>
      </c>
      <c r="P56" s="52"/>
      <c r="Q56" s="47">
        <f>ROUND(IF(OR(N56="",P56=""),0,IF(AND(N56=0,P56=0),1,IF(S56="+",P56/N56,N56/P56))),2)</f>
        <v>0</v>
      </c>
      <c r="R56" s="49">
        <f t="shared" si="17"/>
        <v>0</v>
      </c>
      <c r="S56" s="47" t="s">
        <v>31</v>
      </c>
      <c r="T56" s="47"/>
      <c r="U56" s="17"/>
      <c r="V56" s="17"/>
      <c r="W56" s="17"/>
      <c r="X56" s="17"/>
      <c r="Y56" s="17"/>
      <c r="Z56" s="17"/>
      <c r="AA56" s="17"/>
      <c r="AB56" s="17"/>
      <c r="AC56" s="17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</row>
    <row r="57" spans="1:48" s="19" customFormat="1" ht="21.6" hidden="1" x14ac:dyDescent="0.2">
      <c r="A57" s="41">
        <v>2112</v>
      </c>
      <c r="B57" s="42" t="s">
        <v>20</v>
      </c>
      <c r="C57" s="43" t="s">
        <v>21</v>
      </c>
      <c r="D57" s="44">
        <v>6150</v>
      </c>
      <c r="E57" s="44" t="s">
        <v>252</v>
      </c>
      <c r="F57" s="45" t="s">
        <v>174</v>
      </c>
      <c r="G57" s="42" t="s">
        <v>175</v>
      </c>
      <c r="H57" s="45" t="s">
        <v>176</v>
      </c>
      <c r="I57" s="46" t="s">
        <v>27</v>
      </c>
      <c r="J57" s="47">
        <v>0.7</v>
      </c>
      <c r="K57" s="13" t="s">
        <v>183</v>
      </c>
      <c r="L57" s="14" t="s">
        <v>184</v>
      </c>
      <c r="M57" s="13" t="s">
        <v>185</v>
      </c>
      <c r="N57" s="53" t="s">
        <v>186</v>
      </c>
      <c r="O57" s="47">
        <v>7.0000000000000007E-2</v>
      </c>
      <c r="P57" s="52"/>
      <c r="Q57" s="47">
        <f t="shared" ref="Q57:Q62" si="18">ROUND(IF(OR(N57="",P57=""),0,IF(AND(N57=0,P57=0),1,IF(S57="+",P57/N57,N57/P57))),2)</f>
        <v>0</v>
      </c>
      <c r="R57" s="49">
        <f t="shared" si="17"/>
        <v>0</v>
      </c>
      <c r="S57" s="47" t="s">
        <v>36</v>
      </c>
      <c r="T57" s="47"/>
      <c r="U57" s="17"/>
      <c r="V57" s="17"/>
      <c r="W57" s="17"/>
      <c r="X57" s="17"/>
      <c r="Y57" s="17"/>
      <c r="Z57" s="17"/>
      <c r="AA57" s="17"/>
      <c r="AB57" s="17"/>
      <c r="AC57" s="17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</row>
    <row r="58" spans="1:48" s="19" customFormat="1" ht="21.6" hidden="1" x14ac:dyDescent="0.2">
      <c r="A58" s="41">
        <v>2113</v>
      </c>
      <c r="B58" s="42" t="s">
        <v>20</v>
      </c>
      <c r="C58" s="43" t="s">
        <v>21</v>
      </c>
      <c r="D58" s="44">
        <v>6150</v>
      </c>
      <c r="E58" s="44" t="s">
        <v>252</v>
      </c>
      <c r="F58" s="45" t="s">
        <v>174</v>
      </c>
      <c r="G58" s="42" t="s">
        <v>175</v>
      </c>
      <c r="H58" s="45" t="s">
        <v>176</v>
      </c>
      <c r="I58" s="46" t="s">
        <v>27</v>
      </c>
      <c r="J58" s="47">
        <v>0.7</v>
      </c>
      <c r="K58" s="13" t="s">
        <v>187</v>
      </c>
      <c r="L58" s="14" t="s">
        <v>188</v>
      </c>
      <c r="M58" s="13" t="s">
        <v>189</v>
      </c>
      <c r="N58" s="52" t="s">
        <v>148</v>
      </c>
      <c r="O58" s="47">
        <v>0.08</v>
      </c>
      <c r="P58" s="54"/>
      <c r="Q58" s="47">
        <f t="shared" si="18"/>
        <v>0</v>
      </c>
      <c r="R58" s="49">
        <f t="shared" si="17"/>
        <v>0</v>
      </c>
      <c r="S58" s="47" t="s">
        <v>36</v>
      </c>
      <c r="T58" s="47"/>
      <c r="U58" s="17"/>
      <c r="V58" s="17"/>
      <c r="W58" s="17"/>
      <c r="X58" s="17"/>
      <c r="Y58" s="17"/>
      <c r="Z58" s="17"/>
      <c r="AA58" s="17"/>
      <c r="AB58" s="17"/>
      <c r="AC58" s="17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</row>
    <row r="59" spans="1:48" s="19" customFormat="1" ht="21.6" hidden="1" x14ac:dyDescent="0.2">
      <c r="A59" s="41">
        <v>2114</v>
      </c>
      <c r="B59" s="42" t="s">
        <v>20</v>
      </c>
      <c r="C59" s="43" t="s">
        <v>21</v>
      </c>
      <c r="D59" s="44">
        <v>6150</v>
      </c>
      <c r="E59" s="44" t="s">
        <v>252</v>
      </c>
      <c r="F59" s="45" t="s">
        <v>174</v>
      </c>
      <c r="G59" s="42" t="s">
        <v>175</v>
      </c>
      <c r="H59" s="45" t="s">
        <v>176</v>
      </c>
      <c r="I59" s="46" t="s">
        <v>27</v>
      </c>
      <c r="J59" s="47">
        <v>0.7</v>
      </c>
      <c r="K59" s="13" t="s">
        <v>190</v>
      </c>
      <c r="L59" s="14" t="s">
        <v>191</v>
      </c>
      <c r="M59" s="13" t="s">
        <v>192</v>
      </c>
      <c r="N59" s="55" t="s">
        <v>127</v>
      </c>
      <c r="O59" s="47">
        <v>0.06</v>
      </c>
      <c r="P59" s="56"/>
      <c r="Q59" s="47">
        <f t="shared" si="18"/>
        <v>0</v>
      </c>
      <c r="R59" s="49">
        <f t="shared" si="17"/>
        <v>0</v>
      </c>
      <c r="S59" s="47" t="s">
        <v>31</v>
      </c>
      <c r="T59" s="47"/>
      <c r="U59" s="17"/>
      <c r="V59" s="17"/>
      <c r="W59" s="17"/>
      <c r="X59" s="17"/>
      <c r="Y59" s="17"/>
      <c r="Z59" s="17"/>
      <c r="AA59" s="17"/>
      <c r="AB59" s="17"/>
      <c r="AC59" s="17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</row>
    <row r="60" spans="1:48" s="19" customFormat="1" ht="21.6" hidden="1" x14ac:dyDescent="0.2">
      <c r="A60" s="41">
        <v>2114</v>
      </c>
      <c r="B60" s="42" t="s">
        <v>20</v>
      </c>
      <c r="C60" s="43" t="s">
        <v>21</v>
      </c>
      <c r="D60" s="44">
        <v>6150</v>
      </c>
      <c r="E60" s="44" t="s">
        <v>252</v>
      </c>
      <c r="F60" s="45" t="s">
        <v>174</v>
      </c>
      <c r="G60" s="42" t="s">
        <v>175</v>
      </c>
      <c r="H60" s="45" t="s">
        <v>176</v>
      </c>
      <c r="I60" s="57" t="s">
        <v>27</v>
      </c>
      <c r="J60" s="58">
        <v>0.7</v>
      </c>
      <c r="K60" s="25" t="s">
        <v>193</v>
      </c>
      <c r="L60" s="22" t="s">
        <v>194</v>
      </c>
      <c r="M60" s="25" t="s">
        <v>195</v>
      </c>
      <c r="N60" s="59" t="s">
        <v>196</v>
      </c>
      <c r="O60" s="60">
        <v>0.06</v>
      </c>
      <c r="P60" s="56"/>
      <c r="Q60" s="60">
        <f t="shared" si="18"/>
        <v>0</v>
      </c>
      <c r="R60" s="61">
        <f t="shared" si="17"/>
        <v>0</v>
      </c>
      <c r="S60" s="60" t="s">
        <v>36</v>
      </c>
      <c r="T60" s="60"/>
      <c r="U60" s="17"/>
      <c r="V60" s="17"/>
      <c r="W60" s="17"/>
      <c r="X60" s="17"/>
      <c r="Y60" s="17"/>
      <c r="Z60" s="17"/>
      <c r="AA60" s="17"/>
      <c r="AB60" s="17"/>
      <c r="AC60" s="17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</row>
    <row r="61" spans="1:48" s="19" customFormat="1" ht="21.6" hidden="1" x14ac:dyDescent="0.2">
      <c r="A61" s="41">
        <v>2114</v>
      </c>
      <c r="B61" s="42" t="s">
        <v>20</v>
      </c>
      <c r="C61" s="43" t="s">
        <v>21</v>
      </c>
      <c r="D61" s="44">
        <v>6150</v>
      </c>
      <c r="E61" s="44" t="s">
        <v>252</v>
      </c>
      <c r="F61" s="45" t="s">
        <v>174</v>
      </c>
      <c r="G61" s="42" t="s">
        <v>175</v>
      </c>
      <c r="H61" s="45" t="s">
        <v>176</v>
      </c>
      <c r="I61" s="57" t="s">
        <v>59</v>
      </c>
      <c r="J61" s="58">
        <v>0.3</v>
      </c>
      <c r="K61" s="25" t="s">
        <v>197</v>
      </c>
      <c r="L61" s="22" t="s">
        <v>198</v>
      </c>
      <c r="M61" s="25" t="s">
        <v>199</v>
      </c>
      <c r="N61" s="59" t="s">
        <v>200</v>
      </c>
      <c r="O61" s="60">
        <v>0.05</v>
      </c>
      <c r="P61" s="56"/>
      <c r="Q61" s="60">
        <f t="shared" si="18"/>
        <v>0</v>
      </c>
      <c r="R61" s="61">
        <f t="shared" si="17"/>
        <v>0</v>
      </c>
      <c r="S61" s="60" t="s">
        <v>31</v>
      </c>
      <c r="T61" s="60"/>
      <c r="U61" s="17"/>
      <c r="V61" s="17"/>
      <c r="W61" s="17"/>
      <c r="X61" s="17"/>
      <c r="Y61" s="17"/>
      <c r="Z61" s="17"/>
      <c r="AA61" s="17"/>
      <c r="AB61" s="17"/>
      <c r="AC61" s="17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</row>
    <row r="62" spans="1:48" s="19" customFormat="1" ht="21.6" hidden="1" x14ac:dyDescent="0.2">
      <c r="A62" s="41">
        <v>2114</v>
      </c>
      <c r="B62" s="42" t="s">
        <v>20</v>
      </c>
      <c r="C62" s="43" t="s">
        <v>21</v>
      </c>
      <c r="D62" s="44">
        <v>6150</v>
      </c>
      <c r="E62" s="44" t="s">
        <v>252</v>
      </c>
      <c r="F62" s="45" t="s">
        <v>174</v>
      </c>
      <c r="G62" s="42" t="s">
        <v>175</v>
      </c>
      <c r="H62" s="45" t="s">
        <v>176</v>
      </c>
      <c r="I62" s="57" t="s">
        <v>59</v>
      </c>
      <c r="J62" s="58">
        <v>0.3</v>
      </c>
      <c r="K62" s="25" t="s">
        <v>201</v>
      </c>
      <c r="L62" s="22" t="s">
        <v>202</v>
      </c>
      <c r="M62" s="25" t="s">
        <v>203</v>
      </c>
      <c r="N62" s="62" t="s">
        <v>204</v>
      </c>
      <c r="O62" s="60">
        <v>0.05</v>
      </c>
      <c r="P62" s="62"/>
      <c r="Q62" s="60">
        <f t="shared" si="18"/>
        <v>0</v>
      </c>
      <c r="R62" s="61">
        <f t="shared" si="17"/>
        <v>0</v>
      </c>
      <c r="S62" s="60" t="s">
        <v>31</v>
      </c>
      <c r="T62" s="60"/>
      <c r="U62" s="17"/>
      <c r="V62" s="17"/>
      <c r="W62" s="17"/>
      <c r="X62" s="17"/>
      <c r="Y62" s="17"/>
      <c r="Z62" s="17"/>
      <c r="AA62" s="17"/>
      <c r="AB62" s="17"/>
      <c r="AC62" s="17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</row>
    <row r="63" spans="1:48" s="19" customFormat="1" ht="21.6" hidden="1" x14ac:dyDescent="0.2">
      <c r="A63" s="41">
        <v>2114</v>
      </c>
      <c r="B63" s="42" t="s">
        <v>20</v>
      </c>
      <c r="C63" s="43" t="s">
        <v>21</v>
      </c>
      <c r="D63" s="44">
        <v>6150</v>
      </c>
      <c r="E63" s="44" t="s">
        <v>252</v>
      </c>
      <c r="F63" s="45" t="s">
        <v>174</v>
      </c>
      <c r="G63" s="42" t="s">
        <v>175</v>
      </c>
      <c r="H63" s="45" t="s">
        <v>176</v>
      </c>
      <c r="I63" s="57" t="s">
        <v>27</v>
      </c>
      <c r="J63" s="58">
        <v>0.7</v>
      </c>
      <c r="K63" s="25" t="s">
        <v>205</v>
      </c>
      <c r="L63" s="22" t="s">
        <v>206</v>
      </c>
      <c r="M63" s="25" t="s">
        <v>207</v>
      </c>
      <c r="N63" s="62" t="s">
        <v>208</v>
      </c>
      <c r="O63" s="60">
        <v>0.05</v>
      </c>
      <c r="P63" s="62"/>
      <c r="Q63" s="60"/>
      <c r="R63" s="61"/>
      <c r="S63" s="60" t="s">
        <v>36</v>
      </c>
      <c r="T63" s="60"/>
      <c r="U63" s="17"/>
      <c r="V63" s="17"/>
      <c r="W63" s="17"/>
      <c r="X63" s="17"/>
      <c r="Y63" s="17"/>
      <c r="Z63" s="17"/>
      <c r="AA63" s="17"/>
      <c r="AB63" s="17"/>
      <c r="AC63" s="17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</row>
    <row r="64" spans="1:48" s="19" customFormat="1" ht="21.6" hidden="1" x14ac:dyDescent="0.2">
      <c r="A64" s="41">
        <v>2114</v>
      </c>
      <c r="B64" s="42" t="s">
        <v>20</v>
      </c>
      <c r="C64" s="43" t="s">
        <v>21</v>
      </c>
      <c r="D64" s="44">
        <v>6150</v>
      </c>
      <c r="E64" s="44" t="s">
        <v>252</v>
      </c>
      <c r="F64" s="45" t="s">
        <v>174</v>
      </c>
      <c r="G64" s="42" t="s">
        <v>175</v>
      </c>
      <c r="H64" s="45" t="s">
        <v>176</v>
      </c>
      <c r="I64" s="57" t="s">
        <v>59</v>
      </c>
      <c r="J64" s="58">
        <v>0.3</v>
      </c>
      <c r="K64" s="25" t="s">
        <v>209</v>
      </c>
      <c r="L64" s="22" t="s">
        <v>210</v>
      </c>
      <c r="M64" s="25" t="s">
        <v>211</v>
      </c>
      <c r="N64" s="62" t="s">
        <v>127</v>
      </c>
      <c r="O64" s="60">
        <v>0.05</v>
      </c>
      <c r="P64" s="62"/>
      <c r="Q64" s="60">
        <f t="shared" ref="Q64:Q67" si="19">ROUND(IF(OR(N64="",P64=""),0,IF(AND(N64=0,P64=0),1,IF(S64="+",P64/N64,N64/P64))),2)</f>
        <v>0</v>
      </c>
      <c r="R64" s="61">
        <f t="shared" ref="R64:R67" si="20">IF(AND(Q64&gt;=60%,Q64&lt;100%),Q64*((O64*J64)),IF(Q64=100%,((O64*J64)*Q64)*100%,IF(Q64&gt;100%,((J64*O64)*100%)*100%,0)))*100</f>
        <v>0</v>
      </c>
      <c r="S64" s="60" t="s">
        <v>31</v>
      </c>
      <c r="T64" s="60"/>
      <c r="U64" s="17"/>
      <c r="V64" s="17"/>
      <c r="W64" s="17"/>
      <c r="X64" s="17"/>
      <c r="Y64" s="17"/>
      <c r="Z64" s="17"/>
      <c r="AA64" s="17"/>
      <c r="AB64" s="17"/>
      <c r="AC64" s="17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</row>
    <row r="65" spans="1:48" s="19" customFormat="1" ht="21.6" hidden="1" x14ac:dyDescent="0.2">
      <c r="A65" s="41">
        <v>2115</v>
      </c>
      <c r="B65" s="42" t="s">
        <v>20</v>
      </c>
      <c r="C65" s="43" t="s">
        <v>21</v>
      </c>
      <c r="D65" s="44">
        <v>6150</v>
      </c>
      <c r="E65" s="44" t="s">
        <v>252</v>
      </c>
      <c r="F65" s="45" t="s">
        <v>174</v>
      </c>
      <c r="G65" s="42" t="s">
        <v>175</v>
      </c>
      <c r="H65" s="45" t="s">
        <v>176</v>
      </c>
      <c r="I65" s="57" t="s">
        <v>59</v>
      </c>
      <c r="J65" s="58">
        <v>0.3</v>
      </c>
      <c r="K65" s="25" t="s">
        <v>212</v>
      </c>
      <c r="L65" s="22" t="s">
        <v>47</v>
      </c>
      <c r="M65" s="25" t="s">
        <v>213</v>
      </c>
      <c r="N65" s="59" t="s">
        <v>127</v>
      </c>
      <c r="O65" s="60">
        <v>0.05</v>
      </c>
      <c r="P65" s="56"/>
      <c r="Q65" s="60">
        <f t="shared" si="19"/>
        <v>0</v>
      </c>
      <c r="R65" s="61">
        <f t="shared" si="20"/>
        <v>0</v>
      </c>
      <c r="S65" s="60" t="s">
        <v>31</v>
      </c>
      <c r="T65" s="60"/>
      <c r="U65" s="17"/>
      <c r="V65" s="17"/>
      <c r="W65" s="17"/>
      <c r="X65" s="17"/>
      <c r="Y65" s="17"/>
      <c r="Z65" s="17"/>
      <c r="AA65" s="17"/>
      <c r="AB65" s="17"/>
      <c r="AC65" s="17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</row>
    <row r="66" spans="1:48" s="19" customFormat="1" ht="21.6" hidden="1" x14ac:dyDescent="0.2">
      <c r="A66" s="41">
        <v>2116</v>
      </c>
      <c r="B66" s="42" t="s">
        <v>20</v>
      </c>
      <c r="C66" s="43" t="s">
        <v>21</v>
      </c>
      <c r="D66" s="44">
        <v>6150</v>
      </c>
      <c r="E66" s="44" t="s">
        <v>252</v>
      </c>
      <c r="F66" s="45" t="s">
        <v>174</v>
      </c>
      <c r="G66" s="42" t="s">
        <v>175</v>
      </c>
      <c r="H66" s="45" t="s">
        <v>176</v>
      </c>
      <c r="I66" s="57" t="s">
        <v>59</v>
      </c>
      <c r="J66" s="58">
        <v>0.3</v>
      </c>
      <c r="K66" s="25" t="s">
        <v>128</v>
      </c>
      <c r="L66" s="22" t="s">
        <v>61</v>
      </c>
      <c r="M66" s="25" t="s">
        <v>214</v>
      </c>
      <c r="N66" s="59" t="s">
        <v>127</v>
      </c>
      <c r="O66" s="60">
        <v>0.05</v>
      </c>
      <c r="P66" s="56"/>
      <c r="Q66" s="60">
        <f t="shared" si="19"/>
        <v>0</v>
      </c>
      <c r="R66" s="61">
        <f t="shared" si="20"/>
        <v>0</v>
      </c>
      <c r="S66" s="60" t="s">
        <v>31</v>
      </c>
      <c r="T66" s="60"/>
      <c r="U66" s="17"/>
      <c r="V66" s="17"/>
      <c r="W66" s="17"/>
      <c r="X66" s="17"/>
      <c r="Y66" s="17"/>
      <c r="Z66" s="17"/>
      <c r="AA66" s="17"/>
      <c r="AB66" s="17"/>
      <c r="AC66" s="17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</row>
    <row r="67" spans="1:48" s="19" customFormat="1" ht="21.6" hidden="1" x14ac:dyDescent="0.2">
      <c r="A67" s="41">
        <v>2117</v>
      </c>
      <c r="B67" s="42" t="s">
        <v>20</v>
      </c>
      <c r="C67" s="43" t="s">
        <v>21</v>
      </c>
      <c r="D67" s="44">
        <v>6150</v>
      </c>
      <c r="E67" s="44" t="s">
        <v>252</v>
      </c>
      <c r="F67" s="45" t="s">
        <v>174</v>
      </c>
      <c r="G67" s="42" t="s">
        <v>175</v>
      </c>
      <c r="H67" s="45" t="s">
        <v>176</v>
      </c>
      <c r="I67" s="57" t="s">
        <v>27</v>
      </c>
      <c r="J67" s="58">
        <v>0.7</v>
      </c>
      <c r="K67" s="25" t="s">
        <v>215</v>
      </c>
      <c r="L67" s="22" t="s">
        <v>216</v>
      </c>
      <c r="M67" s="25" t="s">
        <v>217</v>
      </c>
      <c r="N67" s="62" t="s">
        <v>127</v>
      </c>
      <c r="O67" s="60">
        <v>0.04</v>
      </c>
      <c r="P67" s="62"/>
      <c r="Q67" s="60">
        <f t="shared" si="19"/>
        <v>0</v>
      </c>
      <c r="R67" s="61">
        <f t="shared" si="20"/>
        <v>0</v>
      </c>
      <c r="S67" s="60" t="s">
        <v>31</v>
      </c>
      <c r="T67" s="60"/>
      <c r="U67" s="17"/>
      <c r="V67" s="17"/>
      <c r="W67" s="17"/>
      <c r="X67" s="17"/>
      <c r="Y67" s="17"/>
      <c r="Z67" s="17"/>
      <c r="AA67" s="17"/>
      <c r="AB67" s="17"/>
      <c r="AC67" s="17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</row>
    <row r="68" spans="1:48" s="19" customFormat="1" ht="21.6" hidden="1" x14ac:dyDescent="0.2">
      <c r="A68" s="41">
        <v>2118</v>
      </c>
      <c r="B68" s="42" t="s">
        <v>20</v>
      </c>
      <c r="C68" s="43" t="s">
        <v>21</v>
      </c>
      <c r="D68" s="44">
        <v>6150</v>
      </c>
      <c r="E68" s="44" t="s">
        <v>252</v>
      </c>
      <c r="F68" s="45" t="s">
        <v>174</v>
      </c>
      <c r="G68" s="42" t="s">
        <v>175</v>
      </c>
      <c r="H68" s="45" t="s">
        <v>176</v>
      </c>
      <c r="I68" s="57" t="s">
        <v>27</v>
      </c>
      <c r="J68" s="58">
        <v>0.7</v>
      </c>
      <c r="K68" s="25" t="s">
        <v>218</v>
      </c>
      <c r="L68" s="22" t="s">
        <v>219</v>
      </c>
      <c r="M68" s="25" t="s">
        <v>220</v>
      </c>
      <c r="N68" s="62" t="s">
        <v>127</v>
      </c>
      <c r="O68" s="60">
        <v>0.04</v>
      </c>
      <c r="P68" s="62"/>
      <c r="Q68" s="60"/>
      <c r="R68" s="61"/>
      <c r="S68" s="60" t="s">
        <v>31</v>
      </c>
      <c r="T68" s="60"/>
      <c r="U68" s="17"/>
      <c r="V68" s="17"/>
      <c r="W68" s="17"/>
      <c r="X68" s="17"/>
      <c r="Y68" s="17"/>
      <c r="Z68" s="17"/>
      <c r="AA68" s="17"/>
      <c r="AB68" s="17"/>
      <c r="AC68" s="17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</row>
    <row r="69" spans="1:48" s="19" customFormat="1" ht="21.6" hidden="1" x14ac:dyDescent="0.2">
      <c r="A69" s="41">
        <v>2119</v>
      </c>
      <c r="B69" s="42" t="s">
        <v>20</v>
      </c>
      <c r="C69" s="43" t="s">
        <v>21</v>
      </c>
      <c r="D69" s="44">
        <v>6150</v>
      </c>
      <c r="E69" s="44" t="s">
        <v>252</v>
      </c>
      <c r="F69" s="45" t="s">
        <v>174</v>
      </c>
      <c r="G69" s="42" t="s">
        <v>175</v>
      </c>
      <c r="H69" s="45" t="s">
        <v>176</v>
      </c>
      <c r="I69" s="57" t="s">
        <v>27</v>
      </c>
      <c r="J69" s="58">
        <v>0.7</v>
      </c>
      <c r="K69" s="25" t="s">
        <v>221</v>
      </c>
      <c r="L69" s="22" t="s">
        <v>222</v>
      </c>
      <c r="M69" s="25" t="s">
        <v>223</v>
      </c>
      <c r="N69" s="62" t="s">
        <v>224</v>
      </c>
      <c r="O69" s="60">
        <v>0.1</v>
      </c>
      <c r="P69" s="62"/>
      <c r="Q69" s="60">
        <f t="shared" ref="Q69:Q70" si="21">ROUND(IF(OR(N69="",P69=""),0,IF(AND(N69=0,P69=0),1,IF(S69="+",P69/N69,N69/P69))),2)</f>
        <v>0</v>
      </c>
      <c r="R69" s="61">
        <f t="shared" ref="R69:R77" si="22">IF(AND(Q69&gt;=60%,Q69&lt;100%),Q69*((O69*J69)),IF(Q69=100%,((O69*J69)*Q69)*100%,IF(Q69&gt;100%,((J69*O69)*100%)*100%,0)))*100</f>
        <v>0</v>
      </c>
      <c r="S69" s="60" t="s">
        <v>31</v>
      </c>
      <c r="T69" s="60"/>
      <c r="U69" s="17"/>
      <c r="V69" s="17"/>
      <c r="W69" s="17"/>
      <c r="X69" s="17"/>
      <c r="Y69" s="17"/>
      <c r="Z69" s="17"/>
      <c r="AA69" s="17"/>
      <c r="AB69" s="17"/>
      <c r="AC69" s="17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</row>
    <row r="70" spans="1:48" s="19" customFormat="1" ht="21.6" hidden="1" x14ac:dyDescent="0.2">
      <c r="A70" s="41">
        <v>2120</v>
      </c>
      <c r="B70" s="42" t="s">
        <v>20</v>
      </c>
      <c r="C70" s="43" t="s">
        <v>21</v>
      </c>
      <c r="D70" s="44">
        <v>6246</v>
      </c>
      <c r="E70" s="44" t="s">
        <v>253</v>
      </c>
      <c r="F70" s="45" t="s">
        <v>174</v>
      </c>
      <c r="G70" s="42" t="s">
        <v>175</v>
      </c>
      <c r="H70" s="45" t="s">
        <v>176</v>
      </c>
      <c r="I70" s="46" t="s">
        <v>27</v>
      </c>
      <c r="J70" s="47">
        <v>0.7</v>
      </c>
      <c r="K70" s="13" t="s">
        <v>177</v>
      </c>
      <c r="L70" s="14" t="s">
        <v>178</v>
      </c>
      <c r="M70" s="13" t="s">
        <v>179</v>
      </c>
      <c r="N70" s="48" t="s">
        <v>127</v>
      </c>
      <c r="O70" s="47">
        <v>0.1</v>
      </c>
      <c r="P70" s="47"/>
      <c r="Q70" s="47">
        <f t="shared" si="21"/>
        <v>0</v>
      </c>
      <c r="R70" s="49">
        <f t="shared" si="22"/>
        <v>0</v>
      </c>
      <c r="S70" s="47" t="s">
        <v>31</v>
      </c>
      <c r="T70" s="50">
        <f>SUM(R70:R84)%</f>
        <v>0</v>
      </c>
      <c r="U70" s="17"/>
      <c r="V70" s="17"/>
      <c r="W70" s="17"/>
      <c r="X70" s="17"/>
      <c r="Y70" s="17"/>
      <c r="Z70" s="17"/>
      <c r="AA70" s="17"/>
      <c r="AB70" s="17"/>
      <c r="AC70" s="17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</row>
    <row r="71" spans="1:48" s="19" customFormat="1" ht="21.6" hidden="1" x14ac:dyDescent="0.2">
      <c r="A71" s="41">
        <v>2121</v>
      </c>
      <c r="B71" s="42" t="s">
        <v>20</v>
      </c>
      <c r="C71" s="43" t="s">
        <v>21</v>
      </c>
      <c r="D71" s="44">
        <v>6246</v>
      </c>
      <c r="E71" s="44" t="s">
        <v>253</v>
      </c>
      <c r="F71" s="45" t="s">
        <v>174</v>
      </c>
      <c r="G71" s="42" t="s">
        <v>175</v>
      </c>
      <c r="H71" s="45" t="s">
        <v>176</v>
      </c>
      <c r="I71" s="46" t="s">
        <v>27</v>
      </c>
      <c r="J71" s="47">
        <v>0.7</v>
      </c>
      <c r="K71" s="13" t="s">
        <v>180</v>
      </c>
      <c r="L71" s="14" t="s">
        <v>181</v>
      </c>
      <c r="M71" s="13" t="s">
        <v>182</v>
      </c>
      <c r="N71" s="51" t="s">
        <v>112</v>
      </c>
      <c r="O71" s="47">
        <v>0.1</v>
      </c>
      <c r="P71" s="52"/>
      <c r="Q71" s="47">
        <f>ROUND(IF(OR(N71="",P71=""),0,IF(AND(N71=0,P71=0),1,IF(S71="+",P71/N71,N71/P71))),2)</f>
        <v>0</v>
      </c>
      <c r="R71" s="49">
        <f t="shared" si="22"/>
        <v>0</v>
      </c>
      <c r="S71" s="47" t="s">
        <v>31</v>
      </c>
      <c r="T71" s="47"/>
      <c r="U71" s="17"/>
      <c r="V71" s="17"/>
      <c r="W71" s="17"/>
      <c r="X71" s="17"/>
      <c r="Y71" s="17"/>
      <c r="Z71" s="17"/>
      <c r="AA71" s="17"/>
      <c r="AB71" s="17"/>
      <c r="AC71" s="17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</row>
    <row r="72" spans="1:48" s="19" customFormat="1" ht="21.6" hidden="1" x14ac:dyDescent="0.2">
      <c r="A72" s="41">
        <v>2122</v>
      </c>
      <c r="B72" s="42" t="s">
        <v>20</v>
      </c>
      <c r="C72" s="43" t="s">
        <v>21</v>
      </c>
      <c r="D72" s="44">
        <v>6246</v>
      </c>
      <c r="E72" s="44" t="s">
        <v>253</v>
      </c>
      <c r="F72" s="45" t="s">
        <v>174</v>
      </c>
      <c r="G72" s="42" t="s">
        <v>175</v>
      </c>
      <c r="H72" s="45" t="s">
        <v>176</v>
      </c>
      <c r="I72" s="46" t="s">
        <v>27</v>
      </c>
      <c r="J72" s="47">
        <v>0.7</v>
      </c>
      <c r="K72" s="13" t="s">
        <v>183</v>
      </c>
      <c r="L72" s="14" t="s">
        <v>184</v>
      </c>
      <c r="M72" s="13" t="s">
        <v>185</v>
      </c>
      <c r="N72" s="53" t="s">
        <v>186</v>
      </c>
      <c r="O72" s="47">
        <v>7.0000000000000007E-2</v>
      </c>
      <c r="P72" s="52"/>
      <c r="Q72" s="47">
        <f t="shared" ref="Q72:Q77" si="23">ROUND(IF(OR(N72="",P72=""),0,IF(AND(N72=0,P72=0),1,IF(S72="+",P72/N72,N72/P72))),2)</f>
        <v>0</v>
      </c>
      <c r="R72" s="49">
        <f t="shared" si="22"/>
        <v>0</v>
      </c>
      <c r="S72" s="47" t="s">
        <v>36</v>
      </c>
      <c r="T72" s="47"/>
      <c r="U72" s="17"/>
      <c r="V72" s="17"/>
      <c r="W72" s="17"/>
      <c r="X72" s="17"/>
      <c r="Y72" s="17"/>
      <c r="Z72" s="17"/>
      <c r="AA72" s="17"/>
      <c r="AB72" s="17"/>
      <c r="AC72" s="17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</row>
    <row r="73" spans="1:48" s="19" customFormat="1" ht="21.6" hidden="1" x14ac:dyDescent="0.2">
      <c r="A73" s="41">
        <v>2123</v>
      </c>
      <c r="B73" s="42" t="s">
        <v>20</v>
      </c>
      <c r="C73" s="43" t="s">
        <v>21</v>
      </c>
      <c r="D73" s="44">
        <v>6246</v>
      </c>
      <c r="E73" s="44" t="s">
        <v>253</v>
      </c>
      <c r="F73" s="45" t="s">
        <v>174</v>
      </c>
      <c r="G73" s="42" t="s">
        <v>175</v>
      </c>
      <c r="H73" s="45" t="s">
        <v>176</v>
      </c>
      <c r="I73" s="46" t="s">
        <v>27</v>
      </c>
      <c r="J73" s="47">
        <v>0.7</v>
      </c>
      <c r="K73" s="13" t="s">
        <v>187</v>
      </c>
      <c r="L73" s="14" t="s">
        <v>188</v>
      </c>
      <c r="M73" s="13" t="s">
        <v>189</v>
      </c>
      <c r="N73" s="52" t="s">
        <v>148</v>
      </c>
      <c r="O73" s="47">
        <v>0.08</v>
      </c>
      <c r="P73" s="54"/>
      <c r="Q73" s="47">
        <f t="shared" si="23"/>
        <v>0</v>
      </c>
      <c r="R73" s="49">
        <f t="shared" si="22"/>
        <v>0</v>
      </c>
      <c r="S73" s="47" t="s">
        <v>36</v>
      </c>
      <c r="T73" s="47"/>
      <c r="U73" s="17"/>
      <c r="V73" s="17"/>
      <c r="W73" s="17"/>
      <c r="X73" s="17"/>
      <c r="Y73" s="17"/>
      <c r="Z73" s="17"/>
      <c r="AA73" s="17"/>
      <c r="AB73" s="17"/>
      <c r="AC73" s="17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</row>
    <row r="74" spans="1:48" s="19" customFormat="1" ht="21.6" hidden="1" x14ac:dyDescent="0.2">
      <c r="A74" s="41">
        <v>2124</v>
      </c>
      <c r="B74" s="42" t="s">
        <v>20</v>
      </c>
      <c r="C74" s="43" t="s">
        <v>21</v>
      </c>
      <c r="D74" s="44">
        <v>6246</v>
      </c>
      <c r="E74" s="44" t="s">
        <v>253</v>
      </c>
      <c r="F74" s="45" t="s">
        <v>174</v>
      </c>
      <c r="G74" s="42" t="s">
        <v>175</v>
      </c>
      <c r="H74" s="45" t="s">
        <v>176</v>
      </c>
      <c r="I74" s="46" t="s">
        <v>27</v>
      </c>
      <c r="J74" s="47">
        <v>0.7</v>
      </c>
      <c r="K74" s="13" t="s">
        <v>190</v>
      </c>
      <c r="L74" s="14" t="s">
        <v>191</v>
      </c>
      <c r="M74" s="13" t="s">
        <v>192</v>
      </c>
      <c r="N74" s="55" t="s">
        <v>127</v>
      </c>
      <c r="O74" s="47">
        <v>0.06</v>
      </c>
      <c r="P74" s="56"/>
      <c r="Q74" s="47">
        <f t="shared" si="23"/>
        <v>0</v>
      </c>
      <c r="R74" s="49">
        <f t="shared" si="22"/>
        <v>0</v>
      </c>
      <c r="S74" s="47" t="s">
        <v>31</v>
      </c>
      <c r="T74" s="47"/>
      <c r="U74" s="17"/>
      <c r="V74" s="17"/>
      <c r="W74" s="17"/>
      <c r="X74" s="17"/>
      <c r="Y74" s="17"/>
      <c r="Z74" s="17"/>
      <c r="AA74" s="17"/>
      <c r="AB74" s="17"/>
      <c r="AC74" s="17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</row>
    <row r="75" spans="1:48" s="19" customFormat="1" ht="21.6" hidden="1" x14ac:dyDescent="0.2">
      <c r="A75" s="41">
        <v>2124</v>
      </c>
      <c r="B75" s="42" t="s">
        <v>20</v>
      </c>
      <c r="C75" s="43" t="s">
        <v>21</v>
      </c>
      <c r="D75" s="44">
        <v>6246</v>
      </c>
      <c r="E75" s="44" t="s">
        <v>253</v>
      </c>
      <c r="F75" s="45" t="s">
        <v>174</v>
      </c>
      <c r="G75" s="42" t="s">
        <v>175</v>
      </c>
      <c r="H75" s="45" t="s">
        <v>176</v>
      </c>
      <c r="I75" s="57" t="s">
        <v>27</v>
      </c>
      <c r="J75" s="58">
        <v>0.7</v>
      </c>
      <c r="K75" s="25" t="s">
        <v>193</v>
      </c>
      <c r="L75" s="22" t="s">
        <v>194</v>
      </c>
      <c r="M75" s="25" t="s">
        <v>195</v>
      </c>
      <c r="N75" s="59" t="s">
        <v>196</v>
      </c>
      <c r="O75" s="60">
        <v>0.06</v>
      </c>
      <c r="P75" s="56"/>
      <c r="Q75" s="60">
        <f t="shared" si="23"/>
        <v>0</v>
      </c>
      <c r="R75" s="61">
        <f t="shared" si="22"/>
        <v>0</v>
      </c>
      <c r="S75" s="60" t="s">
        <v>36</v>
      </c>
      <c r="T75" s="60"/>
      <c r="U75" s="17"/>
      <c r="V75" s="17"/>
      <c r="W75" s="17"/>
      <c r="X75" s="17"/>
      <c r="Y75" s="17"/>
      <c r="Z75" s="17"/>
      <c r="AA75" s="17"/>
      <c r="AB75" s="17"/>
      <c r="AC75" s="17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</row>
    <row r="76" spans="1:48" s="19" customFormat="1" ht="21.6" hidden="1" x14ac:dyDescent="0.2">
      <c r="A76" s="41">
        <v>2124</v>
      </c>
      <c r="B76" s="42" t="s">
        <v>20</v>
      </c>
      <c r="C76" s="43" t="s">
        <v>21</v>
      </c>
      <c r="D76" s="44">
        <v>6246</v>
      </c>
      <c r="E76" s="44" t="s">
        <v>253</v>
      </c>
      <c r="F76" s="45" t="s">
        <v>174</v>
      </c>
      <c r="G76" s="42" t="s">
        <v>175</v>
      </c>
      <c r="H76" s="45" t="s">
        <v>176</v>
      </c>
      <c r="I76" s="57" t="s">
        <v>59</v>
      </c>
      <c r="J76" s="58">
        <v>0.3</v>
      </c>
      <c r="K76" s="25" t="s">
        <v>197</v>
      </c>
      <c r="L76" s="22" t="s">
        <v>198</v>
      </c>
      <c r="M76" s="25" t="s">
        <v>199</v>
      </c>
      <c r="N76" s="59" t="s">
        <v>200</v>
      </c>
      <c r="O76" s="60">
        <v>0.05</v>
      </c>
      <c r="P76" s="56"/>
      <c r="Q76" s="60">
        <f t="shared" si="23"/>
        <v>0</v>
      </c>
      <c r="R76" s="61">
        <f t="shared" si="22"/>
        <v>0</v>
      </c>
      <c r="S76" s="60" t="s">
        <v>31</v>
      </c>
      <c r="T76" s="60"/>
      <c r="U76" s="17"/>
      <c r="V76" s="17"/>
      <c r="W76" s="17"/>
      <c r="X76" s="17"/>
      <c r="Y76" s="17"/>
      <c r="Z76" s="17"/>
      <c r="AA76" s="17"/>
      <c r="AB76" s="17"/>
      <c r="AC76" s="17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</row>
    <row r="77" spans="1:48" s="19" customFormat="1" ht="21.6" hidden="1" x14ac:dyDescent="0.2">
      <c r="A77" s="41">
        <v>2124</v>
      </c>
      <c r="B77" s="42" t="s">
        <v>20</v>
      </c>
      <c r="C77" s="43" t="s">
        <v>21</v>
      </c>
      <c r="D77" s="44">
        <v>6246</v>
      </c>
      <c r="E77" s="44" t="s">
        <v>253</v>
      </c>
      <c r="F77" s="45" t="s">
        <v>174</v>
      </c>
      <c r="G77" s="42" t="s">
        <v>175</v>
      </c>
      <c r="H77" s="45" t="s">
        <v>176</v>
      </c>
      <c r="I77" s="57" t="s">
        <v>59</v>
      </c>
      <c r="J77" s="58">
        <v>0.3</v>
      </c>
      <c r="K77" s="25" t="s">
        <v>201</v>
      </c>
      <c r="L77" s="22" t="s">
        <v>202</v>
      </c>
      <c r="M77" s="25" t="s">
        <v>203</v>
      </c>
      <c r="N77" s="62" t="s">
        <v>204</v>
      </c>
      <c r="O77" s="60">
        <v>0.05</v>
      </c>
      <c r="P77" s="62"/>
      <c r="Q77" s="60">
        <f t="shared" si="23"/>
        <v>0</v>
      </c>
      <c r="R77" s="61">
        <f t="shared" si="22"/>
        <v>0</v>
      </c>
      <c r="S77" s="60" t="s">
        <v>31</v>
      </c>
      <c r="T77" s="60"/>
      <c r="U77" s="17"/>
      <c r="V77" s="17"/>
      <c r="W77" s="17"/>
      <c r="X77" s="17"/>
      <c r="Y77" s="17"/>
      <c r="Z77" s="17"/>
      <c r="AA77" s="17"/>
      <c r="AB77" s="17"/>
      <c r="AC77" s="17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</row>
    <row r="78" spans="1:48" s="19" customFormat="1" ht="21.6" hidden="1" x14ac:dyDescent="0.2">
      <c r="A78" s="41">
        <v>2124</v>
      </c>
      <c r="B78" s="42" t="s">
        <v>20</v>
      </c>
      <c r="C78" s="43" t="s">
        <v>21</v>
      </c>
      <c r="D78" s="44">
        <v>6246</v>
      </c>
      <c r="E78" s="44" t="s">
        <v>253</v>
      </c>
      <c r="F78" s="45" t="s">
        <v>174</v>
      </c>
      <c r="G78" s="42" t="s">
        <v>175</v>
      </c>
      <c r="H78" s="45" t="s">
        <v>176</v>
      </c>
      <c r="I78" s="57" t="s">
        <v>27</v>
      </c>
      <c r="J78" s="58">
        <v>0.7</v>
      </c>
      <c r="K78" s="25" t="s">
        <v>205</v>
      </c>
      <c r="L78" s="22" t="s">
        <v>206</v>
      </c>
      <c r="M78" s="25" t="s">
        <v>207</v>
      </c>
      <c r="N78" s="62" t="s">
        <v>208</v>
      </c>
      <c r="O78" s="60">
        <v>0.05</v>
      </c>
      <c r="P78" s="62"/>
      <c r="Q78" s="60"/>
      <c r="R78" s="61"/>
      <c r="S78" s="60" t="s">
        <v>36</v>
      </c>
      <c r="T78" s="60"/>
      <c r="U78" s="17"/>
      <c r="V78" s="17"/>
      <c r="W78" s="17"/>
      <c r="X78" s="17"/>
      <c r="Y78" s="17"/>
      <c r="Z78" s="17"/>
      <c r="AA78" s="17"/>
      <c r="AB78" s="17"/>
      <c r="AC78" s="17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</row>
    <row r="79" spans="1:48" s="19" customFormat="1" ht="21.6" hidden="1" x14ac:dyDescent="0.2">
      <c r="A79" s="41">
        <v>2124</v>
      </c>
      <c r="B79" s="42" t="s">
        <v>20</v>
      </c>
      <c r="C79" s="43" t="s">
        <v>21</v>
      </c>
      <c r="D79" s="44">
        <v>6246</v>
      </c>
      <c r="E79" s="44" t="s">
        <v>253</v>
      </c>
      <c r="F79" s="45" t="s">
        <v>174</v>
      </c>
      <c r="G79" s="42" t="s">
        <v>175</v>
      </c>
      <c r="H79" s="45" t="s">
        <v>176</v>
      </c>
      <c r="I79" s="57" t="s">
        <v>59</v>
      </c>
      <c r="J79" s="58">
        <v>0.3</v>
      </c>
      <c r="K79" s="25" t="s">
        <v>209</v>
      </c>
      <c r="L79" s="22" t="s">
        <v>210</v>
      </c>
      <c r="M79" s="25" t="s">
        <v>211</v>
      </c>
      <c r="N79" s="62" t="s">
        <v>127</v>
      </c>
      <c r="O79" s="60">
        <v>0.05</v>
      </c>
      <c r="P79" s="62"/>
      <c r="Q79" s="60">
        <f t="shared" ref="Q79:Q82" si="24">ROUND(IF(OR(N79="",P79=""),0,IF(AND(N79=0,P79=0),1,IF(S79="+",P79/N79,N79/P79))),2)</f>
        <v>0</v>
      </c>
      <c r="R79" s="61">
        <f t="shared" ref="R79:R82" si="25">IF(AND(Q79&gt;=60%,Q79&lt;100%),Q79*((O79*J79)),IF(Q79=100%,((O79*J79)*Q79)*100%,IF(Q79&gt;100%,((J79*O79)*100%)*100%,0)))*100</f>
        <v>0</v>
      </c>
      <c r="S79" s="60" t="s">
        <v>31</v>
      </c>
      <c r="T79" s="60"/>
      <c r="U79" s="17"/>
      <c r="V79" s="17"/>
      <c r="W79" s="17"/>
      <c r="X79" s="17"/>
      <c r="Y79" s="17"/>
      <c r="Z79" s="17"/>
      <c r="AA79" s="17"/>
      <c r="AB79" s="17"/>
      <c r="AC79" s="17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</row>
    <row r="80" spans="1:48" s="19" customFormat="1" ht="21.6" hidden="1" x14ac:dyDescent="0.2">
      <c r="A80" s="41">
        <v>2125</v>
      </c>
      <c r="B80" s="42" t="s">
        <v>20</v>
      </c>
      <c r="C80" s="43" t="s">
        <v>21</v>
      </c>
      <c r="D80" s="44">
        <v>6246</v>
      </c>
      <c r="E80" s="44" t="s">
        <v>253</v>
      </c>
      <c r="F80" s="45" t="s">
        <v>174</v>
      </c>
      <c r="G80" s="42" t="s">
        <v>175</v>
      </c>
      <c r="H80" s="45" t="s">
        <v>176</v>
      </c>
      <c r="I80" s="57" t="s">
        <v>59</v>
      </c>
      <c r="J80" s="58">
        <v>0.3</v>
      </c>
      <c r="K80" s="25" t="s">
        <v>212</v>
      </c>
      <c r="L80" s="22" t="s">
        <v>47</v>
      </c>
      <c r="M80" s="25" t="s">
        <v>213</v>
      </c>
      <c r="N80" s="59" t="s">
        <v>127</v>
      </c>
      <c r="O80" s="60">
        <v>0.05</v>
      </c>
      <c r="P80" s="56"/>
      <c r="Q80" s="60">
        <f t="shared" si="24"/>
        <v>0</v>
      </c>
      <c r="R80" s="61">
        <f t="shared" si="25"/>
        <v>0</v>
      </c>
      <c r="S80" s="60" t="s">
        <v>31</v>
      </c>
      <c r="T80" s="60"/>
      <c r="U80" s="17"/>
      <c r="V80" s="17"/>
      <c r="W80" s="17"/>
      <c r="X80" s="17"/>
      <c r="Y80" s="17"/>
      <c r="Z80" s="17"/>
      <c r="AA80" s="17"/>
      <c r="AB80" s="17"/>
      <c r="AC80" s="17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</row>
    <row r="81" spans="1:48" s="19" customFormat="1" ht="21.6" hidden="1" x14ac:dyDescent="0.2">
      <c r="A81" s="41">
        <v>2126</v>
      </c>
      <c r="B81" s="42" t="s">
        <v>20</v>
      </c>
      <c r="C81" s="43" t="s">
        <v>21</v>
      </c>
      <c r="D81" s="44">
        <v>6246</v>
      </c>
      <c r="E81" s="44" t="s">
        <v>253</v>
      </c>
      <c r="F81" s="45" t="s">
        <v>174</v>
      </c>
      <c r="G81" s="42" t="s">
        <v>175</v>
      </c>
      <c r="H81" s="45" t="s">
        <v>176</v>
      </c>
      <c r="I81" s="57" t="s">
        <v>59</v>
      </c>
      <c r="J81" s="58">
        <v>0.3</v>
      </c>
      <c r="K81" s="25" t="s">
        <v>128</v>
      </c>
      <c r="L81" s="22" t="s">
        <v>61</v>
      </c>
      <c r="M81" s="25" t="s">
        <v>214</v>
      </c>
      <c r="N81" s="59" t="s">
        <v>127</v>
      </c>
      <c r="O81" s="60">
        <v>0.05</v>
      </c>
      <c r="P81" s="56"/>
      <c r="Q81" s="60">
        <f t="shared" si="24"/>
        <v>0</v>
      </c>
      <c r="R81" s="61">
        <f t="shared" si="25"/>
        <v>0</v>
      </c>
      <c r="S81" s="60" t="s">
        <v>31</v>
      </c>
      <c r="T81" s="60"/>
      <c r="U81" s="17"/>
      <c r="V81" s="17"/>
      <c r="W81" s="17"/>
      <c r="X81" s="17"/>
      <c r="Y81" s="17"/>
      <c r="Z81" s="17"/>
      <c r="AA81" s="17"/>
      <c r="AB81" s="17"/>
      <c r="AC81" s="17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</row>
    <row r="82" spans="1:48" s="19" customFormat="1" ht="21.6" hidden="1" x14ac:dyDescent="0.2">
      <c r="A82" s="41">
        <v>2127</v>
      </c>
      <c r="B82" s="42" t="s">
        <v>20</v>
      </c>
      <c r="C82" s="43" t="s">
        <v>21</v>
      </c>
      <c r="D82" s="44">
        <v>6246</v>
      </c>
      <c r="E82" s="44" t="s">
        <v>253</v>
      </c>
      <c r="F82" s="45" t="s">
        <v>174</v>
      </c>
      <c r="G82" s="42" t="s">
        <v>175</v>
      </c>
      <c r="H82" s="45" t="s">
        <v>176</v>
      </c>
      <c r="I82" s="57" t="s">
        <v>27</v>
      </c>
      <c r="J82" s="58">
        <v>0.7</v>
      </c>
      <c r="K82" s="25" t="s">
        <v>215</v>
      </c>
      <c r="L82" s="22" t="s">
        <v>216</v>
      </c>
      <c r="M82" s="25" t="s">
        <v>217</v>
      </c>
      <c r="N82" s="62" t="s">
        <v>127</v>
      </c>
      <c r="O82" s="60">
        <v>0.04</v>
      </c>
      <c r="P82" s="62"/>
      <c r="Q82" s="60">
        <f t="shared" si="24"/>
        <v>0</v>
      </c>
      <c r="R82" s="61">
        <f t="shared" si="25"/>
        <v>0</v>
      </c>
      <c r="S82" s="60" t="s">
        <v>31</v>
      </c>
      <c r="T82" s="60"/>
      <c r="U82" s="17"/>
      <c r="V82" s="17"/>
      <c r="W82" s="17"/>
      <c r="X82" s="17"/>
      <c r="Y82" s="17"/>
      <c r="Z82" s="17"/>
      <c r="AA82" s="17"/>
      <c r="AB82" s="17"/>
      <c r="AC82" s="17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</row>
    <row r="83" spans="1:48" s="19" customFormat="1" ht="21.6" hidden="1" x14ac:dyDescent="0.2">
      <c r="A83" s="41">
        <v>2128</v>
      </c>
      <c r="B83" s="42" t="s">
        <v>20</v>
      </c>
      <c r="C83" s="43" t="s">
        <v>21</v>
      </c>
      <c r="D83" s="44">
        <v>6246</v>
      </c>
      <c r="E83" s="44" t="s">
        <v>253</v>
      </c>
      <c r="F83" s="45" t="s">
        <v>174</v>
      </c>
      <c r="G83" s="42" t="s">
        <v>175</v>
      </c>
      <c r="H83" s="45" t="s">
        <v>176</v>
      </c>
      <c r="I83" s="57" t="s">
        <v>27</v>
      </c>
      <c r="J83" s="58">
        <v>0.7</v>
      </c>
      <c r="K83" s="25" t="s">
        <v>218</v>
      </c>
      <c r="L83" s="22" t="s">
        <v>219</v>
      </c>
      <c r="M83" s="25" t="s">
        <v>220</v>
      </c>
      <c r="N83" s="62" t="s">
        <v>127</v>
      </c>
      <c r="O83" s="60">
        <v>0.04</v>
      </c>
      <c r="P83" s="62"/>
      <c r="Q83" s="60"/>
      <c r="R83" s="61"/>
      <c r="S83" s="60" t="s">
        <v>31</v>
      </c>
      <c r="T83" s="60"/>
      <c r="U83" s="17"/>
      <c r="V83" s="17"/>
      <c r="W83" s="17"/>
      <c r="X83" s="17"/>
      <c r="Y83" s="17"/>
      <c r="Z83" s="17"/>
      <c r="AA83" s="17"/>
      <c r="AB83" s="17"/>
      <c r="AC83" s="17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</row>
    <row r="84" spans="1:48" s="19" customFormat="1" ht="21.6" hidden="1" x14ac:dyDescent="0.2">
      <c r="A84" s="41">
        <v>2129</v>
      </c>
      <c r="B84" s="42" t="s">
        <v>20</v>
      </c>
      <c r="C84" s="43" t="s">
        <v>21</v>
      </c>
      <c r="D84" s="44">
        <v>6246</v>
      </c>
      <c r="E84" s="44" t="s">
        <v>253</v>
      </c>
      <c r="F84" s="45" t="s">
        <v>174</v>
      </c>
      <c r="G84" s="42" t="s">
        <v>175</v>
      </c>
      <c r="H84" s="45" t="s">
        <v>176</v>
      </c>
      <c r="I84" s="57" t="s">
        <v>27</v>
      </c>
      <c r="J84" s="58">
        <v>0.7</v>
      </c>
      <c r="K84" s="25" t="s">
        <v>221</v>
      </c>
      <c r="L84" s="22" t="s">
        <v>222</v>
      </c>
      <c r="M84" s="25" t="s">
        <v>223</v>
      </c>
      <c r="N84" s="62" t="s">
        <v>224</v>
      </c>
      <c r="O84" s="60">
        <v>0.1</v>
      </c>
      <c r="P84" s="62"/>
      <c r="Q84" s="60">
        <f t="shared" ref="Q84:Q85" si="26">ROUND(IF(OR(N84="",P84=""),0,IF(AND(N84=0,P84=0),1,IF(S84="+",P84/N84,N84/P84))),2)</f>
        <v>0</v>
      </c>
      <c r="R84" s="61">
        <f t="shared" ref="R84:R92" si="27">IF(AND(Q84&gt;=60%,Q84&lt;100%),Q84*((O84*J84)),IF(Q84=100%,((O84*J84)*Q84)*100%,IF(Q84&gt;100%,((J84*O84)*100%)*100%,0)))*100</f>
        <v>0</v>
      </c>
      <c r="S84" s="60" t="s">
        <v>31</v>
      </c>
      <c r="T84" s="60"/>
      <c r="U84" s="17"/>
      <c r="V84" s="17"/>
      <c r="W84" s="17"/>
      <c r="X84" s="17"/>
      <c r="Y84" s="17"/>
      <c r="Z84" s="17"/>
      <c r="AA84" s="17"/>
      <c r="AB84" s="17"/>
      <c r="AC84" s="17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</row>
    <row r="85" spans="1:48" s="19" customFormat="1" ht="21.6" hidden="1" x14ac:dyDescent="0.2">
      <c r="A85" s="41">
        <v>2130</v>
      </c>
      <c r="B85" s="42" t="s">
        <v>20</v>
      </c>
      <c r="C85" s="43" t="s">
        <v>21</v>
      </c>
      <c r="D85" s="44">
        <v>6329</v>
      </c>
      <c r="E85" s="44" t="s">
        <v>254</v>
      </c>
      <c r="F85" s="45" t="s">
        <v>174</v>
      </c>
      <c r="G85" s="42" t="s">
        <v>175</v>
      </c>
      <c r="H85" s="45" t="s">
        <v>176</v>
      </c>
      <c r="I85" s="46" t="s">
        <v>27</v>
      </c>
      <c r="J85" s="47">
        <v>0.7</v>
      </c>
      <c r="K85" s="13" t="s">
        <v>177</v>
      </c>
      <c r="L85" s="14" t="s">
        <v>178</v>
      </c>
      <c r="M85" s="13" t="s">
        <v>179</v>
      </c>
      <c r="N85" s="48" t="s">
        <v>127</v>
      </c>
      <c r="O85" s="47">
        <v>0.1</v>
      </c>
      <c r="P85" s="47"/>
      <c r="Q85" s="47">
        <f t="shared" si="26"/>
        <v>0</v>
      </c>
      <c r="R85" s="49">
        <f t="shared" si="27"/>
        <v>0</v>
      </c>
      <c r="S85" s="47" t="s">
        <v>31</v>
      </c>
      <c r="T85" s="50">
        <f>SUM(R85:R99)%</f>
        <v>0</v>
      </c>
      <c r="U85" s="17"/>
      <c r="V85" s="17"/>
      <c r="W85" s="17"/>
      <c r="X85" s="17"/>
      <c r="Y85" s="17"/>
      <c r="Z85" s="17"/>
      <c r="AA85" s="17"/>
      <c r="AB85" s="17"/>
      <c r="AC85" s="17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</row>
    <row r="86" spans="1:48" s="19" customFormat="1" ht="21.6" hidden="1" x14ac:dyDescent="0.2">
      <c r="A86" s="41">
        <v>2131</v>
      </c>
      <c r="B86" s="42" t="s">
        <v>20</v>
      </c>
      <c r="C86" s="43" t="s">
        <v>21</v>
      </c>
      <c r="D86" s="44">
        <v>6329</v>
      </c>
      <c r="E86" s="44" t="s">
        <v>254</v>
      </c>
      <c r="F86" s="45" t="s">
        <v>174</v>
      </c>
      <c r="G86" s="42" t="s">
        <v>175</v>
      </c>
      <c r="H86" s="45" t="s">
        <v>176</v>
      </c>
      <c r="I86" s="46" t="s">
        <v>27</v>
      </c>
      <c r="J86" s="47">
        <v>0.7</v>
      </c>
      <c r="K86" s="13" t="s">
        <v>180</v>
      </c>
      <c r="L86" s="14" t="s">
        <v>181</v>
      </c>
      <c r="M86" s="13" t="s">
        <v>182</v>
      </c>
      <c r="N86" s="51" t="s">
        <v>112</v>
      </c>
      <c r="O86" s="47">
        <v>0.1</v>
      </c>
      <c r="P86" s="52"/>
      <c r="Q86" s="47">
        <f>ROUND(IF(OR(N86="",P86=""),0,IF(AND(N86=0,P86=0),1,IF(S86="+",P86/N86,N86/P86))),2)</f>
        <v>0</v>
      </c>
      <c r="R86" s="49">
        <f t="shared" si="27"/>
        <v>0</v>
      </c>
      <c r="S86" s="47" t="s">
        <v>31</v>
      </c>
      <c r="T86" s="47"/>
      <c r="U86" s="17"/>
      <c r="V86" s="17"/>
      <c r="W86" s="17"/>
      <c r="X86" s="17"/>
      <c r="Y86" s="17"/>
      <c r="Z86" s="17"/>
      <c r="AA86" s="17"/>
      <c r="AB86" s="17"/>
      <c r="AC86" s="17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</row>
    <row r="87" spans="1:48" s="19" customFormat="1" ht="21.6" hidden="1" x14ac:dyDescent="0.2">
      <c r="A87" s="41">
        <v>2132</v>
      </c>
      <c r="B87" s="42" t="s">
        <v>20</v>
      </c>
      <c r="C87" s="43" t="s">
        <v>21</v>
      </c>
      <c r="D87" s="44">
        <v>6329</v>
      </c>
      <c r="E87" s="44" t="s">
        <v>254</v>
      </c>
      <c r="F87" s="45" t="s">
        <v>174</v>
      </c>
      <c r="G87" s="42" t="s">
        <v>175</v>
      </c>
      <c r="H87" s="45" t="s">
        <v>176</v>
      </c>
      <c r="I87" s="46" t="s">
        <v>27</v>
      </c>
      <c r="J87" s="47">
        <v>0.7</v>
      </c>
      <c r="K87" s="13" t="s">
        <v>183</v>
      </c>
      <c r="L87" s="14" t="s">
        <v>184</v>
      </c>
      <c r="M87" s="13" t="s">
        <v>185</v>
      </c>
      <c r="N87" s="53" t="s">
        <v>186</v>
      </c>
      <c r="O87" s="47">
        <v>7.0000000000000007E-2</v>
      </c>
      <c r="P87" s="52"/>
      <c r="Q87" s="47">
        <f t="shared" ref="Q87:Q92" si="28">ROUND(IF(OR(N87="",P87=""),0,IF(AND(N87=0,P87=0),1,IF(S87="+",P87/N87,N87/P87))),2)</f>
        <v>0</v>
      </c>
      <c r="R87" s="49">
        <f t="shared" si="27"/>
        <v>0</v>
      </c>
      <c r="S87" s="47" t="s">
        <v>36</v>
      </c>
      <c r="T87" s="47"/>
      <c r="U87" s="17"/>
      <c r="V87" s="17"/>
      <c r="W87" s="17"/>
      <c r="X87" s="17"/>
      <c r="Y87" s="17"/>
      <c r="Z87" s="17"/>
      <c r="AA87" s="17"/>
      <c r="AB87" s="17"/>
      <c r="AC87" s="17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</row>
    <row r="88" spans="1:48" s="19" customFormat="1" ht="21.6" hidden="1" x14ac:dyDescent="0.2">
      <c r="A88" s="41">
        <v>2133</v>
      </c>
      <c r="B88" s="42" t="s">
        <v>20</v>
      </c>
      <c r="C88" s="43" t="s">
        <v>21</v>
      </c>
      <c r="D88" s="44">
        <v>6329</v>
      </c>
      <c r="E88" s="44" t="s">
        <v>254</v>
      </c>
      <c r="F88" s="45" t="s">
        <v>174</v>
      </c>
      <c r="G88" s="42" t="s">
        <v>175</v>
      </c>
      <c r="H88" s="45" t="s">
        <v>176</v>
      </c>
      <c r="I88" s="46" t="s">
        <v>27</v>
      </c>
      <c r="J88" s="47">
        <v>0.7</v>
      </c>
      <c r="K88" s="13" t="s">
        <v>187</v>
      </c>
      <c r="L88" s="14" t="s">
        <v>188</v>
      </c>
      <c r="M88" s="13" t="s">
        <v>189</v>
      </c>
      <c r="N88" s="52" t="s">
        <v>148</v>
      </c>
      <c r="O88" s="47">
        <v>0.08</v>
      </c>
      <c r="P88" s="54"/>
      <c r="Q88" s="47">
        <f t="shared" si="28"/>
        <v>0</v>
      </c>
      <c r="R88" s="49">
        <f t="shared" si="27"/>
        <v>0</v>
      </c>
      <c r="S88" s="47" t="s">
        <v>36</v>
      </c>
      <c r="T88" s="47"/>
      <c r="U88" s="17"/>
      <c r="V88" s="17"/>
      <c r="W88" s="17"/>
      <c r="X88" s="17"/>
      <c r="Y88" s="17"/>
      <c r="Z88" s="17"/>
      <c r="AA88" s="17"/>
      <c r="AB88" s="17"/>
      <c r="AC88" s="17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</row>
    <row r="89" spans="1:48" s="19" customFormat="1" ht="21.6" hidden="1" x14ac:dyDescent="0.2">
      <c r="A89" s="41">
        <v>2133</v>
      </c>
      <c r="B89" s="42" t="s">
        <v>20</v>
      </c>
      <c r="C89" s="43" t="s">
        <v>21</v>
      </c>
      <c r="D89" s="44">
        <v>6329</v>
      </c>
      <c r="E89" s="44" t="s">
        <v>254</v>
      </c>
      <c r="F89" s="45" t="s">
        <v>174</v>
      </c>
      <c r="G89" s="42" t="s">
        <v>175</v>
      </c>
      <c r="H89" s="45" t="s">
        <v>176</v>
      </c>
      <c r="I89" s="46" t="s">
        <v>27</v>
      </c>
      <c r="J89" s="47">
        <v>0.7</v>
      </c>
      <c r="K89" s="13" t="s">
        <v>190</v>
      </c>
      <c r="L89" s="14" t="s">
        <v>191</v>
      </c>
      <c r="M89" s="13" t="s">
        <v>192</v>
      </c>
      <c r="N89" s="55" t="s">
        <v>127</v>
      </c>
      <c r="O89" s="47">
        <v>0.06</v>
      </c>
      <c r="P89" s="56"/>
      <c r="Q89" s="47">
        <f t="shared" si="28"/>
        <v>0</v>
      </c>
      <c r="R89" s="49">
        <f t="shared" si="27"/>
        <v>0</v>
      </c>
      <c r="S89" s="47" t="s">
        <v>31</v>
      </c>
      <c r="T89" s="47"/>
      <c r="U89" s="17"/>
      <c r="V89" s="17"/>
      <c r="W89" s="17"/>
      <c r="X89" s="17"/>
      <c r="Y89" s="17"/>
      <c r="Z89" s="17"/>
      <c r="AA89" s="17"/>
      <c r="AB89" s="17"/>
      <c r="AC89" s="17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</row>
    <row r="90" spans="1:48" s="19" customFormat="1" ht="21.6" hidden="1" x14ac:dyDescent="0.2">
      <c r="A90" s="41">
        <v>2133</v>
      </c>
      <c r="B90" s="42" t="s">
        <v>20</v>
      </c>
      <c r="C90" s="43" t="s">
        <v>21</v>
      </c>
      <c r="D90" s="44">
        <v>6329</v>
      </c>
      <c r="E90" s="44" t="s">
        <v>254</v>
      </c>
      <c r="F90" s="45" t="s">
        <v>174</v>
      </c>
      <c r="G90" s="42" t="s">
        <v>175</v>
      </c>
      <c r="H90" s="45" t="s">
        <v>176</v>
      </c>
      <c r="I90" s="57" t="s">
        <v>27</v>
      </c>
      <c r="J90" s="58">
        <v>0.7</v>
      </c>
      <c r="K90" s="25" t="s">
        <v>193</v>
      </c>
      <c r="L90" s="22" t="s">
        <v>194</v>
      </c>
      <c r="M90" s="25" t="s">
        <v>195</v>
      </c>
      <c r="N90" s="59" t="s">
        <v>196</v>
      </c>
      <c r="O90" s="60">
        <v>0.06</v>
      </c>
      <c r="P90" s="56"/>
      <c r="Q90" s="60">
        <f t="shared" si="28"/>
        <v>0</v>
      </c>
      <c r="R90" s="61">
        <f t="shared" si="27"/>
        <v>0</v>
      </c>
      <c r="S90" s="60" t="s">
        <v>36</v>
      </c>
      <c r="T90" s="60"/>
      <c r="U90" s="17"/>
      <c r="V90" s="17"/>
      <c r="W90" s="17"/>
      <c r="X90" s="17"/>
      <c r="Y90" s="17"/>
      <c r="Z90" s="17"/>
      <c r="AA90" s="17"/>
      <c r="AB90" s="17"/>
      <c r="AC90" s="17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</row>
    <row r="91" spans="1:48" s="19" customFormat="1" ht="21.6" hidden="1" x14ac:dyDescent="0.2">
      <c r="A91" s="41">
        <v>2133</v>
      </c>
      <c r="B91" s="42" t="s">
        <v>20</v>
      </c>
      <c r="C91" s="43" t="s">
        <v>21</v>
      </c>
      <c r="D91" s="44">
        <v>6329</v>
      </c>
      <c r="E91" s="44" t="s">
        <v>254</v>
      </c>
      <c r="F91" s="45" t="s">
        <v>174</v>
      </c>
      <c r="G91" s="42" t="s">
        <v>175</v>
      </c>
      <c r="H91" s="45" t="s">
        <v>176</v>
      </c>
      <c r="I91" s="57" t="s">
        <v>59</v>
      </c>
      <c r="J91" s="58">
        <v>0.3</v>
      </c>
      <c r="K91" s="25" t="s">
        <v>197</v>
      </c>
      <c r="L91" s="22" t="s">
        <v>198</v>
      </c>
      <c r="M91" s="25" t="s">
        <v>199</v>
      </c>
      <c r="N91" s="59" t="s">
        <v>200</v>
      </c>
      <c r="O91" s="60">
        <v>0.05</v>
      </c>
      <c r="P91" s="56"/>
      <c r="Q91" s="60">
        <f t="shared" si="28"/>
        <v>0</v>
      </c>
      <c r="R91" s="61">
        <f t="shared" si="27"/>
        <v>0</v>
      </c>
      <c r="S91" s="60" t="s">
        <v>31</v>
      </c>
      <c r="T91" s="60"/>
      <c r="U91" s="17"/>
      <c r="V91" s="17"/>
      <c r="W91" s="17"/>
      <c r="X91" s="17"/>
      <c r="Y91" s="17"/>
      <c r="Z91" s="17"/>
      <c r="AA91" s="17"/>
      <c r="AB91" s="17"/>
      <c r="AC91" s="17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</row>
    <row r="92" spans="1:48" s="19" customFormat="1" ht="21.6" hidden="1" x14ac:dyDescent="0.2">
      <c r="A92" s="41">
        <v>2133</v>
      </c>
      <c r="B92" s="42" t="s">
        <v>20</v>
      </c>
      <c r="C92" s="43" t="s">
        <v>21</v>
      </c>
      <c r="D92" s="44">
        <v>6329</v>
      </c>
      <c r="E92" s="44" t="s">
        <v>254</v>
      </c>
      <c r="F92" s="45" t="s">
        <v>174</v>
      </c>
      <c r="G92" s="42" t="s">
        <v>175</v>
      </c>
      <c r="H92" s="45" t="s">
        <v>176</v>
      </c>
      <c r="I92" s="57" t="s">
        <v>59</v>
      </c>
      <c r="J92" s="58">
        <v>0.3</v>
      </c>
      <c r="K92" s="25" t="s">
        <v>201</v>
      </c>
      <c r="L92" s="22" t="s">
        <v>202</v>
      </c>
      <c r="M92" s="25" t="s">
        <v>203</v>
      </c>
      <c r="N92" s="62" t="s">
        <v>204</v>
      </c>
      <c r="O92" s="60">
        <v>0.05</v>
      </c>
      <c r="P92" s="62"/>
      <c r="Q92" s="60">
        <f t="shared" si="28"/>
        <v>0</v>
      </c>
      <c r="R92" s="61">
        <f t="shared" si="27"/>
        <v>0</v>
      </c>
      <c r="S92" s="60" t="s">
        <v>31</v>
      </c>
      <c r="T92" s="60"/>
      <c r="U92" s="17"/>
      <c r="V92" s="17"/>
      <c r="W92" s="17"/>
      <c r="X92" s="17"/>
      <c r="Y92" s="17"/>
      <c r="Z92" s="17"/>
      <c r="AA92" s="17"/>
      <c r="AB92" s="17"/>
      <c r="AC92" s="17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</row>
    <row r="93" spans="1:48" s="19" customFormat="1" ht="21.6" hidden="1" x14ac:dyDescent="0.2">
      <c r="A93" s="41">
        <v>2133</v>
      </c>
      <c r="B93" s="42" t="s">
        <v>20</v>
      </c>
      <c r="C93" s="43" t="s">
        <v>21</v>
      </c>
      <c r="D93" s="44">
        <v>6329</v>
      </c>
      <c r="E93" s="44" t="s">
        <v>254</v>
      </c>
      <c r="F93" s="45" t="s">
        <v>174</v>
      </c>
      <c r="G93" s="42" t="s">
        <v>175</v>
      </c>
      <c r="H93" s="45" t="s">
        <v>176</v>
      </c>
      <c r="I93" s="57" t="s">
        <v>27</v>
      </c>
      <c r="J93" s="58">
        <v>0.7</v>
      </c>
      <c r="K93" s="25" t="s">
        <v>205</v>
      </c>
      <c r="L93" s="22" t="s">
        <v>206</v>
      </c>
      <c r="M93" s="25" t="s">
        <v>207</v>
      </c>
      <c r="N93" s="62" t="s">
        <v>208</v>
      </c>
      <c r="O93" s="60">
        <v>0.05</v>
      </c>
      <c r="P93" s="62"/>
      <c r="Q93" s="60"/>
      <c r="R93" s="61"/>
      <c r="S93" s="60" t="s">
        <v>36</v>
      </c>
      <c r="T93" s="60"/>
      <c r="U93" s="17"/>
      <c r="V93" s="17"/>
      <c r="W93" s="17"/>
      <c r="X93" s="17"/>
      <c r="Y93" s="17"/>
      <c r="Z93" s="17"/>
      <c r="AA93" s="17"/>
      <c r="AB93" s="17"/>
      <c r="AC93" s="17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</row>
    <row r="94" spans="1:48" s="19" customFormat="1" ht="21.6" hidden="1" x14ac:dyDescent="0.2">
      <c r="A94" s="41">
        <v>2134</v>
      </c>
      <c r="B94" s="42" t="s">
        <v>20</v>
      </c>
      <c r="C94" s="43" t="s">
        <v>21</v>
      </c>
      <c r="D94" s="44">
        <v>6329</v>
      </c>
      <c r="E94" s="44" t="s">
        <v>254</v>
      </c>
      <c r="F94" s="45" t="s">
        <v>174</v>
      </c>
      <c r="G94" s="42" t="s">
        <v>175</v>
      </c>
      <c r="H94" s="45" t="s">
        <v>176</v>
      </c>
      <c r="I94" s="57" t="s">
        <v>59</v>
      </c>
      <c r="J94" s="58">
        <v>0.3</v>
      </c>
      <c r="K94" s="25" t="s">
        <v>209</v>
      </c>
      <c r="L94" s="22" t="s">
        <v>210</v>
      </c>
      <c r="M94" s="25" t="s">
        <v>211</v>
      </c>
      <c r="N94" s="62" t="s">
        <v>127</v>
      </c>
      <c r="O94" s="60">
        <v>0.05</v>
      </c>
      <c r="P94" s="62"/>
      <c r="Q94" s="60">
        <f t="shared" ref="Q94:Q97" si="29">ROUND(IF(OR(N94="",P94=""),0,IF(AND(N94=0,P94=0),1,IF(S94="+",P94/N94,N94/P94))),2)</f>
        <v>0</v>
      </c>
      <c r="R94" s="61">
        <f t="shared" ref="R94:R97" si="30">IF(AND(Q94&gt;=60%,Q94&lt;100%),Q94*((O94*J94)),IF(Q94=100%,((O94*J94)*Q94)*100%,IF(Q94&gt;100%,((J94*O94)*100%)*100%,0)))*100</f>
        <v>0</v>
      </c>
      <c r="S94" s="60" t="s">
        <v>31</v>
      </c>
      <c r="T94" s="60"/>
      <c r="U94" s="17"/>
      <c r="V94" s="17"/>
      <c r="W94" s="17"/>
      <c r="X94" s="17"/>
      <c r="Y94" s="17"/>
      <c r="Z94" s="17"/>
      <c r="AA94" s="17"/>
      <c r="AB94" s="17"/>
      <c r="AC94" s="17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</row>
    <row r="95" spans="1:48" s="19" customFormat="1" ht="21.6" hidden="1" x14ac:dyDescent="0.2">
      <c r="A95" s="41">
        <v>2135</v>
      </c>
      <c r="B95" s="42" t="s">
        <v>20</v>
      </c>
      <c r="C95" s="43" t="s">
        <v>21</v>
      </c>
      <c r="D95" s="44">
        <v>6329</v>
      </c>
      <c r="E95" s="44" t="s">
        <v>254</v>
      </c>
      <c r="F95" s="45" t="s">
        <v>174</v>
      </c>
      <c r="G95" s="42" t="s">
        <v>175</v>
      </c>
      <c r="H95" s="45" t="s">
        <v>176</v>
      </c>
      <c r="I95" s="57" t="s">
        <v>59</v>
      </c>
      <c r="J95" s="58">
        <v>0.3</v>
      </c>
      <c r="K95" s="25" t="s">
        <v>212</v>
      </c>
      <c r="L95" s="22" t="s">
        <v>47</v>
      </c>
      <c r="M95" s="25" t="s">
        <v>213</v>
      </c>
      <c r="N95" s="59" t="s">
        <v>127</v>
      </c>
      <c r="O95" s="60">
        <v>0.05</v>
      </c>
      <c r="P95" s="56"/>
      <c r="Q95" s="60">
        <f t="shared" si="29"/>
        <v>0</v>
      </c>
      <c r="R95" s="61">
        <f t="shared" si="30"/>
        <v>0</v>
      </c>
      <c r="S95" s="60" t="s">
        <v>31</v>
      </c>
      <c r="T95" s="60"/>
      <c r="U95" s="17"/>
      <c r="V95" s="17"/>
      <c r="W95" s="17"/>
      <c r="X95" s="17"/>
      <c r="Y95" s="17"/>
      <c r="Z95" s="17"/>
      <c r="AA95" s="17"/>
      <c r="AB95" s="17"/>
      <c r="AC95" s="17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</row>
    <row r="96" spans="1:48" s="19" customFormat="1" ht="21.6" hidden="1" x14ac:dyDescent="0.2">
      <c r="A96" s="41">
        <v>2136</v>
      </c>
      <c r="B96" s="42" t="s">
        <v>20</v>
      </c>
      <c r="C96" s="43" t="s">
        <v>21</v>
      </c>
      <c r="D96" s="44">
        <v>6329</v>
      </c>
      <c r="E96" s="44" t="s">
        <v>254</v>
      </c>
      <c r="F96" s="45" t="s">
        <v>174</v>
      </c>
      <c r="G96" s="42" t="s">
        <v>175</v>
      </c>
      <c r="H96" s="45" t="s">
        <v>176</v>
      </c>
      <c r="I96" s="57" t="s">
        <v>59</v>
      </c>
      <c r="J96" s="58">
        <v>0.3</v>
      </c>
      <c r="K96" s="25" t="s">
        <v>128</v>
      </c>
      <c r="L96" s="22" t="s">
        <v>61</v>
      </c>
      <c r="M96" s="25" t="s">
        <v>214</v>
      </c>
      <c r="N96" s="59" t="s">
        <v>127</v>
      </c>
      <c r="O96" s="60">
        <v>0.05</v>
      </c>
      <c r="P96" s="56"/>
      <c r="Q96" s="60">
        <f t="shared" si="29"/>
        <v>0</v>
      </c>
      <c r="R96" s="61">
        <f t="shared" si="30"/>
        <v>0</v>
      </c>
      <c r="S96" s="60" t="s">
        <v>31</v>
      </c>
      <c r="T96" s="60"/>
      <c r="U96" s="17"/>
      <c r="V96" s="17"/>
      <c r="W96" s="17"/>
      <c r="X96" s="17"/>
      <c r="Y96" s="17"/>
      <c r="Z96" s="17"/>
      <c r="AA96" s="17"/>
      <c r="AB96" s="17"/>
      <c r="AC96" s="17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</row>
    <row r="97" spans="1:48" s="19" customFormat="1" ht="21.6" hidden="1" x14ac:dyDescent="0.2">
      <c r="A97" s="41">
        <v>2137</v>
      </c>
      <c r="B97" s="42" t="s">
        <v>20</v>
      </c>
      <c r="C97" s="43" t="s">
        <v>21</v>
      </c>
      <c r="D97" s="44">
        <v>6329</v>
      </c>
      <c r="E97" s="44" t="s">
        <v>254</v>
      </c>
      <c r="F97" s="45" t="s">
        <v>174</v>
      </c>
      <c r="G97" s="42" t="s">
        <v>175</v>
      </c>
      <c r="H97" s="45" t="s">
        <v>176</v>
      </c>
      <c r="I97" s="57" t="s">
        <v>27</v>
      </c>
      <c r="J97" s="58">
        <v>0.7</v>
      </c>
      <c r="K97" s="25" t="s">
        <v>215</v>
      </c>
      <c r="L97" s="22" t="s">
        <v>216</v>
      </c>
      <c r="M97" s="25" t="s">
        <v>217</v>
      </c>
      <c r="N97" s="62" t="s">
        <v>127</v>
      </c>
      <c r="O97" s="60">
        <v>0.04</v>
      </c>
      <c r="P97" s="62"/>
      <c r="Q97" s="60">
        <f t="shared" si="29"/>
        <v>0</v>
      </c>
      <c r="R97" s="61">
        <f t="shared" si="30"/>
        <v>0</v>
      </c>
      <c r="S97" s="60" t="s">
        <v>31</v>
      </c>
      <c r="T97" s="60"/>
      <c r="U97" s="17"/>
      <c r="V97" s="17"/>
      <c r="W97" s="17"/>
      <c r="X97" s="17"/>
      <c r="Y97" s="17"/>
      <c r="Z97" s="17"/>
      <c r="AA97" s="17"/>
      <c r="AB97" s="17"/>
      <c r="AC97" s="17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</row>
    <row r="98" spans="1:48" s="19" customFormat="1" ht="21.6" hidden="1" x14ac:dyDescent="0.2">
      <c r="A98" s="41">
        <v>2138</v>
      </c>
      <c r="B98" s="42" t="s">
        <v>20</v>
      </c>
      <c r="C98" s="43" t="s">
        <v>21</v>
      </c>
      <c r="D98" s="44">
        <v>6329</v>
      </c>
      <c r="E98" s="44" t="s">
        <v>254</v>
      </c>
      <c r="F98" s="45" t="s">
        <v>174</v>
      </c>
      <c r="G98" s="42" t="s">
        <v>175</v>
      </c>
      <c r="H98" s="45" t="s">
        <v>176</v>
      </c>
      <c r="I98" s="57" t="s">
        <v>27</v>
      </c>
      <c r="J98" s="58">
        <v>0.7</v>
      </c>
      <c r="K98" s="25" t="s">
        <v>218</v>
      </c>
      <c r="L98" s="22" t="s">
        <v>219</v>
      </c>
      <c r="M98" s="25" t="s">
        <v>220</v>
      </c>
      <c r="N98" s="62" t="s">
        <v>127</v>
      </c>
      <c r="O98" s="60">
        <v>0.04</v>
      </c>
      <c r="P98" s="62"/>
      <c r="Q98" s="60"/>
      <c r="R98" s="61"/>
      <c r="S98" s="60" t="s">
        <v>31</v>
      </c>
      <c r="T98" s="60"/>
      <c r="U98" s="17"/>
      <c r="V98" s="17"/>
      <c r="W98" s="17"/>
      <c r="X98" s="17"/>
      <c r="Y98" s="17"/>
      <c r="Z98" s="17"/>
      <c r="AA98" s="17"/>
      <c r="AB98" s="17"/>
      <c r="AC98" s="17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</row>
    <row r="99" spans="1:48" s="19" customFormat="1" ht="21.6" hidden="1" x14ac:dyDescent="0.2">
      <c r="A99" s="41">
        <v>2139</v>
      </c>
      <c r="B99" s="42" t="s">
        <v>20</v>
      </c>
      <c r="C99" s="43" t="s">
        <v>21</v>
      </c>
      <c r="D99" s="44">
        <v>6329</v>
      </c>
      <c r="E99" s="44" t="s">
        <v>254</v>
      </c>
      <c r="F99" s="45" t="s">
        <v>174</v>
      </c>
      <c r="G99" s="42" t="s">
        <v>175</v>
      </c>
      <c r="H99" s="45" t="s">
        <v>176</v>
      </c>
      <c r="I99" s="57" t="s">
        <v>27</v>
      </c>
      <c r="J99" s="58">
        <v>0.7</v>
      </c>
      <c r="K99" s="25" t="s">
        <v>221</v>
      </c>
      <c r="L99" s="22" t="s">
        <v>222</v>
      </c>
      <c r="M99" s="25" t="s">
        <v>223</v>
      </c>
      <c r="N99" s="62" t="s">
        <v>224</v>
      </c>
      <c r="O99" s="60">
        <v>0.1</v>
      </c>
      <c r="P99" s="62"/>
      <c r="Q99" s="60">
        <f t="shared" ref="Q99:Q100" si="31">ROUND(IF(OR(N99="",P99=""),0,IF(AND(N99=0,P99=0),1,IF(S99="+",P99/N99,N99/P99))),2)</f>
        <v>0</v>
      </c>
      <c r="R99" s="61">
        <f t="shared" ref="R99:R107" si="32">IF(AND(Q99&gt;=60%,Q99&lt;100%),Q99*((O99*J99)),IF(Q99=100%,((O99*J99)*Q99)*100%,IF(Q99&gt;100%,((J99*O99)*100%)*100%,0)))*100</f>
        <v>0</v>
      </c>
      <c r="S99" s="60" t="s">
        <v>31</v>
      </c>
      <c r="T99" s="60"/>
      <c r="U99" s="17"/>
      <c r="V99" s="17"/>
      <c r="W99" s="17"/>
      <c r="X99" s="17"/>
      <c r="Y99" s="17"/>
      <c r="Z99" s="17"/>
      <c r="AA99" s="17"/>
      <c r="AB99" s="17"/>
      <c r="AC99" s="17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</row>
    <row r="100" spans="1:48" s="19" customFormat="1" ht="21.6" hidden="1" x14ac:dyDescent="0.2">
      <c r="A100" s="41">
        <v>2140</v>
      </c>
      <c r="B100" s="42" t="s">
        <v>20</v>
      </c>
      <c r="C100" s="43" t="s">
        <v>21</v>
      </c>
      <c r="D100" s="44">
        <v>6331</v>
      </c>
      <c r="E100" s="44" t="s">
        <v>255</v>
      </c>
      <c r="F100" s="45" t="s">
        <v>174</v>
      </c>
      <c r="G100" s="42" t="s">
        <v>175</v>
      </c>
      <c r="H100" s="45" t="s">
        <v>176</v>
      </c>
      <c r="I100" s="46" t="s">
        <v>27</v>
      </c>
      <c r="J100" s="47">
        <v>0.7</v>
      </c>
      <c r="K100" s="55" t="s">
        <v>256</v>
      </c>
      <c r="L100" s="63" t="s">
        <v>178</v>
      </c>
      <c r="M100" s="13" t="s">
        <v>257</v>
      </c>
      <c r="N100" s="51" t="s">
        <v>112</v>
      </c>
      <c r="O100" s="47">
        <v>0.15</v>
      </c>
      <c r="P100" s="47"/>
      <c r="Q100" s="47">
        <f t="shared" si="31"/>
        <v>0</v>
      </c>
      <c r="R100" s="49">
        <f t="shared" si="32"/>
        <v>0</v>
      </c>
      <c r="S100" s="47" t="s">
        <v>31</v>
      </c>
      <c r="T100" s="50">
        <f>SUM(R100:R109)%</f>
        <v>0</v>
      </c>
      <c r="U100" s="17"/>
      <c r="V100" s="17"/>
      <c r="W100" s="17"/>
      <c r="X100" s="17"/>
      <c r="Y100" s="17"/>
      <c r="Z100" s="17"/>
      <c r="AA100" s="17"/>
      <c r="AB100" s="17"/>
      <c r="AC100" s="17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</row>
    <row r="101" spans="1:48" s="19" customFormat="1" ht="21.6" hidden="1" x14ac:dyDescent="0.2">
      <c r="A101" s="41">
        <v>2141</v>
      </c>
      <c r="B101" s="42" t="s">
        <v>20</v>
      </c>
      <c r="C101" s="43" t="s">
        <v>21</v>
      </c>
      <c r="D101" s="44">
        <v>6331</v>
      </c>
      <c r="E101" s="44" t="s">
        <v>255</v>
      </c>
      <c r="F101" s="45" t="s">
        <v>174</v>
      </c>
      <c r="G101" s="42" t="s">
        <v>175</v>
      </c>
      <c r="H101" s="45" t="s">
        <v>176</v>
      </c>
      <c r="I101" s="46" t="s">
        <v>27</v>
      </c>
      <c r="J101" s="47">
        <v>0.7</v>
      </c>
      <c r="K101" s="55" t="s">
        <v>73</v>
      </c>
      <c r="L101" s="63" t="s">
        <v>181</v>
      </c>
      <c r="M101" s="55" t="s">
        <v>258</v>
      </c>
      <c r="N101" s="51" t="s">
        <v>259</v>
      </c>
      <c r="O101" s="47">
        <v>0.1</v>
      </c>
      <c r="P101" s="52"/>
      <c r="Q101" s="47">
        <f>ROUND(IF(OR(N101="",P101=""),0,IF(AND(N101=0,P101=0),1,IF(S101="+",P101/N101,N101/P101))),2)</f>
        <v>0</v>
      </c>
      <c r="R101" s="49">
        <f t="shared" si="32"/>
        <v>0</v>
      </c>
      <c r="S101" s="47" t="s">
        <v>31</v>
      </c>
      <c r="T101" s="47"/>
      <c r="U101" s="17"/>
      <c r="V101" s="17"/>
      <c r="W101" s="17"/>
      <c r="X101" s="17"/>
      <c r="Y101" s="17"/>
      <c r="Z101" s="17"/>
      <c r="AA101" s="17"/>
      <c r="AB101" s="17"/>
      <c r="AC101" s="17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</row>
    <row r="102" spans="1:48" s="19" customFormat="1" ht="21.6" hidden="1" x14ac:dyDescent="0.2">
      <c r="A102" s="41">
        <v>2142</v>
      </c>
      <c r="B102" s="42" t="s">
        <v>20</v>
      </c>
      <c r="C102" s="43" t="s">
        <v>21</v>
      </c>
      <c r="D102" s="44">
        <v>6331</v>
      </c>
      <c r="E102" s="44" t="s">
        <v>255</v>
      </c>
      <c r="F102" s="45" t="s">
        <v>174</v>
      </c>
      <c r="G102" s="42" t="s">
        <v>175</v>
      </c>
      <c r="H102" s="45" t="s">
        <v>176</v>
      </c>
      <c r="I102" s="46" t="s">
        <v>27</v>
      </c>
      <c r="J102" s="47">
        <v>0.7</v>
      </c>
      <c r="K102" s="55" t="s">
        <v>260</v>
      </c>
      <c r="L102" s="63" t="s">
        <v>184</v>
      </c>
      <c r="M102" s="55" t="s">
        <v>261</v>
      </c>
      <c r="N102" s="53" t="s">
        <v>262</v>
      </c>
      <c r="O102" s="47">
        <v>0.1</v>
      </c>
      <c r="P102" s="52"/>
      <c r="Q102" s="47">
        <f t="shared" ref="Q102:Q107" si="33">ROUND(IF(OR(N102="",P102=""),0,IF(AND(N102=0,P102=0),1,IF(S102="+",P102/N102,N102/P102))),2)</f>
        <v>0</v>
      </c>
      <c r="R102" s="49">
        <f t="shared" si="32"/>
        <v>0</v>
      </c>
      <c r="S102" s="47" t="s">
        <v>36</v>
      </c>
      <c r="T102" s="47"/>
      <c r="U102" s="17"/>
      <c r="V102" s="17"/>
      <c r="W102" s="17"/>
      <c r="X102" s="17"/>
      <c r="Y102" s="17"/>
      <c r="Z102" s="17"/>
      <c r="AA102" s="17"/>
      <c r="AB102" s="17"/>
      <c r="AC102" s="17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</row>
    <row r="103" spans="1:48" s="19" customFormat="1" ht="21.6" hidden="1" x14ac:dyDescent="0.2">
      <c r="A103" s="41">
        <v>2143</v>
      </c>
      <c r="B103" s="42" t="s">
        <v>20</v>
      </c>
      <c r="C103" s="43" t="s">
        <v>21</v>
      </c>
      <c r="D103" s="44">
        <v>6331</v>
      </c>
      <c r="E103" s="44" t="s">
        <v>255</v>
      </c>
      <c r="F103" s="45" t="s">
        <v>174</v>
      </c>
      <c r="G103" s="42" t="s">
        <v>175</v>
      </c>
      <c r="H103" s="45" t="s">
        <v>176</v>
      </c>
      <c r="I103" s="46" t="s">
        <v>27</v>
      </c>
      <c r="J103" s="47">
        <v>0.7</v>
      </c>
      <c r="K103" s="55" t="s">
        <v>263</v>
      </c>
      <c r="L103" s="63" t="s">
        <v>188</v>
      </c>
      <c r="M103" s="55" t="s">
        <v>264</v>
      </c>
      <c r="N103" s="52" t="s">
        <v>148</v>
      </c>
      <c r="O103" s="47">
        <v>0.1</v>
      </c>
      <c r="P103" s="54"/>
      <c r="Q103" s="47">
        <f t="shared" si="33"/>
        <v>0</v>
      </c>
      <c r="R103" s="49">
        <f t="shared" si="32"/>
        <v>0</v>
      </c>
      <c r="S103" s="47" t="s">
        <v>36</v>
      </c>
      <c r="T103" s="47"/>
      <c r="U103" s="17"/>
      <c r="V103" s="17"/>
      <c r="W103" s="17"/>
      <c r="X103" s="17"/>
      <c r="Y103" s="17"/>
      <c r="Z103" s="17"/>
      <c r="AA103" s="17"/>
      <c r="AB103" s="17"/>
      <c r="AC103" s="17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</row>
    <row r="104" spans="1:48" s="19" customFormat="1" ht="21.6" hidden="1" x14ac:dyDescent="0.2">
      <c r="A104" s="41">
        <v>2144</v>
      </c>
      <c r="B104" s="42" t="s">
        <v>20</v>
      </c>
      <c r="C104" s="43" t="s">
        <v>21</v>
      </c>
      <c r="D104" s="44">
        <v>6331</v>
      </c>
      <c r="E104" s="44" t="s">
        <v>255</v>
      </c>
      <c r="F104" s="45" t="s">
        <v>174</v>
      </c>
      <c r="G104" s="42" t="s">
        <v>175</v>
      </c>
      <c r="H104" s="45" t="s">
        <v>176</v>
      </c>
      <c r="I104" s="46" t="s">
        <v>27</v>
      </c>
      <c r="J104" s="47">
        <v>0.7</v>
      </c>
      <c r="K104" s="55" t="s">
        <v>265</v>
      </c>
      <c r="L104" s="63" t="s">
        <v>191</v>
      </c>
      <c r="M104" s="55" t="s">
        <v>266</v>
      </c>
      <c r="N104" s="55" t="s">
        <v>259</v>
      </c>
      <c r="O104" s="47">
        <v>0.1</v>
      </c>
      <c r="P104" s="56"/>
      <c r="Q104" s="47">
        <f t="shared" si="33"/>
        <v>0</v>
      </c>
      <c r="R104" s="49">
        <f t="shared" si="32"/>
        <v>0</v>
      </c>
      <c r="S104" s="47" t="s">
        <v>31</v>
      </c>
      <c r="T104" s="47"/>
      <c r="U104" s="17"/>
      <c r="V104" s="17"/>
      <c r="W104" s="17"/>
      <c r="X104" s="17"/>
      <c r="Y104" s="17"/>
      <c r="Z104" s="17"/>
      <c r="AA104" s="17"/>
      <c r="AB104" s="17"/>
      <c r="AC104" s="17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</row>
    <row r="105" spans="1:48" s="19" customFormat="1" ht="21.6" hidden="1" x14ac:dyDescent="0.2">
      <c r="A105" s="41">
        <v>2145</v>
      </c>
      <c r="B105" s="42" t="s">
        <v>20</v>
      </c>
      <c r="C105" s="43" t="s">
        <v>21</v>
      </c>
      <c r="D105" s="44">
        <v>6331</v>
      </c>
      <c r="E105" s="44" t="s">
        <v>255</v>
      </c>
      <c r="F105" s="45" t="s">
        <v>174</v>
      </c>
      <c r="G105" s="42" t="s">
        <v>175</v>
      </c>
      <c r="H105" s="45" t="s">
        <v>176</v>
      </c>
      <c r="I105" s="57" t="s">
        <v>27</v>
      </c>
      <c r="J105" s="58">
        <v>0.7</v>
      </c>
      <c r="K105" s="57" t="s">
        <v>267</v>
      </c>
      <c r="L105" s="64" t="s">
        <v>194</v>
      </c>
      <c r="M105" s="57" t="s">
        <v>268</v>
      </c>
      <c r="N105" s="59" t="s">
        <v>196</v>
      </c>
      <c r="O105" s="60">
        <v>0.1</v>
      </c>
      <c r="P105" s="56"/>
      <c r="Q105" s="60">
        <f t="shared" si="33"/>
        <v>0</v>
      </c>
      <c r="R105" s="61">
        <f t="shared" si="32"/>
        <v>0</v>
      </c>
      <c r="S105" s="60" t="s">
        <v>36</v>
      </c>
      <c r="T105" s="60"/>
      <c r="U105" s="17"/>
      <c r="V105" s="17"/>
      <c r="W105" s="17"/>
      <c r="X105" s="17"/>
      <c r="Y105" s="17"/>
      <c r="Z105" s="17"/>
      <c r="AA105" s="17"/>
      <c r="AB105" s="17"/>
      <c r="AC105" s="17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</row>
    <row r="106" spans="1:48" s="19" customFormat="1" ht="21.6" hidden="1" x14ac:dyDescent="0.2">
      <c r="A106" s="41">
        <v>2146</v>
      </c>
      <c r="B106" s="42" t="s">
        <v>20</v>
      </c>
      <c r="C106" s="43" t="s">
        <v>21</v>
      </c>
      <c r="D106" s="44">
        <v>6331</v>
      </c>
      <c r="E106" s="44" t="s">
        <v>255</v>
      </c>
      <c r="F106" s="45" t="s">
        <v>174</v>
      </c>
      <c r="G106" s="42" t="s">
        <v>175</v>
      </c>
      <c r="H106" s="45" t="s">
        <v>176</v>
      </c>
      <c r="I106" s="57" t="s">
        <v>59</v>
      </c>
      <c r="J106" s="58">
        <v>0.3</v>
      </c>
      <c r="K106" s="57" t="s">
        <v>269</v>
      </c>
      <c r="L106" s="64" t="s">
        <v>198</v>
      </c>
      <c r="M106" s="57" t="s">
        <v>270</v>
      </c>
      <c r="N106" s="59" t="s">
        <v>127</v>
      </c>
      <c r="O106" s="60">
        <v>0.1</v>
      </c>
      <c r="P106" s="56"/>
      <c r="Q106" s="60">
        <f t="shared" si="33"/>
        <v>0</v>
      </c>
      <c r="R106" s="61">
        <f t="shared" si="32"/>
        <v>0</v>
      </c>
      <c r="S106" s="60" t="s">
        <v>31</v>
      </c>
      <c r="T106" s="60"/>
      <c r="U106" s="17"/>
      <c r="V106" s="17"/>
      <c r="W106" s="17"/>
      <c r="X106" s="17"/>
      <c r="Y106" s="17"/>
      <c r="Z106" s="17"/>
      <c r="AA106" s="17"/>
      <c r="AB106" s="17"/>
      <c r="AC106" s="17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</row>
    <row r="107" spans="1:48" s="19" customFormat="1" ht="21.6" hidden="1" x14ac:dyDescent="0.2">
      <c r="A107" s="41">
        <v>2147</v>
      </c>
      <c r="B107" s="42" t="s">
        <v>20</v>
      </c>
      <c r="C107" s="43" t="s">
        <v>21</v>
      </c>
      <c r="D107" s="44">
        <v>6331</v>
      </c>
      <c r="E107" s="44" t="s">
        <v>255</v>
      </c>
      <c r="F107" s="45" t="s">
        <v>174</v>
      </c>
      <c r="G107" s="42" t="s">
        <v>175</v>
      </c>
      <c r="H107" s="45" t="s">
        <v>176</v>
      </c>
      <c r="I107" s="57" t="s">
        <v>59</v>
      </c>
      <c r="J107" s="58">
        <v>0.3</v>
      </c>
      <c r="K107" s="57" t="s">
        <v>271</v>
      </c>
      <c r="L107" s="64" t="s">
        <v>202</v>
      </c>
      <c r="M107" s="25" t="s">
        <v>272</v>
      </c>
      <c r="N107" s="62" t="s">
        <v>273</v>
      </c>
      <c r="O107" s="60">
        <v>0.05</v>
      </c>
      <c r="P107" s="62"/>
      <c r="Q107" s="60">
        <f t="shared" si="33"/>
        <v>0</v>
      </c>
      <c r="R107" s="61">
        <f t="shared" si="32"/>
        <v>0</v>
      </c>
      <c r="S107" s="60" t="s">
        <v>31</v>
      </c>
      <c r="T107" s="60"/>
      <c r="U107" s="17"/>
      <c r="V107" s="17"/>
      <c r="W107" s="17"/>
      <c r="X107" s="17"/>
      <c r="Y107" s="17"/>
      <c r="Z107" s="17"/>
      <c r="AA107" s="17"/>
      <c r="AB107" s="17"/>
      <c r="AC107" s="17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</row>
    <row r="108" spans="1:48" s="19" customFormat="1" ht="21.6" hidden="1" x14ac:dyDescent="0.2">
      <c r="A108" s="41">
        <v>2148</v>
      </c>
      <c r="B108" s="42" t="s">
        <v>20</v>
      </c>
      <c r="C108" s="43" t="s">
        <v>21</v>
      </c>
      <c r="D108" s="44">
        <v>6331</v>
      </c>
      <c r="E108" s="44" t="s">
        <v>255</v>
      </c>
      <c r="F108" s="45" t="s">
        <v>174</v>
      </c>
      <c r="G108" s="42" t="s">
        <v>175</v>
      </c>
      <c r="H108" s="45" t="s">
        <v>176</v>
      </c>
      <c r="I108" s="57" t="s">
        <v>27</v>
      </c>
      <c r="J108" s="58">
        <v>0.7</v>
      </c>
      <c r="K108" s="57" t="s">
        <v>205</v>
      </c>
      <c r="L108" s="64" t="s">
        <v>206</v>
      </c>
      <c r="M108" s="25" t="s">
        <v>274</v>
      </c>
      <c r="N108" s="62" t="s">
        <v>127</v>
      </c>
      <c r="O108" s="60">
        <v>0.1</v>
      </c>
      <c r="P108" s="62"/>
      <c r="Q108" s="60"/>
      <c r="R108" s="61"/>
      <c r="S108" s="60" t="s">
        <v>31</v>
      </c>
      <c r="T108" s="60"/>
      <c r="U108" s="17"/>
      <c r="V108" s="17"/>
      <c r="W108" s="17"/>
      <c r="X108" s="17"/>
      <c r="Y108" s="17"/>
      <c r="Z108" s="17"/>
      <c r="AA108" s="17"/>
      <c r="AB108" s="17"/>
      <c r="AC108" s="17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</row>
    <row r="109" spans="1:48" s="19" customFormat="1" ht="21.6" hidden="1" x14ac:dyDescent="0.2">
      <c r="A109" s="41">
        <v>2149</v>
      </c>
      <c r="B109" s="42" t="s">
        <v>20</v>
      </c>
      <c r="C109" s="43" t="s">
        <v>21</v>
      </c>
      <c r="D109" s="44">
        <v>6331</v>
      </c>
      <c r="E109" s="44" t="s">
        <v>255</v>
      </c>
      <c r="F109" s="45" t="s">
        <v>174</v>
      </c>
      <c r="G109" s="42" t="s">
        <v>175</v>
      </c>
      <c r="H109" s="45" t="s">
        <v>176</v>
      </c>
      <c r="I109" s="57" t="s">
        <v>59</v>
      </c>
      <c r="J109" s="58">
        <v>0.3</v>
      </c>
      <c r="K109" s="57" t="s">
        <v>209</v>
      </c>
      <c r="L109" s="64" t="s">
        <v>210</v>
      </c>
      <c r="M109" s="57" t="s">
        <v>275</v>
      </c>
      <c r="N109" s="62" t="s">
        <v>112</v>
      </c>
      <c r="O109" s="60">
        <v>0.1</v>
      </c>
      <c r="P109" s="62"/>
      <c r="Q109" s="60">
        <f t="shared" ref="Q109:Q110" si="34">ROUND(IF(OR(N109="",P109=""),0,IF(AND(N109=0,P109=0),1,IF(S109="+",P109/N109,N109/P109))),2)</f>
        <v>0</v>
      </c>
      <c r="R109" s="61">
        <f t="shared" ref="R109:R117" si="35">IF(AND(Q109&gt;=60%,Q109&lt;100%),Q109*((O109*J109)),IF(Q109=100%,((O109*J109)*Q109)*100%,IF(Q109&gt;100%,((J109*O109)*100%)*100%,0)))*100</f>
        <v>0</v>
      </c>
      <c r="S109" s="60" t="s">
        <v>31</v>
      </c>
      <c r="T109" s="60"/>
      <c r="U109" s="17"/>
      <c r="V109" s="17"/>
      <c r="W109" s="17"/>
      <c r="X109" s="17"/>
      <c r="Y109" s="17"/>
      <c r="Z109" s="17"/>
      <c r="AA109" s="17"/>
      <c r="AB109" s="17"/>
      <c r="AC109" s="17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</row>
    <row r="110" spans="1:48" s="19" customFormat="1" ht="21.6" hidden="1" x14ac:dyDescent="0.2">
      <c r="A110" s="41">
        <v>2150</v>
      </c>
      <c r="B110" s="42" t="s">
        <v>20</v>
      </c>
      <c r="C110" s="43" t="s">
        <v>21</v>
      </c>
      <c r="D110" s="44">
        <v>6364</v>
      </c>
      <c r="E110" s="44" t="s">
        <v>276</v>
      </c>
      <c r="F110" s="45" t="s">
        <v>174</v>
      </c>
      <c r="G110" s="42" t="s">
        <v>175</v>
      </c>
      <c r="H110" s="45" t="s">
        <v>176</v>
      </c>
      <c r="I110" s="46" t="s">
        <v>27</v>
      </c>
      <c r="J110" s="47">
        <v>0.7</v>
      </c>
      <c r="K110" s="13" t="s">
        <v>177</v>
      </c>
      <c r="L110" s="14" t="s">
        <v>178</v>
      </c>
      <c r="M110" s="13" t="s">
        <v>179</v>
      </c>
      <c r="N110" s="48" t="s">
        <v>127</v>
      </c>
      <c r="O110" s="47">
        <v>0.1</v>
      </c>
      <c r="P110" s="47"/>
      <c r="Q110" s="47">
        <f t="shared" si="34"/>
        <v>0</v>
      </c>
      <c r="R110" s="49">
        <f t="shared" si="35"/>
        <v>0</v>
      </c>
      <c r="S110" s="47" t="s">
        <v>31</v>
      </c>
      <c r="T110" s="50">
        <f>SUM(R110:R124)%</f>
        <v>0</v>
      </c>
      <c r="U110" s="17"/>
      <c r="V110" s="17"/>
      <c r="W110" s="17"/>
      <c r="X110" s="17"/>
      <c r="Y110" s="17"/>
      <c r="Z110" s="17"/>
      <c r="AA110" s="17"/>
      <c r="AB110" s="17"/>
      <c r="AC110" s="17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</row>
    <row r="111" spans="1:48" s="19" customFormat="1" ht="21.6" hidden="1" x14ac:dyDescent="0.2">
      <c r="A111" s="41">
        <v>2151</v>
      </c>
      <c r="B111" s="42" t="s">
        <v>20</v>
      </c>
      <c r="C111" s="43" t="s">
        <v>21</v>
      </c>
      <c r="D111" s="44">
        <v>6364</v>
      </c>
      <c r="E111" s="44" t="s">
        <v>276</v>
      </c>
      <c r="F111" s="45" t="s">
        <v>174</v>
      </c>
      <c r="G111" s="42" t="s">
        <v>175</v>
      </c>
      <c r="H111" s="45" t="s">
        <v>176</v>
      </c>
      <c r="I111" s="46" t="s">
        <v>27</v>
      </c>
      <c r="J111" s="47">
        <v>0.7</v>
      </c>
      <c r="K111" s="13" t="s">
        <v>180</v>
      </c>
      <c r="L111" s="14" t="s">
        <v>181</v>
      </c>
      <c r="M111" s="13" t="s">
        <v>182</v>
      </c>
      <c r="N111" s="51" t="s">
        <v>112</v>
      </c>
      <c r="O111" s="47">
        <v>0.1</v>
      </c>
      <c r="P111" s="52"/>
      <c r="Q111" s="47">
        <f>ROUND(IF(OR(N111="",P111=""),0,IF(AND(N111=0,P111=0),1,IF(S111="+",P111/N111,N111/P111))),2)</f>
        <v>0</v>
      </c>
      <c r="R111" s="49">
        <f t="shared" si="35"/>
        <v>0</v>
      </c>
      <c r="S111" s="47" t="s">
        <v>31</v>
      </c>
      <c r="T111" s="47"/>
      <c r="U111" s="17"/>
      <c r="V111" s="17"/>
      <c r="W111" s="17"/>
      <c r="X111" s="17"/>
      <c r="Y111" s="17"/>
      <c r="Z111" s="17"/>
      <c r="AA111" s="17"/>
      <c r="AB111" s="17"/>
      <c r="AC111" s="17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</row>
    <row r="112" spans="1:48" s="19" customFormat="1" ht="21.6" hidden="1" x14ac:dyDescent="0.2">
      <c r="A112" s="41">
        <v>2152</v>
      </c>
      <c r="B112" s="42" t="s">
        <v>20</v>
      </c>
      <c r="C112" s="43" t="s">
        <v>21</v>
      </c>
      <c r="D112" s="44">
        <v>6364</v>
      </c>
      <c r="E112" s="44" t="s">
        <v>276</v>
      </c>
      <c r="F112" s="45" t="s">
        <v>174</v>
      </c>
      <c r="G112" s="42" t="s">
        <v>175</v>
      </c>
      <c r="H112" s="45" t="s">
        <v>176</v>
      </c>
      <c r="I112" s="46" t="s">
        <v>27</v>
      </c>
      <c r="J112" s="47">
        <v>0.7</v>
      </c>
      <c r="K112" s="13" t="s">
        <v>183</v>
      </c>
      <c r="L112" s="14" t="s">
        <v>184</v>
      </c>
      <c r="M112" s="13" t="s">
        <v>185</v>
      </c>
      <c r="N112" s="53" t="s">
        <v>186</v>
      </c>
      <c r="O112" s="47">
        <v>7.0000000000000007E-2</v>
      </c>
      <c r="P112" s="52"/>
      <c r="Q112" s="47">
        <f t="shared" ref="Q112:Q117" si="36">ROUND(IF(OR(N112="",P112=""),0,IF(AND(N112=0,P112=0),1,IF(S112="+",P112/N112,N112/P112))),2)</f>
        <v>0</v>
      </c>
      <c r="R112" s="49">
        <f t="shared" si="35"/>
        <v>0</v>
      </c>
      <c r="S112" s="47" t="s">
        <v>36</v>
      </c>
      <c r="T112" s="47"/>
      <c r="U112" s="17"/>
      <c r="V112" s="17"/>
      <c r="W112" s="17"/>
      <c r="X112" s="17"/>
      <c r="Y112" s="17"/>
      <c r="Z112" s="17"/>
      <c r="AA112" s="17"/>
      <c r="AB112" s="17"/>
      <c r="AC112" s="17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</row>
    <row r="113" spans="1:48" s="19" customFormat="1" ht="21.6" hidden="1" x14ac:dyDescent="0.2">
      <c r="A113" s="41">
        <v>2153</v>
      </c>
      <c r="B113" s="42" t="s">
        <v>20</v>
      </c>
      <c r="C113" s="43" t="s">
        <v>21</v>
      </c>
      <c r="D113" s="44">
        <v>6364</v>
      </c>
      <c r="E113" s="44" t="s">
        <v>276</v>
      </c>
      <c r="F113" s="45" t="s">
        <v>174</v>
      </c>
      <c r="G113" s="42" t="s">
        <v>175</v>
      </c>
      <c r="H113" s="45" t="s">
        <v>176</v>
      </c>
      <c r="I113" s="46" t="s">
        <v>27</v>
      </c>
      <c r="J113" s="47">
        <v>0.7</v>
      </c>
      <c r="K113" s="13" t="s">
        <v>187</v>
      </c>
      <c r="L113" s="14" t="s">
        <v>188</v>
      </c>
      <c r="M113" s="13" t="s">
        <v>189</v>
      </c>
      <c r="N113" s="52" t="s">
        <v>148</v>
      </c>
      <c r="O113" s="47">
        <v>0.08</v>
      </c>
      <c r="P113" s="54"/>
      <c r="Q113" s="47">
        <f t="shared" si="36"/>
        <v>0</v>
      </c>
      <c r="R113" s="49">
        <f t="shared" si="35"/>
        <v>0</v>
      </c>
      <c r="S113" s="47" t="s">
        <v>36</v>
      </c>
      <c r="T113" s="47"/>
      <c r="U113" s="17"/>
      <c r="V113" s="17"/>
      <c r="W113" s="17"/>
      <c r="X113" s="17"/>
      <c r="Y113" s="17"/>
      <c r="Z113" s="17"/>
      <c r="AA113" s="17"/>
      <c r="AB113" s="17"/>
      <c r="AC113" s="17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</row>
    <row r="114" spans="1:48" s="19" customFormat="1" ht="21.6" hidden="1" x14ac:dyDescent="0.2">
      <c r="A114" s="41">
        <v>2154</v>
      </c>
      <c r="B114" s="42" t="s">
        <v>20</v>
      </c>
      <c r="C114" s="43" t="s">
        <v>21</v>
      </c>
      <c r="D114" s="44">
        <v>6364</v>
      </c>
      <c r="E114" s="44" t="s">
        <v>276</v>
      </c>
      <c r="F114" s="45" t="s">
        <v>174</v>
      </c>
      <c r="G114" s="42" t="s">
        <v>175</v>
      </c>
      <c r="H114" s="45" t="s">
        <v>176</v>
      </c>
      <c r="I114" s="46" t="s">
        <v>27</v>
      </c>
      <c r="J114" s="47">
        <v>0.7</v>
      </c>
      <c r="K114" s="13" t="s">
        <v>190</v>
      </c>
      <c r="L114" s="14" t="s">
        <v>191</v>
      </c>
      <c r="M114" s="13" t="s">
        <v>192</v>
      </c>
      <c r="N114" s="55" t="s">
        <v>127</v>
      </c>
      <c r="O114" s="47">
        <v>0.06</v>
      </c>
      <c r="P114" s="56"/>
      <c r="Q114" s="47">
        <f t="shared" si="36"/>
        <v>0</v>
      </c>
      <c r="R114" s="49">
        <f t="shared" si="35"/>
        <v>0</v>
      </c>
      <c r="S114" s="47" t="s">
        <v>31</v>
      </c>
      <c r="T114" s="47"/>
      <c r="U114" s="17"/>
      <c r="V114" s="17"/>
      <c r="W114" s="17"/>
      <c r="X114" s="17"/>
      <c r="Y114" s="17"/>
      <c r="Z114" s="17"/>
      <c r="AA114" s="17"/>
      <c r="AB114" s="17"/>
      <c r="AC114" s="17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</row>
    <row r="115" spans="1:48" s="19" customFormat="1" ht="21.6" hidden="1" x14ac:dyDescent="0.2">
      <c r="A115" s="41">
        <v>2154</v>
      </c>
      <c r="B115" s="42" t="s">
        <v>20</v>
      </c>
      <c r="C115" s="43" t="s">
        <v>21</v>
      </c>
      <c r="D115" s="44">
        <v>6364</v>
      </c>
      <c r="E115" s="44" t="s">
        <v>276</v>
      </c>
      <c r="F115" s="45" t="s">
        <v>174</v>
      </c>
      <c r="G115" s="42" t="s">
        <v>175</v>
      </c>
      <c r="H115" s="45" t="s">
        <v>176</v>
      </c>
      <c r="I115" s="57" t="s">
        <v>27</v>
      </c>
      <c r="J115" s="58">
        <v>0.7</v>
      </c>
      <c r="K115" s="25" t="s">
        <v>193</v>
      </c>
      <c r="L115" s="22" t="s">
        <v>194</v>
      </c>
      <c r="M115" s="25" t="s">
        <v>195</v>
      </c>
      <c r="N115" s="59" t="s">
        <v>196</v>
      </c>
      <c r="O115" s="60">
        <v>0.06</v>
      </c>
      <c r="P115" s="56"/>
      <c r="Q115" s="60">
        <f t="shared" si="36"/>
        <v>0</v>
      </c>
      <c r="R115" s="61">
        <f t="shared" si="35"/>
        <v>0</v>
      </c>
      <c r="S115" s="60" t="s">
        <v>36</v>
      </c>
      <c r="T115" s="60"/>
      <c r="U115" s="17"/>
      <c r="V115" s="17"/>
      <c r="W115" s="17"/>
      <c r="X115" s="17"/>
      <c r="Y115" s="17"/>
      <c r="Z115" s="17"/>
      <c r="AA115" s="17"/>
      <c r="AB115" s="17"/>
      <c r="AC115" s="17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</row>
    <row r="116" spans="1:48" s="19" customFormat="1" ht="21.6" hidden="1" x14ac:dyDescent="0.2">
      <c r="A116" s="41">
        <v>2154</v>
      </c>
      <c r="B116" s="42" t="s">
        <v>20</v>
      </c>
      <c r="C116" s="43" t="s">
        <v>21</v>
      </c>
      <c r="D116" s="44">
        <v>6364</v>
      </c>
      <c r="E116" s="44" t="s">
        <v>276</v>
      </c>
      <c r="F116" s="45" t="s">
        <v>174</v>
      </c>
      <c r="G116" s="42" t="s">
        <v>175</v>
      </c>
      <c r="H116" s="45" t="s">
        <v>176</v>
      </c>
      <c r="I116" s="57" t="s">
        <v>59</v>
      </c>
      <c r="J116" s="58">
        <v>0.3</v>
      </c>
      <c r="K116" s="25" t="s">
        <v>197</v>
      </c>
      <c r="L116" s="22" t="s">
        <v>198</v>
      </c>
      <c r="M116" s="25" t="s">
        <v>199</v>
      </c>
      <c r="N116" s="59" t="s">
        <v>200</v>
      </c>
      <c r="O116" s="60">
        <v>0.05</v>
      </c>
      <c r="P116" s="56"/>
      <c r="Q116" s="60">
        <f t="shared" si="36"/>
        <v>0</v>
      </c>
      <c r="R116" s="61">
        <f t="shared" si="35"/>
        <v>0</v>
      </c>
      <c r="S116" s="60" t="s">
        <v>31</v>
      </c>
      <c r="T116" s="60"/>
      <c r="U116" s="17"/>
      <c r="V116" s="17"/>
      <c r="W116" s="17"/>
      <c r="X116" s="17"/>
      <c r="Y116" s="17"/>
      <c r="Z116" s="17"/>
      <c r="AA116" s="17"/>
      <c r="AB116" s="17"/>
      <c r="AC116" s="17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</row>
    <row r="117" spans="1:48" s="19" customFormat="1" ht="21.6" hidden="1" x14ac:dyDescent="0.2">
      <c r="A117" s="41">
        <v>2154</v>
      </c>
      <c r="B117" s="42" t="s">
        <v>20</v>
      </c>
      <c r="C117" s="43" t="s">
        <v>21</v>
      </c>
      <c r="D117" s="44">
        <v>6364</v>
      </c>
      <c r="E117" s="44" t="s">
        <v>276</v>
      </c>
      <c r="F117" s="45" t="s">
        <v>174</v>
      </c>
      <c r="G117" s="42" t="s">
        <v>175</v>
      </c>
      <c r="H117" s="45" t="s">
        <v>176</v>
      </c>
      <c r="I117" s="57" t="s">
        <v>59</v>
      </c>
      <c r="J117" s="58">
        <v>0.3</v>
      </c>
      <c r="K117" s="25" t="s">
        <v>201</v>
      </c>
      <c r="L117" s="22" t="s">
        <v>202</v>
      </c>
      <c r="M117" s="25" t="s">
        <v>203</v>
      </c>
      <c r="N117" s="62" t="s">
        <v>204</v>
      </c>
      <c r="O117" s="60">
        <v>0.05</v>
      </c>
      <c r="P117" s="62"/>
      <c r="Q117" s="60">
        <f t="shared" si="36"/>
        <v>0</v>
      </c>
      <c r="R117" s="61">
        <f t="shared" si="35"/>
        <v>0</v>
      </c>
      <c r="S117" s="60" t="s">
        <v>31</v>
      </c>
      <c r="T117" s="60"/>
      <c r="U117" s="17"/>
      <c r="V117" s="17"/>
      <c r="W117" s="17"/>
      <c r="X117" s="17"/>
      <c r="Y117" s="17"/>
      <c r="Z117" s="17"/>
      <c r="AA117" s="17"/>
      <c r="AB117" s="17"/>
      <c r="AC117" s="17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</row>
    <row r="118" spans="1:48" s="19" customFormat="1" ht="21.6" hidden="1" x14ac:dyDescent="0.2">
      <c r="A118" s="41">
        <v>2154</v>
      </c>
      <c r="B118" s="42" t="s">
        <v>20</v>
      </c>
      <c r="C118" s="43" t="s">
        <v>21</v>
      </c>
      <c r="D118" s="44">
        <v>6364</v>
      </c>
      <c r="E118" s="44" t="s">
        <v>276</v>
      </c>
      <c r="F118" s="45" t="s">
        <v>174</v>
      </c>
      <c r="G118" s="42" t="s">
        <v>175</v>
      </c>
      <c r="H118" s="45" t="s">
        <v>176</v>
      </c>
      <c r="I118" s="57" t="s">
        <v>27</v>
      </c>
      <c r="J118" s="58">
        <v>0.7</v>
      </c>
      <c r="K118" s="25" t="s">
        <v>205</v>
      </c>
      <c r="L118" s="22" t="s">
        <v>206</v>
      </c>
      <c r="M118" s="25" t="s">
        <v>207</v>
      </c>
      <c r="N118" s="62" t="s">
        <v>208</v>
      </c>
      <c r="O118" s="60">
        <v>0.05</v>
      </c>
      <c r="P118" s="62"/>
      <c r="Q118" s="60"/>
      <c r="R118" s="61"/>
      <c r="S118" s="60" t="s">
        <v>36</v>
      </c>
      <c r="T118" s="60"/>
      <c r="U118" s="17"/>
      <c r="V118" s="17"/>
      <c r="W118" s="17"/>
      <c r="X118" s="17"/>
      <c r="Y118" s="17"/>
      <c r="Z118" s="17"/>
      <c r="AA118" s="17"/>
      <c r="AB118" s="17"/>
      <c r="AC118" s="17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</row>
    <row r="119" spans="1:48" s="19" customFormat="1" ht="21.6" hidden="1" x14ac:dyDescent="0.2">
      <c r="A119" s="41">
        <v>2154</v>
      </c>
      <c r="B119" s="42" t="s">
        <v>20</v>
      </c>
      <c r="C119" s="43" t="s">
        <v>21</v>
      </c>
      <c r="D119" s="44">
        <v>6364</v>
      </c>
      <c r="E119" s="44" t="s">
        <v>276</v>
      </c>
      <c r="F119" s="45" t="s">
        <v>174</v>
      </c>
      <c r="G119" s="42" t="s">
        <v>175</v>
      </c>
      <c r="H119" s="45" t="s">
        <v>176</v>
      </c>
      <c r="I119" s="57" t="s">
        <v>59</v>
      </c>
      <c r="J119" s="58">
        <v>0.3</v>
      </c>
      <c r="K119" s="25" t="s">
        <v>209</v>
      </c>
      <c r="L119" s="22" t="s">
        <v>210</v>
      </c>
      <c r="M119" s="25" t="s">
        <v>211</v>
      </c>
      <c r="N119" s="62" t="s">
        <v>127</v>
      </c>
      <c r="O119" s="60">
        <v>0.05</v>
      </c>
      <c r="P119" s="62"/>
      <c r="Q119" s="60">
        <f t="shared" ref="Q119:Q122" si="37">ROUND(IF(OR(N119="",P119=""),0,IF(AND(N119=0,P119=0),1,IF(S119="+",P119/N119,N119/P119))),2)</f>
        <v>0</v>
      </c>
      <c r="R119" s="61">
        <f t="shared" ref="R119:R122" si="38">IF(AND(Q119&gt;=60%,Q119&lt;100%),Q119*((O119*J119)),IF(Q119=100%,((O119*J119)*Q119)*100%,IF(Q119&gt;100%,((J119*O119)*100%)*100%,0)))*100</f>
        <v>0</v>
      </c>
      <c r="S119" s="60" t="s">
        <v>31</v>
      </c>
      <c r="T119" s="60"/>
      <c r="U119" s="17"/>
      <c r="V119" s="17"/>
      <c r="W119" s="17"/>
      <c r="X119" s="17"/>
      <c r="Y119" s="17"/>
      <c r="Z119" s="17"/>
      <c r="AA119" s="17"/>
      <c r="AB119" s="17"/>
      <c r="AC119" s="17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</row>
    <row r="120" spans="1:48" s="19" customFormat="1" ht="21.6" hidden="1" x14ac:dyDescent="0.2">
      <c r="A120" s="41">
        <v>2155</v>
      </c>
      <c r="B120" s="42" t="s">
        <v>20</v>
      </c>
      <c r="C120" s="43" t="s">
        <v>21</v>
      </c>
      <c r="D120" s="44">
        <v>6364</v>
      </c>
      <c r="E120" s="44" t="s">
        <v>276</v>
      </c>
      <c r="F120" s="45" t="s">
        <v>174</v>
      </c>
      <c r="G120" s="42" t="s">
        <v>175</v>
      </c>
      <c r="H120" s="45" t="s">
        <v>176</v>
      </c>
      <c r="I120" s="57" t="s">
        <v>59</v>
      </c>
      <c r="J120" s="58">
        <v>0.3</v>
      </c>
      <c r="K120" s="25" t="s">
        <v>212</v>
      </c>
      <c r="L120" s="22" t="s">
        <v>47</v>
      </c>
      <c r="M120" s="25" t="s">
        <v>213</v>
      </c>
      <c r="N120" s="59" t="s">
        <v>127</v>
      </c>
      <c r="O120" s="60">
        <v>0.05</v>
      </c>
      <c r="P120" s="56"/>
      <c r="Q120" s="60">
        <f t="shared" si="37"/>
        <v>0</v>
      </c>
      <c r="R120" s="61">
        <f t="shared" si="38"/>
        <v>0</v>
      </c>
      <c r="S120" s="60" t="s">
        <v>31</v>
      </c>
      <c r="T120" s="60"/>
      <c r="U120" s="17"/>
      <c r="V120" s="17"/>
      <c r="W120" s="17"/>
      <c r="X120" s="17"/>
      <c r="Y120" s="17"/>
      <c r="Z120" s="17"/>
      <c r="AA120" s="17"/>
      <c r="AB120" s="17"/>
      <c r="AC120" s="17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</row>
    <row r="121" spans="1:48" s="19" customFormat="1" ht="21.6" hidden="1" x14ac:dyDescent="0.2">
      <c r="A121" s="41">
        <v>2156</v>
      </c>
      <c r="B121" s="42" t="s">
        <v>20</v>
      </c>
      <c r="C121" s="43" t="s">
        <v>21</v>
      </c>
      <c r="D121" s="44">
        <v>6364</v>
      </c>
      <c r="E121" s="44" t="s">
        <v>276</v>
      </c>
      <c r="F121" s="45" t="s">
        <v>174</v>
      </c>
      <c r="G121" s="42" t="s">
        <v>175</v>
      </c>
      <c r="H121" s="45" t="s">
        <v>176</v>
      </c>
      <c r="I121" s="57" t="s">
        <v>59</v>
      </c>
      <c r="J121" s="58">
        <v>0.3</v>
      </c>
      <c r="K121" s="25" t="s">
        <v>128</v>
      </c>
      <c r="L121" s="22" t="s">
        <v>61</v>
      </c>
      <c r="M121" s="25" t="s">
        <v>214</v>
      </c>
      <c r="N121" s="59" t="s">
        <v>127</v>
      </c>
      <c r="O121" s="60">
        <v>0.05</v>
      </c>
      <c r="P121" s="56"/>
      <c r="Q121" s="60">
        <f t="shared" si="37"/>
        <v>0</v>
      </c>
      <c r="R121" s="61">
        <f t="shared" si="38"/>
        <v>0</v>
      </c>
      <c r="S121" s="60" t="s">
        <v>31</v>
      </c>
      <c r="T121" s="60"/>
      <c r="U121" s="17"/>
      <c r="V121" s="17"/>
      <c r="W121" s="17"/>
      <c r="X121" s="17"/>
      <c r="Y121" s="17"/>
      <c r="Z121" s="17"/>
      <c r="AA121" s="17"/>
      <c r="AB121" s="17"/>
      <c r="AC121" s="17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</row>
    <row r="122" spans="1:48" s="19" customFormat="1" ht="21.6" hidden="1" x14ac:dyDescent="0.2">
      <c r="A122" s="41">
        <v>2157</v>
      </c>
      <c r="B122" s="42" t="s">
        <v>20</v>
      </c>
      <c r="C122" s="43" t="s">
        <v>21</v>
      </c>
      <c r="D122" s="44">
        <v>6364</v>
      </c>
      <c r="E122" s="44" t="s">
        <v>276</v>
      </c>
      <c r="F122" s="45" t="s">
        <v>174</v>
      </c>
      <c r="G122" s="42" t="s">
        <v>175</v>
      </c>
      <c r="H122" s="45" t="s">
        <v>176</v>
      </c>
      <c r="I122" s="57" t="s">
        <v>27</v>
      </c>
      <c r="J122" s="58">
        <v>0.7</v>
      </c>
      <c r="K122" s="25" t="s">
        <v>215</v>
      </c>
      <c r="L122" s="22" t="s">
        <v>216</v>
      </c>
      <c r="M122" s="25" t="s">
        <v>217</v>
      </c>
      <c r="N122" s="62" t="s">
        <v>127</v>
      </c>
      <c r="O122" s="60">
        <v>0.04</v>
      </c>
      <c r="P122" s="62"/>
      <c r="Q122" s="60">
        <f t="shared" si="37"/>
        <v>0</v>
      </c>
      <c r="R122" s="61">
        <f t="shared" si="38"/>
        <v>0</v>
      </c>
      <c r="S122" s="60" t="s">
        <v>31</v>
      </c>
      <c r="T122" s="60"/>
      <c r="U122" s="17"/>
      <c r="V122" s="17"/>
      <c r="W122" s="17"/>
      <c r="X122" s="17"/>
      <c r="Y122" s="17"/>
      <c r="Z122" s="17"/>
      <c r="AA122" s="17"/>
      <c r="AB122" s="17"/>
      <c r="AC122" s="17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</row>
    <row r="123" spans="1:48" s="19" customFormat="1" ht="21.6" hidden="1" x14ac:dyDescent="0.2">
      <c r="A123" s="41">
        <v>2158</v>
      </c>
      <c r="B123" s="42" t="s">
        <v>20</v>
      </c>
      <c r="C123" s="43" t="s">
        <v>21</v>
      </c>
      <c r="D123" s="44">
        <v>6364</v>
      </c>
      <c r="E123" s="44" t="s">
        <v>276</v>
      </c>
      <c r="F123" s="45" t="s">
        <v>174</v>
      </c>
      <c r="G123" s="42" t="s">
        <v>175</v>
      </c>
      <c r="H123" s="45" t="s">
        <v>176</v>
      </c>
      <c r="I123" s="57" t="s">
        <v>27</v>
      </c>
      <c r="J123" s="58">
        <v>0.7</v>
      </c>
      <c r="K123" s="25" t="s">
        <v>218</v>
      </c>
      <c r="L123" s="22" t="s">
        <v>219</v>
      </c>
      <c r="M123" s="25" t="s">
        <v>220</v>
      </c>
      <c r="N123" s="62" t="s">
        <v>127</v>
      </c>
      <c r="O123" s="60">
        <v>0.04</v>
      </c>
      <c r="P123" s="62"/>
      <c r="Q123" s="60"/>
      <c r="R123" s="61"/>
      <c r="S123" s="60" t="s">
        <v>31</v>
      </c>
      <c r="T123" s="60"/>
      <c r="U123" s="17"/>
      <c r="V123" s="17"/>
      <c r="W123" s="17"/>
      <c r="X123" s="17"/>
      <c r="Y123" s="17"/>
      <c r="Z123" s="17"/>
      <c r="AA123" s="17"/>
      <c r="AB123" s="17"/>
      <c r="AC123" s="17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</row>
    <row r="124" spans="1:48" s="19" customFormat="1" ht="21.6" hidden="1" x14ac:dyDescent="0.2">
      <c r="A124" s="41">
        <v>2159</v>
      </c>
      <c r="B124" s="42" t="s">
        <v>20</v>
      </c>
      <c r="C124" s="43" t="s">
        <v>21</v>
      </c>
      <c r="D124" s="44">
        <v>6364</v>
      </c>
      <c r="E124" s="44" t="s">
        <v>276</v>
      </c>
      <c r="F124" s="45" t="s">
        <v>174</v>
      </c>
      <c r="G124" s="42" t="s">
        <v>175</v>
      </c>
      <c r="H124" s="45" t="s">
        <v>176</v>
      </c>
      <c r="I124" s="57" t="s">
        <v>27</v>
      </c>
      <c r="J124" s="58">
        <v>0.7</v>
      </c>
      <c r="K124" s="25" t="s">
        <v>221</v>
      </c>
      <c r="L124" s="22" t="s">
        <v>222</v>
      </c>
      <c r="M124" s="25" t="s">
        <v>223</v>
      </c>
      <c r="N124" s="62" t="s">
        <v>224</v>
      </c>
      <c r="O124" s="60">
        <v>0.1</v>
      </c>
      <c r="P124" s="62"/>
      <c r="Q124" s="60">
        <f t="shared" ref="Q124:Q125" si="39">ROUND(IF(OR(N124="",P124=""),0,IF(AND(N124=0,P124=0),1,IF(S124="+",P124/N124,N124/P124))),2)</f>
        <v>0</v>
      </c>
      <c r="R124" s="61">
        <f t="shared" ref="R124:R131" si="40">IF(AND(Q124&gt;=60%,Q124&lt;100%),Q124*((O124*J124)),IF(Q124=100%,((O124*J124)*Q124)*100%,IF(Q124&gt;100%,((J124*O124)*100%)*100%,0)))*100</f>
        <v>0</v>
      </c>
      <c r="S124" s="60" t="s">
        <v>31</v>
      </c>
      <c r="T124" s="60"/>
      <c r="U124" s="17"/>
      <c r="V124" s="17"/>
      <c r="W124" s="17"/>
      <c r="X124" s="17"/>
      <c r="Y124" s="17"/>
      <c r="Z124" s="17"/>
      <c r="AA124" s="17"/>
      <c r="AB124" s="17"/>
      <c r="AC124" s="17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</row>
    <row r="125" spans="1:48" s="19" customFormat="1" ht="21.6" hidden="1" x14ac:dyDescent="0.2">
      <c r="A125" s="41">
        <v>2160</v>
      </c>
      <c r="B125" s="42" t="s">
        <v>20</v>
      </c>
      <c r="C125" s="43" t="s">
        <v>21</v>
      </c>
      <c r="D125" s="44">
        <v>6373</v>
      </c>
      <c r="E125" s="44" t="s">
        <v>277</v>
      </c>
      <c r="F125" s="45" t="s">
        <v>174</v>
      </c>
      <c r="G125" s="42" t="s">
        <v>175</v>
      </c>
      <c r="H125" s="45" t="s">
        <v>176</v>
      </c>
      <c r="I125" s="46" t="s">
        <v>27</v>
      </c>
      <c r="J125" s="47">
        <v>1</v>
      </c>
      <c r="K125" s="55" t="s">
        <v>278</v>
      </c>
      <c r="L125" s="63" t="s">
        <v>279</v>
      </c>
      <c r="M125" s="13" t="s">
        <v>280</v>
      </c>
      <c r="N125" s="51">
        <v>1</v>
      </c>
      <c r="O125" s="47">
        <v>0.2</v>
      </c>
      <c r="P125" s="47"/>
      <c r="Q125" s="47">
        <f t="shared" si="39"/>
        <v>0</v>
      </c>
      <c r="R125" s="49">
        <f t="shared" si="40"/>
        <v>0</v>
      </c>
      <c r="S125" s="47" t="s">
        <v>31</v>
      </c>
      <c r="T125" s="50">
        <f>SUM(R125:R131)%</f>
        <v>0</v>
      </c>
      <c r="U125" s="17"/>
      <c r="V125" s="17"/>
      <c r="W125" s="17"/>
      <c r="X125" s="17"/>
      <c r="Y125" s="17"/>
      <c r="Z125" s="17"/>
      <c r="AA125" s="17"/>
      <c r="AB125" s="17"/>
      <c r="AC125" s="17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</row>
    <row r="126" spans="1:48" s="19" customFormat="1" ht="21.6" hidden="1" x14ac:dyDescent="0.2">
      <c r="A126" s="41">
        <v>2161</v>
      </c>
      <c r="B126" s="42" t="s">
        <v>20</v>
      </c>
      <c r="C126" s="43" t="s">
        <v>21</v>
      </c>
      <c r="D126" s="44">
        <v>6373</v>
      </c>
      <c r="E126" s="44" t="s">
        <v>277</v>
      </c>
      <c r="F126" s="45" t="s">
        <v>174</v>
      </c>
      <c r="G126" s="42" t="s">
        <v>175</v>
      </c>
      <c r="H126" s="45" t="s">
        <v>176</v>
      </c>
      <c r="I126" s="46" t="s">
        <v>27</v>
      </c>
      <c r="J126" s="47">
        <v>1</v>
      </c>
      <c r="K126" s="55" t="s">
        <v>281</v>
      </c>
      <c r="L126" s="63" t="s">
        <v>282</v>
      </c>
      <c r="M126" s="55" t="s">
        <v>283</v>
      </c>
      <c r="N126" s="51" t="s">
        <v>284</v>
      </c>
      <c r="O126" s="47">
        <v>0.2</v>
      </c>
      <c r="P126" s="52"/>
      <c r="Q126" s="47">
        <f>ROUND(IF(OR(N126="",P126=""),0,IF(AND(N126=0,P126=0),1,IF(S126="+",P126/N126,N126/P126))),2)</f>
        <v>0</v>
      </c>
      <c r="R126" s="49">
        <f t="shared" si="40"/>
        <v>0</v>
      </c>
      <c r="S126" s="47" t="s">
        <v>36</v>
      </c>
      <c r="T126" s="47"/>
      <c r="U126" s="17"/>
      <c r="V126" s="17"/>
      <c r="W126" s="17"/>
      <c r="X126" s="17"/>
      <c r="Y126" s="17"/>
      <c r="Z126" s="17"/>
      <c r="AA126" s="17"/>
      <c r="AB126" s="17"/>
      <c r="AC126" s="17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</row>
    <row r="127" spans="1:48" s="19" customFormat="1" ht="21.6" hidden="1" x14ac:dyDescent="0.2">
      <c r="A127" s="41">
        <v>2162</v>
      </c>
      <c r="B127" s="42" t="s">
        <v>20</v>
      </c>
      <c r="C127" s="43" t="s">
        <v>21</v>
      </c>
      <c r="D127" s="44">
        <v>6373</v>
      </c>
      <c r="E127" s="44" t="s">
        <v>277</v>
      </c>
      <c r="F127" s="45" t="s">
        <v>174</v>
      </c>
      <c r="G127" s="42" t="s">
        <v>175</v>
      </c>
      <c r="H127" s="45" t="s">
        <v>176</v>
      </c>
      <c r="I127" s="46" t="s">
        <v>27</v>
      </c>
      <c r="J127" s="47">
        <v>1</v>
      </c>
      <c r="K127" s="55" t="s">
        <v>285</v>
      </c>
      <c r="L127" s="63" t="s">
        <v>286</v>
      </c>
      <c r="M127" s="55" t="s">
        <v>287</v>
      </c>
      <c r="N127" s="53">
        <v>0.95</v>
      </c>
      <c r="O127" s="47">
        <v>0.15</v>
      </c>
      <c r="P127" s="52"/>
      <c r="Q127" s="47">
        <f t="shared" ref="Q127:Q131" si="41">ROUND(IF(OR(N127="",P127=""),0,IF(AND(N127=0,P127=0),1,IF(S127="+",P127/N127,N127/P127))),2)</f>
        <v>0</v>
      </c>
      <c r="R127" s="49">
        <f t="shared" si="40"/>
        <v>0</v>
      </c>
      <c r="S127" s="47" t="s">
        <v>31</v>
      </c>
      <c r="T127" s="47"/>
      <c r="U127" s="17"/>
      <c r="V127" s="17"/>
      <c r="W127" s="17"/>
      <c r="X127" s="17"/>
      <c r="Y127" s="17"/>
      <c r="Z127" s="17"/>
      <c r="AA127" s="17"/>
      <c r="AB127" s="17"/>
      <c r="AC127" s="17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</row>
    <row r="128" spans="1:48" s="19" customFormat="1" ht="21.6" hidden="1" x14ac:dyDescent="0.2">
      <c r="A128" s="41">
        <v>2163</v>
      </c>
      <c r="B128" s="42" t="s">
        <v>20</v>
      </c>
      <c r="C128" s="43" t="s">
        <v>21</v>
      </c>
      <c r="D128" s="44">
        <v>6373</v>
      </c>
      <c r="E128" s="44" t="s">
        <v>277</v>
      </c>
      <c r="F128" s="45" t="s">
        <v>174</v>
      </c>
      <c r="G128" s="42" t="s">
        <v>175</v>
      </c>
      <c r="H128" s="45" t="s">
        <v>176</v>
      </c>
      <c r="I128" s="46" t="s">
        <v>27</v>
      </c>
      <c r="J128" s="47">
        <v>1</v>
      </c>
      <c r="K128" s="55" t="s">
        <v>288</v>
      </c>
      <c r="L128" s="63" t="s">
        <v>289</v>
      </c>
      <c r="M128" s="55" t="s">
        <v>290</v>
      </c>
      <c r="N128" s="52">
        <v>0.98</v>
      </c>
      <c r="O128" s="47">
        <v>0.15</v>
      </c>
      <c r="P128" s="54"/>
      <c r="Q128" s="47">
        <f t="shared" si="41"/>
        <v>0</v>
      </c>
      <c r="R128" s="49">
        <f t="shared" si="40"/>
        <v>0</v>
      </c>
      <c r="S128" s="47" t="s">
        <v>31</v>
      </c>
      <c r="T128" s="47"/>
      <c r="U128" s="17"/>
      <c r="V128" s="17"/>
      <c r="W128" s="17"/>
      <c r="X128" s="17"/>
      <c r="Y128" s="17"/>
      <c r="Z128" s="17"/>
      <c r="AA128" s="17"/>
      <c r="AB128" s="17"/>
      <c r="AC128" s="17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</row>
    <row r="129" spans="1:48" s="19" customFormat="1" ht="21.6" hidden="1" x14ac:dyDescent="0.2">
      <c r="A129" s="41">
        <v>2164</v>
      </c>
      <c r="B129" s="42" t="s">
        <v>20</v>
      </c>
      <c r="C129" s="43" t="s">
        <v>21</v>
      </c>
      <c r="D129" s="44">
        <v>6373</v>
      </c>
      <c r="E129" s="44" t="s">
        <v>277</v>
      </c>
      <c r="F129" s="45" t="s">
        <v>174</v>
      </c>
      <c r="G129" s="42" t="s">
        <v>175</v>
      </c>
      <c r="H129" s="45" t="s">
        <v>176</v>
      </c>
      <c r="I129" s="46" t="s">
        <v>27</v>
      </c>
      <c r="J129" s="47">
        <v>1</v>
      </c>
      <c r="K129" s="55" t="s">
        <v>291</v>
      </c>
      <c r="L129" s="63" t="s">
        <v>292</v>
      </c>
      <c r="M129" s="55" t="s">
        <v>293</v>
      </c>
      <c r="N129" s="55">
        <v>1</v>
      </c>
      <c r="O129" s="47">
        <v>0.15</v>
      </c>
      <c r="P129" s="56"/>
      <c r="Q129" s="47">
        <f t="shared" si="41"/>
        <v>0</v>
      </c>
      <c r="R129" s="49">
        <f t="shared" si="40"/>
        <v>0</v>
      </c>
      <c r="S129" s="47" t="s">
        <v>31</v>
      </c>
      <c r="T129" s="47"/>
      <c r="U129" s="17"/>
      <c r="V129" s="17"/>
      <c r="W129" s="17"/>
      <c r="X129" s="17"/>
      <c r="Y129" s="17"/>
      <c r="Z129" s="17"/>
      <c r="AA129" s="17"/>
      <c r="AB129" s="17"/>
      <c r="AC129" s="17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</row>
    <row r="130" spans="1:48" s="19" customFormat="1" ht="21.6" hidden="1" x14ac:dyDescent="0.2">
      <c r="A130" s="41">
        <v>2165</v>
      </c>
      <c r="B130" s="42" t="s">
        <v>20</v>
      </c>
      <c r="C130" s="43" t="s">
        <v>21</v>
      </c>
      <c r="D130" s="44">
        <v>6373</v>
      </c>
      <c r="E130" s="44" t="s">
        <v>277</v>
      </c>
      <c r="F130" s="45" t="s">
        <v>174</v>
      </c>
      <c r="G130" s="42" t="s">
        <v>175</v>
      </c>
      <c r="H130" s="45" t="s">
        <v>176</v>
      </c>
      <c r="I130" s="57" t="s">
        <v>27</v>
      </c>
      <c r="J130" s="47">
        <v>1</v>
      </c>
      <c r="K130" s="57" t="s">
        <v>294</v>
      </c>
      <c r="L130" s="64" t="s">
        <v>295</v>
      </c>
      <c r="M130" s="57" t="s">
        <v>296</v>
      </c>
      <c r="N130" s="59" t="s">
        <v>297</v>
      </c>
      <c r="O130" s="60">
        <v>0.1</v>
      </c>
      <c r="P130" s="56"/>
      <c r="Q130" s="60">
        <f t="shared" si="41"/>
        <v>0</v>
      </c>
      <c r="R130" s="61">
        <f t="shared" si="40"/>
        <v>0</v>
      </c>
      <c r="S130" s="60" t="s">
        <v>36</v>
      </c>
      <c r="T130" s="60"/>
      <c r="U130" s="17"/>
      <c r="V130" s="17"/>
      <c r="W130" s="17"/>
      <c r="X130" s="17"/>
      <c r="Y130" s="17"/>
      <c r="Z130" s="17"/>
      <c r="AA130" s="17"/>
      <c r="AB130" s="17"/>
      <c r="AC130" s="17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</row>
    <row r="131" spans="1:48" s="19" customFormat="1" ht="21.6" hidden="1" x14ac:dyDescent="0.2">
      <c r="A131" s="41">
        <v>2166</v>
      </c>
      <c r="B131" s="42" t="s">
        <v>20</v>
      </c>
      <c r="C131" s="43" t="s">
        <v>21</v>
      </c>
      <c r="D131" s="44">
        <v>6373</v>
      </c>
      <c r="E131" s="44" t="s">
        <v>277</v>
      </c>
      <c r="F131" s="45" t="s">
        <v>174</v>
      </c>
      <c r="G131" s="42" t="s">
        <v>175</v>
      </c>
      <c r="H131" s="45" t="s">
        <v>176</v>
      </c>
      <c r="I131" s="57" t="s">
        <v>27</v>
      </c>
      <c r="J131" s="47">
        <v>1</v>
      </c>
      <c r="K131" s="57" t="s">
        <v>298</v>
      </c>
      <c r="L131" s="64" t="s">
        <v>299</v>
      </c>
      <c r="M131" s="57" t="s">
        <v>300</v>
      </c>
      <c r="N131" s="59">
        <v>0.99</v>
      </c>
      <c r="O131" s="60">
        <v>0.05</v>
      </c>
      <c r="P131" s="56"/>
      <c r="Q131" s="60">
        <f t="shared" si="41"/>
        <v>0</v>
      </c>
      <c r="R131" s="61">
        <f t="shared" si="40"/>
        <v>0</v>
      </c>
      <c r="S131" s="60" t="s">
        <v>31</v>
      </c>
      <c r="T131" s="60"/>
      <c r="U131" s="17"/>
      <c r="V131" s="17"/>
      <c r="W131" s="17"/>
      <c r="X131" s="17"/>
      <c r="Y131" s="17"/>
      <c r="Z131" s="17"/>
      <c r="AA131" s="17"/>
      <c r="AB131" s="17"/>
      <c r="AC131" s="17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</row>
  </sheetData>
  <autoFilter ref="A1:T131" xr:uid="{7EF4661B-8CB2-466F-8DBB-EB69CD48EE90}">
    <filterColumn colId="4">
      <filters>
        <filter val="سارا کرم سراجی"/>
      </filters>
    </filterColumn>
  </autoFilter>
  <conditionalFormatting sqref="I1:I131 K1:M131">
    <cfRule type="cellIs" dxfId="39" priority="1" operator="equal">
      <formula>"maintasks"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887A-DAB7-47A2-A55D-5C282577C26D}">
  <dimension ref="A1:AV181"/>
  <sheetViews>
    <sheetView zoomScale="130" zoomScaleNormal="130" workbookViewId="0">
      <pane xSplit="5" ySplit="1" topLeftCell="H29" activePane="bottomRight" state="frozen"/>
      <selection pane="topRight" activeCell="F1" sqref="F1"/>
      <selection pane="bottomLeft" activeCell="A2" sqref="A2"/>
      <selection pane="bottomRight" activeCell="B44" sqref="B44"/>
    </sheetView>
  </sheetViews>
  <sheetFormatPr defaultRowHeight="14.4" x14ac:dyDescent="0.3"/>
  <cols>
    <col min="1" max="1" width="6.77734375" style="65" customWidth="1"/>
    <col min="2" max="2" width="14.44140625" style="65" bestFit="1" customWidth="1"/>
    <col min="3" max="3" width="6.77734375" style="65" customWidth="1"/>
    <col min="4" max="4" width="8.88671875" style="67"/>
    <col min="5" max="5" width="19.77734375" style="65" bestFit="1" customWidth="1"/>
    <col min="6" max="6" width="16.44140625" style="65" customWidth="1"/>
    <col min="7" max="7" width="12.5546875" style="65" customWidth="1"/>
    <col min="8" max="8" width="18.5546875" style="65" customWidth="1"/>
    <col min="9" max="9" width="14.77734375" style="65" customWidth="1"/>
    <col min="10" max="10" width="10" style="65" customWidth="1"/>
    <col min="11" max="11" width="22.77734375" style="65" customWidth="1"/>
    <col min="12" max="12" width="42.21875" style="65" customWidth="1"/>
    <col min="13" max="13" width="51.77734375" style="65" hidden="1" customWidth="1"/>
    <col min="14" max="14" width="14.21875" style="65" customWidth="1"/>
    <col min="15" max="15" width="7.77734375" style="65" customWidth="1"/>
    <col min="16" max="16" width="21.44140625" style="65" customWidth="1"/>
    <col min="17" max="17" width="19.109375" style="65" bestFit="1" customWidth="1"/>
    <col min="18" max="18" width="15" style="65" bestFit="1" customWidth="1"/>
    <col min="19" max="19" width="4" style="65" bestFit="1" customWidth="1"/>
    <col min="20" max="20" width="7.77734375" style="65" customWidth="1"/>
  </cols>
  <sheetData>
    <row r="1" spans="1:48" s="40" customFormat="1" ht="22.2" x14ac:dyDescent="0.75">
      <c r="A1" s="33" t="s">
        <v>0</v>
      </c>
      <c r="B1" s="34" t="s">
        <v>1</v>
      </c>
      <c r="C1" s="34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5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5" t="s">
        <v>14</v>
      </c>
      <c r="P1" s="36" t="s">
        <v>15</v>
      </c>
      <c r="Q1" s="37" t="s">
        <v>16</v>
      </c>
      <c r="R1" s="38" t="s">
        <v>17</v>
      </c>
      <c r="S1" s="39" t="s">
        <v>18</v>
      </c>
      <c r="T1" s="35" t="s">
        <v>19</v>
      </c>
    </row>
    <row r="2" spans="1:48" s="19" customFormat="1" ht="21.6" x14ac:dyDescent="0.2">
      <c r="A2" s="41">
        <v>2070</v>
      </c>
      <c r="B2" s="42" t="s">
        <v>20</v>
      </c>
      <c r="C2" s="43" t="s">
        <v>21</v>
      </c>
      <c r="D2" s="66" t="s">
        <v>301</v>
      </c>
      <c r="E2" s="42" t="s">
        <v>302</v>
      </c>
      <c r="F2" s="45" t="s">
        <v>303</v>
      </c>
      <c r="G2" s="42" t="s">
        <v>64</v>
      </c>
      <c r="H2" s="45" t="s">
        <v>304</v>
      </c>
      <c r="I2" s="46" t="s">
        <v>27</v>
      </c>
      <c r="J2" s="47">
        <v>0.7</v>
      </c>
      <c r="K2" s="55" t="s">
        <v>66</v>
      </c>
      <c r="L2" s="63" t="s">
        <v>305</v>
      </c>
      <c r="M2" s="13" t="s">
        <v>306</v>
      </c>
      <c r="N2" s="51" t="s">
        <v>112</v>
      </c>
      <c r="O2" s="47">
        <v>0.15</v>
      </c>
      <c r="P2" s="47"/>
      <c r="Q2" s="47">
        <f t="shared" ref="Q2:Q11" si="0">ROUND(IF(OR(N2="",P2=""),0,IF(AND(N2=0,P2=0),1,IF(S2="+",P2/N2,N2/P2))),2)</f>
        <v>0</v>
      </c>
      <c r="R2" s="49">
        <f t="shared" ref="R2:R46" si="1">IF(AND(Q2&gt;=60%,Q2&lt;100%),Q2*((O2*J2)),IF(Q2=100%,((O2*J2)*Q2)*100%,IF(Q2&gt;100%,((J2*O2)*100%)*100%,0)))*100</f>
        <v>0</v>
      </c>
      <c r="S2" s="47" t="s">
        <v>31</v>
      </c>
      <c r="T2" s="50">
        <f>SUM(R2:R10)%</f>
        <v>0</v>
      </c>
      <c r="U2" s="17"/>
      <c r="V2" s="17"/>
      <c r="W2" s="17"/>
      <c r="X2" s="17"/>
      <c r="Y2" s="17"/>
      <c r="Z2" s="17"/>
      <c r="AA2" s="17"/>
      <c r="AB2" s="17"/>
      <c r="AC2" s="17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spans="1:48" s="19" customFormat="1" ht="21.6" x14ac:dyDescent="0.2">
      <c r="A3" s="41">
        <v>2071</v>
      </c>
      <c r="B3" s="42" t="s">
        <v>20</v>
      </c>
      <c r="C3" s="43" t="s">
        <v>21</v>
      </c>
      <c r="D3" s="66" t="s">
        <v>301</v>
      </c>
      <c r="E3" s="42" t="s">
        <v>302</v>
      </c>
      <c r="F3" s="45" t="s">
        <v>303</v>
      </c>
      <c r="G3" s="42" t="s">
        <v>64</v>
      </c>
      <c r="H3" s="45" t="s">
        <v>304</v>
      </c>
      <c r="I3" s="46" t="s">
        <v>27</v>
      </c>
      <c r="J3" s="47">
        <v>0.7</v>
      </c>
      <c r="K3" s="55" t="s">
        <v>307</v>
      </c>
      <c r="L3" s="63" t="s">
        <v>308</v>
      </c>
      <c r="M3" s="55" t="s">
        <v>309</v>
      </c>
      <c r="N3" s="51" t="s">
        <v>310</v>
      </c>
      <c r="O3" s="47">
        <v>0.15</v>
      </c>
      <c r="P3" s="52"/>
      <c r="Q3" s="47">
        <f>ROUND(IF(OR(N3="",P3=""),0,IF(AND(N3=0,P3=0),1,IF(S3="+",P3/N3,N3/P3))),2)</f>
        <v>0</v>
      </c>
      <c r="R3" s="49">
        <f t="shared" si="1"/>
        <v>0</v>
      </c>
      <c r="S3" s="47" t="s">
        <v>36</v>
      </c>
      <c r="T3" s="47"/>
      <c r="U3" s="17"/>
      <c r="V3" s="17"/>
      <c r="W3" s="17"/>
      <c r="X3" s="17"/>
      <c r="Y3" s="17"/>
      <c r="Z3" s="17"/>
      <c r="AA3" s="17"/>
      <c r="AB3" s="17"/>
      <c r="AC3" s="17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8" s="19" customFormat="1" ht="21.6" x14ac:dyDescent="0.2">
      <c r="A4" s="41">
        <v>2072</v>
      </c>
      <c r="B4" s="42" t="s">
        <v>20</v>
      </c>
      <c r="C4" s="43" t="s">
        <v>21</v>
      </c>
      <c r="D4" s="66" t="s">
        <v>301</v>
      </c>
      <c r="E4" s="42" t="s">
        <v>302</v>
      </c>
      <c r="F4" s="45" t="s">
        <v>303</v>
      </c>
      <c r="G4" s="42" t="s">
        <v>64</v>
      </c>
      <c r="H4" s="45" t="s">
        <v>304</v>
      </c>
      <c r="I4" s="46" t="s">
        <v>27</v>
      </c>
      <c r="J4" s="47">
        <v>0.7</v>
      </c>
      <c r="K4" s="55" t="s">
        <v>311</v>
      </c>
      <c r="L4" s="63" t="s">
        <v>312</v>
      </c>
      <c r="M4" s="55" t="s">
        <v>313</v>
      </c>
      <c r="N4" s="53">
        <v>1</v>
      </c>
      <c r="O4" s="47">
        <v>0.1</v>
      </c>
      <c r="P4" s="52"/>
      <c r="Q4" s="47">
        <f t="shared" si="0"/>
        <v>0</v>
      </c>
      <c r="R4" s="49">
        <f t="shared" si="1"/>
        <v>0</v>
      </c>
      <c r="S4" s="47" t="s">
        <v>31</v>
      </c>
      <c r="T4" s="47"/>
      <c r="U4" s="17"/>
      <c r="V4" s="17"/>
      <c r="W4" s="17"/>
      <c r="X4" s="17"/>
      <c r="Y4" s="17"/>
      <c r="Z4" s="17"/>
      <c r="AA4" s="17"/>
      <c r="AB4" s="17"/>
      <c r="AC4" s="17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s="19" customFormat="1" ht="21.6" x14ac:dyDescent="0.2">
      <c r="A5" s="41">
        <v>2073</v>
      </c>
      <c r="B5" s="42" t="s">
        <v>20</v>
      </c>
      <c r="C5" s="43" t="s">
        <v>21</v>
      </c>
      <c r="D5" s="66" t="s">
        <v>301</v>
      </c>
      <c r="E5" s="42" t="s">
        <v>302</v>
      </c>
      <c r="F5" s="45" t="s">
        <v>303</v>
      </c>
      <c r="G5" s="42" t="s">
        <v>64</v>
      </c>
      <c r="H5" s="45" t="s">
        <v>304</v>
      </c>
      <c r="I5" s="46" t="s">
        <v>27</v>
      </c>
      <c r="J5" s="47">
        <v>0.7</v>
      </c>
      <c r="K5" s="55" t="s">
        <v>145</v>
      </c>
      <c r="L5" s="63" t="s">
        <v>314</v>
      </c>
      <c r="M5" s="55" t="s">
        <v>315</v>
      </c>
      <c r="N5" s="52" t="s">
        <v>196</v>
      </c>
      <c r="O5" s="47">
        <v>0.1</v>
      </c>
      <c r="P5" s="54"/>
      <c r="Q5" s="47">
        <f t="shared" si="0"/>
        <v>0</v>
      </c>
      <c r="R5" s="49">
        <f t="shared" si="1"/>
        <v>0</v>
      </c>
      <c r="S5" s="47" t="s">
        <v>36</v>
      </c>
      <c r="T5" s="47"/>
      <c r="U5" s="17"/>
      <c r="V5" s="17"/>
      <c r="W5" s="17"/>
      <c r="X5" s="17"/>
      <c r="Y5" s="17"/>
      <c r="Z5" s="17"/>
      <c r="AA5" s="17"/>
      <c r="AB5" s="17"/>
      <c r="AC5" s="17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</row>
    <row r="6" spans="1:48" s="19" customFormat="1" ht="21.6" x14ac:dyDescent="0.2">
      <c r="A6" s="41">
        <v>2074</v>
      </c>
      <c r="B6" s="42" t="s">
        <v>20</v>
      </c>
      <c r="C6" s="43" t="s">
        <v>21</v>
      </c>
      <c r="D6" s="66" t="s">
        <v>301</v>
      </c>
      <c r="E6" s="42" t="s">
        <v>302</v>
      </c>
      <c r="F6" s="45" t="s">
        <v>303</v>
      </c>
      <c r="G6" s="42" t="s">
        <v>64</v>
      </c>
      <c r="H6" s="45" t="s">
        <v>304</v>
      </c>
      <c r="I6" s="46" t="s">
        <v>27</v>
      </c>
      <c r="J6" s="47">
        <v>0.7</v>
      </c>
      <c r="K6" s="55" t="s">
        <v>84</v>
      </c>
      <c r="L6" s="63" t="s">
        <v>316</v>
      </c>
      <c r="M6" s="55" t="s">
        <v>317</v>
      </c>
      <c r="N6" s="55" t="s">
        <v>196</v>
      </c>
      <c r="O6" s="47">
        <v>0.1</v>
      </c>
      <c r="P6" s="56"/>
      <c r="Q6" s="47">
        <f t="shared" si="0"/>
        <v>0</v>
      </c>
      <c r="R6" s="49">
        <f t="shared" si="1"/>
        <v>0</v>
      </c>
      <c r="S6" s="47" t="s">
        <v>36</v>
      </c>
      <c r="T6" s="47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1:48" s="19" customFormat="1" ht="21.6" x14ac:dyDescent="0.2">
      <c r="A7" s="41">
        <v>2075</v>
      </c>
      <c r="B7" s="42" t="s">
        <v>20</v>
      </c>
      <c r="C7" s="43" t="s">
        <v>21</v>
      </c>
      <c r="D7" s="66" t="s">
        <v>301</v>
      </c>
      <c r="E7" s="42" t="s">
        <v>302</v>
      </c>
      <c r="F7" s="45" t="s">
        <v>303</v>
      </c>
      <c r="G7" s="42" t="s">
        <v>64</v>
      </c>
      <c r="H7" s="45" t="s">
        <v>304</v>
      </c>
      <c r="I7" s="57" t="s">
        <v>27</v>
      </c>
      <c r="J7" s="47">
        <v>0.7</v>
      </c>
      <c r="K7" s="57" t="s">
        <v>318</v>
      </c>
      <c r="L7" s="64" t="s">
        <v>319</v>
      </c>
      <c r="M7" s="57" t="s">
        <v>320</v>
      </c>
      <c r="N7" s="59" t="s">
        <v>127</v>
      </c>
      <c r="O7" s="60">
        <v>0.1</v>
      </c>
      <c r="P7" s="56"/>
      <c r="Q7" s="60">
        <f t="shared" si="0"/>
        <v>0</v>
      </c>
      <c r="R7" s="61">
        <f t="shared" si="1"/>
        <v>0</v>
      </c>
      <c r="S7" s="60" t="s">
        <v>31</v>
      </c>
      <c r="T7" s="60"/>
      <c r="U7" s="17"/>
      <c r="V7" s="17"/>
      <c r="W7" s="17"/>
      <c r="X7" s="17"/>
      <c r="Y7" s="17"/>
      <c r="Z7" s="17"/>
      <c r="AA7" s="17"/>
      <c r="AB7" s="17"/>
      <c r="AC7" s="17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 s="19" customFormat="1" ht="21.6" x14ac:dyDescent="0.2">
      <c r="A8" s="41">
        <v>2076</v>
      </c>
      <c r="B8" s="42" t="s">
        <v>20</v>
      </c>
      <c r="C8" s="43" t="s">
        <v>21</v>
      </c>
      <c r="D8" s="66" t="s">
        <v>301</v>
      </c>
      <c r="E8" s="42" t="s">
        <v>302</v>
      </c>
      <c r="F8" s="45" t="s">
        <v>303</v>
      </c>
      <c r="G8" s="42" t="s">
        <v>64</v>
      </c>
      <c r="H8" s="45" t="s">
        <v>304</v>
      </c>
      <c r="I8" s="57" t="s">
        <v>27</v>
      </c>
      <c r="J8" s="47">
        <v>0.7</v>
      </c>
      <c r="K8" s="57" t="s">
        <v>321</v>
      </c>
      <c r="L8" s="64" t="s">
        <v>322</v>
      </c>
      <c r="M8" s="57" t="s">
        <v>323</v>
      </c>
      <c r="N8" s="59" t="s">
        <v>156</v>
      </c>
      <c r="O8" s="60">
        <v>0.1</v>
      </c>
      <c r="P8" s="56"/>
      <c r="Q8" s="60">
        <f t="shared" si="0"/>
        <v>0</v>
      </c>
      <c r="R8" s="61">
        <f t="shared" si="1"/>
        <v>0</v>
      </c>
      <c r="S8" s="60" t="s">
        <v>31</v>
      </c>
      <c r="T8" s="60"/>
      <c r="U8" s="17"/>
      <c r="V8" s="17"/>
      <c r="W8" s="17"/>
      <c r="X8" s="17"/>
      <c r="Y8" s="17"/>
      <c r="Z8" s="17"/>
      <c r="AA8" s="17"/>
      <c r="AB8" s="17"/>
      <c r="AC8" s="1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</row>
    <row r="9" spans="1:48" s="19" customFormat="1" ht="21.6" x14ac:dyDescent="0.2">
      <c r="A9" s="41">
        <v>2077</v>
      </c>
      <c r="B9" s="42" t="s">
        <v>20</v>
      </c>
      <c r="C9" s="43" t="s">
        <v>21</v>
      </c>
      <c r="D9" s="66" t="s">
        <v>301</v>
      </c>
      <c r="E9" s="42" t="s">
        <v>302</v>
      </c>
      <c r="F9" s="45" t="s">
        <v>303</v>
      </c>
      <c r="G9" s="42" t="s">
        <v>64</v>
      </c>
      <c r="H9" s="45" t="s">
        <v>304</v>
      </c>
      <c r="I9" s="57" t="s">
        <v>27</v>
      </c>
      <c r="J9" s="47">
        <v>0.7</v>
      </c>
      <c r="K9" s="57" t="s">
        <v>324</v>
      </c>
      <c r="L9" s="64" t="s">
        <v>325</v>
      </c>
      <c r="M9" s="25" t="s">
        <v>326</v>
      </c>
      <c r="N9" s="62" t="s">
        <v>127</v>
      </c>
      <c r="O9" s="60">
        <v>0.1</v>
      </c>
      <c r="P9" s="62"/>
      <c r="Q9" s="60">
        <f t="shared" si="0"/>
        <v>0</v>
      </c>
      <c r="R9" s="61">
        <f t="shared" si="1"/>
        <v>0</v>
      </c>
      <c r="S9" s="60" t="s">
        <v>31</v>
      </c>
      <c r="T9" s="60"/>
      <c r="U9" s="17"/>
      <c r="V9" s="17"/>
      <c r="W9" s="17"/>
      <c r="X9" s="17"/>
      <c r="Y9" s="17"/>
      <c r="Z9" s="17"/>
      <c r="AA9" s="17"/>
      <c r="AB9" s="17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</row>
    <row r="10" spans="1:48" s="19" customFormat="1" ht="21.6" x14ac:dyDescent="0.2">
      <c r="A10" s="41">
        <v>2078</v>
      </c>
      <c r="B10" s="42" t="s">
        <v>20</v>
      </c>
      <c r="C10" s="43" t="s">
        <v>21</v>
      </c>
      <c r="D10" s="66" t="s">
        <v>301</v>
      </c>
      <c r="E10" s="42" t="s">
        <v>302</v>
      </c>
      <c r="F10" s="45" t="s">
        <v>303</v>
      </c>
      <c r="G10" s="42" t="s">
        <v>64</v>
      </c>
      <c r="H10" s="45" t="s">
        <v>304</v>
      </c>
      <c r="I10" s="57" t="s">
        <v>59</v>
      </c>
      <c r="J10" s="58">
        <v>0.3</v>
      </c>
      <c r="K10" s="57" t="s">
        <v>327</v>
      </c>
      <c r="L10" s="64" t="s">
        <v>328</v>
      </c>
      <c r="M10" s="25" t="s">
        <v>329</v>
      </c>
      <c r="N10" s="62" t="s">
        <v>330</v>
      </c>
      <c r="O10" s="60">
        <v>0.1</v>
      </c>
      <c r="P10" s="62"/>
      <c r="Q10" s="60">
        <f t="shared" si="0"/>
        <v>0</v>
      </c>
      <c r="R10" s="61">
        <f t="shared" si="1"/>
        <v>0</v>
      </c>
      <c r="S10" s="60" t="s">
        <v>31</v>
      </c>
      <c r="T10" s="60"/>
      <c r="U10" s="17"/>
      <c r="V10" s="17"/>
      <c r="W10" s="17"/>
      <c r="X10" s="17"/>
      <c r="Y10" s="17"/>
      <c r="Z10" s="17"/>
      <c r="AA10" s="17"/>
      <c r="AB10" s="17"/>
      <c r="AC10" s="1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s="19" customFormat="1" ht="21.6" x14ac:dyDescent="0.2">
      <c r="A11" s="41">
        <v>2070</v>
      </c>
      <c r="B11" s="42" t="s">
        <v>20</v>
      </c>
      <c r="C11" s="43" t="s">
        <v>21</v>
      </c>
      <c r="D11" s="66">
        <v>3752</v>
      </c>
      <c r="E11" s="42" t="s">
        <v>331</v>
      </c>
      <c r="F11" s="45" t="s">
        <v>303</v>
      </c>
      <c r="G11" s="42" t="s">
        <v>64</v>
      </c>
      <c r="H11" s="45" t="s">
        <v>304</v>
      </c>
      <c r="I11" s="46" t="s">
        <v>27</v>
      </c>
      <c r="J11" s="47">
        <v>0.7</v>
      </c>
      <c r="K11" s="55" t="s">
        <v>66</v>
      </c>
      <c r="L11" s="63" t="s">
        <v>305</v>
      </c>
      <c r="M11" s="13" t="s">
        <v>306</v>
      </c>
      <c r="N11" s="51" t="s">
        <v>112</v>
      </c>
      <c r="O11" s="47">
        <v>0.15</v>
      </c>
      <c r="P11" s="47"/>
      <c r="Q11" s="47">
        <f t="shared" si="0"/>
        <v>0</v>
      </c>
      <c r="R11" s="49">
        <f t="shared" si="1"/>
        <v>0</v>
      </c>
      <c r="S11" s="47" t="s">
        <v>31</v>
      </c>
      <c r="T11" s="50">
        <f>SUM(R11:R19)%</f>
        <v>0</v>
      </c>
      <c r="U11" s="17"/>
      <c r="V11" s="17"/>
      <c r="W11" s="17"/>
      <c r="X11" s="17"/>
      <c r="Y11" s="17"/>
      <c r="Z11" s="17"/>
      <c r="AA11" s="17"/>
      <c r="AB11" s="17"/>
      <c r="AC11" s="17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8" s="19" customFormat="1" ht="21.6" x14ac:dyDescent="0.2">
      <c r="A12" s="41">
        <v>2071</v>
      </c>
      <c r="B12" s="42" t="s">
        <v>20</v>
      </c>
      <c r="C12" s="43" t="s">
        <v>21</v>
      </c>
      <c r="D12" s="66">
        <v>3752</v>
      </c>
      <c r="E12" s="42" t="s">
        <v>331</v>
      </c>
      <c r="F12" s="45" t="s">
        <v>303</v>
      </c>
      <c r="G12" s="42" t="s">
        <v>64</v>
      </c>
      <c r="H12" s="45" t="s">
        <v>304</v>
      </c>
      <c r="I12" s="46" t="s">
        <v>27</v>
      </c>
      <c r="J12" s="47">
        <v>0.7</v>
      </c>
      <c r="K12" s="55" t="s">
        <v>307</v>
      </c>
      <c r="L12" s="63" t="s">
        <v>308</v>
      </c>
      <c r="M12" s="55" t="s">
        <v>309</v>
      </c>
      <c r="N12" s="51" t="s">
        <v>310</v>
      </c>
      <c r="O12" s="47">
        <v>0.15</v>
      </c>
      <c r="P12" s="52"/>
      <c r="Q12" s="47">
        <f>ROUND(IF(OR(N12="",P12=""),0,IF(AND(N12=0,P12=0),1,IF(S12="+",P12/N12,N12/P12))),2)</f>
        <v>0</v>
      </c>
      <c r="R12" s="49">
        <f t="shared" si="1"/>
        <v>0</v>
      </c>
      <c r="S12" s="47" t="s">
        <v>36</v>
      </c>
      <c r="T12" s="47"/>
      <c r="U12" s="17"/>
      <c r="V12" s="17"/>
      <c r="W12" s="17"/>
      <c r="X12" s="17"/>
      <c r="Y12" s="17"/>
      <c r="Z12" s="17"/>
      <c r="AA12" s="17"/>
      <c r="AB12" s="17"/>
      <c r="AC12" s="1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s="19" customFormat="1" ht="21.6" x14ac:dyDescent="0.2">
      <c r="A13" s="41">
        <v>2072</v>
      </c>
      <c r="B13" s="42" t="s">
        <v>20</v>
      </c>
      <c r="C13" s="43" t="s">
        <v>21</v>
      </c>
      <c r="D13" s="66">
        <v>3752</v>
      </c>
      <c r="E13" s="42" t="s">
        <v>331</v>
      </c>
      <c r="F13" s="45" t="s">
        <v>303</v>
      </c>
      <c r="G13" s="42" t="s">
        <v>64</v>
      </c>
      <c r="H13" s="45" t="s">
        <v>304</v>
      </c>
      <c r="I13" s="46" t="s">
        <v>27</v>
      </c>
      <c r="J13" s="47">
        <v>0.7</v>
      </c>
      <c r="K13" s="55" t="s">
        <v>311</v>
      </c>
      <c r="L13" s="63" t="s">
        <v>312</v>
      </c>
      <c r="M13" s="55" t="s">
        <v>313</v>
      </c>
      <c r="N13" s="53">
        <v>1</v>
      </c>
      <c r="O13" s="47">
        <v>0.1</v>
      </c>
      <c r="P13" s="52"/>
      <c r="Q13" s="47">
        <f t="shared" ref="Q13:Q20" si="2">ROUND(IF(OR(N13="",P13=""),0,IF(AND(N13=0,P13=0),1,IF(S13="+",P13/N13,N13/P13))),2)</f>
        <v>0</v>
      </c>
      <c r="R13" s="49">
        <f t="shared" si="1"/>
        <v>0</v>
      </c>
      <c r="S13" s="47" t="s">
        <v>31</v>
      </c>
      <c r="T13" s="47"/>
      <c r="U13" s="17"/>
      <c r="V13" s="17"/>
      <c r="W13" s="17"/>
      <c r="X13" s="17"/>
      <c r="Y13" s="17"/>
      <c r="Z13" s="17"/>
      <c r="AA13" s="17"/>
      <c r="AB13" s="17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8" s="19" customFormat="1" ht="21.6" x14ac:dyDescent="0.2">
      <c r="A14" s="41">
        <v>2073</v>
      </c>
      <c r="B14" s="42" t="s">
        <v>20</v>
      </c>
      <c r="C14" s="43" t="s">
        <v>21</v>
      </c>
      <c r="D14" s="66">
        <v>3752</v>
      </c>
      <c r="E14" s="42" t="s">
        <v>331</v>
      </c>
      <c r="F14" s="45" t="s">
        <v>303</v>
      </c>
      <c r="G14" s="42" t="s">
        <v>64</v>
      </c>
      <c r="H14" s="45" t="s">
        <v>304</v>
      </c>
      <c r="I14" s="46" t="s">
        <v>27</v>
      </c>
      <c r="J14" s="47">
        <v>0.7</v>
      </c>
      <c r="K14" s="55" t="s">
        <v>145</v>
      </c>
      <c r="L14" s="63" t="s">
        <v>314</v>
      </c>
      <c r="M14" s="55" t="s">
        <v>315</v>
      </c>
      <c r="N14" s="52" t="s">
        <v>196</v>
      </c>
      <c r="O14" s="47">
        <v>0.1</v>
      </c>
      <c r="P14" s="54"/>
      <c r="Q14" s="47">
        <f t="shared" si="2"/>
        <v>0</v>
      </c>
      <c r="R14" s="49">
        <f t="shared" si="1"/>
        <v>0</v>
      </c>
      <c r="S14" s="47" t="s">
        <v>36</v>
      </c>
      <c r="T14" s="47"/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8" s="19" customFormat="1" ht="21.6" x14ac:dyDescent="0.2">
      <c r="A15" s="41">
        <v>2074</v>
      </c>
      <c r="B15" s="42" t="s">
        <v>20</v>
      </c>
      <c r="C15" s="43" t="s">
        <v>21</v>
      </c>
      <c r="D15" s="66">
        <v>3752</v>
      </c>
      <c r="E15" s="42" t="s">
        <v>331</v>
      </c>
      <c r="F15" s="45" t="s">
        <v>303</v>
      </c>
      <c r="G15" s="42" t="s">
        <v>64</v>
      </c>
      <c r="H15" s="45" t="s">
        <v>304</v>
      </c>
      <c r="I15" s="46" t="s">
        <v>27</v>
      </c>
      <c r="J15" s="47">
        <v>0.7</v>
      </c>
      <c r="K15" s="55" t="s">
        <v>84</v>
      </c>
      <c r="L15" s="63" t="s">
        <v>316</v>
      </c>
      <c r="M15" s="55" t="s">
        <v>317</v>
      </c>
      <c r="N15" s="55" t="s">
        <v>196</v>
      </c>
      <c r="O15" s="47">
        <v>0.1</v>
      </c>
      <c r="P15" s="56"/>
      <c r="Q15" s="47">
        <f t="shared" si="2"/>
        <v>0</v>
      </c>
      <c r="R15" s="49">
        <f t="shared" si="1"/>
        <v>0</v>
      </c>
      <c r="S15" s="47" t="s">
        <v>36</v>
      </c>
      <c r="T15" s="47"/>
      <c r="U15" s="17"/>
      <c r="V15" s="17"/>
      <c r="W15" s="17"/>
      <c r="X15" s="17"/>
      <c r="Y15" s="17"/>
      <c r="Z15" s="17"/>
      <c r="AA15" s="17"/>
      <c r="AB15" s="17"/>
      <c r="AC15" s="17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spans="1:48" s="19" customFormat="1" ht="21.6" x14ac:dyDescent="0.2">
      <c r="A16" s="41">
        <v>2075</v>
      </c>
      <c r="B16" s="42" t="s">
        <v>20</v>
      </c>
      <c r="C16" s="43" t="s">
        <v>21</v>
      </c>
      <c r="D16" s="66">
        <v>3752</v>
      </c>
      <c r="E16" s="42" t="s">
        <v>331</v>
      </c>
      <c r="F16" s="45" t="s">
        <v>303</v>
      </c>
      <c r="G16" s="42" t="s">
        <v>64</v>
      </c>
      <c r="H16" s="45" t="s">
        <v>304</v>
      </c>
      <c r="I16" s="57" t="s">
        <v>27</v>
      </c>
      <c r="J16" s="47">
        <v>0.7</v>
      </c>
      <c r="K16" s="57" t="s">
        <v>318</v>
      </c>
      <c r="L16" s="64" t="s">
        <v>319</v>
      </c>
      <c r="M16" s="57" t="s">
        <v>320</v>
      </c>
      <c r="N16" s="59" t="s">
        <v>127</v>
      </c>
      <c r="O16" s="60">
        <v>0.1</v>
      </c>
      <c r="P16" s="56"/>
      <c r="Q16" s="60">
        <f t="shared" si="2"/>
        <v>0</v>
      </c>
      <c r="R16" s="61">
        <f t="shared" si="1"/>
        <v>0</v>
      </c>
      <c r="S16" s="60" t="s">
        <v>31</v>
      </c>
      <c r="T16" s="60"/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1:48" s="19" customFormat="1" ht="21.6" x14ac:dyDescent="0.2">
      <c r="A17" s="41">
        <v>2076</v>
      </c>
      <c r="B17" s="42" t="s">
        <v>20</v>
      </c>
      <c r="C17" s="43" t="s">
        <v>21</v>
      </c>
      <c r="D17" s="66">
        <v>3752</v>
      </c>
      <c r="E17" s="42" t="s">
        <v>331</v>
      </c>
      <c r="F17" s="45" t="s">
        <v>303</v>
      </c>
      <c r="G17" s="42" t="s">
        <v>64</v>
      </c>
      <c r="H17" s="45" t="s">
        <v>304</v>
      </c>
      <c r="I17" s="57" t="s">
        <v>27</v>
      </c>
      <c r="J17" s="47">
        <v>0.7</v>
      </c>
      <c r="K17" s="57" t="s">
        <v>321</v>
      </c>
      <c r="L17" s="64" t="s">
        <v>322</v>
      </c>
      <c r="M17" s="57" t="s">
        <v>323</v>
      </c>
      <c r="N17" s="59" t="s">
        <v>156</v>
      </c>
      <c r="O17" s="60">
        <v>0.1</v>
      </c>
      <c r="P17" s="56"/>
      <c r="Q17" s="60">
        <f t="shared" si="2"/>
        <v>0</v>
      </c>
      <c r="R17" s="61">
        <f t="shared" si="1"/>
        <v>0</v>
      </c>
      <c r="S17" s="60" t="s">
        <v>31</v>
      </c>
      <c r="T17" s="60"/>
      <c r="U17" s="17"/>
      <c r="V17" s="17"/>
      <c r="W17" s="17"/>
      <c r="X17" s="17"/>
      <c r="Y17" s="17"/>
      <c r="Z17" s="17"/>
      <c r="AA17" s="17"/>
      <c r="AB17" s="17"/>
      <c r="AC17" s="17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1:48" s="19" customFormat="1" ht="21.6" x14ac:dyDescent="0.2">
      <c r="A18" s="41">
        <v>2077</v>
      </c>
      <c r="B18" s="42" t="s">
        <v>20</v>
      </c>
      <c r="C18" s="43" t="s">
        <v>21</v>
      </c>
      <c r="D18" s="66">
        <v>3752</v>
      </c>
      <c r="E18" s="42" t="s">
        <v>331</v>
      </c>
      <c r="F18" s="45" t="s">
        <v>303</v>
      </c>
      <c r="G18" s="42" t="s">
        <v>64</v>
      </c>
      <c r="H18" s="45" t="s">
        <v>304</v>
      </c>
      <c r="I18" s="57" t="s">
        <v>27</v>
      </c>
      <c r="J18" s="47">
        <v>0.7</v>
      </c>
      <c r="K18" s="57" t="s">
        <v>324</v>
      </c>
      <c r="L18" s="64" t="s">
        <v>325</v>
      </c>
      <c r="M18" s="25" t="s">
        <v>326</v>
      </c>
      <c r="N18" s="62" t="s">
        <v>127</v>
      </c>
      <c r="O18" s="60">
        <v>0.1</v>
      </c>
      <c r="P18" s="62"/>
      <c r="Q18" s="60">
        <f t="shared" si="2"/>
        <v>0</v>
      </c>
      <c r="R18" s="61">
        <f t="shared" si="1"/>
        <v>0</v>
      </c>
      <c r="S18" s="60" t="s">
        <v>31</v>
      </c>
      <c r="T18" s="60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 s="19" customFormat="1" ht="21.6" x14ac:dyDescent="0.2">
      <c r="A19" s="41">
        <v>2078</v>
      </c>
      <c r="B19" s="42" t="s">
        <v>20</v>
      </c>
      <c r="C19" s="43" t="s">
        <v>21</v>
      </c>
      <c r="D19" s="66">
        <v>3752</v>
      </c>
      <c r="E19" s="42" t="s">
        <v>331</v>
      </c>
      <c r="F19" s="45" t="s">
        <v>303</v>
      </c>
      <c r="G19" s="42" t="s">
        <v>64</v>
      </c>
      <c r="H19" s="45" t="s">
        <v>304</v>
      </c>
      <c r="I19" s="57" t="s">
        <v>59</v>
      </c>
      <c r="J19" s="58">
        <v>0.3</v>
      </c>
      <c r="K19" s="57" t="s">
        <v>327</v>
      </c>
      <c r="L19" s="64" t="s">
        <v>328</v>
      </c>
      <c r="M19" s="25" t="s">
        <v>329</v>
      </c>
      <c r="N19" s="62" t="s">
        <v>330</v>
      </c>
      <c r="O19" s="60">
        <v>0.1</v>
      </c>
      <c r="P19" s="62"/>
      <c r="Q19" s="60">
        <f t="shared" si="2"/>
        <v>0</v>
      </c>
      <c r="R19" s="61">
        <f t="shared" si="1"/>
        <v>0</v>
      </c>
      <c r="S19" s="60" t="s">
        <v>31</v>
      </c>
      <c r="T19" s="60"/>
      <c r="U19" s="17"/>
      <c r="V19" s="17"/>
      <c r="W19" s="17"/>
      <c r="X19" s="17"/>
      <c r="Y19" s="17"/>
      <c r="Z19" s="17"/>
      <c r="AA19" s="17"/>
      <c r="AB19" s="17"/>
      <c r="AC19" s="17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s="19" customFormat="1" ht="21.6" x14ac:dyDescent="0.2">
      <c r="A20" s="41">
        <v>2070</v>
      </c>
      <c r="B20" s="42" t="s">
        <v>20</v>
      </c>
      <c r="C20" s="43" t="s">
        <v>21</v>
      </c>
      <c r="D20" s="66">
        <v>3838</v>
      </c>
      <c r="E20" s="42" t="s">
        <v>332</v>
      </c>
      <c r="F20" s="45" t="s">
        <v>333</v>
      </c>
      <c r="G20" s="42" t="s">
        <v>64</v>
      </c>
      <c r="H20" s="45" t="s">
        <v>304</v>
      </c>
      <c r="I20" s="46" t="s">
        <v>27</v>
      </c>
      <c r="J20" s="47">
        <v>0.7</v>
      </c>
      <c r="K20" s="55" t="s">
        <v>66</v>
      </c>
      <c r="L20" s="63" t="s">
        <v>305</v>
      </c>
      <c r="M20" s="13" t="s">
        <v>306</v>
      </c>
      <c r="N20" s="51" t="s">
        <v>112</v>
      </c>
      <c r="O20" s="47">
        <v>0.15</v>
      </c>
      <c r="P20" s="47"/>
      <c r="Q20" s="47">
        <f t="shared" si="2"/>
        <v>0</v>
      </c>
      <c r="R20" s="49">
        <f t="shared" si="1"/>
        <v>0</v>
      </c>
      <c r="S20" s="47" t="s">
        <v>31</v>
      </c>
      <c r="T20" s="50">
        <f>SUM(R20:R28)%</f>
        <v>0</v>
      </c>
      <c r="U20" s="17"/>
      <c r="V20" s="17"/>
      <c r="W20" s="17"/>
      <c r="X20" s="17"/>
      <c r="Y20" s="17"/>
      <c r="Z20" s="17"/>
      <c r="AA20" s="17"/>
      <c r="AB20" s="17"/>
      <c r="AC20" s="17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s="19" customFormat="1" ht="21.6" x14ac:dyDescent="0.2">
      <c r="A21" s="41">
        <v>2071</v>
      </c>
      <c r="B21" s="42" t="s">
        <v>20</v>
      </c>
      <c r="C21" s="43" t="s">
        <v>21</v>
      </c>
      <c r="D21" s="66">
        <v>3838</v>
      </c>
      <c r="E21" s="42" t="s">
        <v>332</v>
      </c>
      <c r="F21" s="45" t="s">
        <v>333</v>
      </c>
      <c r="G21" s="42" t="s">
        <v>64</v>
      </c>
      <c r="H21" s="45" t="s">
        <v>304</v>
      </c>
      <c r="I21" s="46" t="s">
        <v>27</v>
      </c>
      <c r="J21" s="47">
        <v>0.7</v>
      </c>
      <c r="K21" s="55" t="s">
        <v>307</v>
      </c>
      <c r="L21" s="63" t="s">
        <v>308</v>
      </c>
      <c r="M21" s="55" t="s">
        <v>309</v>
      </c>
      <c r="N21" s="51" t="s">
        <v>310</v>
      </c>
      <c r="O21" s="47">
        <v>0.15</v>
      </c>
      <c r="P21" s="52"/>
      <c r="Q21" s="47">
        <f>ROUND(IF(OR(N21="",P21=""),0,IF(AND(N21=0,P21=0),1,IF(S21="+",P21/N21,N21/P21))),2)</f>
        <v>0</v>
      </c>
      <c r="R21" s="49">
        <f t="shared" si="1"/>
        <v>0</v>
      </c>
      <c r="S21" s="47" t="s">
        <v>36</v>
      </c>
      <c r="T21" s="47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</row>
    <row r="22" spans="1:48" s="19" customFormat="1" ht="21.6" x14ac:dyDescent="0.2">
      <c r="A22" s="41">
        <v>2072</v>
      </c>
      <c r="B22" s="42" t="s">
        <v>20</v>
      </c>
      <c r="C22" s="43" t="s">
        <v>21</v>
      </c>
      <c r="D22" s="66">
        <v>3838</v>
      </c>
      <c r="E22" s="42" t="s">
        <v>332</v>
      </c>
      <c r="F22" s="45" t="s">
        <v>333</v>
      </c>
      <c r="G22" s="42" t="s">
        <v>64</v>
      </c>
      <c r="H22" s="45" t="s">
        <v>304</v>
      </c>
      <c r="I22" s="46" t="s">
        <v>27</v>
      </c>
      <c r="J22" s="47">
        <v>0.7</v>
      </c>
      <c r="K22" s="55" t="s">
        <v>311</v>
      </c>
      <c r="L22" s="63" t="s">
        <v>312</v>
      </c>
      <c r="M22" s="55" t="s">
        <v>313</v>
      </c>
      <c r="N22" s="53">
        <v>1</v>
      </c>
      <c r="O22" s="47">
        <v>0.1</v>
      </c>
      <c r="P22" s="52"/>
      <c r="Q22" s="47">
        <f t="shared" ref="Q22:Q29" si="3">ROUND(IF(OR(N22="",P22=""),0,IF(AND(N22=0,P22=0),1,IF(S22="+",P22/N22,N22/P22))),2)</f>
        <v>0</v>
      </c>
      <c r="R22" s="49">
        <f t="shared" si="1"/>
        <v>0</v>
      </c>
      <c r="S22" s="47" t="s">
        <v>31</v>
      </c>
      <c r="T22" s="47"/>
      <c r="U22" s="17"/>
      <c r="V22" s="17"/>
      <c r="W22" s="17"/>
      <c r="X22" s="17"/>
      <c r="Y22" s="17"/>
      <c r="Z22" s="17"/>
      <c r="AA22" s="17"/>
      <c r="AB22" s="17"/>
      <c r="AC22" s="17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</row>
    <row r="23" spans="1:48" s="19" customFormat="1" ht="21.6" x14ac:dyDescent="0.2">
      <c r="A23" s="41">
        <v>2073</v>
      </c>
      <c r="B23" s="42" t="s">
        <v>20</v>
      </c>
      <c r="C23" s="43" t="s">
        <v>21</v>
      </c>
      <c r="D23" s="66">
        <v>3838</v>
      </c>
      <c r="E23" s="42" t="s">
        <v>332</v>
      </c>
      <c r="F23" s="45" t="s">
        <v>333</v>
      </c>
      <c r="G23" s="42" t="s">
        <v>64</v>
      </c>
      <c r="H23" s="45" t="s">
        <v>304</v>
      </c>
      <c r="I23" s="46" t="s">
        <v>27</v>
      </c>
      <c r="J23" s="47">
        <v>0.7</v>
      </c>
      <c r="K23" s="55" t="s">
        <v>145</v>
      </c>
      <c r="L23" s="63" t="s">
        <v>314</v>
      </c>
      <c r="M23" s="55" t="s">
        <v>315</v>
      </c>
      <c r="N23" s="52" t="s">
        <v>196</v>
      </c>
      <c r="O23" s="47">
        <v>0.1</v>
      </c>
      <c r="P23" s="54"/>
      <c r="Q23" s="47">
        <f t="shared" si="3"/>
        <v>0</v>
      </c>
      <c r="R23" s="49">
        <f t="shared" si="1"/>
        <v>0</v>
      </c>
      <c r="S23" s="47" t="s">
        <v>36</v>
      </c>
      <c r="T23" s="47"/>
      <c r="U23" s="17"/>
      <c r="V23" s="17"/>
      <c r="W23" s="17"/>
      <c r="X23" s="17"/>
      <c r="Y23" s="17"/>
      <c r="Z23" s="17"/>
      <c r="AA23" s="17"/>
      <c r="AB23" s="17"/>
      <c r="AC23" s="17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</row>
    <row r="24" spans="1:48" s="19" customFormat="1" ht="21.6" x14ac:dyDescent="0.2">
      <c r="A24" s="41">
        <v>2074</v>
      </c>
      <c r="B24" s="42" t="s">
        <v>20</v>
      </c>
      <c r="C24" s="43" t="s">
        <v>21</v>
      </c>
      <c r="D24" s="66">
        <v>3838</v>
      </c>
      <c r="E24" s="42" t="s">
        <v>332</v>
      </c>
      <c r="F24" s="45" t="s">
        <v>333</v>
      </c>
      <c r="G24" s="42" t="s">
        <v>64</v>
      </c>
      <c r="H24" s="45" t="s">
        <v>304</v>
      </c>
      <c r="I24" s="46" t="s">
        <v>27</v>
      </c>
      <c r="J24" s="47">
        <v>0.7</v>
      </c>
      <c r="K24" s="55" t="s">
        <v>84</v>
      </c>
      <c r="L24" s="63" t="s">
        <v>316</v>
      </c>
      <c r="M24" s="55" t="s">
        <v>317</v>
      </c>
      <c r="N24" s="55" t="s">
        <v>196</v>
      </c>
      <c r="O24" s="47">
        <v>0.1</v>
      </c>
      <c r="P24" s="56"/>
      <c r="Q24" s="47">
        <f t="shared" si="3"/>
        <v>0</v>
      </c>
      <c r="R24" s="49">
        <f t="shared" si="1"/>
        <v>0</v>
      </c>
      <c r="S24" s="47" t="s">
        <v>36</v>
      </c>
      <c r="T24" s="47"/>
      <c r="U24" s="17"/>
      <c r="V24" s="17"/>
      <c r="W24" s="17"/>
      <c r="X24" s="17"/>
      <c r="Y24" s="17"/>
      <c r="Z24" s="17"/>
      <c r="AA24" s="17"/>
      <c r="AB24" s="17"/>
      <c r="AC24" s="17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</row>
    <row r="25" spans="1:48" s="19" customFormat="1" ht="21.6" x14ac:dyDescent="0.2">
      <c r="A25" s="41">
        <v>2075</v>
      </c>
      <c r="B25" s="42" t="s">
        <v>20</v>
      </c>
      <c r="C25" s="43" t="s">
        <v>21</v>
      </c>
      <c r="D25" s="66">
        <v>3838</v>
      </c>
      <c r="E25" s="42" t="s">
        <v>332</v>
      </c>
      <c r="F25" s="45" t="s">
        <v>333</v>
      </c>
      <c r="G25" s="42" t="s">
        <v>64</v>
      </c>
      <c r="H25" s="45" t="s">
        <v>304</v>
      </c>
      <c r="I25" s="57" t="s">
        <v>27</v>
      </c>
      <c r="J25" s="47">
        <v>0.7</v>
      </c>
      <c r="K25" s="57" t="s">
        <v>318</v>
      </c>
      <c r="L25" s="64" t="s">
        <v>319</v>
      </c>
      <c r="M25" s="57" t="s">
        <v>320</v>
      </c>
      <c r="N25" s="59" t="s">
        <v>127</v>
      </c>
      <c r="O25" s="60">
        <v>0.1</v>
      </c>
      <c r="P25" s="56"/>
      <c r="Q25" s="60">
        <f t="shared" si="3"/>
        <v>0</v>
      </c>
      <c r="R25" s="61">
        <f t="shared" si="1"/>
        <v>0</v>
      </c>
      <c r="S25" s="60" t="s">
        <v>31</v>
      </c>
      <c r="T25" s="60"/>
      <c r="U25" s="17"/>
      <c r="V25" s="17"/>
      <c r="W25" s="17"/>
      <c r="X25" s="17"/>
      <c r="Y25" s="17"/>
      <c r="Z25" s="17"/>
      <c r="AA25" s="17"/>
      <c r="AB25" s="17"/>
      <c r="AC25" s="17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  <row r="26" spans="1:48" s="19" customFormat="1" ht="21.6" x14ac:dyDescent="0.2">
      <c r="A26" s="41">
        <v>2076</v>
      </c>
      <c r="B26" s="42" t="s">
        <v>20</v>
      </c>
      <c r="C26" s="43" t="s">
        <v>21</v>
      </c>
      <c r="D26" s="66">
        <v>3838</v>
      </c>
      <c r="E26" s="42" t="s">
        <v>332</v>
      </c>
      <c r="F26" s="45" t="s">
        <v>333</v>
      </c>
      <c r="G26" s="42" t="s">
        <v>64</v>
      </c>
      <c r="H26" s="45" t="s">
        <v>304</v>
      </c>
      <c r="I26" s="57" t="s">
        <v>27</v>
      </c>
      <c r="J26" s="47">
        <v>0.7</v>
      </c>
      <c r="K26" s="57" t="s">
        <v>321</v>
      </c>
      <c r="L26" s="64" t="s">
        <v>322</v>
      </c>
      <c r="M26" s="57" t="s">
        <v>323</v>
      </c>
      <c r="N26" s="59" t="s">
        <v>156</v>
      </c>
      <c r="O26" s="60">
        <v>0.1</v>
      </c>
      <c r="P26" s="56"/>
      <c r="Q26" s="60">
        <f t="shared" si="3"/>
        <v>0</v>
      </c>
      <c r="R26" s="61">
        <f t="shared" si="1"/>
        <v>0</v>
      </c>
      <c r="S26" s="60" t="s">
        <v>31</v>
      </c>
      <c r="T26" s="60"/>
      <c r="U26" s="17"/>
      <c r="V26" s="17"/>
      <c r="W26" s="17"/>
      <c r="X26" s="17"/>
      <c r="Y26" s="17"/>
      <c r="Z26" s="17"/>
      <c r="AA26" s="17"/>
      <c r="AB26" s="17"/>
      <c r="AC26" s="17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</row>
    <row r="27" spans="1:48" s="19" customFormat="1" ht="21.6" x14ac:dyDescent="0.2">
      <c r="A27" s="41">
        <v>2077</v>
      </c>
      <c r="B27" s="42" t="s">
        <v>20</v>
      </c>
      <c r="C27" s="43" t="s">
        <v>21</v>
      </c>
      <c r="D27" s="66">
        <v>3838</v>
      </c>
      <c r="E27" s="42" t="s">
        <v>332</v>
      </c>
      <c r="F27" s="45" t="s">
        <v>333</v>
      </c>
      <c r="G27" s="42" t="s">
        <v>64</v>
      </c>
      <c r="H27" s="45" t="s">
        <v>304</v>
      </c>
      <c r="I27" s="57" t="s">
        <v>27</v>
      </c>
      <c r="J27" s="47">
        <v>0.7</v>
      </c>
      <c r="K27" s="57" t="s">
        <v>324</v>
      </c>
      <c r="L27" s="64" t="s">
        <v>325</v>
      </c>
      <c r="M27" s="25" t="s">
        <v>326</v>
      </c>
      <c r="N27" s="62" t="s">
        <v>127</v>
      </c>
      <c r="O27" s="60">
        <v>0.1</v>
      </c>
      <c r="P27" s="62"/>
      <c r="Q27" s="60">
        <f t="shared" si="3"/>
        <v>0</v>
      </c>
      <c r="R27" s="61">
        <f t="shared" si="1"/>
        <v>0</v>
      </c>
      <c r="S27" s="60" t="s">
        <v>31</v>
      </c>
      <c r="T27" s="60"/>
      <c r="U27" s="17"/>
      <c r="V27" s="17"/>
      <c r="W27" s="17"/>
      <c r="X27" s="17"/>
      <c r="Y27" s="17"/>
      <c r="Z27" s="17"/>
      <c r="AA27" s="17"/>
      <c r="AB27" s="17"/>
      <c r="AC27" s="17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</row>
    <row r="28" spans="1:48" s="19" customFormat="1" ht="21.6" x14ac:dyDescent="0.2">
      <c r="A28" s="41">
        <v>2078</v>
      </c>
      <c r="B28" s="42" t="s">
        <v>20</v>
      </c>
      <c r="C28" s="43" t="s">
        <v>21</v>
      </c>
      <c r="D28" s="66">
        <v>3838</v>
      </c>
      <c r="E28" s="42" t="s">
        <v>332</v>
      </c>
      <c r="F28" s="45" t="s">
        <v>333</v>
      </c>
      <c r="G28" s="42" t="s">
        <v>64</v>
      </c>
      <c r="H28" s="45" t="s">
        <v>304</v>
      </c>
      <c r="I28" s="57" t="s">
        <v>59</v>
      </c>
      <c r="J28" s="58">
        <v>0.3</v>
      </c>
      <c r="K28" s="57" t="s">
        <v>327</v>
      </c>
      <c r="L28" s="64" t="s">
        <v>328</v>
      </c>
      <c r="M28" s="25" t="s">
        <v>329</v>
      </c>
      <c r="N28" s="62" t="s">
        <v>330</v>
      </c>
      <c r="O28" s="60">
        <v>0.1</v>
      </c>
      <c r="P28" s="62"/>
      <c r="Q28" s="60">
        <f t="shared" si="3"/>
        <v>0</v>
      </c>
      <c r="R28" s="61">
        <f t="shared" si="1"/>
        <v>0</v>
      </c>
      <c r="S28" s="60" t="s">
        <v>31</v>
      </c>
      <c r="T28" s="60"/>
      <c r="U28" s="17"/>
      <c r="V28" s="17"/>
      <c r="W28" s="17"/>
      <c r="X28" s="17"/>
      <c r="Y28" s="17"/>
      <c r="Z28" s="17"/>
      <c r="AA28" s="17"/>
      <c r="AB28" s="17"/>
      <c r="AC28" s="17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</row>
    <row r="29" spans="1:48" s="19" customFormat="1" ht="21.6" x14ac:dyDescent="0.2">
      <c r="A29" s="41">
        <v>2070</v>
      </c>
      <c r="B29" s="42" t="s">
        <v>20</v>
      </c>
      <c r="C29" s="43" t="s">
        <v>21</v>
      </c>
      <c r="D29" s="66">
        <v>5221</v>
      </c>
      <c r="E29" s="42" t="s">
        <v>334</v>
      </c>
      <c r="F29" s="45" t="s">
        <v>335</v>
      </c>
      <c r="G29" s="42" t="s">
        <v>64</v>
      </c>
      <c r="H29" s="45" t="s">
        <v>304</v>
      </c>
      <c r="I29" s="46" t="s">
        <v>27</v>
      </c>
      <c r="J29" s="47">
        <v>1</v>
      </c>
      <c r="K29" s="55" t="s">
        <v>336</v>
      </c>
      <c r="L29" s="63" t="s">
        <v>337</v>
      </c>
      <c r="M29" s="13" t="s">
        <v>338</v>
      </c>
      <c r="N29" s="51" t="s">
        <v>112</v>
      </c>
      <c r="O29" s="47">
        <v>0.15</v>
      </c>
      <c r="P29" s="47"/>
      <c r="Q29" s="47">
        <f t="shared" si="3"/>
        <v>0</v>
      </c>
      <c r="R29" s="49">
        <f t="shared" si="1"/>
        <v>0</v>
      </c>
      <c r="S29" s="47" t="s">
        <v>31</v>
      </c>
      <c r="T29" s="50">
        <f>SUM(R29:R37)%</f>
        <v>0</v>
      </c>
      <c r="U29" s="17"/>
      <c r="V29" s="17"/>
      <c r="W29" s="17"/>
      <c r="X29" s="17"/>
      <c r="Y29" s="17"/>
      <c r="Z29" s="17"/>
      <c r="AA29" s="17"/>
      <c r="AB29" s="17"/>
      <c r="AC29" s="17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</row>
    <row r="30" spans="1:48" s="19" customFormat="1" ht="21.6" x14ac:dyDescent="0.2">
      <c r="A30" s="41">
        <v>2071</v>
      </c>
      <c r="B30" s="42" t="s">
        <v>20</v>
      </c>
      <c r="C30" s="43" t="s">
        <v>21</v>
      </c>
      <c r="D30" s="66">
        <v>5221</v>
      </c>
      <c r="E30" s="42" t="s">
        <v>334</v>
      </c>
      <c r="F30" s="45" t="s">
        <v>335</v>
      </c>
      <c r="G30" s="42" t="s">
        <v>64</v>
      </c>
      <c r="H30" s="45" t="s">
        <v>304</v>
      </c>
      <c r="I30" s="46" t="s">
        <v>27</v>
      </c>
      <c r="J30" s="47">
        <v>1</v>
      </c>
      <c r="K30" s="55" t="s">
        <v>339</v>
      </c>
      <c r="L30" s="63" t="s">
        <v>340</v>
      </c>
      <c r="M30" s="55" t="s">
        <v>341</v>
      </c>
      <c r="N30" s="51" t="s">
        <v>127</v>
      </c>
      <c r="O30" s="47">
        <v>0.1</v>
      </c>
      <c r="P30" s="52"/>
      <c r="Q30" s="47">
        <f>ROUND(IF(OR(N30="",P30=""),0,IF(AND(N30=0,P30=0),1,IF(S30="+",P30/N30,N30/P30))),2)</f>
        <v>0</v>
      </c>
      <c r="R30" s="49">
        <f t="shared" si="1"/>
        <v>0</v>
      </c>
      <c r="S30" s="47" t="s">
        <v>31</v>
      </c>
      <c r="T30" s="4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</row>
    <row r="31" spans="1:48" s="19" customFormat="1" ht="21.6" x14ac:dyDescent="0.2">
      <c r="A31" s="41">
        <v>2072</v>
      </c>
      <c r="B31" s="42" t="s">
        <v>20</v>
      </c>
      <c r="C31" s="43" t="s">
        <v>21</v>
      </c>
      <c r="D31" s="66">
        <v>5221</v>
      </c>
      <c r="E31" s="42" t="s">
        <v>334</v>
      </c>
      <c r="F31" s="45" t="s">
        <v>335</v>
      </c>
      <c r="G31" s="42" t="s">
        <v>64</v>
      </c>
      <c r="H31" s="45" t="s">
        <v>304</v>
      </c>
      <c r="I31" s="46" t="s">
        <v>27</v>
      </c>
      <c r="J31" s="47">
        <v>1</v>
      </c>
      <c r="K31" s="55" t="s">
        <v>342</v>
      </c>
      <c r="L31" s="63" t="s">
        <v>343</v>
      </c>
      <c r="M31" s="55" t="s">
        <v>344</v>
      </c>
      <c r="N31" s="53" t="s">
        <v>345</v>
      </c>
      <c r="O31" s="47">
        <v>0.15</v>
      </c>
      <c r="P31" s="52"/>
      <c r="Q31" s="47">
        <f t="shared" ref="Q31:Q38" si="4">ROUND(IF(OR(N31="",P31=""),0,IF(AND(N31=0,P31=0),1,IF(S31="+",P31/N31,N31/P31))),2)</f>
        <v>0</v>
      </c>
      <c r="R31" s="49">
        <f t="shared" si="1"/>
        <v>0</v>
      </c>
      <c r="S31" s="47" t="s">
        <v>36</v>
      </c>
      <c r="T31" s="47"/>
      <c r="U31" s="17"/>
      <c r="V31" s="17"/>
      <c r="W31" s="17"/>
      <c r="X31" s="17"/>
      <c r="Y31" s="17"/>
      <c r="Z31" s="17"/>
      <c r="AA31" s="17"/>
      <c r="AB31" s="17"/>
      <c r="AC31" s="17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</row>
    <row r="32" spans="1:48" s="19" customFormat="1" ht="21.6" x14ac:dyDescent="0.2">
      <c r="A32" s="41">
        <v>2073</v>
      </c>
      <c r="B32" s="42" t="s">
        <v>20</v>
      </c>
      <c r="C32" s="43" t="s">
        <v>21</v>
      </c>
      <c r="D32" s="66">
        <v>5221</v>
      </c>
      <c r="E32" s="42" t="s">
        <v>334</v>
      </c>
      <c r="F32" s="45" t="s">
        <v>335</v>
      </c>
      <c r="G32" s="42" t="s">
        <v>64</v>
      </c>
      <c r="H32" s="45" t="s">
        <v>304</v>
      </c>
      <c r="I32" s="46" t="s">
        <v>27</v>
      </c>
      <c r="J32" s="47">
        <v>1</v>
      </c>
      <c r="K32" s="55" t="s">
        <v>346</v>
      </c>
      <c r="L32" s="63" t="s">
        <v>347</v>
      </c>
      <c r="M32" s="55" t="s">
        <v>348</v>
      </c>
      <c r="N32" s="52" t="s">
        <v>127</v>
      </c>
      <c r="O32" s="47">
        <v>0.1</v>
      </c>
      <c r="P32" s="54"/>
      <c r="Q32" s="47">
        <f t="shared" si="4"/>
        <v>0</v>
      </c>
      <c r="R32" s="49">
        <f t="shared" si="1"/>
        <v>0</v>
      </c>
      <c r="S32" s="47" t="s">
        <v>31</v>
      </c>
      <c r="T32" s="47"/>
      <c r="U32" s="17"/>
      <c r="V32" s="17"/>
      <c r="W32" s="17"/>
      <c r="X32" s="17"/>
      <c r="Y32" s="17"/>
      <c r="Z32" s="17"/>
      <c r="AA32" s="17"/>
      <c r="AB32" s="17"/>
      <c r="AC32" s="17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</row>
    <row r="33" spans="1:48" s="19" customFormat="1" ht="21.6" x14ac:dyDescent="0.2">
      <c r="A33" s="41">
        <v>2074</v>
      </c>
      <c r="B33" s="42" t="s">
        <v>20</v>
      </c>
      <c r="C33" s="43" t="s">
        <v>21</v>
      </c>
      <c r="D33" s="66">
        <v>5221</v>
      </c>
      <c r="E33" s="42" t="s">
        <v>334</v>
      </c>
      <c r="F33" s="45" t="s">
        <v>335</v>
      </c>
      <c r="G33" s="42" t="s">
        <v>64</v>
      </c>
      <c r="H33" s="45" t="s">
        <v>304</v>
      </c>
      <c r="I33" s="46" t="s">
        <v>27</v>
      </c>
      <c r="J33" s="47">
        <v>1</v>
      </c>
      <c r="K33" s="55" t="s">
        <v>349</v>
      </c>
      <c r="L33" s="63" t="s">
        <v>350</v>
      </c>
      <c r="M33" s="55" t="s">
        <v>351</v>
      </c>
      <c r="N33" s="55" t="s">
        <v>127</v>
      </c>
      <c r="O33" s="47">
        <v>0.1</v>
      </c>
      <c r="P33" s="56"/>
      <c r="Q33" s="47">
        <f t="shared" si="4"/>
        <v>0</v>
      </c>
      <c r="R33" s="49">
        <f t="shared" si="1"/>
        <v>0</v>
      </c>
      <c r="S33" s="47" t="s">
        <v>31</v>
      </c>
      <c r="T33" s="47"/>
      <c r="U33" s="17"/>
      <c r="V33" s="17"/>
      <c r="W33" s="17"/>
      <c r="X33" s="17"/>
      <c r="Y33" s="17"/>
      <c r="Z33" s="17"/>
      <c r="AA33" s="17"/>
      <c r="AB33" s="17"/>
      <c r="AC33" s="17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</row>
    <row r="34" spans="1:48" s="19" customFormat="1" ht="21.6" x14ac:dyDescent="0.2">
      <c r="A34" s="41">
        <v>2075</v>
      </c>
      <c r="B34" s="42" t="s">
        <v>20</v>
      </c>
      <c r="C34" s="43" t="s">
        <v>21</v>
      </c>
      <c r="D34" s="66">
        <v>5221</v>
      </c>
      <c r="E34" s="42" t="s">
        <v>334</v>
      </c>
      <c r="F34" s="45" t="s">
        <v>335</v>
      </c>
      <c r="G34" s="42" t="s">
        <v>64</v>
      </c>
      <c r="H34" s="45" t="s">
        <v>304</v>
      </c>
      <c r="I34" s="57" t="s">
        <v>27</v>
      </c>
      <c r="J34" s="47">
        <v>1</v>
      </c>
      <c r="K34" s="57" t="s">
        <v>352</v>
      </c>
      <c r="L34" s="64" t="s">
        <v>312</v>
      </c>
      <c r="M34" s="57" t="s">
        <v>353</v>
      </c>
      <c r="N34" s="59" t="s">
        <v>112</v>
      </c>
      <c r="O34" s="60">
        <v>0.1</v>
      </c>
      <c r="P34" s="56"/>
      <c r="Q34" s="60">
        <f t="shared" si="4"/>
        <v>0</v>
      </c>
      <c r="R34" s="61">
        <f t="shared" si="1"/>
        <v>0</v>
      </c>
      <c r="S34" s="60" t="s">
        <v>31</v>
      </c>
      <c r="T34" s="60"/>
      <c r="U34" s="17"/>
      <c r="V34" s="17"/>
      <c r="W34" s="17"/>
      <c r="X34" s="17"/>
      <c r="Y34" s="17"/>
      <c r="Z34" s="17"/>
      <c r="AA34" s="17"/>
      <c r="AB34" s="17"/>
      <c r="AC34" s="17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</row>
    <row r="35" spans="1:48" s="19" customFormat="1" ht="21.6" x14ac:dyDescent="0.2">
      <c r="A35" s="41">
        <v>2076</v>
      </c>
      <c r="B35" s="42" t="s">
        <v>20</v>
      </c>
      <c r="C35" s="43" t="s">
        <v>21</v>
      </c>
      <c r="D35" s="66">
        <v>5221</v>
      </c>
      <c r="E35" s="42" t="s">
        <v>334</v>
      </c>
      <c r="F35" s="45" t="s">
        <v>335</v>
      </c>
      <c r="G35" s="42" t="s">
        <v>64</v>
      </c>
      <c r="H35" s="45" t="s">
        <v>304</v>
      </c>
      <c r="I35" s="57" t="s">
        <v>27</v>
      </c>
      <c r="J35" s="47">
        <v>1</v>
      </c>
      <c r="K35" s="57" t="s">
        <v>354</v>
      </c>
      <c r="L35" s="64" t="s">
        <v>355</v>
      </c>
      <c r="M35" s="57" t="s">
        <v>356</v>
      </c>
      <c r="N35" s="59" t="s">
        <v>127</v>
      </c>
      <c r="O35" s="60">
        <v>0.1</v>
      </c>
      <c r="P35" s="56"/>
      <c r="Q35" s="60">
        <f t="shared" si="4"/>
        <v>0</v>
      </c>
      <c r="R35" s="61">
        <f t="shared" si="1"/>
        <v>0</v>
      </c>
      <c r="S35" s="60" t="s">
        <v>31</v>
      </c>
      <c r="T35" s="60"/>
      <c r="U35" s="17"/>
      <c r="V35" s="17"/>
      <c r="W35" s="17"/>
      <c r="X35" s="17"/>
      <c r="Y35" s="17"/>
      <c r="Z35" s="17"/>
      <c r="AA35" s="17"/>
      <c r="AB35" s="17"/>
      <c r="AC35" s="17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</row>
    <row r="36" spans="1:48" s="19" customFormat="1" ht="21.6" x14ac:dyDescent="0.2">
      <c r="A36" s="41">
        <v>2077</v>
      </c>
      <c r="B36" s="42" t="s">
        <v>20</v>
      </c>
      <c r="C36" s="43" t="s">
        <v>21</v>
      </c>
      <c r="D36" s="66">
        <v>5221</v>
      </c>
      <c r="E36" s="42" t="s">
        <v>334</v>
      </c>
      <c r="F36" s="45" t="s">
        <v>335</v>
      </c>
      <c r="G36" s="42" t="s">
        <v>64</v>
      </c>
      <c r="H36" s="45" t="s">
        <v>304</v>
      </c>
      <c r="I36" s="57" t="s">
        <v>27</v>
      </c>
      <c r="J36" s="47">
        <v>1</v>
      </c>
      <c r="K36" s="57" t="s">
        <v>357</v>
      </c>
      <c r="L36" s="64" t="s">
        <v>358</v>
      </c>
      <c r="M36" s="25" t="s">
        <v>359</v>
      </c>
      <c r="N36" s="62" t="s">
        <v>360</v>
      </c>
      <c r="O36" s="60">
        <v>0.1</v>
      </c>
      <c r="P36" s="62"/>
      <c r="Q36" s="60">
        <f t="shared" si="4"/>
        <v>0</v>
      </c>
      <c r="R36" s="61">
        <f t="shared" si="1"/>
        <v>0</v>
      </c>
      <c r="S36" s="60" t="s">
        <v>31</v>
      </c>
      <c r="T36" s="60"/>
      <c r="U36" s="17"/>
      <c r="V36" s="17"/>
      <c r="W36" s="17"/>
      <c r="X36" s="17"/>
      <c r="Y36" s="17"/>
      <c r="Z36" s="17"/>
      <c r="AA36" s="17"/>
      <c r="AB36" s="17"/>
      <c r="AC36" s="17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</row>
    <row r="37" spans="1:48" s="19" customFormat="1" ht="21.6" x14ac:dyDescent="0.2">
      <c r="A37" s="41">
        <v>2078</v>
      </c>
      <c r="B37" s="42" t="s">
        <v>20</v>
      </c>
      <c r="C37" s="43" t="s">
        <v>21</v>
      </c>
      <c r="D37" s="66">
        <v>5221</v>
      </c>
      <c r="E37" s="42" t="s">
        <v>334</v>
      </c>
      <c r="F37" s="45" t="s">
        <v>335</v>
      </c>
      <c r="G37" s="42" t="s">
        <v>64</v>
      </c>
      <c r="H37" s="45" t="s">
        <v>304</v>
      </c>
      <c r="I37" s="57" t="s">
        <v>27</v>
      </c>
      <c r="J37" s="47">
        <v>1</v>
      </c>
      <c r="K37" s="57" t="s">
        <v>361</v>
      </c>
      <c r="L37" s="64" t="s">
        <v>362</v>
      </c>
      <c r="M37" s="25" t="s">
        <v>363</v>
      </c>
      <c r="N37" s="62" t="s">
        <v>364</v>
      </c>
      <c r="O37" s="60">
        <v>0.1</v>
      </c>
      <c r="P37" s="62"/>
      <c r="Q37" s="60">
        <f t="shared" si="4"/>
        <v>0</v>
      </c>
      <c r="R37" s="61">
        <f t="shared" si="1"/>
        <v>0</v>
      </c>
      <c r="S37" s="60" t="s">
        <v>31</v>
      </c>
      <c r="T37" s="60"/>
      <c r="U37" s="17"/>
      <c r="V37" s="17"/>
      <c r="W37" s="17"/>
      <c r="X37" s="17"/>
      <c r="Y37" s="17"/>
      <c r="Z37" s="17"/>
      <c r="AA37" s="17"/>
      <c r="AB37" s="17"/>
      <c r="AC37" s="17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</row>
    <row r="38" spans="1:48" s="19" customFormat="1" ht="21.6" x14ac:dyDescent="0.2">
      <c r="A38" s="41">
        <v>2070</v>
      </c>
      <c r="B38" s="42" t="s">
        <v>20</v>
      </c>
      <c r="C38" s="43" t="s">
        <v>21</v>
      </c>
      <c r="D38" s="66">
        <v>5318</v>
      </c>
      <c r="E38" s="42" t="s">
        <v>365</v>
      </c>
      <c r="F38" s="45" t="s">
        <v>335</v>
      </c>
      <c r="G38" s="42" t="s">
        <v>64</v>
      </c>
      <c r="H38" s="45" t="s">
        <v>304</v>
      </c>
      <c r="I38" s="46" t="s">
        <v>27</v>
      </c>
      <c r="J38" s="47">
        <v>0.7</v>
      </c>
      <c r="K38" s="55" t="s">
        <v>66</v>
      </c>
      <c r="L38" s="63" t="s">
        <v>305</v>
      </c>
      <c r="M38" s="13" t="s">
        <v>306</v>
      </c>
      <c r="N38" s="51" t="s">
        <v>112</v>
      </c>
      <c r="O38" s="47">
        <v>0.15</v>
      </c>
      <c r="P38" s="47"/>
      <c r="Q38" s="47">
        <f t="shared" si="4"/>
        <v>0</v>
      </c>
      <c r="R38" s="49">
        <f t="shared" si="1"/>
        <v>0</v>
      </c>
      <c r="S38" s="47" t="s">
        <v>31</v>
      </c>
      <c r="T38" s="50">
        <f>SUM(R38:R46)%</f>
        <v>0</v>
      </c>
      <c r="U38" s="17"/>
      <c r="V38" s="17"/>
      <c r="W38" s="17"/>
      <c r="X38" s="17"/>
      <c r="Y38" s="17"/>
      <c r="Z38" s="17"/>
      <c r="AA38" s="17"/>
      <c r="AB38" s="17"/>
      <c r="AC38" s="17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spans="1:48" s="19" customFormat="1" ht="21.6" x14ac:dyDescent="0.2">
      <c r="A39" s="41">
        <v>2071</v>
      </c>
      <c r="B39" s="42" t="s">
        <v>20</v>
      </c>
      <c r="C39" s="43" t="s">
        <v>21</v>
      </c>
      <c r="D39" s="66">
        <v>5318</v>
      </c>
      <c r="E39" s="42" t="s">
        <v>365</v>
      </c>
      <c r="F39" s="45" t="s">
        <v>335</v>
      </c>
      <c r="G39" s="42" t="s">
        <v>64</v>
      </c>
      <c r="H39" s="45" t="s">
        <v>304</v>
      </c>
      <c r="I39" s="46" t="s">
        <v>27</v>
      </c>
      <c r="J39" s="47">
        <v>0.7</v>
      </c>
      <c r="K39" s="55" t="s">
        <v>307</v>
      </c>
      <c r="L39" s="63" t="s">
        <v>308</v>
      </c>
      <c r="M39" s="55" t="s">
        <v>309</v>
      </c>
      <c r="N39" s="51" t="s">
        <v>310</v>
      </c>
      <c r="O39" s="47">
        <v>0.15</v>
      </c>
      <c r="P39" s="52"/>
      <c r="Q39" s="47">
        <f>ROUND(IF(OR(N39="",P39=""),0,IF(AND(N39=0,P39=0),1,IF(S39="+",P39/N39,N39/P39))),2)</f>
        <v>0</v>
      </c>
      <c r="R39" s="49">
        <f t="shared" si="1"/>
        <v>0</v>
      </c>
      <c r="S39" s="47" t="s">
        <v>36</v>
      </c>
      <c r="T39" s="47"/>
      <c r="U39" s="17"/>
      <c r="V39" s="17"/>
      <c r="W39" s="17"/>
      <c r="X39" s="17"/>
      <c r="Y39" s="17"/>
      <c r="Z39" s="17"/>
      <c r="AA39" s="17"/>
      <c r="AB39" s="17"/>
      <c r="AC39" s="17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</row>
    <row r="40" spans="1:48" s="19" customFormat="1" ht="21.6" x14ac:dyDescent="0.2">
      <c r="A40" s="41">
        <v>2072</v>
      </c>
      <c r="B40" s="42" t="s">
        <v>20</v>
      </c>
      <c r="C40" s="43" t="s">
        <v>21</v>
      </c>
      <c r="D40" s="66">
        <v>5318</v>
      </c>
      <c r="E40" s="42" t="s">
        <v>365</v>
      </c>
      <c r="F40" s="45" t="s">
        <v>335</v>
      </c>
      <c r="G40" s="42" t="s">
        <v>64</v>
      </c>
      <c r="H40" s="45" t="s">
        <v>304</v>
      </c>
      <c r="I40" s="46" t="s">
        <v>27</v>
      </c>
      <c r="J40" s="47">
        <v>0.7</v>
      </c>
      <c r="K40" s="55" t="s">
        <v>311</v>
      </c>
      <c r="L40" s="63" t="s">
        <v>312</v>
      </c>
      <c r="M40" s="55" t="s">
        <v>313</v>
      </c>
      <c r="N40" s="53">
        <v>1</v>
      </c>
      <c r="O40" s="47">
        <v>0.1</v>
      </c>
      <c r="P40" s="52"/>
      <c r="Q40" s="47">
        <f t="shared" ref="Q40:Q46" si="5">ROUND(IF(OR(N40="",P40=""),0,IF(AND(N40=0,P40=0),1,IF(S40="+",P40/N40,N40/P40))),2)</f>
        <v>0</v>
      </c>
      <c r="R40" s="49">
        <f t="shared" si="1"/>
        <v>0</v>
      </c>
      <c r="S40" s="47" t="s">
        <v>31</v>
      </c>
      <c r="T40" s="47"/>
      <c r="U40" s="17"/>
      <c r="V40" s="17"/>
      <c r="W40" s="17"/>
      <c r="X40" s="17"/>
      <c r="Y40" s="17"/>
      <c r="Z40" s="17"/>
      <c r="AA40" s="17"/>
      <c r="AB40" s="17"/>
      <c r="AC40" s="17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</row>
    <row r="41" spans="1:48" s="19" customFormat="1" ht="21.6" x14ac:dyDescent="0.2">
      <c r="A41" s="41">
        <v>2073</v>
      </c>
      <c r="B41" s="42" t="s">
        <v>20</v>
      </c>
      <c r="C41" s="43" t="s">
        <v>21</v>
      </c>
      <c r="D41" s="66">
        <v>5318</v>
      </c>
      <c r="E41" s="42" t="s">
        <v>365</v>
      </c>
      <c r="F41" s="45" t="s">
        <v>335</v>
      </c>
      <c r="G41" s="42" t="s">
        <v>64</v>
      </c>
      <c r="H41" s="45" t="s">
        <v>304</v>
      </c>
      <c r="I41" s="46" t="s">
        <v>27</v>
      </c>
      <c r="J41" s="47">
        <v>0.7</v>
      </c>
      <c r="K41" s="55" t="s">
        <v>145</v>
      </c>
      <c r="L41" s="63" t="s">
        <v>314</v>
      </c>
      <c r="M41" s="55" t="s">
        <v>315</v>
      </c>
      <c r="N41" s="52" t="s">
        <v>196</v>
      </c>
      <c r="O41" s="47">
        <v>0.1</v>
      </c>
      <c r="P41" s="54"/>
      <c r="Q41" s="47">
        <f t="shared" si="5"/>
        <v>0</v>
      </c>
      <c r="R41" s="49">
        <f t="shared" si="1"/>
        <v>0</v>
      </c>
      <c r="S41" s="47" t="s">
        <v>36</v>
      </c>
      <c r="T41" s="47"/>
      <c r="U41" s="17"/>
      <c r="V41" s="17"/>
      <c r="W41" s="17"/>
      <c r="X41" s="17"/>
      <c r="Y41" s="17"/>
      <c r="Z41" s="17"/>
      <c r="AA41" s="17"/>
      <c r="AB41" s="17"/>
      <c r="AC41" s="17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spans="1:48" s="19" customFormat="1" ht="21.6" x14ac:dyDescent="0.2">
      <c r="A42" s="41">
        <v>2074</v>
      </c>
      <c r="B42" s="42" t="s">
        <v>20</v>
      </c>
      <c r="C42" s="43" t="s">
        <v>21</v>
      </c>
      <c r="D42" s="66">
        <v>5318</v>
      </c>
      <c r="E42" s="42" t="s">
        <v>365</v>
      </c>
      <c r="F42" s="45" t="s">
        <v>335</v>
      </c>
      <c r="G42" s="42" t="s">
        <v>64</v>
      </c>
      <c r="H42" s="45" t="s">
        <v>304</v>
      </c>
      <c r="I42" s="46" t="s">
        <v>27</v>
      </c>
      <c r="J42" s="47">
        <v>0.7</v>
      </c>
      <c r="K42" s="55" t="s">
        <v>84</v>
      </c>
      <c r="L42" s="63" t="s">
        <v>316</v>
      </c>
      <c r="M42" s="55" t="s">
        <v>317</v>
      </c>
      <c r="N42" s="55" t="s">
        <v>196</v>
      </c>
      <c r="O42" s="47">
        <v>0.1</v>
      </c>
      <c r="P42" s="56"/>
      <c r="Q42" s="47">
        <f t="shared" si="5"/>
        <v>0</v>
      </c>
      <c r="R42" s="49">
        <f t="shared" si="1"/>
        <v>0</v>
      </c>
      <c r="S42" s="47" t="s">
        <v>36</v>
      </c>
      <c r="T42" s="47"/>
      <c r="U42" s="17"/>
      <c r="V42" s="17"/>
      <c r="W42" s="17"/>
      <c r="X42" s="17"/>
      <c r="Y42" s="17"/>
      <c r="Z42" s="17"/>
      <c r="AA42" s="17"/>
      <c r="AB42" s="17"/>
      <c r="AC42" s="17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</row>
    <row r="43" spans="1:48" s="19" customFormat="1" ht="21.6" x14ac:dyDescent="0.2">
      <c r="A43" s="41">
        <v>2075</v>
      </c>
      <c r="B43" s="42" t="s">
        <v>20</v>
      </c>
      <c r="C43" s="43" t="s">
        <v>21</v>
      </c>
      <c r="D43" s="66">
        <v>5318</v>
      </c>
      <c r="E43" s="42" t="s">
        <v>365</v>
      </c>
      <c r="F43" s="45" t="s">
        <v>335</v>
      </c>
      <c r="G43" s="42" t="s">
        <v>64</v>
      </c>
      <c r="H43" s="45" t="s">
        <v>304</v>
      </c>
      <c r="I43" s="57" t="s">
        <v>27</v>
      </c>
      <c r="J43" s="47">
        <v>0.7</v>
      </c>
      <c r="K43" s="57" t="s">
        <v>318</v>
      </c>
      <c r="L43" s="64" t="s">
        <v>319</v>
      </c>
      <c r="M43" s="57" t="s">
        <v>320</v>
      </c>
      <c r="N43" s="59" t="s">
        <v>127</v>
      </c>
      <c r="O43" s="60">
        <v>0.1</v>
      </c>
      <c r="P43" s="56"/>
      <c r="Q43" s="60">
        <f t="shared" si="5"/>
        <v>0</v>
      </c>
      <c r="R43" s="61">
        <f t="shared" si="1"/>
        <v>0</v>
      </c>
      <c r="S43" s="60" t="s">
        <v>31</v>
      </c>
      <c r="T43" s="60"/>
      <c r="U43" s="17"/>
      <c r="V43" s="17"/>
      <c r="W43" s="17"/>
      <c r="X43" s="17"/>
      <c r="Y43" s="17"/>
      <c r="Z43" s="17"/>
      <c r="AA43" s="17"/>
      <c r="AB43" s="17"/>
      <c r="AC43" s="17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</row>
    <row r="44" spans="1:48" s="19" customFormat="1" ht="21.6" x14ac:dyDescent="0.2">
      <c r="A44" s="41">
        <v>2076</v>
      </c>
      <c r="B44" s="42" t="s">
        <v>20</v>
      </c>
      <c r="C44" s="43" t="s">
        <v>21</v>
      </c>
      <c r="D44" s="66">
        <v>5318</v>
      </c>
      <c r="E44" s="42" t="s">
        <v>365</v>
      </c>
      <c r="F44" s="45" t="s">
        <v>335</v>
      </c>
      <c r="G44" s="42" t="s">
        <v>64</v>
      </c>
      <c r="H44" s="45" t="s">
        <v>304</v>
      </c>
      <c r="I44" s="57" t="s">
        <v>27</v>
      </c>
      <c r="J44" s="47">
        <v>0.7</v>
      </c>
      <c r="K44" s="57" t="s">
        <v>321</v>
      </c>
      <c r="L44" s="64" t="s">
        <v>322</v>
      </c>
      <c r="M44" s="57" t="s">
        <v>323</v>
      </c>
      <c r="N44" s="59" t="s">
        <v>156</v>
      </c>
      <c r="O44" s="60">
        <v>0.1</v>
      </c>
      <c r="P44" s="56"/>
      <c r="Q44" s="60">
        <f t="shared" si="5"/>
        <v>0</v>
      </c>
      <c r="R44" s="61">
        <f t="shared" si="1"/>
        <v>0</v>
      </c>
      <c r="S44" s="60" t="s">
        <v>31</v>
      </c>
      <c r="T44" s="60"/>
      <c r="U44" s="17"/>
      <c r="V44" s="17"/>
      <c r="W44" s="17"/>
      <c r="X44" s="17"/>
      <c r="Y44" s="17"/>
      <c r="Z44" s="17"/>
      <c r="AA44" s="17"/>
      <c r="AB44" s="17"/>
      <c r="AC44" s="17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</row>
    <row r="45" spans="1:48" s="19" customFormat="1" ht="21.6" x14ac:dyDescent="0.2">
      <c r="A45" s="41">
        <v>2077</v>
      </c>
      <c r="B45" s="42" t="s">
        <v>20</v>
      </c>
      <c r="C45" s="43" t="s">
        <v>21</v>
      </c>
      <c r="D45" s="66">
        <v>5318</v>
      </c>
      <c r="E45" s="42" t="s">
        <v>365</v>
      </c>
      <c r="F45" s="45" t="s">
        <v>335</v>
      </c>
      <c r="G45" s="42" t="s">
        <v>64</v>
      </c>
      <c r="H45" s="45" t="s">
        <v>304</v>
      </c>
      <c r="I45" s="57" t="s">
        <v>27</v>
      </c>
      <c r="J45" s="47">
        <v>0.7</v>
      </c>
      <c r="K45" s="57" t="s">
        <v>324</v>
      </c>
      <c r="L45" s="64" t="s">
        <v>325</v>
      </c>
      <c r="M45" s="25" t="s">
        <v>326</v>
      </c>
      <c r="N45" s="62" t="s">
        <v>127</v>
      </c>
      <c r="O45" s="60">
        <v>0.1</v>
      </c>
      <c r="P45" s="62"/>
      <c r="Q45" s="60">
        <f t="shared" si="5"/>
        <v>0</v>
      </c>
      <c r="R45" s="61">
        <f t="shared" si="1"/>
        <v>0</v>
      </c>
      <c r="S45" s="60" t="s">
        <v>31</v>
      </c>
      <c r="T45" s="60"/>
      <c r="U45" s="17"/>
      <c r="V45" s="17"/>
      <c r="W45" s="17"/>
      <c r="X45" s="17"/>
      <c r="Y45" s="17"/>
      <c r="Z45" s="17"/>
      <c r="AA45" s="17"/>
      <c r="AB45" s="17"/>
      <c r="AC45" s="17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</row>
    <row r="46" spans="1:48" s="19" customFormat="1" ht="21.6" x14ac:dyDescent="0.2">
      <c r="A46" s="41">
        <v>2078</v>
      </c>
      <c r="B46" s="42" t="s">
        <v>20</v>
      </c>
      <c r="C46" s="43" t="s">
        <v>21</v>
      </c>
      <c r="D46" s="66">
        <v>5318</v>
      </c>
      <c r="E46" s="42" t="s">
        <v>365</v>
      </c>
      <c r="F46" s="45" t="s">
        <v>335</v>
      </c>
      <c r="G46" s="42" t="s">
        <v>64</v>
      </c>
      <c r="H46" s="45" t="s">
        <v>304</v>
      </c>
      <c r="I46" s="57" t="s">
        <v>59</v>
      </c>
      <c r="J46" s="58">
        <v>0.3</v>
      </c>
      <c r="K46" s="57" t="s">
        <v>327</v>
      </c>
      <c r="L46" s="64" t="s">
        <v>328</v>
      </c>
      <c r="M46" s="25" t="s">
        <v>329</v>
      </c>
      <c r="N46" s="62" t="s">
        <v>330</v>
      </c>
      <c r="O46" s="60">
        <v>0.1</v>
      </c>
      <c r="P46" s="62"/>
      <c r="Q46" s="60">
        <f t="shared" si="5"/>
        <v>0</v>
      </c>
      <c r="R46" s="61">
        <f t="shared" si="1"/>
        <v>0</v>
      </c>
      <c r="S46" s="60" t="s">
        <v>31</v>
      </c>
      <c r="T46" s="60"/>
      <c r="U46" s="17"/>
      <c r="V46" s="17"/>
      <c r="W46" s="17"/>
      <c r="X46" s="17"/>
      <c r="Y46" s="17"/>
      <c r="Z46" s="17"/>
      <c r="AA46" s="17"/>
      <c r="AB46" s="17"/>
      <c r="AC46" s="17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48" s="19" customFormat="1" ht="21.6" x14ac:dyDescent="0.2">
      <c r="A47" s="41">
        <v>2070</v>
      </c>
      <c r="B47" s="42" t="s">
        <v>20</v>
      </c>
      <c r="C47" s="43" t="s">
        <v>21</v>
      </c>
      <c r="D47" s="66">
        <v>5325</v>
      </c>
      <c r="E47" s="42" t="s">
        <v>366</v>
      </c>
      <c r="F47" s="45" t="s">
        <v>335</v>
      </c>
      <c r="G47" s="42" t="s">
        <v>64</v>
      </c>
      <c r="H47" s="45" t="s">
        <v>304</v>
      </c>
      <c r="I47" s="46" t="s">
        <v>27</v>
      </c>
      <c r="J47" s="47">
        <v>1</v>
      </c>
      <c r="K47" s="55" t="s">
        <v>336</v>
      </c>
      <c r="L47" s="63" t="s">
        <v>337</v>
      </c>
      <c r="M47" s="51" t="s">
        <v>112</v>
      </c>
      <c r="N47" s="47">
        <v>0.15</v>
      </c>
      <c r="O47" s="47"/>
      <c r="P47" s="47">
        <v>0</v>
      </c>
      <c r="Q47" s="49">
        <v>0</v>
      </c>
      <c r="R47" s="47" t="s">
        <v>31</v>
      </c>
      <c r="S47" s="50">
        <v>0</v>
      </c>
      <c r="T47" s="50">
        <f>SUM(R47:R55)%</f>
        <v>0</v>
      </c>
      <c r="U47" s="17"/>
      <c r="V47" s="17"/>
      <c r="W47" s="17"/>
      <c r="X47" s="17"/>
      <c r="Y47" s="17"/>
      <c r="Z47" s="17"/>
      <c r="AA47" s="17"/>
      <c r="AB47" s="17"/>
      <c r="AC47" s="17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</row>
    <row r="48" spans="1:48" s="19" customFormat="1" ht="21.6" x14ac:dyDescent="0.2">
      <c r="A48" s="41">
        <v>2071</v>
      </c>
      <c r="B48" s="42" t="s">
        <v>20</v>
      </c>
      <c r="C48" s="43" t="s">
        <v>21</v>
      </c>
      <c r="D48" s="66">
        <v>5325</v>
      </c>
      <c r="E48" s="42" t="s">
        <v>366</v>
      </c>
      <c r="F48" s="45" t="s">
        <v>335</v>
      </c>
      <c r="G48" s="42" t="s">
        <v>64</v>
      </c>
      <c r="H48" s="45" t="s">
        <v>304</v>
      </c>
      <c r="I48" s="46" t="s">
        <v>27</v>
      </c>
      <c r="J48" s="47">
        <v>1</v>
      </c>
      <c r="K48" s="55" t="s">
        <v>339</v>
      </c>
      <c r="L48" s="63" t="s">
        <v>340</v>
      </c>
      <c r="M48" s="51" t="s">
        <v>127</v>
      </c>
      <c r="N48" s="47">
        <v>0.1</v>
      </c>
      <c r="O48" s="52"/>
      <c r="P48" s="47">
        <v>0</v>
      </c>
      <c r="Q48" s="49">
        <v>0</v>
      </c>
      <c r="R48" s="47" t="s">
        <v>31</v>
      </c>
      <c r="S48" s="47"/>
      <c r="T48" s="47"/>
      <c r="U48" s="17"/>
      <c r="V48" s="17"/>
      <c r="W48" s="17"/>
      <c r="X48" s="17"/>
      <c r="Y48" s="17"/>
      <c r="Z48" s="17"/>
      <c r="AA48" s="17"/>
      <c r="AB48" s="17"/>
      <c r="AC48" s="17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9" customFormat="1" ht="21.6" x14ac:dyDescent="0.2">
      <c r="A49" s="41">
        <v>2072</v>
      </c>
      <c r="B49" s="42" t="s">
        <v>20</v>
      </c>
      <c r="C49" s="43" t="s">
        <v>21</v>
      </c>
      <c r="D49" s="66">
        <v>5325</v>
      </c>
      <c r="E49" s="42" t="s">
        <v>366</v>
      </c>
      <c r="F49" s="45" t="s">
        <v>335</v>
      </c>
      <c r="G49" s="42" t="s">
        <v>64</v>
      </c>
      <c r="H49" s="45" t="s">
        <v>304</v>
      </c>
      <c r="I49" s="46" t="s">
        <v>27</v>
      </c>
      <c r="J49" s="47">
        <v>1</v>
      </c>
      <c r="K49" s="55" t="s">
        <v>342</v>
      </c>
      <c r="L49" s="63" t="s">
        <v>343</v>
      </c>
      <c r="M49" s="53" t="s">
        <v>345</v>
      </c>
      <c r="N49" s="47">
        <v>0.15</v>
      </c>
      <c r="O49" s="52"/>
      <c r="P49" s="47">
        <v>0</v>
      </c>
      <c r="Q49" s="49">
        <v>0</v>
      </c>
      <c r="R49" s="47" t="s">
        <v>36</v>
      </c>
      <c r="S49" s="47"/>
      <c r="T49" s="47"/>
      <c r="U49" s="17"/>
      <c r="V49" s="17"/>
      <c r="W49" s="17"/>
      <c r="X49" s="17"/>
      <c r="Y49" s="17"/>
      <c r="Z49" s="17"/>
      <c r="AA49" s="17"/>
      <c r="AB49" s="17"/>
      <c r="AC49" s="17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</row>
    <row r="50" spans="1:48" s="19" customFormat="1" ht="21.6" x14ac:dyDescent="0.2">
      <c r="A50" s="41">
        <v>2073</v>
      </c>
      <c r="B50" s="42" t="s">
        <v>20</v>
      </c>
      <c r="C50" s="43" t="s">
        <v>21</v>
      </c>
      <c r="D50" s="66">
        <v>5325</v>
      </c>
      <c r="E50" s="42" t="s">
        <v>366</v>
      </c>
      <c r="F50" s="45" t="s">
        <v>335</v>
      </c>
      <c r="G50" s="42" t="s">
        <v>64</v>
      </c>
      <c r="H50" s="45" t="s">
        <v>304</v>
      </c>
      <c r="I50" s="46" t="s">
        <v>27</v>
      </c>
      <c r="J50" s="47">
        <v>1</v>
      </c>
      <c r="K50" s="55" t="s">
        <v>346</v>
      </c>
      <c r="L50" s="63" t="s">
        <v>347</v>
      </c>
      <c r="M50" s="52" t="s">
        <v>127</v>
      </c>
      <c r="N50" s="47">
        <v>0.1</v>
      </c>
      <c r="O50" s="54"/>
      <c r="P50" s="47">
        <v>0</v>
      </c>
      <c r="Q50" s="49">
        <v>0</v>
      </c>
      <c r="R50" s="47" t="s">
        <v>31</v>
      </c>
      <c r="S50" s="47"/>
      <c r="T50" s="47"/>
      <c r="U50" s="17"/>
      <c r="V50" s="17"/>
      <c r="W50" s="17"/>
      <c r="X50" s="17"/>
      <c r="Y50" s="17"/>
      <c r="Z50" s="17"/>
      <c r="AA50" s="17"/>
      <c r="AB50" s="17"/>
      <c r="AC50" s="17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9" customFormat="1" ht="21.6" x14ac:dyDescent="0.2">
      <c r="A51" s="41">
        <v>2074</v>
      </c>
      <c r="B51" s="42" t="s">
        <v>20</v>
      </c>
      <c r="C51" s="43" t="s">
        <v>21</v>
      </c>
      <c r="D51" s="66">
        <v>5325</v>
      </c>
      <c r="E51" s="42" t="s">
        <v>366</v>
      </c>
      <c r="F51" s="45" t="s">
        <v>335</v>
      </c>
      <c r="G51" s="42" t="s">
        <v>64</v>
      </c>
      <c r="H51" s="45" t="s">
        <v>304</v>
      </c>
      <c r="I51" s="46" t="s">
        <v>27</v>
      </c>
      <c r="J51" s="47">
        <v>1</v>
      </c>
      <c r="K51" s="55" t="s">
        <v>349</v>
      </c>
      <c r="L51" s="63" t="s">
        <v>350</v>
      </c>
      <c r="M51" s="55" t="s">
        <v>127</v>
      </c>
      <c r="N51" s="47">
        <v>0.1</v>
      </c>
      <c r="O51" s="56"/>
      <c r="P51" s="47">
        <v>0</v>
      </c>
      <c r="Q51" s="49">
        <v>0</v>
      </c>
      <c r="R51" s="47" t="s">
        <v>31</v>
      </c>
      <c r="S51" s="47"/>
      <c r="T51" s="47"/>
      <c r="U51" s="17"/>
      <c r="V51" s="17"/>
      <c r="W51" s="17"/>
      <c r="X51" s="17"/>
      <c r="Y51" s="17"/>
      <c r="Z51" s="17"/>
      <c r="AA51" s="17"/>
      <c r="AB51" s="17"/>
      <c r="AC51" s="17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</row>
    <row r="52" spans="1:48" s="19" customFormat="1" ht="21.6" x14ac:dyDescent="0.2">
      <c r="A52" s="41">
        <v>2075</v>
      </c>
      <c r="B52" s="42" t="s">
        <v>20</v>
      </c>
      <c r="C52" s="43" t="s">
        <v>21</v>
      </c>
      <c r="D52" s="66">
        <v>5325</v>
      </c>
      <c r="E52" s="42" t="s">
        <v>366</v>
      </c>
      <c r="F52" s="45" t="s">
        <v>335</v>
      </c>
      <c r="G52" s="42" t="s">
        <v>64</v>
      </c>
      <c r="H52" s="45" t="s">
        <v>304</v>
      </c>
      <c r="I52" s="57" t="s">
        <v>27</v>
      </c>
      <c r="J52" s="47">
        <v>1</v>
      </c>
      <c r="K52" s="57" t="s">
        <v>352</v>
      </c>
      <c r="L52" s="64" t="s">
        <v>312</v>
      </c>
      <c r="M52" s="59" t="s">
        <v>112</v>
      </c>
      <c r="N52" s="60">
        <v>0.1</v>
      </c>
      <c r="O52" s="56"/>
      <c r="P52" s="60">
        <v>0</v>
      </c>
      <c r="Q52" s="61">
        <v>0</v>
      </c>
      <c r="R52" s="60" t="s">
        <v>31</v>
      </c>
      <c r="S52" s="60"/>
      <c r="T52" s="60"/>
      <c r="U52" s="17"/>
      <c r="V52" s="17"/>
      <c r="W52" s="17"/>
      <c r="X52" s="17"/>
      <c r="Y52" s="17"/>
      <c r="Z52" s="17"/>
      <c r="AA52" s="17"/>
      <c r="AB52" s="17"/>
      <c r="AC52" s="17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</row>
    <row r="53" spans="1:48" s="19" customFormat="1" ht="21.6" x14ac:dyDescent="0.2">
      <c r="A53" s="41">
        <v>2076</v>
      </c>
      <c r="B53" s="42" t="s">
        <v>20</v>
      </c>
      <c r="C53" s="43" t="s">
        <v>21</v>
      </c>
      <c r="D53" s="66">
        <v>5325</v>
      </c>
      <c r="E53" s="42" t="s">
        <v>366</v>
      </c>
      <c r="F53" s="45" t="s">
        <v>335</v>
      </c>
      <c r="G53" s="42" t="s">
        <v>64</v>
      </c>
      <c r="H53" s="45" t="s">
        <v>304</v>
      </c>
      <c r="I53" s="57" t="s">
        <v>27</v>
      </c>
      <c r="J53" s="47">
        <v>1</v>
      </c>
      <c r="K53" s="57" t="s">
        <v>354</v>
      </c>
      <c r="L53" s="64" t="s">
        <v>355</v>
      </c>
      <c r="M53" s="59" t="s">
        <v>127</v>
      </c>
      <c r="N53" s="60">
        <v>0.1</v>
      </c>
      <c r="O53" s="56"/>
      <c r="P53" s="60">
        <v>0</v>
      </c>
      <c r="Q53" s="61">
        <v>0</v>
      </c>
      <c r="R53" s="60" t="s">
        <v>31</v>
      </c>
      <c r="S53" s="60"/>
      <c r="T53" s="60"/>
      <c r="U53" s="17"/>
      <c r="V53" s="17"/>
      <c r="W53" s="17"/>
      <c r="X53" s="17"/>
      <c r="Y53" s="17"/>
      <c r="Z53" s="17"/>
      <c r="AA53" s="17"/>
      <c r="AB53" s="17"/>
      <c r="AC53" s="17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</row>
    <row r="54" spans="1:48" s="19" customFormat="1" ht="21.6" x14ac:dyDescent="0.2">
      <c r="A54" s="41">
        <v>2077</v>
      </c>
      <c r="B54" s="42" t="s">
        <v>20</v>
      </c>
      <c r="C54" s="43" t="s">
        <v>21</v>
      </c>
      <c r="D54" s="66">
        <v>5325</v>
      </c>
      <c r="E54" s="42" t="s">
        <v>366</v>
      </c>
      <c r="F54" s="45" t="s">
        <v>335</v>
      </c>
      <c r="G54" s="42" t="s">
        <v>64</v>
      </c>
      <c r="H54" s="45" t="s">
        <v>304</v>
      </c>
      <c r="I54" s="57" t="s">
        <v>27</v>
      </c>
      <c r="J54" s="47">
        <v>1</v>
      </c>
      <c r="K54" s="57" t="s">
        <v>357</v>
      </c>
      <c r="L54" s="64" t="s">
        <v>358</v>
      </c>
      <c r="M54" s="62" t="s">
        <v>360</v>
      </c>
      <c r="N54" s="60">
        <v>0.1</v>
      </c>
      <c r="O54" s="62"/>
      <c r="P54" s="60">
        <v>0</v>
      </c>
      <c r="Q54" s="61">
        <v>0</v>
      </c>
      <c r="R54" s="60" t="s">
        <v>31</v>
      </c>
      <c r="S54" s="60"/>
      <c r="T54" s="60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</row>
    <row r="55" spans="1:48" s="19" customFormat="1" ht="21.6" x14ac:dyDescent="0.2">
      <c r="A55" s="41">
        <v>2078</v>
      </c>
      <c r="B55" s="42" t="s">
        <v>20</v>
      </c>
      <c r="C55" s="43" t="s">
        <v>21</v>
      </c>
      <c r="D55" s="66">
        <v>5325</v>
      </c>
      <c r="E55" s="42" t="s">
        <v>366</v>
      </c>
      <c r="F55" s="45" t="s">
        <v>335</v>
      </c>
      <c r="G55" s="42" t="s">
        <v>64</v>
      </c>
      <c r="H55" s="45" t="s">
        <v>304</v>
      </c>
      <c r="I55" s="57" t="s">
        <v>27</v>
      </c>
      <c r="J55" s="47">
        <v>1</v>
      </c>
      <c r="K55" s="57" t="s">
        <v>361</v>
      </c>
      <c r="L55" s="64" t="s">
        <v>362</v>
      </c>
      <c r="M55" s="62" t="s">
        <v>364</v>
      </c>
      <c r="N55" s="60">
        <v>0.1</v>
      </c>
      <c r="O55" s="62"/>
      <c r="P55" s="60">
        <v>0</v>
      </c>
      <c r="Q55" s="61">
        <v>0</v>
      </c>
      <c r="R55" s="60" t="s">
        <v>31</v>
      </c>
      <c r="S55" s="60"/>
      <c r="T55" s="60"/>
      <c r="U55" s="17"/>
      <c r="V55" s="17"/>
      <c r="W55" s="17"/>
      <c r="X55" s="17"/>
      <c r="Y55" s="17"/>
      <c r="Z55" s="17"/>
      <c r="AA55" s="17"/>
      <c r="AB55" s="17"/>
      <c r="AC55" s="17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</row>
    <row r="56" spans="1:48" s="19" customFormat="1" ht="21.6" x14ac:dyDescent="0.2">
      <c r="A56" s="41">
        <v>2070</v>
      </c>
      <c r="B56" s="42" t="s">
        <v>20</v>
      </c>
      <c r="C56" s="43" t="s">
        <v>21</v>
      </c>
      <c r="D56" s="66">
        <v>5566</v>
      </c>
      <c r="E56" s="42" t="s">
        <v>367</v>
      </c>
      <c r="F56" s="45" t="s">
        <v>335</v>
      </c>
      <c r="G56" s="42" t="s">
        <v>64</v>
      </c>
      <c r="H56" s="45" t="s">
        <v>304</v>
      </c>
      <c r="I56" s="46" t="s">
        <v>27</v>
      </c>
      <c r="J56" s="47">
        <v>1</v>
      </c>
      <c r="K56" s="55" t="s">
        <v>336</v>
      </c>
      <c r="L56" s="63" t="s">
        <v>337</v>
      </c>
      <c r="M56" s="51" t="s">
        <v>112</v>
      </c>
      <c r="N56" s="47">
        <v>0.15</v>
      </c>
      <c r="O56" s="47"/>
      <c r="P56" s="47">
        <v>0</v>
      </c>
      <c r="Q56" s="49">
        <v>0</v>
      </c>
      <c r="R56" s="47" t="s">
        <v>31</v>
      </c>
      <c r="S56" s="50">
        <v>0</v>
      </c>
      <c r="T56" s="50">
        <f>SUM(R56:R64)%</f>
        <v>0</v>
      </c>
      <c r="U56" s="17"/>
      <c r="V56" s="17"/>
      <c r="W56" s="17"/>
      <c r="X56" s="17"/>
      <c r="Y56" s="17"/>
      <c r="Z56" s="17"/>
      <c r="AA56" s="17"/>
      <c r="AB56" s="17"/>
      <c r="AC56" s="17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</row>
    <row r="57" spans="1:48" s="19" customFormat="1" ht="21.6" x14ac:dyDescent="0.2">
      <c r="A57" s="41">
        <v>2071</v>
      </c>
      <c r="B57" s="42" t="s">
        <v>20</v>
      </c>
      <c r="C57" s="43" t="s">
        <v>21</v>
      </c>
      <c r="D57" s="66">
        <v>5566</v>
      </c>
      <c r="E57" s="42" t="s">
        <v>367</v>
      </c>
      <c r="F57" s="45" t="s">
        <v>335</v>
      </c>
      <c r="G57" s="42" t="s">
        <v>64</v>
      </c>
      <c r="H57" s="45" t="s">
        <v>304</v>
      </c>
      <c r="I57" s="46" t="s">
        <v>27</v>
      </c>
      <c r="J57" s="47">
        <v>1</v>
      </c>
      <c r="K57" s="55" t="s">
        <v>339</v>
      </c>
      <c r="L57" s="63" t="s">
        <v>340</v>
      </c>
      <c r="M57" s="51" t="s">
        <v>127</v>
      </c>
      <c r="N57" s="47">
        <v>0.1</v>
      </c>
      <c r="O57" s="52"/>
      <c r="P57" s="47">
        <v>0</v>
      </c>
      <c r="Q57" s="49">
        <v>0</v>
      </c>
      <c r="R57" s="47" t="s">
        <v>31</v>
      </c>
      <c r="S57" s="47"/>
      <c r="T57" s="47"/>
      <c r="U57" s="17"/>
      <c r="V57" s="17"/>
      <c r="W57" s="17"/>
      <c r="X57" s="17"/>
      <c r="Y57" s="17"/>
      <c r="Z57" s="17"/>
      <c r="AA57" s="17"/>
      <c r="AB57" s="17"/>
      <c r="AC57" s="17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</row>
    <row r="58" spans="1:48" s="19" customFormat="1" ht="21.6" x14ac:dyDescent="0.2">
      <c r="A58" s="41">
        <v>2072</v>
      </c>
      <c r="B58" s="42" t="s">
        <v>20</v>
      </c>
      <c r="C58" s="43" t="s">
        <v>21</v>
      </c>
      <c r="D58" s="66">
        <v>5566</v>
      </c>
      <c r="E58" s="42" t="s">
        <v>367</v>
      </c>
      <c r="F58" s="45" t="s">
        <v>335</v>
      </c>
      <c r="G58" s="42" t="s">
        <v>64</v>
      </c>
      <c r="H58" s="45" t="s">
        <v>304</v>
      </c>
      <c r="I58" s="46" t="s">
        <v>27</v>
      </c>
      <c r="J58" s="47">
        <v>1</v>
      </c>
      <c r="K58" s="55" t="s">
        <v>342</v>
      </c>
      <c r="L58" s="63" t="s">
        <v>343</v>
      </c>
      <c r="M58" s="53" t="s">
        <v>345</v>
      </c>
      <c r="N58" s="47">
        <v>0.15</v>
      </c>
      <c r="O58" s="52"/>
      <c r="P58" s="47">
        <v>0</v>
      </c>
      <c r="Q58" s="49">
        <v>0</v>
      </c>
      <c r="R58" s="47" t="s">
        <v>36</v>
      </c>
      <c r="S58" s="47"/>
      <c r="T58" s="47"/>
      <c r="U58" s="17"/>
      <c r="V58" s="17"/>
      <c r="W58" s="17"/>
      <c r="X58" s="17"/>
      <c r="Y58" s="17"/>
      <c r="Z58" s="17"/>
      <c r="AA58" s="17"/>
      <c r="AB58" s="17"/>
      <c r="AC58" s="17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</row>
    <row r="59" spans="1:48" s="19" customFormat="1" ht="21.6" x14ac:dyDescent="0.2">
      <c r="A59" s="41">
        <v>2073</v>
      </c>
      <c r="B59" s="42" t="s">
        <v>20</v>
      </c>
      <c r="C59" s="43" t="s">
        <v>21</v>
      </c>
      <c r="D59" s="66">
        <v>5566</v>
      </c>
      <c r="E59" s="42" t="s">
        <v>367</v>
      </c>
      <c r="F59" s="45" t="s">
        <v>335</v>
      </c>
      <c r="G59" s="42" t="s">
        <v>64</v>
      </c>
      <c r="H59" s="45" t="s">
        <v>304</v>
      </c>
      <c r="I59" s="46" t="s">
        <v>27</v>
      </c>
      <c r="J59" s="47">
        <v>1</v>
      </c>
      <c r="K59" s="55" t="s">
        <v>346</v>
      </c>
      <c r="L59" s="63" t="s">
        <v>347</v>
      </c>
      <c r="M59" s="52" t="s">
        <v>127</v>
      </c>
      <c r="N59" s="47">
        <v>0.1</v>
      </c>
      <c r="O59" s="54"/>
      <c r="P59" s="47">
        <v>0</v>
      </c>
      <c r="Q59" s="49">
        <v>0</v>
      </c>
      <c r="R59" s="47" t="s">
        <v>31</v>
      </c>
      <c r="S59" s="47"/>
      <c r="T59" s="47"/>
      <c r="U59" s="17"/>
      <c r="V59" s="17"/>
      <c r="W59" s="17"/>
      <c r="X59" s="17"/>
      <c r="Y59" s="17"/>
      <c r="Z59" s="17"/>
      <c r="AA59" s="17"/>
      <c r="AB59" s="17"/>
      <c r="AC59" s="17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</row>
    <row r="60" spans="1:48" s="19" customFormat="1" ht="21.6" x14ac:dyDescent="0.2">
      <c r="A60" s="41">
        <v>2074</v>
      </c>
      <c r="B60" s="42" t="s">
        <v>20</v>
      </c>
      <c r="C60" s="43" t="s">
        <v>21</v>
      </c>
      <c r="D60" s="66">
        <v>5566</v>
      </c>
      <c r="E60" s="42" t="s">
        <v>367</v>
      </c>
      <c r="F60" s="45" t="s">
        <v>335</v>
      </c>
      <c r="G60" s="42" t="s">
        <v>64</v>
      </c>
      <c r="H60" s="45" t="s">
        <v>304</v>
      </c>
      <c r="I60" s="46" t="s">
        <v>27</v>
      </c>
      <c r="J60" s="47">
        <v>1</v>
      </c>
      <c r="K60" s="55" t="s">
        <v>349</v>
      </c>
      <c r="L60" s="63" t="s">
        <v>350</v>
      </c>
      <c r="M60" s="55" t="s">
        <v>127</v>
      </c>
      <c r="N60" s="47">
        <v>0.1</v>
      </c>
      <c r="O60" s="56"/>
      <c r="P60" s="47">
        <v>0</v>
      </c>
      <c r="Q60" s="49">
        <v>0</v>
      </c>
      <c r="R60" s="47" t="s">
        <v>31</v>
      </c>
      <c r="S60" s="47"/>
      <c r="T60" s="47"/>
      <c r="U60" s="17"/>
      <c r="V60" s="17"/>
      <c r="W60" s="17"/>
      <c r="X60" s="17"/>
      <c r="Y60" s="17"/>
      <c r="Z60" s="17"/>
      <c r="AA60" s="17"/>
      <c r="AB60" s="17"/>
      <c r="AC60" s="17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</row>
    <row r="61" spans="1:48" s="19" customFormat="1" ht="21.6" x14ac:dyDescent="0.2">
      <c r="A61" s="41">
        <v>2075</v>
      </c>
      <c r="B61" s="42" t="s">
        <v>20</v>
      </c>
      <c r="C61" s="43" t="s">
        <v>21</v>
      </c>
      <c r="D61" s="66">
        <v>5566</v>
      </c>
      <c r="E61" s="42" t="s">
        <v>367</v>
      </c>
      <c r="F61" s="45" t="s">
        <v>335</v>
      </c>
      <c r="G61" s="42" t="s">
        <v>64</v>
      </c>
      <c r="H61" s="45" t="s">
        <v>304</v>
      </c>
      <c r="I61" s="57" t="s">
        <v>27</v>
      </c>
      <c r="J61" s="47">
        <v>1</v>
      </c>
      <c r="K61" s="57" t="s">
        <v>352</v>
      </c>
      <c r="L61" s="64" t="s">
        <v>312</v>
      </c>
      <c r="M61" s="59" t="s">
        <v>112</v>
      </c>
      <c r="N61" s="60">
        <v>0.1</v>
      </c>
      <c r="O61" s="56"/>
      <c r="P61" s="60">
        <v>0</v>
      </c>
      <c r="Q61" s="61">
        <v>0</v>
      </c>
      <c r="R61" s="60" t="s">
        <v>31</v>
      </c>
      <c r="S61" s="60"/>
      <c r="T61" s="60"/>
      <c r="U61" s="17"/>
      <c r="V61" s="17"/>
      <c r="W61" s="17"/>
      <c r="X61" s="17"/>
      <c r="Y61" s="17"/>
      <c r="Z61" s="17"/>
      <c r="AA61" s="17"/>
      <c r="AB61" s="17"/>
      <c r="AC61" s="17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</row>
    <row r="62" spans="1:48" s="19" customFormat="1" ht="21.6" x14ac:dyDescent="0.2">
      <c r="A62" s="41">
        <v>2076</v>
      </c>
      <c r="B62" s="42" t="s">
        <v>20</v>
      </c>
      <c r="C62" s="43" t="s">
        <v>21</v>
      </c>
      <c r="D62" s="66">
        <v>5566</v>
      </c>
      <c r="E62" s="42" t="s">
        <v>367</v>
      </c>
      <c r="F62" s="45" t="s">
        <v>335</v>
      </c>
      <c r="G62" s="42" t="s">
        <v>64</v>
      </c>
      <c r="H62" s="45" t="s">
        <v>304</v>
      </c>
      <c r="I62" s="57" t="s">
        <v>27</v>
      </c>
      <c r="J62" s="47">
        <v>1</v>
      </c>
      <c r="K62" s="57" t="s">
        <v>354</v>
      </c>
      <c r="L62" s="64" t="s">
        <v>355</v>
      </c>
      <c r="M62" s="59" t="s">
        <v>127</v>
      </c>
      <c r="N62" s="60">
        <v>0.1</v>
      </c>
      <c r="O62" s="56"/>
      <c r="P62" s="60">
        <v>0</v>
      </c>
      <c r="Q62" s="61">
        <v>0</v>
      </c>
      <c r="R62" s="60" t="s">
        <v>31</v>
      </c>
      <c r="S62" s="60"/>
      <c r="T62" s="60"/>
      <c r="U62" s="17"/>
      <c r="V62" s="17"/>
      <c r="W62" s="17"/>
      <c r="X62" s="17"/>
      <c r="Y62" s="17"/>
      <c r="Z62" s="17"/>
      <c r="AA62" s="17"/>
      <c r="AB62" s="17"/>
      <c r="AC62" s="17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</row>
    <row r="63" spans="1:48" s="19" customFormat="1" ht="21.6" x14ac:dyDescent="0.2">
      <c r="A63" s="41">
        <v>2077</v>
      </c>
      <c r="B63" s="42" t="s">
        <v>20</v>
      </c>
      <c r="C63" s="43" t="s">
        <v>21</v>
      </c>
      <c r="D63" s="66">
        <v>5566</v>
      </c>
      <c r="E63" s="42" t="s">
        <v>367</v>
      </c>
      <c r="F63" s="45" t="s">
        <v>335</v>
      </c>
      <c r="G63" s="42" t="s">
        <v>64</v>
      </c>
      <c r="H63" s="45" t="s">
        <v>304</v>
      </c>
      <c r="I63" s="57" t="s">
        <v>27</v>
      </c>
      <c r="J63" s="47">
        <v>1</v>
      </c>
      <c r="K63" s="57" t="s">
        <v>357</v>
      </c>
      <c r="L63" s="64" t="s">
        <v>358</v>
      </c>
      <c r="M63" s="62" t="s">
        <v>360</v>
      </c>
      <c r="N63" s="60">
        <v>0.1</v>
      </c>
      <c r="O63" s="62"/>
      <c r="P63" s="60">
        <v>0</v>
      </c>
      <c r="Q63" s="61">
        <v>0</v>
      </c>
      <c r="R63" s="60" t="s">
        <v>31</v>
      </c>
      <c r="S63" s="60"/>
      <c r="T63" s="60"/>
      <c r="U63" s="17"/>
      <c r="V63" s="17"/>
      <c r="W63" s="17"/>
      <c r="X63" s="17"/>
      <c r="Y63" s="17"/>
      <c r="Z63" s="17"/>
      <c r="AA63" s="17"/>
      <c r="AB63" s="17"/>
      <c r="AC63" s="17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</row>
    <row r="64" spans="1:48" s="19" customFormat="1" ht="21.6" x14ac:dyDescent="0.2">
      <c r="A64" s="41">
        <v>2078</v>
      </c>
      <c r="B64" s="42" t="s">
        <v>20</v>
      </c>
      <c r="C64" s="43" t="s">
        <v>21</v>
      </c>
      <c r="D64" s="66">
        <v>5566</v>
      </c>
      <c r="E64" s="42" t="s">
        <v>367</v>
      </c>
      <c r="F64" s="45" t="s">
        <v>335</v>
      </c>
      <c r="G64" s="42" t="s">
        <v>64</v>
      </c>
      <c r="H64" s="45" t="s">
        <v>304</v>
      </c>
      <c r="I64" s="57" t="s">
        <v>27</v>
      </c>
      <c r="J64" s="47">
        <v>1</v>
      </c>
      <c r="K64" s="57" t="s">
        <v>361</v>
      </c>
      <c r="L64" s="64" t="s">
        <v>362</v>
      </c>
      <c r="M64" s="62" t="s">
        <v>364</v>
      </c>
      <c r="N64" s="60">
        <v>0.1</v>
      </c>
      <c r="O64" s="62"/>
      <c r="P64" s="60">
        <v>0</v>
      </c>
      <c r="Q64" s="61">
        <v>0</v>
      </c>
      <c r="R64" s="60" t="s">
        <v>31</v>
      </c>
      <c r="S64" s="60"/>
      <c r="T64" s="60"/>
      <c r="U64" s="17"/>
      <c r="V64" s="17"/>
      <c r="W64" s="17"/>
      <c r="X64" s="17"/>
      <c r="Y64" s="17"/>
      <c r="Z64" s="17"/>
      <c r="AA64" s="17"/>
      <c r="AB64" s="17"/>
      <c r="AC64" s="17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</row>
    <row r="65" spans="1:48" s="19" customFormat="1" ht="21.6" x14ac:dyDescent="0.2">
      <c r="A65" s="41">
        <v>2070</v>
      </c>
      <c r="B65" s="42" t="s">
        <v>20</v>
      </c>
      <c r="C65" s="43" t="s">
        <v>21</v>
      </c>
      <c r="D65" s="66">
        <v>5569</v>
      </c>
      <c r="E65" s="42" t="s">
        <v>368</v>
      </c>
      <c r="F65" s="45" t="s">
        <v>335</v>
      </c>
      <c r="G65" s="42" t="s">
        <v>64</v>
      </c>
      <c r="H65" s="45" t="s">
        <v>304</v>
      </c>
      <c r="I65" s="46" t="s">
        <v>27</v>
      </c>
      <c r="J65" s="47">
        <v>0.7</v>
      </c>
      <c r="K65" s="55" t="s">
        <v>66</v>
      </c>
      <c r="L65" s="63" t="s">
        <v>305</v>
      </c>
      <c r="M65" s="13" t="s">
        <v>306</v>
      </c>
      <c r="N65" s="51" t="s">
        <v>112</v>
      </c>
      <c r="O65" s="47">
        <v>0.15</v>
      </c>
      <c r="P65" s="47"/>
      <c r="Q65" s="47">
        <f>ROUND(IF(OR(N65="",P65=""),0,IF(AND(N65=0,P65=0),1,IF(S65="+",P65/N65,N65/P65))),2)</f>
        <v>0</v>
      </c>
      <c r="R65" s="49">
        <f t="shared" ref="R65:R128" si="6">IF(AND(Q65&gt;=60%,Q65&lt;100%),Q65*((O65*J65)),IF(Q65=100%,((O65*J65)*Q65)*100%,IF(Q65&gt;100%,((J65*O65)*100%)*100%,0)))*100</f>
        <v>0</v>
      </c>
      <c r="S65" s="47" t="s">
        <v>31</v>
      </c>
      <c r="T65" s="50">
        <f>SUM(R65:R73)%</f>
        <v>0</v>
      </c>
      <c r="U65" s="17"/>
      <c r="V65" s="17"/>
      <c r="W65" s="17"/>
      <c r="X65" s="17"/>
      <c r="Y65" s="17"/>
      <c r="Z65" s="17"/>
      <c r="AA65" s="17"/>
      <c r="AB65" s="17"/>
      <c r="AC65" s="17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</row>
    <row r="66" spans="1:48" s="19" customFormat="1" ht="21.6" x14ac:dyDescent="0.2">
      <c r="A66" s="41">
        <v>2071</v>
      </c>
      <c r="B66" s="42" t="s">
        <v>20</v>
      </c>
      <c r="C66" s="43" t="s">
        <v>21</v>
      </c>
      <c r="D66" s="66">
        <v>5569</v>
      </c>
      <c r="E66" s="42" t="s">
        <v>368</v>
      </c>
      <c r="F66" s="45" t="s">
        <v>335</v>
      </c>
      <c r="G66" s="42" t="s">
        <v>64</v>
      </c>
      <c r="H66" s="45" t="s">
        <v>304</v>
      </c>
      <c r="I66" s="46" t="s">
        <v>27</v>
      </c>
      <c r="J66" s="47">
        <v>0.7</v>
      </c>
      <c r="K66" s="55" t="s">
        <v>307</v>
      </c>
      <c r="L66" s="63" t="s">
        <v>308</v>
      </c>
      <c r="M66" s="55" t="s">
        <v>309</v>
      </c>
      <c r="N66" s="51" t="s">
        <v>310</v>
      </c>
      <c r="O66" s="47">
        <v>0.15</v>
      </c>
      <c r="P66" s="52"/>
      <c r="Q66" s="47">
        <f>ROUND(IF(OR(N66="",P66=""),0,IF(AND(N66=0,P66=0),1,IF(S66="+",P66/N66,N66/P66))),2)</f>
        <v>0</v>
      </c>
      <c r="R66" s="49">
        <f t="shared" si="6"/>
        <v>0</v>
      </c>
      <c r="S66" s="47" t="s">
        <v>36</v>
      </c>
      <c r="T66" s="47"/>
      <c r="U66" s="17"/>
      <c r="V66" s="17"/>
      <c r="W66" s="17"/>
      <c r="X66" s="17"/>
      <c r="Y66" s="17"/>
      <c r="Z66" s="17"/>
      <c r="AA66" s="17"/>
      <c r="AB66" s="17"/>
      <c r="AC66" s="17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</row>
    <row r="67" spans="1:48" s="19" customFormat="1" ht="21.6" x14ac:dyDescent="0.2">
      <c r="A67" s="41">
        <v>2072</v>
      </c>
      <c r="B67" s="42" t="s">
        <v>20</v>
      </c>
      <c r="C67" s="43" t="s">
        <v>21</v>
      </c>
      <c r="D67" s="66">
        <v>5569</v>
      </c>
      <c r="E67" s="42" t="s">
        <v>368</v>
      </c>
      <c r="F67" s="45" t="s">
        <v>335</v>
      </c>
      <c r="G67" s="42" t="s">
        <v>64</v>
      </c>
      <c r="H67" s="45" t="s">
        <v>304</v>
      </c>
      <c r="I67" s="46" t="s">
        <v>27</v>
      </c>
      <c r="J67" s="47">
        <v>0.7</v>
      </c>
      <c r="K67" s="55" t="s">
        <v>311</v>
      </c>
      <c r="L67" s="63" t="s">
        <v>312</v>
      </c>
      <c r="M67" s="55" t="s">
        <v>313</v>
      </c>
      <c r="N67" s="53">
        <v>1</v>
      </c>
      <c r="O67" s="47">
        <v>0.1</v>
      </c>
      <c r="P67" s="52"/>
      <c r="Q67" s="47">
        <f t="shared" ref="Q67:Q73" si="7">ROUND(IF(OR(N67="",P67=""),0,IF(AND(N67=0,P67=0),1,IF(S67="+",P67/N67,N67/P67))),2)</f>
        <v>0</v>
      </c>
      <c r="R67" s="49">
        <f t="shared" si="6"/>
        <v>0</v>
      </c>
      <c r="S67" s="47" t="s">
        <v>31</v>
      </c>
      <c r="T67" s="47"/>
      <c r="U67" s="17"/>
      <c r="V67" s="17"/>
      <c r="W67" s="17"/>
      <c r="X67" s="17"/>
      <c r="Y67" s="17"/>
      <c r="Z67" s="17"/>
      <c r="AA67" s="17"/>
      <c r="AB67" s="17"/>
      <c r="AC67" s="17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</row>
    <row r="68" spans="1:48" s="19" customFormat="1" ht="21.6" x14ac:dyDescent="0.2">
      <c r="A68" s="41">
        <v>2073</v>
      </c>
      <c r="B68" s="42" t="s">
        <v>20</v>
      </c>
      <c r="C68" s="43" t="s">
        <v>21</v>
      </c>
      <c r="D68" s="66">
        <v>5569</v>
      </c>
      <c r="E68" s="42" t="s">
        <v>368</v>
      </c>
      <c r="F68" s="45" t="s">
        <v>335</v>
      </c>
      <c r="G68" s="42" t="s">
        <v>64</v>
      </c>
      <c r="H68" s="45" t="s">
        <v>304</v>
      </c>
      <c r="I68" s="46" t="s">
        <v>27</v>
      </c>
      <c r="J68" s="47">
        <v>0.7</v>
      </c>
      <c r="K68" s="55" t="s">
        <v>145</v>
      </c>
      <c r="L68" s="63" t="s">
        <v>314</v>
      </c>
      <c r="M68" s="55" t="s">
        <v>315</v>
      </c>
      <c r="N68" s="52" t="s">
        <v>196</v>
      </c>
      <c r="O68" s="47">
        <v>0.1</v>
      </c>
      <c r="P68" s="54"/>
      <c r="Q68" s="47">
        <f t="shared" si="7"/>
        <v>0</v>
      </c>
      <c r="R68" s="49">
        <f t="shared" si="6"/>
        <v>0</v>
      </c>
      <c r="S68" s="47" t="s">
        <v>36</v>
      </c>
      <c r="T68" s="47"/>
      <c r="U68" s="17"/>
      <c r="V68" s="17"/>
      <c r="W68" s="17"/>
      <c r="X68" s="17"/>
      <c r="Y68" s="17"/>
      <c r="Z68" s="17"/>
      <c r="AA68" s="17"/>
      <c r="AB68" s="17"/>
      <c r="AC68" s="17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</row>
    <row r="69" spans="1:48" s="19" customFormat="1" ht="21.6" x14ac:dyDescent="0.2">
      <c r="A69" s="41">
        <v>2074</v>
      </c>
      <c r="B69" s="42" t="s">
        <v>20</v>
      </c>
      <c r="C69" s="43" t="s">
        <v>21</v>
      </c>
      <c r="D69" s="66">
        <v>5569</v>
      </c>
      <c r="E69" s="42" t="s">
        <v>368</v>
      </c>
      <c r="F69" s="45" t="s">
        <v>335</v>
      </c>
      <c r="G69" s="42" t="s">
        <v>64</v>
      </c>
      <c r="H69" s="45" t="s">
        <v>304</v>
      </c>
      <c r="I69" s="46" t="s">
        <v>27</v>
      </c>
      <c r="J69" s="47">
        <v>0.7</v>
      </c>
      <c r="K69" s="55" t="s">
        <v>84</v>
      </c>
      <c r="L69" s="63" t="s">
        <v>316</v>
      </c>
      <c r="M69" s="55" t="s">
        <v>317</v>
      </c>
      <c r="N69" s="55" t="s">
        <v>196</v>
      </c>
      <c r="O69" s="47">
        <v>0.1</v>
      </c>
      <c r="P69" s="56"/>
      <c r="Q69" s="47">
        <f t="shared" si="7"/>
        <v>0</v>
      </c>
      <c r="R69" s="49">
        <f t="shared" si="6"/>
        <v>0</v>
      </c>
      <c r="S69" s="47" t="s">
        <v>36</v>
      </c>
      <c r="T69" s="47"/>
      <c r="U69" s="17"/>
      <c r="V69" s="17"/>
      <c r="W69" s="17"/>
      <c r="X69" s="17"/>
      <c r="Y69" s="17"/>
      <c r="Z69" s="17"/>
      <c r="AA69" s="17"/>
      <c r="AB69" s="17"/>
      <c r="AC69" s="17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</row>
    <row r="70" spans="1:48" s="19" customFormat="1" ht="21.6" x14ac:dyDescent="0.2">
      <c r="A70" s="41">
        <v>2075</v>
      </c>
      <c r="B70" s="42" t="s">
        <v>20</v>
      </c>
      <c r="C70" s="43" t="s">
        <v>21</v>
      </c>
      <c r="D70" s="66">
        <v>5569</v>
      </c>
      <c r="E70" s="42" t="s">
        <v>368</v>
      </c>
      <c r="F70" s="45" t="s">
        <v>335</v>
      </c>
      <c r="G70" s="42" t="s">
        <v>64</v>
      </c>
      <c r="H70" s="45" t="s">
        <v>304</v>
      </c>
      <c r="I70" s="57" t="s">
        <v>27</v>
      </c>
      <c r="J70" s="47">
        <v>0.7</v>
      </c>
      <c r="K70" s="57" t="s">
        <v>318</v>
      </c>
      <c r="L70" s="64" t="s">
        <v>319</v>
      </c>
      <c r="M70" s="57" t="s">
        <v>320</v>
      </c>
      <c r="N70" s="59" t="s">
        <v>127</v>
      </c>
      <c r="O70" s="60">
        <v>0.1</v>
      </c>
      <c r="P70" s="56"/>
      <c r="Q70" s="60">
        <f t="shared" si="7"/>
        <v>0</v>
      </c>
      <c r="R70" s="61">
        <f t="shared" si="6"/>
        <v>0</v>
      </c>
      <c r="S70" s="60" t="s">
        <v>31</v>
      </c>
      <c r="T70" s="60"/>
      <c r="U70" s="17"/>
      <c r="V70" s="17"/>
      <c r="W70" s="17"/>
      <c r="X70" s="17"/>
      <c r="Y70" s="17"/>
      <c r="Z70" s="17"/>
      <c r="AA70" s="17"/>
      <c r="AB70" s="17"/>
      <c r="AC70" s="17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</row>
    <row r="71" spans="1:48" s="19" customFormat="1" ht="21.6" x14ac:dyDescent="0.2">
      <c r="A71" s="41">
        <v>2076</v>
      </c>
      <c r="B71" s="42" t="s">
        <v>20</v>
      </c>
      <c r="C71" s="43" t="s">
        <v>21</v>
      </c>
      <c r="D71" s="66">
        <v>5569</v>
      </c>
      <c r="E71" s="42" t="s">
        <v>368</v>
      </c>
      <c r="F71" s="45" t="s">
        <v>335</v>
      </c>
      <c r="G71" s="42" t="s">
        <v>64</v>
      </c>
      <c r="H71" s="45" t="s">
        <v>304</v>
      </c>
      <c r="I71" s="57" t="s">
        <v>27</v>
      </c>
      <c r="J71" s="47">
        <v>0.7</v>
      </c>
      <c r="K71" s="57" t="s">
        <v>321</v>
      </c>
      <c r="L71" s="64" t="s">
        <v>322</v>
      </c>
      <c r="M71" s="57" t="s">
        <v>323</v>
      </c>
      <c r="N71" s="59" t="s">
        <v>156</v>
      </c>
      <c r="O71" s="60">
        <v>0.1</v>
      </c>
      <c r="P71" s="56"/>
      <c r="Q71" s="60">
        <f t="shared" si="7"/>
        <v>0</v>
      </c>
      <c r="R71" s="61">
        <f t="shared" si="6"/>
        <v>0</v>
      </c>
      <c r="S71" s="60" t="s">
        <v>31</v>
      </c>
      <c r="T71" s="60"/>
      <c r="U71" s="17"/>
      <c r="V71" s="17"/>
      <c r="W71" s="17"/>
      <c r="X71" s="17"/>
      <c r="Y71" s="17"/>
      <c r="Z71" s="17"/>
      <c r="AA71" s="17"/>
      <c r="AB71" s="17"/>
      <c r="AC71" s="17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</row>
    <row r="72" spans="1:48" s="19" customFormat="1" ht="21.6" x14ac:dyDescent="0.2">
      <c r="A72" s="41">
        <v>2077</v>
      </c>
      <c r="B72" s="42" t="s">
        <v>20</v>
      </c>
      <c r="C72" s="43" t="s">
        <v>21</v>
      </c>
      <c r="D72" s="66">
        <v>5569</v>
      </c>
      <c r="E72" s="42" t="s">
        <v>368</v>
      </c>
      <c r="F72" s="45" t="s">
        <v>335</v>
      </c>
      <c r="G72" s="42" t="s">
        <v>64</v>
      </c>
      <c r="H72" s="45" t="s">
        <v>304</v>
      </c>
      <c r="I72" s="57" t="s">
        <v>27</v>
      </c>
      <c r="J72" s="47">
        <v>0.7</v>
      </c>
      <c r="K72" s="57" t="s">
        <v>324</v>
      </c>
      <c r="L72" s="64" t="s">
        <v>325</v>
      </c>
      <c r="M72" s="25" t="s">
        <v>326</v>
      </c>
      <c r="N72" s="62" t="s">
        <v>127</v>
      </c>
      <c r="O72" s="60">
        <v>0.1</v>
      </c>
      <c r="P72" s="62"/>
      <c r="Q72" s="60">
        <f t="shared" si="7"/>
        <v>0</v>
      </c>
      <c r="R72" s="61">
        <f t="shared" si="6"/>
        <v>0</v>
      </c>
      <c r="S72" s="60" t="s">
        <v>31</v>
      </c>
      <c r="T72" s="60"/>
      <c r="U72" s="17"/>
      <c r="V72" s="17"/>
      <c r="W72" s="17"/>
      <c r="X72" s="17"/>
      <c r="Y72" s="17"/>
      <c r="Z72" s="17"/>
      <c r="AA72" s="17"/>
      <c r="AB72" s="17"/>
      <c r="AC72" s="17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</row>
    <row r="73" spans="1:48" s="19" customFormat="1" ht="21.6" x14ac:dyDescent="0.2">
      <c r="A73" s="41">
        <v>2078</v>
      </c>
      <c r="B73" s="42" t="s">
        <v>20</v>
      </c>
      <c r="C73" s="43" t="s">
        <v>21</v>
      </c>
      <c r="D73" s="66">
        <v>5569</v>
      </c>
      <c r="E73" s="42" t="s">
        <v>368</v>
      </c>
      <c r="F73" s="45" t="s">
        <v>335</v>
      </c>
      <c r="G73" s="42" t="s">
        <v>64</v>
      </c>
      <c r="H73" s="45" t="s">
        <v>304</v>
      </c>
      <c r="I73" s="57" t="s">
        <v>59</v>
      </c>
      <c r="J73" s="58">
        <v>0.3</v>
      </c>
      <c r="K73" s="57" t="s">
        <v>327</v>
      </c>
      <c r="L73" s="64" t="s">
        <v>328</v>
      </c>
      <c r="M73" s="25" t="s">
        <v>329</v>
      </c>
      <c r="N73" s="62" t="s">
        <v>330</v>
      </c>
      <c r="O73" s="60">
        <v>0.1</v>
      </c>
      <c r="P73" s="62"/>
      <c r="Q73" s="60">
        <f t="shared" si="7"/>
        <v>0</v>
      </c>
      <c r="R73" s="61">
        <f t="shared" si="6"/>
        <v>0</v>
      </c>
      <c r="S73" s="60" t="s">
        <v>31</v>
      </c>
      <c r="T73" s="60"/>
      <c r="U73" s="17"/>
      <c r="V73" s="17"/>
      <c r="W73" s="17"/>
      <c r="X73" s="17"/>
      <c r="Y73" s="17"/>
      <c r="Z73" s="17"/>
      <c r="AA73" s="17"/>
      <c r="AB73" s="17"/>
      <c r="AC73" s="17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</row>
    <row r="74" spans="1:48" s="19" customFormat="1" ht="21.6" x14ac:dyDescent="0.2">
      <c r="A74" s="41">
        <v>2070</v>
      </c>
      <c r="B74" s="42" t="s">
        <v>20</v>
      </c>
      <c r="C74" s="43" t="s">
        <v>21</v>
      </c>
      <c r="D74" s="66">
        <v>6019</v>
      </c>
      <c r="E74" s="42" t="s">
        <v>369</v>
      </c>
      <c r="F74" s="45" t="s">
        <v>370</v>
      </c>
      <c r="G74" s="42" t="s">
        <v>64</v>
      </c>
      <c r="H74" s="45" t="s">
        <v>304</v>
      </c>
      <c r="I74" s="46" t="s">
        <v>27</v>
      </c>
      <c r="J74" s="47">
        <v>0.7</v>
      </c>
      <c r="K74" s="55" t="s">
        <v>66</v>
      </c>
      <c r="L74" s="63" t="s">
        <v>305</v>
      </c>
      <c r="M74" s="13" t="s">
        <v>306</v>
      </c>
      <c r="N74" s="51" t="s">
        <v>112</v>
      </c>
      <c r="O74" s="47">
        <v>0.15</v>
      </c>
      <c r="P74" s="47"/>
      <c r="Q74" s="47">
        <f>ROUND(IF(OR(N74="",P74=""),0,IF(AND(N74=0,P74=0),1,IF(S74="+",P74/N74,N74/P74))),2)</f>
        <v>0</v>
      </c>
      <c r="R74" s="49">
        <f t="shared" si="6"/>
        <v>0</v>
      </c>
      <c r="S74" s="47" t="s">
        <v>31</v>
      </c>
      <c r="T74" s="50">
        <f>SUM(R74:R82)%</f>
        <v>0</v>
      </c>
      <c r="U74" s="17"/>
      <c r="V74" s="17"/>
      <c r="W74" s="17"/>
      <c r="X74" s="17"/>
      <c r="Y74" s="17"/>
      <c r="Z74" s="17"/>
      <c r="AA74" s="17"/>
      <c r="AB74" s="17"/>
      <c r="AC74" s="17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</row>
    <row r="75" spans="1:48" s="19" customFormat="1" ht="21.6" x14ac:dyDescent="0.2">
      <c r="A75" s="41">
        <v>2071</v>
      </c>
      <c r="B75" s="42" t="s">
        <v>20</v>
      </c>
      <c r="C75" s="43" t="s">
        <v>21</v>
      </c>
      <c r="D75" s="66">
        <v>6019</v>
      </c>
      <c r="E75" s="42" t="s">
        <v>369</v>
      </c>
      <c r="F75" s="45" t="s">
        <v>333</v>
      </c>
      <c r="G75" s="42" t="s">
        <v>64</v>
      </c>
      <c r="H75" s="45" t="s">
        <v>304</v>
      </c>
      <c r="I75" s="46" t="s">
        <v>27</v>
      </c>
      <c r="J75" s="47">
        <v>0.7</v>
      </c>
      <c r="K75" s="55" t="s">
        <v>307</v>
      </c>
      <c r="L75" s="63" t="s">
        <v>308</v>
      </c>
      <c r="M75" s="55" t="s">
        <v>309</v>
      </c>
      <c r="N75" s="51" t="s">
        <v>310</v>
      </c>
      <c r="O75" s="47">
        <v>0.15</v>
      </c>
      <c r="P75" s="52"/>
      <c r="Q75" s="47">
        <f>ROUND(IF(OR(N75="",P75=""),0,IF(AND(N75=0,P75=0),1,IF(S75="+",P75/N75,N75/P75))),2)</f>
        <v>0</v>
      </c>
      <c r="R75" s="49">
        <f t="shared" si="6"/>
        <v>0</v>
      </c>
      <c r="S75" s="47" t="s">
        <v>36</v>
      </c>
      <c r="T75" s="47"/>
      <c r="U75" s="17"/>
      <c r="V75" s="17"/>
      <c r="W75" s="17"/>
      <c r="X75" s="17"/>
      <c r="Y75" s="17"/>
      <c r="Z75" s="17"/>
      <c r="AA75" s="17"/>
      <c r="AB75" s="17"/>
      <c r="AC75" s="17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</row>
    <row r="76" spans="1:48" s="19" customFormat="1" ht="21.6" x14ac:dyDescent="0.2">
      <c r="A76" s="41">
        <v>2072</v>
      </c>
      <c r="B76" s="42" t="s">
        <v>20</v>
      </c>
      <c r="C76" s="43" t="s">
        <v>21</v>
      </c>
      <c r="D76" s="66">
        <v>6019</v>
      </c>
      <c r="E76" s="42" t="s">
        <v>369</v>
      </c>
      <c r="F76" s="45" t="s">
        <v>333</v>
      </c>
      <c r="G76" s="42" t="s">
        <v>64</v>
      </c>
      <c r="H76" s="45" t="s">
        <v>304</v>
      </c>
      <c r="I76" s="46" t="s">
        <v>27</v>
      </c>
      <c r="J76" s="47">
        <v>0.7</v>
      </c>
      <c r="K76" s="55" t="s">
        <v>311</v>
      </c>
      <c r="L76" s="63" t="s">
        <v>312</v>
      </c>
      <c r="M76" s="55" t="s">
        <v>313</v>
      </c>
      <c r="N76" s="53">
        <v>1</v>
      </c>
      <c r="O76" s="47">
        <v>0.1</v>
      </c>
      <c r="P76" s="52"/>
      <c r="Q76" s="47">
        <f t="shared" ref="Q76:Q82" si="8">ROUND(IF(OR(N76="",P76=""),0,IF(AND(N76=0,P76=0),1,IF(S76="+",P76/N76,N76/P76))),2)</f>
        <v>0</v>
      </c>
      <c r="R76" s="49">
        <f t="shared" si="6"/>
        <v>0</v>
      </c>
      <c r="S76" s="47" t="s">
        <v>31</v>
      </c>
      <c r="T76" s="47"/>
      <c r="U76" s="17"/>
      <c r="V76" s="17"/>
      <c r="W76" s="17"/>
      <c r="X76" s="17"/>
      <c r="Y76" s="17"/>
      <c r="Z76" s="17"/>
      <c r="AA76" s="17"/>
      <c r="AB76" s="17"/>
      <c r="AC76" s="17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</row>
    <row r="77" spans="1:48" s="19" customFormat="1" ht="21.6" x14ac:dyDescent="0.2">
      <c r="A77" s="41">
        <v>2073</v>
      </c>
      <c r="B77" s="42" t="s">
        <v>20</v>
      </c>
      <c r="C77" s="43" t="s">
        <v>21</v>
      </c>
      <c r="D77" s="66">
        <v>6019</v>
      </c>
      <c r="E77" s="42" t="s">
        <v>369</v>
      </c>
      <c r="F77" s="45" t="s">
        <v>333</v>
      </c>
      <c r="G77" s="42" t="s">
        <v>64</v>
      </c>
      <c r="H77" s="45" t="s">
        <v>304</v>
      </c>
      <c r="I77" s="46" t="s">
        <v>27</v>
      </c>
      <c r="J77" s="47">
        <v>0.7</v>
      </c>
      <c r="K77" s="55" t="s">
        <v>145</v>
      </c>
      <c r="L77" s="63" t="s">
        <v>314</v>
      </c>
      <c r="M77" s="55" t="s">
        <v>315</v>
      </c>
      <c r="N77" s="52" t="s">
        <v>196</v>
      </c>
      <c r="O77" s="47">
        <v>0.1</v>
      </c>
      <c r="P77" s="54"/>
      <c r="Q77" s="47">
        <f t="shared" si="8"/>
        <v>0</v>
      </c>
      <c r="R77" s="49">
        <f t="shared" si="6"/>
        <v>0</v>
      </c>
      <c r="S77" s="47" t="s">
        <v>36</v>
      </c>
      <c r="T77" s="47"/>
      <c r="U77" s="17"/>
      <c r="V77" s="17"/>
      <c r="W77" s="17"/>
      <c r="X77" s="17"/>
      <c r="Y77" s="17"/>
      <c r="Z77" s="17"/>
      <c r="AA77" s="17"/>
      <c r="AB77" s="17"/>
      <c r="AC77" s="17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</row>
    <row r="78" spans="1:48" s="19" customFormat="1" ht="21.6" x14ac:dyDescent="0.2">
      <c r="A78" s="41">
        <v>2074</v>
      </c>
      <c r="B78" s="42" t="s">
        <v>20</v>
      </c>
      <c r="C78" s="43" t="s">
        <v>21</v>
      </c>
      <c r="D78" s="66">
        <v>6019</v>
      </c>
      <c r="E78" s="42" t="s">
        <v>369</v>
      </c>
      <c r="F78" s="45" t="s">
        <v>333</v>
      </c>
      <c r="G78" s="42" t="s">
        <v>64</v>
      </c>
      <c r="H78" s="45" t="s">
        <v>304</v>
      </c>
      <c r="I78" s="46" t="s">
        <v>27</v>
      </c>
      <c r="J78" s="47">
        <v>0.7</v>
      </c>
      <c r="K78" s="55" t="s">
        <v>84</v>
      </c>
      <c r="L78" s="63" t="s">
        <v>316</v>
      </c>
      <c r="M78" s="55" t="s">
        <v>317</v>
      </c>
      <c r="N78" s="55" t="s">
        <v>196</v>
      </c>
      <c r="O78" s="47">
        <v>0.1</v>
      </c>
      <c r="P78" s="56"/>
      <c r="Q78" s="47">
        <f t="shared" si="8"/>
        <v>0</v>
      </c>
      <c r="R78" s="49">
        <f t="shared" si="6"/>
        <v>0</v>
      </c>
      <c r="S78" s="47" t="s">
        <v>36</v>
      </c>
      <c r="T78" s="47"/>
      <c r="U78" s="17"/>
      <c r="V78" s="17"/>
      <c r="W78" s="17"/>
      <c r="X78" s="17"/>
      <c r="Y78" s="17"/>
      <c r="Z78" s="17"/>
      <c r="AA78" s="17"/>
      <c r="AB78" s="17"/>
      <c r="AC78" s="17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</row>
    <row r="79" spans="1:48" s="19" customFormat="1" ht="21.6" x14ac:dyDescent="0.2">
      <c r="A79" s="41">
        <v>2075</v>
      </c>
      <c r="B79" s="42" t="s">
        <v>20</v>
      </c>
      <c r="C79" s="43" t="s">
        <v>21</v>
      </c>
      <c r="D79" s="66">
        <v>6019</v>
      </c>
      <c r="E79" s="42" t="s">
        <v>369</v>
      </c>
      <c r="F79" s="45" t="s">
        <v>333</v>
      </c>
      <c r="G79" s="42" t="s">
        <v>64</v>
      </c>
      <c r="H79" s="45" t="s">
        <v>304</v>
      </c>
      <c r="I79" s="57" t="s">
        <v>27</v>
      </c>
      <c r="J79" s="47">
        <v>0.7</v>
      </c>
      <c r="K79" s="57" t="s">
        <v>318</v>
      </c>
      <c r="L79" s="64" t="s">
        <v>319</v>
      </c>
      <c r="M79" s="57" t="s">
        <v>320</v>
      </c>
      <c r="N79" s="59" t="s">
        <v>127</v>
      </c>
      <c r="O79" s="60">
        <v>0.1</v>
      </c>
      <c r="P79" s="56"/>
      <c r="Q79" s="60">
        <f t="shared" si="8"/>
        <v>0</v>
      </c>
      <c r="R79" s="61">
        <f t="shared" si="6"/>
        <v>0</v>
      </c>
      <c r="S79" s="60" t="s">
        <v>31</v>
      </c>
      <c r="T79" s="60"/>
      <c r="U79" s="17"/>
      <c r="V79" s="17"/>
      <c r="W79" s="17"/>
      <c r="X79" s="17"/>
      <c r="Y79" s="17"/>
      <c r="Z79" s="17"/>
      <c r="AA79" s="17"/>
      <c r="AB79" s="17"/>
      <c r="AC79" s="17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</row>
    <row r="80" spans="1:48" s="19" customFormat="1" ht="21.6" x14ac:dyDescent="0.2">
      <c r="A80" s="41">
        <v>2076</v>
      </c>
      <c r="B80" s="42" t="s">
        <v>20</v>
      </c>
      <c r="C80" s="43" t="s">
        <v>21</v>
      </c>
      <c r="D80" s="66">
        <v>6019</v>
      </c>
      <c r="E80" s="42" t="s">
        <v>369</v>
      </c>
      <c r="F80" s="45" t="s">
        <v>333</v>
      </c>
      <c r="G80" s="42" t="s">
        <v>64</v>
      </c>
      <c r="H80" s="45" t="s">
        <v>304</v>
      </c>
      <c r="I80" s="57" t="s">
        <v>27</v>
      </c>
      <c r="J80" s="47">
        <v>0.7</v>
      </c>
      <c r="K80" s="57" t="s">
        <v>321</v>
      </c>
      <c r="L80" s="64" t="s">
        <v>322</v>
      </c>
      <c r="M80" s="57" t="s">
        <v>323</v>
      </c>
      <c r="N80" s="59" t="s">
        <v>156</v>
      </c>
      <c r="O80" s="60">
        <v>0.1</v>
      </c>
      <c r="P80" s="56"/>
      <c r="Q80" s="60">
        <f t="shared" si="8"/>
        <v>0</v>
      </c>
      <c r="R80" s="61">
        <f t="shared" si="6"/>
        <v>0</v>
      </c>
      <c r="S80" s="60" t="s">
        <v>31</v>
      </c>
      <c r="T80" s="60"/>
      <c r="U80" s="17"/>
      <c r="V80" s="17"/>
      <c r="W80" s="17"/>
      <c r="X80" s="17"/>
      <c r="Y80" s="17"/>
      <c r="Z80" s="17"/>
      <c r="AA80" s="17"/>
      <c r="AB80" s="17"/>
      <c r="AC80" s="17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</row>
    <row r="81" spans="1:48" s="19" customFormat="1" ht="21.6" x14ac:dyDescent="0.2">
      <c r="A81" s="41">
        <v>2077</v>
      </c>
      <c r="B81" s="42" t="s">
        <v>20</v>
      </c>
      <c r="C81" s="43" t="s">
        <v>21</v>
      </c>
      <c r="D81" s="66">
        <v>6019</v>
      </c>
      <c r="E81" s="42" t="s">
        <v>369</v>
      </c>
      <c r="F81" s="45" t="s">
        <v>333</v>
      </c>
      <c r="G81" s="42" t="s">
        <v>64</v>
      </c>
      <c r="H81" s="45" t="s">
        <v>304</v>
      </c>
      <c r="I81" s="57" t="s">
        <v>27</v>
      </c>
      <c r="J81" s="47">
        <v>0.7</v>
      </c>
      <c r="K81" s="57" t="s">
        <v>324</v>
      </c>
      <c r="L81" s="64" t="s">
        <v>325</v>
      </c>
      <c r="M81" s="25" t="s">
        <v>326</v>
      </c>
      <c r="N81" s="62" t="s">
        <v>127</v>
      </c>
      <c r="O81" s="60">
        <v>0.1</v>
      </c>
      <c r="P81" s="62"/>
      <c r="Q81" s="60">
        <f t="shared" si="8"/>
        <v>0</v>
      </c>
      <c r="R81" s="61">
        <f t="shared" si="6"/>
        <v>0</v>
      </c>
      <c r="S81" s="60" t="s">
        <v>31</v>
      </c>
      <c r="T81" s="60"/>
      <c r="U81" s="17"/>
      <c r="V81" s="17"/>
      <c r="W81" s="17"/>
      <c r="X81" s="17"/>
      <c r="Y81" s="17"/>
      <c r="Z81" s="17"/>
      <c r="AA81" s="17"/>
      <c r="AB81" s="17"/>
      <c r="AC81" s="17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</row>
    <row r="82" spans="1:48" s="19" customFormat="1" ht="21.6" x14ac:dyDescent="0.2">
      <c r="A82" s="41">
        <v>2078</v>
      </c>
      <c r="B82" s="42" t="s">
        <v>20</v>
      </c>
      <c r="C82" s="43" t="s">
        <v>21</v>
      </c>
      <c r="D82" s="66">
        <v>6019</v>
      </c>
      <c r="E82" s="42" t="s">
        <v>369</v>
      </c>
      <c r="F82" s="45" t="s">
        <v>333</v>
      </c>
      <c r="G82" s="42" t="s">
        <v>64</v>
      </c>
      <c r="H82" s="45" t="s">
        <v>304</v>
      </c>
      <c r="I82" s="57" t="s">
        <v>59</v>
      </c>
      <c r="J82" s="58">
        <v>0.3</v>
      </c>
      <c r="K82" s="57" t="s">
        <v>327</v>
      </c>
      <c r="L82" s="64" t="s">
        <v>328</v>
      </c>
      <c r="M82" s="25" t="s">
        <v>329</v>
      </c>
      <c r="N82" s="62" t="s">
        <v>330</v>
      </c>
      <c r="O82" s="60">
        <v>0.1</v>
      </c>
      <c r="P82" s="62"/>
      <c r="Q82" s="60">
        <f t="shared" si="8"/>
        <v>0</v>
      </c>
      <c r="R82" s="61">
        <f t="shared" si="6"/>
        <v>0</v>
      </c>
      <c r="S82" s="60" t="s">
        <v>31</v>
      </c>
      <c r="T82" s="60"/>
      <c r="U82" s="17"/>
      <c r="V82" s="17"/>
      <c r="W82" s="17"/>
      <c r="X82" s="17"/>
      <c r="Y82" s="17"/>
      <c r="Z82" s="17"/>
      <c r="AA82" s="17"/>
      <c r="AB82" s="17"/>
      <c r="AC82" s="17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</row>
    <row r="83" spans="1:48" s="19" customFormat="1" ht="21.6" x14ac:dyDescent="0.2">
      <c r="A83" s="41">
        <v>2070</v>
      </c>
      <c r="B83" s="42" t="s">
        <v>20</v>
      </c>
      <c r="C83" s="43" t="s">
        <v>21</v>
      </c>
      <c r="D83" s="66">
        <v>6149</v>
      </c>
      <c r="E83" s="42" t="s">
        <v>371</v>
      </c>
      <c r="F83" s="45" t="s">
        <v>335</v>
      </c>
      <c r="G83" s="42" t="s">
        <v>64</v>
      </c>
      <c r="H83" s="45" t="s">
        <v>304</v>
      </c>
      <c r="I83" s="46" t="s">
        <v>27</v>
      </c>
      <c r="J83" s="47">
        <v>0.7</v>
      </c>
      <c r="K83" s="55" t="s">
        <v>66</v>
      </c>
      <c r="L83" s="63" t="s">
        <v>305</v>
      </c>
      <c r="M83" s="13" t="s">
        <v>306</v>
      </c>
      <c r="N83" s="51" t="s">
        <v>112</v>
      </c>
      <c r="O83" s="47">
        <v>0.15</v>
      </c>
      <c r="P83" s="47"/>
      <c r="Q83" s="47">
        <f>ROUND(IF(OR(N83="",P83=""),0,IF(AND(N83=0,P83=0),1,IF(S83="+",P83/N83,N83/P83))),2)</f>
        <v>0</v>
      </c>
      <c r="R83" s="49">
        <f t="shared" si="6"/>
        <v>0</v>
      </c>
      <c r="S83" s="47" t="s">
        <v>31</v>
      </c>
      <c r="T83" s="50">
        <f>SUM(R83:R91)%</f>
        <v>0</v>
      </c>
      <c r="U83" s="17"/>
      <c r="V83" s="17"/>
      <c r="W83" s="17"/>
      <c r="X83" s="17"/>
      <c r="Y83" s="17"/>
      <c r="Z83" s="17"/>
      <c r="AA83" s="17"/>
      <c r="AB83" s="17"/>
      <c r="AC83" s="17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</row>
    <row r="84" spans="1:48" s="19" customFormat="1" ht="21.6" x14ac:dyDescent="0.2">
      <c r="A84" s="41">
        <v>2071</v>
      </c>
      <c r="B84" s="42" t="s">
        <v>20</v>
      </c>
      <c r="C84" s="43" t="s">
        <v>21</v>
      </c>
      <c r="D84" s="66">
        <v>6149</v>
      </c>
      <c r="E84" s="42" t="s">
        <v>371</v>
      </c>
      <c r="F84" s="45" t="s">
        <v>335</v>
      </c>
      <c r="G84" s="42" t="s">
        <v>64</v>
      </c>
      <c r="H84" s="45" t="s">
        <v>304</v>
      </c>
      <c r="I84" s="46" t="s">
        <v>27</v>
      </c>
      <c r="J84" s="47">
        <v>0.7</v>
      </c>
      <c r="K84" s="55" t="s">
        <v>307</v>
      </c>
      <c r="L84" s="63" t="s">
        <v>308</v>
      </c>
      <c r="M84" s="55" t="s">
        <v>309</v>
      </c>
      <c r="N84" s="51" t="s">
        <v>310</v>
      </c>
      <c r="O84" s="47">
        <v>0.15</v>
      </c>
      <c r="P84" s="52"/>
      <c r="Q84" s="47">
        <f>ROUND(IF(OR(N84="",P84=""),0,IF(AND(N84=0,P84=0),1,IF(S84="+",P84/N84,N84/P84))),2)</f>
        <v>0</v>
      </c>
      <c r="R84" s="49">
        <f t="shared" si="6"/>
        <v>0</v>
      </c>
      <c r="S84" s="47" t="s">
        <v>36</v>
      </c>
      <c r="T84" s="47"/>
      <c r="U84" s="17"/>
      <c r="V84" s="17"/>
      <c r="W84" s="17"/>
      <c r="X84" s="17"/>
      <c r="Y84" s="17"/>
      <c r="Z84" s="17"/>
      <c r="AA84" s="17"/>
      <c r="AB84" s="17"/>
      <c r="AC84" s="17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</row>
    <row r="85" spans="1:48" s="19" customFormat="1" ht="21.6" x14ac:dyDescent="0.2">
      <c r="A85" s="41">
        <v>2072</v>
      </c>
      <c r="B85" s="42" t="s">
        <v>20</v>
      </c>
      <c r="C85" s="43" t="s">
        <v>21</v>
      </c>
      <c r="D85" s="66">
        <v>6149</v>
      </c>
      <c r="E85" s="42" t="s">
        <v>371</v>
      </c>
      <c r="F85" s="45" t="s">
        <v>335</v>
      </c>
      <c r="G85" s="42" t="s">
        <v>64</v>
      </c>
      <c r="H85" s="45" t="s">
        <v>304</v>
      </c>
      <c r="I85" s="46" t="s">
        <v>27</v>
      </c>
      <c r="J85" s="47">
        <v>0.7</v>
      </c>
      <c r="K85" s="55" t="s">
        <v>311</v>
      </c>
      <c r="L85" s="63" t="s">
        <v>312</v>
      </c>
      <c r="M85" s="55" t="s">
        <v>313</v>
      </c>
      <c r="N85" s="53">
        <v>1</v>
      </c>
      <c r="O85" s="47">
        <v>0.1</v>
      </c>
      <c r="P85" s="52"/>
      <c r="Q85" s="47">
        <f t="shared" ref="Q85:Q91" si="9">ROUND(IF(OR(N85="",P85=""),0,IF(AND(N85=0,P85=0),1,IF(S85="+",P85/N85,N85/P85))),2)</f>
        <v>0</v>
      </c>
      <c r="R85" s="49">
        <f t="shared" si="6"/>
        <v>0</v>
      </c>
      <c r="S85" s="47" t="s">
        <v>31</v>
      </c>
      <c r="T85" s="47"/>
      <c r="U85" s="17"/>
      <c r="V85" s="17"/>
      <c r="W85" s="17"/>
      <c r="X85" s="17"/>
      <c r="Y85" s="17"/>
      <c r="Z85" s="17"/>
      <c r="AA85" s="17"/>
      <c r="AB85" s="17"/>
      <c r="AC85" s="17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</row>
    <row r="86" spans="1:48" s="19" customFormat="1" ht="21.6" x14ac:dyDescent="0.2">
      <c r="A86" s="41">
        <v>2073</v>
      </c>
      <c r="B86" s="42" t="s">
        <v>20</v>
      </c>
      <c r="C86" s="43" t="s">
        <v>21</v>
      </c>
      <c r="D86" s="66">
        <v>6149</v>
      </c>
      <c r="E86" s="42" t="s">
        <v>371</v>
      </c>
      <c r="F86" s="45" t="s">
        <v>335</v>
      </c>
      <c r="G86" s="42" t="s">
        <v>64</v>
      </c>
      <c r="H86" s="45" t="s">
        <v>304</v>
      </c>
      <c r="I86" s="46" t="s">
        <v>27</v>
      </c>
      <c r="J86" s="47">
        <v>0.7</v>
      </c>
      <c r="K86" s="55" t="s">
        <v>145</v>
      </c>
      <c r="L86" s="63" t="s">
        <v>314</v>
      </c>
      <c r="M86" s="55" t="s">
        <v>315</v>
      </c>
      <c r="N86" s="52" t="s">
        <v>196</v>
      </c>
      <c r="O86" s="47">
        <v>0.1</v>
      </c>
      <c r="P86" s="54"/>
      <c r="Q86" s="47">
        <f t="shared" si="9"/>
        <v>0</v>
      </c>
      <c r="R86" s="49">
        <f t="shared" si="6"/>
        <v>0</v>
      </c>
      <c r="S86" s="47" t="s">
        <v>36</v>
      </c>
      <c r="T86" s="47"/>
      <c r="U86" s="17"/>
      <c r="V86" s="17"/>
      <c r="W86" s="17"/>
      <c r="X86" s="17"/>
      <c r="Y86" s="17"/>
      <c r="Z86" s="17"/>
      <c r="AA86" s="17"/>
      <c r="AB86" s="17"/>
      <c r="AC86" s="17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</row>
    <row r="87" spans="1:48" s="19" customFormat="1" ht="21.6" x14ac:dyDescent="0.2">
      <c r="A87" s="41">
        <v>2074</v>
      </c>
      <c r="B87" s="42" t="s">
        <v>20</v>
      </c>
      <c r="C87" s="43" t="s">
        <v>21</v>
      </c>
      <c r="D87" s="66">
        <v>6149</v>
      </c>
      <c r="E87" s="42" t="s">
        <v>371</v>
      </c>
      <c r="F87" s="45" t="s">
        <v>335</v>
      </c>
      <c r="G87" s="42" t="s">
        <v>64</v>
      </c>
      <c r="H87" s="45" t="s">
        <v>304</v>
      </c>
      <c r="I87" s="46" t="s">
        <v>27</v>
      </c>
      <c r="J87" s="47">
        <v>0.7</v>
      </c>
      <c r="K87" s="55" t="s">
        <v>84</v>
      </c>
      <c r="L87" s="63" t="s">
        <v>316</v>
      </c>
      <c r="M87" s="55" t="s">
        <v>317</v>
      </c>
      <c r="N87" s="55" t="s">
        <v>196</v>
      </c>
      <c r="O87" s="47">
        <v>0.1</v>
      </c>
      <c r="P87" s="56"/>
      <c r="Q87" s="47">
        <f t="shared" si="9"/>
        <v>0</v>
      </c>
      <c r="R87" s="49">
        <f t="shared" si="6"/>
        <v>0</v>
      </c>
      <c r="S87" s="47" t="s">
        <v>36</v>
      </c>
      <c r="T87" s="47"/>
      <c r="U87" s="17"/>
      <c r="V87" s="17"/>
      <c r="W87" s="17"/>
      <c r="X87" s="17"/>
      <c r="Y87" s="17"/>
      <c r="Z87" s="17"/>
      <c r="AA87" s="17"/>
      <c r="AB87" s="17"/>
      <c r="AC87" s="17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</row>
    <row r="88" spans="1:48" s="19" customFormat="1" ht="21.6" x14ac:dyDescent="0.2">
      <c r="A88" s="41">
        <v>2075</v>
      </c>
      <c r="B88" s="42" t="s">
        <v>20</v>
      </c>
      <c r="C88" s="43" t="s">
        <v>21</v>
      </c>
      <c r="D88" s="66">
        <v>6149</v>
      </c>
      <c r="E88" s="42" t="s">
        <v>371</v>
      </c>
      <c r="F88" s="45" t="s">
        <v>335</v>
      </c>
      <c r="G88" s="42" t="s">
        <v>64</v>
      </c>
      <c r="H88" s="45" t="s">
        <v>304</v>
      </c>
      <c r="I88" s="57" t="s">
        <v>27</v>
      </c>
      <c r="J88" s="47">
        <v>0.7</v>
      </c>
      <c r="K88" s="57" t="s">
        <v>318</v>
      </c>
      <c r="L88" s="64" t="s">
        <v>319</v>
      </c>
      <c r="M88" s="57" t="s">
        <v>320</v>
      </c>
      <c r="N88" s="59" t="s">
        <v>127</v>
      </c>
      <c r="O88" s="60">
        <v>0.1</v>
      </c>
      <c r="P88" s="56"/>
      <c r="Q88" s="60">
        <f t="shared" si="9"/>
        <v>0</v>
      </c>
      <c r="R88" s="61">
        <f t="shared" si="6"/>
        <v>0</v>
      </c>
      <c r="S88" s="60" t="s">
        <v>31</v>
      </c>
      <c r="T88" s="60"/>
      <c r="U88" s="17"/>
      <c r="V88" s="17"/>
      <c r="W88" s="17"/>
      <c r="X88" s="17"/>
      <c r="Y88" s="17"/>
      <c r="Z88" s="17"/>
      <c r="AA88" s="17"/>
      <c r="AB88" s="17"/>
      <c r="AC88" s="17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</row>
    <row r="89" spans="1:48" s="19" customFormat="1" ht="21.6" x14ac:dyDescent="0.2">
      <c r="A89" s="41">
        <v>2076</v>
      </c>
      <c r="B89" s="42" t="s">
        <v>20</v>
      </c>
      <c r="C89" s="43" t="s">
        <v>21</v>
      </c>
      <c r="D89" s="66">
        <v>6149</v>
      </c>
      <c r="E89" s="42" t="s">
        <v>371</v>
      </c>
      <c r="F89" s="45" t="s">
        <v>335</v>
      </c>
      <c r="G89" s="42" t="s">
        <v>64</v>
      </c>
      <c r="H89" s="45" t="s">
        <v>304</v>
      </c>
      <c r="I89" s="57" t="s">
        <v>27</v>
      </c>
      <c r="J89" s="47">
        <v>0.7</v>
      </c>
      <c r="K89" s="57" t="s">
        <v>321</v>
      </c>
      <c r="L89" s="64" t="s">
        <v>322</v>
      </c>
      <c r="M89" s="57" t="s">
        <v>323</v>
      </c>
      <c r="N89" s="59" t="s">
        <v>156</v>
      </c>
      <c r="O89" s="60">
        <v>0.1</v>
      </c>
      <c r="P89" s="56"/>
      <c r="Q89" s="60">
        <f t="shared" si="9"/>
        <v>0</v>
      </c>
      <c r="R89" s="61">
        <f t="shared" si="6"/>
        <v>0</v>
      </c>
      <c r="S89" s="60" t="s">
        <v>31</v>
      </c>
      <c r="T89" s="60"/>
      <c r="U89" s="17"/>
      <c r="V89" s="17"/>
      <c r="W89" s="17"/>
      <c r="X89" s="17"/>
      <c r="Y89" s="17"/>
      <c r="Z89" s="17"/>
      <c r="AA89" s="17"/>
      <c r="AB89" s="17"/>
      <c r="AC89" s="17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</row>
    <row r="90" spans="1:48" s="19" customFormat="1" ht="21.6" x14ac:dyDescent="0.2">
      <c r="A90" s="41">
        <v>2077</v>
      </c>
      <c r="B90" s="42" t="s">
        <v>20</v>
      </c>
      <c r="C90" s="43" t="s">
        <v>21</v>
      </c>
      <c r="D90" s="66">
        <v>6149</v>
      </c>
      <c r="E90" s="42" t="s">
        <v>371</v>
      </c>
      <c r="F90" s="45" t="s">
        <v>335</v>
      </c>
      <c r="G90" s="42" t="s">
        <v>64</v>
      </c>
      <c r="H90" s="45" t="s">
        <v>304</v>
      </c>
      <c r="I90" s="57" t="s">
        <v>27</v>
      </c>
      <c r="J90" s="47">
        <v>0.7</v>
      </c>
      <c r="K90" s="57" t="s">
        <v>324</v>
      </c>
      <c r="L90" s="64" t="s">
        <v>325</v>
      </c>
      <c r="M90" s="25" t="s">
        <v>326</v>
      </c>
      <c r="N90" s="62" t="s">
        <v>127</v>
      </c>
      <c r="O90" s="60">
        <v>0.1</v>
      </c>
      <c r="P90" s="62"/>
      <c r="Q90" s="60">
        <f t="shared" si="9"/>
        <v>0</v>
      </c>
      <c r="R90" s="61">
        <f t="shared" si="6"/>
        <v>0</v>
      </c>
      <c r="S90" s="60" t="s">
        <v>31</v>
      </c>
      <c r="T90" s="60"/>
      <c r="U90" s="17"/>
      <c r="V90" s="17"/>
      <c r="W90" s="17"/>
      <c r="X90" s="17"/>
      <c r="Y90" s="17"/>
      <c r="Z90" s="17"/>
      <c r="AA90" s="17"/>
      <c r="AB90" s="17"/>
      <c r="AC90" s="17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</row>
    <row r="91" spans="1:48" s="19" customFormat="1" ht="21.6" x14ac:dyDescent="0.2">
      <c r="A91" s="41">
        <v>2078</v>
      </c>
      <c r="B91" s="42" t="s">
        <v>20</v>
      </c>
      <c r="C91" s="43" t="s">
        <v>21</v>
      </c>
      <c r="D91" s="66">
        <v>6149</v>
      </c>
      <c r="E91" s="42" t="s">
        <v>371</v>
      </c>
      <c r="F91" s="45" t="s">
        <v>335</v>
      </c>
      <c r="G91" s="42" t="s">
        <v>64</v>
      </c>
      <c r="H91" s="45" t="s">
        <v>304</v>
      </c>
      <c r="I91" s="57" t="s">
        <v>59</v>
      </c>
      <c r="J91" s="58">
        <v>0.3</v>
      </c>
      <c r="K91" s="57" t="s">
        <v>327</v>
      </c>
      <c r="L91" s="64" t="s">
        <v>328</v>
      </c>
      <c r="M91" s="25" t="s">
        <v>329</v>
      </c>
      <c r="N91" s="62" t="s">
        <v>330</v>
      </c>
      <c r="O91" s="60">
        <v>0.1</v>
      </c>
      <c r="P91" s="62"/>
      <c r="Q91" s="60">
        <f t="shared" si="9"/>
        <v>0</v>
      </c>
      <c r="R91" s="61">
        <f t="shared" si="6"/>
        <v>0</v>
      </c>
      <c r="S91" s="60" t="s">
        <v>31</v>
      </c>
      <c r="T91" s="60"/>
      <c r="U91" s="17"/>
      <c r="V91" s="17"/>
      <c r="W91" s="17"/>
      <c r="X91" s="17"/>
      <c r="Y91" s="17"/>
      <c r="Z91" s="17"/>
      <c r="AA91" s="17"/>
      <c r="AB91" s="17"/>
      <c r="AC91" s="17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</row>
    <row r="92" spans="1:48" s="19" customFormat="1" ht="21.6" x14ac:dyDescent="0.2">
      <c r="A92" s="41">
        <v>2070</v>
      </c>
      <c r="B92" s="42" t="s">
        <v>20</v>
      </c>
      <c r="C92" s="43" t="s">
        <v>21</v>
      </c>
      <c r="D92" s="66">
        <v>6234</v>
      </c>
      <c r="E92" s="42" t="s">
        <v>372</v>
      </c>
      <c r="F92" s="45" t="s">
        <v>335</v>
      </c>
      <c r="G92" s="42" t="s">
        <v>64</v>
      </c>
      <c r="H92" s="45" t="s">
        <v>304</v>
      </c>
      <c r="I92" s="46" t="s">
        <v>27</v>
      </c>
      <c r="J92" s="47">
        <v>0.7</v>
      </c>
      <c r="K92" s="55" t="s">
        <v>66</v>
      </c>
      <c r="L92" s="63" t="s">
        <v>305</v>
      </c>
      <c r="M92" s="13" t="s">
        <v>306</v>
      </c>
      <c r="N92" s="51" t="s">
        <v>112</v>
      </c>
      <c r="O92" s="47">
        <v>0.15</v>
      </c>
      <c r="P92" s="47"/>
      <c r="Q92" s="47">
        <f>ROUND(IF(OR(N92="",P92=""),0,IF(AND(N92=0,P92=0),1,IF(S92="+",P92/N92,N92/P92))),2)</f>
        <v>0</v>
      </c>
      <c r="R92" s="49">
        <f t="shared" si="6"/>
        <v>0</v>
      </c>
      <c r="S92" s="47" t="s">
        <v>31</v>
      </c>
      <c r="T92" s="50">
        <f>SUM(R92:R100)%</f>
        <v>0</v>
      </c>
      <c r="U92" s="17"/>
      <c r="V92" s="17"/>
      <c r="W92" s="17"/>
      <c r="X92" s="17"/>
      <c r="Y92" s="17"/>
      <c r="Z92" s="17"/>
      <c r="AA92" s="17"/>
      <c r="AB92" s="17"/>
      <c r="AC92" s="17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</row>
    <row r="93" spans="1:48" s="19" customFormat="1" ht="21.6" x14ac:dyDescent="0.2">
      <c r="A93" s="41">
        <v>2071</v>
      </c>
      <c r="B93" s="42" t="s">
        <v>20</v>
      </c>
      <c r="C93" s="43" t="s">
        <v>21</v>
      </c>
      <c r="D93" s="66">
        <v>6234</v>
      </c>
      <c r="E93" s="42" t="s">
        <v>372</v>
      </c>
      <c r="F93" s="45" t="s">
        <v>335</v>
      </c>
      <c r="G93" s="42" t="s">
        <v>64</v>
      </c>
      <c r="H93" s="45" t="s">
        <v>304</v>
      </c>
      <c r="I93" s="46" t="s">
        <v>27</v>
      </c>
      <c r="J93" s="47">
        <v>0.7</v>
      </c>
      <c r="K93" s="55" t="s">
        <v>307</v>
      </c>
      <c r="L93" s="63" t="s">
        <v>308</v>
      </c>
      <c r="M93" s="55" t="s">
        <v>309</v>
      </c>
      <c r="N93" s="51" t="s">
        <v>310</v>
      </c>
      <c r="O93" s="47">
        <v>0.15</v>
      </c>
      <c r="P93" s="52"/>
      <c r="Q93" s="47">
        <f>ROUND(IF(OR(N93="",P93=""),0,IF(AND(N93=0,P93=0),1,IF(S93="+",P93/N93,N93/P93))),2)</f>
        <v>0</v>
      </c>
      <c r="R93" s="49">
        <f t="shared" si="6"/>
        <v>0</v>
      </c>
      <c r="S93" s="47" t="s">
        <v>36</v>
      </c>
      <c r="T93" s="47"/>
      <c r="U93" s="17"/>
      <c r="V93" s="17"/>
      <c r="W93" s="17"/>
      <c r="X93" s="17"/>
      <c r="Y93" s="17"/>
      <c r="Z93" s="17"/>
      <c r="AA93" s="17"/>
      <c r="AB93" s="17"/>
      <c r="AC93" s="17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</row>
    <row r="94" spans="1:48" s="19" customFormat="1" ht="21.6" x14ac:dyDescent="0.2">
      <c r="A94" s="41">
        <v>2072</v>
      </c>
      <c r="B94" s="42" t="s">
        <v>20</v>
      </c>
      <c r="C94" s="43" t="s">
        <v>21</v>
      </c>
      <c r="D94" s="66">
        <v>6234</v>
      </c>
      <c r="E94" s="42" t="s">
        <v>372</v>
      </c>
      <c r="F94" s="45" t="s">
        <v>335</v>
      </c>
      <c r="G94" s="42" t="s">
        <v>64</v>
      </c>
      <c r="H94" s="45" t="s">
        <v>304</v>
      </c>
      <c r="I94" s="46" t="s">
        <v>27</v>
      </c>
      <c r="J94" s="47">
        <v>0.7</v>
      </c>
      <c r="K94" s="55" t="s">
        <v>311</v>
      </c>
      <c r="L94" s="63" t="s">
        <v>312</v>
      </c>
      <c r="M94" s="55" t="s">
        <v>313</v>
      </c>
      <c r="N94" s="53">
        <v>1</v>
      </c>
      <c r="O94" s="47">
        <v>0.1</v>
      </c>
      <c r="P94" s="52"/>
      <c r="Q94" s="47">
        <f t="shared" ref="Q94:Q100" si="10">ROUND(IF(OR(N94="",P94=""),0,IF(AND(N94=0,P94=0),1,IF(S94="+",P94/N94,N94/P94))),2)</f>
        <v>0</v>
      </c>
      <c r="R94" s="49">
        <f t="shared" si="6"/>
        <v>0</v>
      </c>
      <c r="S94" s="47" t="s">
        <v>31</v>
      </c>
      <c r="T94" s="47"/>
      <c r="U94" s="17"/>
      <c r="V94" s="17"/>
      <c r="W94" s="17"/>
      <c r="X94" s="17"/>
      <c r="Y94" s="17"/>
      <c r="Z94" s="17"/>
      <c r="AA94" s="17"/>
      <c r="AB94" s="17"/>
      <c r="AC94" s="17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</row>
    <row r="95" spans="1:48" s="19" customFormat="1" ht="21.6" x14ac:dyDescent="0.2">
      <c r="A95" s="41">
        <v>2073</v>
      </c>
      <c r="B95" s="42" t="s">
        <v>20</v>
      </c>
      <c r="C95" s="43" t="s">
        <v>21</v>
      </c>
      <c r="D95" s="66">
        <v>6234</v>
      </c>
      <c r="E95" s="42" t="s">
        <v>372</v>
      </c>
      <c r="F95" s="45" t="s">
        <v>335</v>
      </c>
      <c r="G95" s="42" t="s">
        <v>64</v>
      </c>
      <c r="H95" s="45" t="s">
        <v>304</v>
      </c>
      <c r="I95" s="46" t="s">
        <v>27</v>
      </c>
      <c r="J95" s="47">
        <v>0.7</v>
      </c>
      <c r="K95" s="55" t="s">
        <v>145</v>
      </c>
      <c r="L95" s="63" t="s">
        <v>314</v>
      </c>
      <c r="M95" s="55" t="s">
        <v>315</v>
      </c>
      <c r="N95" s="52" t="s">
        <v>196</v>
      </c>
      <c r="O95" s="47">
        <v>0.1</v>
      </c>
      <c r="P95" s="54"/>
      <c r="Q95" s="47">
        <f t="shared" si="10"/>
        <v>0</v>
      </c>
      <c r="R95" s="49">
        <f t="shared" si="6"/>
        <v>0</v>
      </c>
      <c r="S95" s="47" t="s">
        <v>36</v>
      </c>
      <c r="T95" s="47"/>
      <c r="U95" s="17"/>
      <c r="V95" s="17"/>
      <c r="W95" s="17"/>
      <c r="X95" s="17"/>
      <c r="Y95" s="17"/>
      <c r="Z95" s="17"/>
      <c r="AA95" s="17"/>
      <c r="AB95" s="17"/>
      <c r="AC95" s="17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</row>
    <row r="96" spans="1:48" s="19" customFormat="1" ht="21.6" x14ac:dyDescent="0.2">
      <c r="A96" s="41">
        <v>2074</v>
      </c>
      <c r="B96" s="42" t="s">
        <v>20</v>
      </c>
      <c r="C96" s="43" t="s">
        <v>21</v>
      </c>
      <c r="D96" s="66">
        <v>6234</v>
      </c>
      <c r="E96" s="42" t="s">
        <v>372</v>
      </c>
      <c r="F96" s="45" t="s">
        <v>335</v>
      </c>
      <c r="G96" s="42" t="s">
        <v>64</v>
      </c>
      <c r="H96" s="45" t="s">
        <v>304</v>
      </c>
      <c r="I96" s="46" t="s">
        <v>27</v>
      </c>
      <c r="J96" s="47">
        <v>0.7</v>
      </c>
      <c r="K96" s="55" t="s">
        <v>84</v>
      </c>
      <c r="L96" s="63" t="s">
        <v>316</v>
      </c>
      <c r="M96" s="55" t="s">
        <v>317</v>
      </c>
      <c r="N96" s="55" t="s">
        <v>196</v>
      </c>
      <c r="O96" s="47">
        <v>0.1</v>
      </c>
      <c r="P96" s="56"/>
      <c r="Q96" s="47">
        <f t="shared" si="10"/>
        <v>0</v>
      </c>
      <c r="R96" s="49">
        <f t="shared" si="6"/>
        <v>0</v>
      </c>
      <c r="S96" s="47" t="s">
        <v>36</v>
      </c>
      <c r="T96" s="47"/>
      <c r="U96" s="17"/>
      <c r="V96" s="17"/>
      <c r="W96" s="17"/>
      <c r="X96" s="17"/>
      <c r="Y96" s="17"/>
      <c r="Z96" s="17"/>
      <c r="AA96" s="17"/>
      <c r="AB96" s="17"/>
      <c r="AC96" s="17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</row>
    <row r="97" spans="1:48" s="19" customFormat="1" ht="21.6" x14ac:dyDescent="0.2">
      <c r="A97" s="41">
        <v>2075</v>
      </c>
      <c r="B97" s="42" t="s">
        <v>20</v>
      </c>
      <c r="C97" s="43" t="s">
        <v>21</v>
      </c>
      <c r="D97" s="66">
        <v>6234</v>
      </c>
      <c r="E97" s="42" t="s">
        <v>372</v>
      </c>
      <c r="F97" s="45" t="s">
        <v>335</v>
      </c>
      <c r="G97" s="42" t="s">
        <v>64</v>
      </c>
      <c r="H97" s="45" t="s">
        <v>304</v>
      </c>
      <c r="I97" s="57" t="s">
        <v>27</v>
      </c>
      <c r="J97" s="47">
        <v>0.7</v>
      </c>
      <c r="K97" s="57" t="s">
        <v>318</v>
      </c>
      <c r="L97" s="64" t="s">
        <v>319</v>
      </c>
      <c r="M97" s="57" t="s">
        <v>320</v>
      </c>
      <c r="N97" s="59" t="s">
        <v>127</v>
      </c>
      <c r="O97" s="60">
        <v>0.1</v>
      </c>
      <c r="P97" s="56"/>
      <c r="Q97" s="60">
        <f t="shared" si="10"/>
        <v>0</v>
      </c>
      <c r="R97" s="61">
        <f t="shared" si="6"/>
        <v>0</v>
      </c>
      <c r="S97" s="60" t="s">
        <v>31</v>
      </c>
      <c r="T97" s="60"/>
      <c r="U97" s="17"/>
      <c r="V97" s="17"/>
      <c r="W97" s="17"/>
      <c r="X97" s="17"/>
      <c r="Y97" s="17"/>
      <c r="Z97" s="17"/>
      <c r="AA97" s="17"/>
      <c r="AB97" s="17"/>
      <c r="AC97" s="17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</row>
    <row r="98" spans="1:48" s="19" customFormat="1" ht="21.6" x14ac:dyDescent="0.2">
      <c r="A98" s="41">
        <v>2076</v>
      </c>
      <c r="B98" s="42" t="s">
        <v>20</v>
      </c>
      <c r="C98" s="43" t="s">
        <v>21</v>
      </c>
      <c r="D98" s="66">
        <v>6234</v>
      </c>
      <c r="E98" s="42" t="s">
        <v>372</v>
      </c>
      <c r="F98" s="45" t="s">
        <v>335</v>
      </c>
      <c r="G98" s="42" t="s">
        <v>64</v>
      </c>
      <c r="H98" s="45" t="s">
        <v>304</v>
      </c>
      <c r="I98" s="57" t="s">
        <v>27</v>
      </c>
      <c r="J98" s="47">
        <v>0.7</v>
      </c>
      <c r="K98" s="57" t="s">
        <v>321</v>
      </c>
      <c r="L98" s="64" t="s">
        <v>322</v>
      </c>
      <c r="M98" s="57" t="s">
        <v>323</v>
      </c>
      <c r="N98" s="59" t="s">
        <v>156</v>
      </c>
      <c r="O98" s="60">
        <v>0.1</v>
      </c>
      <c r="P98" s="56"/>
      <c r="Q98" s="60">
        <f t="shared" si="10"/>
        <v>0</v>
      </c>
      <c r="R98" s="61">
        <f t="shared" si="6"/>
        <v>0</v>
      </c>
      <c r="S98" s="60" t="s">
        <v>31</v>
      </c>
      <c r="T98" s="60"/>
      <c r="U98" s="17"/>
      <c r="V98" s="17"/>
      <c r="W98" s="17"/>
      <c r="X98" s="17"/>
      <c r="Y98" s="17"/>
      <c r="Z98" s="17"/>
      <c r="AA98" s="17"/>
      <c r="AB98" s="17"/>
      <c r="AC98" s="17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</row>
    <row r="99" spans="1:48" s="19" customFormat="1" ht="21.6" x14ac:dyDescent="0.2">
      <c r="A99" s="41">
        <v>2077</v>
      </c>
      <c r="B99" s="42" t="s">
        <v>20</v>
      </c>
      <c r="C99" s="43" t="s">
        <v>21</v>
      </c>
      <c r="D99" s="66">
        <v>6234</v>
      </c>
      <c r="E99" s="42" t="s">
        <v>372</v>
      </c>
      <c r="F99" s="45" t="s">
        <v>335</v>
      </c>
      <c r="G99" s="42" t="s">
        <v>64</v>
      </c>
      <c r="H99" s="45" t="s">
        <v>304</v>
      </c>
      <c r="I99" s="57" t="s">
        <v>27</v>
      </c>
      <c r="J99" s="47">
        <v>0.7</v>
      </c>
      <c r="K99" s="57" t="s">
        <v>324</v>
      </c>
      <c r="L99" s="64" t="s">
        <v>325</v>
      </c>
      <c r="M99" s="25" t="s">
        <v>326</v>
      </c>
      <c r="N99" s="62" t="s">
        <v>127</v>
      </c>
      <c r="O99" s="60">
        <v>0.1</v>
      </c>
      <c r="P99" s="62"/>
      <c r="Q99" s="60">
        <f t="shared" si="10"/>
        <v>0</v>
      </c>
      <c r="R99" s="61">
        <f t="shared" si="6"/>
        <v>0</v>
      </c>
      <c r="S99" s="60" t="s">
        <v>31</v>
      </c>
      <c r="T99" s="60"/>
      <c r="U99" s="17"/>
      <c r="V99" s="17"/>
      <c r="W99" s="17"/>
      <c r="X99" s="17"/>
      <c r="Y99" s="17"/>
      <c r="Z99" s="17"/>
      <c r="AA99" s="17"/>
      <c r="AB99" s="17"/>
      <c r="AC99" s="17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</row>
    <row r="100" spans="1:48" s="19" customFormat="1" ht="21.6" x14ac:dyDescent="0.2">
      <c r="A100" s="41">
        <v>2078</v>
      </c>
      <c r="B100" s="42" t="s">
        <v>20</v>
      </c>
      <c r="C100" s="43" t="s">
        <v>21</v>
      </c>
      <c r="D100" s="66">
        <v>6234</v>
      </c>
      <c r="E100" s="42" t="s">
        <v>372</v>
      </c>
      <c r="F100" s="45" t="s">
        <v>335</v>
      </c>
      <c r="G100" s="42" t="s">
        <v>64</v>
      </c>
      <c r="H100" s="45" t="s">
        <v>304</v>
      </c>
      <c r="I100" s="57" t="s">
        <v>59</v>
      </c>
      <c r="J100" s="58">
        <v>0.3</v>
      </c>
      <c r="K100" s="57" t="s">
        <v>327</v>
      </c>
      <c r="L100" s="64" t="s">
        <v>328</v>
      </c>
      <c r="M100" s="25" t="s">
        <v>329</v>
      </c>
      <c r="N100" s="62" t="s">
        <v>330</v>
      </c>
      <c r="O100" s="60">
        <v>0.1</v>
      </c>
      <c r="P100" s="62"/>
      <c r="Q100" s="60">
        <f t="shared" si="10"/>
        <v>0</v>
      </c>
      <c r="R100" s="61">
        <f t="shared" si="6"/>
        <v>0</v>
      </c>
      <c r="S100" s="60" t="s">
        <v>31</v>
      </c>
      <c r="T100" s="60"/>
      <c r="U100" s="17"/>
      <c r="V100" s="17"/>
      <c r="W100" s="17"/>
      <c r="X100" s="17"/>
      <c r="Y100" s="17"/>
      <c r="Z100" s="17"/>
      <c r="AA100" s="17"/>
      <c r="AB100" s="17"/>
      <c r="AC100" s="17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</row>
    <row r="101" spans="1:48" s="19" customFormat="1" ht="21.6" x14ac:dyDescent="0.2">
      <c r="A101" s="41">
        <v>2070</v>
      </c>
      <c r="B101" s="42" t="s">
        <v>20</v>
      </c>
      <c r="C101" s="43" t="s">
        <v>21</v>
      </c>
      <c r="D101" s="66">
        <v>6273</v>
      </c>
      <c r="E101" s="42" t="s">
        <v>373</v>
      </c>
      <c r="F101" s="45" t="s">
        <v>303</v>
      </c>
      <c r="G101" s="42" t="s">
        <v>64</v>
      </c>
      <c r="H101" s="45" t="s">
        <v>304</v>
      </c>
      <c r="I101" s="46" t="s">
        <v>27</v>
      </c>
      <c r="J101" s="47">
        <v>0.7</v>
      </c>
      <c r="K101" s="55" t="s">
        <v>66</v>
      </c>
      <c r="L101" s="63" t="s">
        <v>305</v>
      </c>
      <c r="M101" s="13" t="s">
        <v>306</v>
      </c>
      <c r="N101" s="51" t="s">
        <v>112</v>
      </c>
      <c r="O101" s="47">
        <v>0.15</v>
      </c>
      <c r="P101" s="47"/>
      <c r="Q101" s="47">
        <f>ROUND(IF(OR(N101="",P101=""),0,IF(AND(N101=0,P101=0),1,IF(S101="+",P101/N101,N101/P101))),2)</f>
        <v>0</v>
      </c>
      <c r="R101" s="49">
        <f t="shared" si="6"/>
        <v>0</v>
      </c>
      <c r="S101" s="47" t="s">
        <v>31</v>
      </c>
      <c r="T101" s="50">
        <f>SUM(R101:R109)%</f>
        <v>0</v>
      </c>
      <c r="U101" s="17"/>
      <c r="V101" s="17"/>
      <c r="W101" s="17"/>
      <c r="X101" s="17"/>
      <c r="Y101" s="17"/>
      <c r="Z101" s="17"/>
      <c r="AA101" s="17"/>
      <c r="AB101" s="17"/>
      <c r="AC101" s="17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</row>
    <row r="102" spans="1:48" s="19" customFormat="1" ht="21.6" x14ac:dyDescent="0.2">
      <c r="A102" s="41">
        <v>2071</v>
      </c>
      <c r="B102" s="42" t="s">
        <v>20</v>
      </c>
      <c r="C102" s="43" t="s">
        <v>21</v>
      </c>
      <c r="D102" s="66">
        <v>6273</v>
      </c>
      <c r="E102" s="42" t="s">
        <v>373</v>
      </c>
      <c r="F102" s="45" t="s">
        <v>303</v>
      </c>
      <c r="G102" s="42" t="s">
        <v>64</v>
      </c>
      <c r="H102" s="45" t="s">
        <v>304</v>
      </c>
      <c r="I102" s="46" t="s">
        <v>27</v>
      </c>
      <c r="J102" s="47">
        <v>0.7</v>
      </c>
      <c r="K102" s="55" t="s">
        <v>307</v>
      </c>
      <c r="L102" s="63" t="s">
        <v>308</v>
      </c>
      <c r="M102" s="55" t="s">
        <v>309</v>
      </c>
      <c r="N102" s="51" t="s">
        <v>310</v>
      </c>
      <c r="O102" s="47">
        <v>0.15</v>
      </c>
      <c r="P102" s="52"/>
      <c r="Q102" s="47">
        <f>ROUND(IF(OR(N102="",P102=""),0,IF(AND(N102=0,P102=0),1,IF(S102="+",P102/N102,N102/P102))),2)</f>
        <v>0</v>
      </c>
      <c r="R102" s="49">
        <f t="shared" si="6"/>
        <v>0</v>
      </c>
      <c r="S102" s="47" t="s">
        <v>36</v>
      </c>
      <c r="T102" s="47"/>
      <c r="U102" s="17"/>
      <c r="V102" s="17"/>
      <c r="W102" s="17"/>
      <c r="X102" s="17"/>
      <c r="Y102" s="17"/>
      <c r="Z102" s="17"/>
      <c r="AA102" s="17"/>
      <c r="AB102" s="17"/>
      <c r="AC102" s="17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</row>
    <row r="103" spans="1:48" s="19" customFormat="1" ht="21.6" x14ac:dyDescent="0.2">
      <c r="A103" s="41">
        <v>2072</v>
      </c>
      <c r="B103" s="42" t="s">
        <v>20</v>
      </c>
      <c r="C103" s="43" t="s">
        <v>21</v>
      </c>
      <c r="D103" s="66">
        <v>6273</v>
      </c>
      <c r="E103" s="42" t="s">
        <v>373</v>
      </c>
      <c r="F103" s="45" t="s">
        <v>303</v>
      </c>
      <c r="G103" s="42" t="s">
        <v>64</v>
      </c>
      <c r="H103" s="45" t="s">
        <v>304</v>
      </c>
      <c r="I103" s="46" t="s">
        <v>27</v>
      </c>
      <c r="J103" s="47">
        <v>0.7</v>
      </c>
      <c r="K103" s="55" t="s">
        <v>311</v>
      </c>
      <c r="L103" s="63" t="s">
        <v>312</v>
      </c>
      <c r="M103" s="55" t="s">
        <v>313</v>
      </c>
      <c r="N103" s="53">
        <v>1</v>
      </c>
      <c r="O103" s="47">
        <v>0.1</v>
      </c>
      <c r="P103" s="52"/>
      <c r="Q103" s="47">
        <f t="shared" ref="Q103:Q109" si="11">ROUND(IF(OR(N103="",P103=""),0,IF(AND(N103=0,P103=0),1,IF(S103="+",P103/N103,N103/P103))),2)</f>
        <v>0</v>
      </c>
      <c r="R103" s="49">
        <f t="shared" si="6"/>
        <v>0</v>
      </c>
      <c r="S103" s="47" t="s">
        <v>31</v>
      </c>
      <c r="T103" s="47"/>
      <c r="U103" s="17"/>
      <c r="V103" s="17"/>
      <c r="W103" s="17"/>
      <c r="X103" s="17"/>
      <c r="Y103" s="17"/>
      <c r="Z103" s="17"/>
      <c r="AA103" s="17"/>
      <c r="AB103" s="17"/>
      <c r="AC103" s="17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</row>
    <row r="104" spans="1:48" s="19" customFormat="1" ht="21.6" x14ac:dyDescent="0.2">
      <c r="A104" s="41">
        <v>2073</v>
      </c>
      <c r="B104" s="42" t="s">
        <v>20</v>
      </c>
      <c r="C104" s="43" t="s">
        <v>21</v>
      </c>
      <c r="D104" s="66">
        <v>6273</v>
      </c>
      <c r="E104" s="42" t="s">
        <v>373</v>
      </c>
      <c r="F104" s="45" t="s">
        <v>303</v>
      </c>
      <c r="G104" s="42" t="s">
        <v>64</v>
      </c>
      <c r="H104" s="45" t="s">
        <v>304</v>
      </c>
      <c r="I104" s="46" t="s">
        <v>27</v>
      </c>
      <c r="J104" s="47">
        <v>0.7</v>
      </c>
      <c r="K104" s="55" t="s">
        <v>145</v>
      </c>
      <c r="L104" s="63" t="s">
        <v>314</v>
      </c>
      <c r="M104" s="55" t="s">
        <v>315</v>
      </c>
      <c r="N104" s="52" t="s">
        <v>196</v>
      </c>
      <c r="O104" s="47">
        <v>0.1</v>
      </c>
      <c r="P104" s="54"/>
      <c r="Q104" s="47">
        <f t="shared" si="11"/>
        <v>0</v>
      </c>
      <c r="R104" s="49">
        <f t="shared" si="6"/>
        <v>0</v>
      </c>
      <c r="S104" s="47" t="s">
        <v>36</v>
      </c>
      <c r="T104" s="47"/>
      <c r="U104" s="17"/>
      <c r="V104" s="17"/>
      <c r="W104" s="17"/>
      <c r="X104" s="17"/>
      <c r="Y104" s="17"/>
      <c r="Z104" s="17"/>
      <c r="AA104" s="17"/>
      <c r="AB104" s="17"/>
      <c r="AC104" s="17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</row>
    <row r="105" spans="1:48" s="19" customFormat="1" ht="21.6" x14ac:dyDescent="0.2">
      <c r="A105" s="41">
        <v>2074</v>
      </c>
      <c r="B105" s="42" t="s">
        <v>20</v>
      </c>
      <c r="C105" s="43" t="s">
        <v>21</v>
      </c>
      <c r="D105" s="66">
        <v>6273</v>
      </c>
      <c r="E105" s="42" t="s">
        <v>373</v>
      </c>
      <c r="F105" s="45" t="s">
        <v>303</v>
      </c>
      <c r="G105" s="42" t="s">
        <v>64</v>
      </c>
      <c r="H105" s="45" t="s">
        <v>304</v>
      </c>
      <c r="I105" s="46" t="s">
        <v>27</v>
      </c>
      <c r="J105" s="47">
        <v>0.7</v>
      </c>
      <c r="K105" s="55" t="s">
        <v>84</v>
      </c>
      <c r="L105" s="63" t="s">
        <v>316</v>
      </c>
      <c r="M105" s="55" t="s">
        <v>317</v>
      </c>
      <c r="N105" s="55" t="s">
        <v>196</v>
      </c>
      <c r="O105" s="47">
        <v>0.1</v>
      </c>
      <c r="P105" s="56"/>
      <c r="Q105" s="47">
        <f t="shared" si="11"/>
        <v>0</v>
      </c>
      <c r="R105" s="49">
        <f t="shared" si="6"/>
        <v>0</v>
      </c>
      <c r="S105" s="47" t="s">
        <v>36</v>
      </c>
      <c r="T105" s="47"/>
      <c r="U105" s="17"/>
      <c r="V105" s="17"/>
      <c r="W105" s="17"/>
      <c r="X105" s="17"/>
      <c r="Y105" s="17"/>
      <c r="Z105" s="17"/>
      <c r="AA105" s="17"/>
      <c r="AB105" s="17"/>
      <c r="AC105" s="17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</row>
    <row r="106" spans="1:48" s="19" customFormat="1" ht="21.6" x14ac:dyDescent="0.2">
      <c r="A106" s="41">
        <v>2075</v>
      </c>
      <c r="B106" s="42" t="s">
        <v>20</v>
      </c>
      <c r="C106" s="43" t="s">
        <v>21</v>
      </c>
      <c r="D106" s="66">
        <v>6273</v>
      </c>
      <c r="E106" s="42" t="s">
        <v>373</v>
      </c>
      <c r="F106" s="45" t="s">
        <v>303</v>
      </c>
      <c r="G106" s="42" t="s">
        <v>64</v>
      </c>
      <c r="H106" s="45" t="s">
        <v>304</v>
      </c>
      <c r="I106" s="57" t="s">
        <v>27</v>
      </c>
      <c r="J106" s="47">
        <v>0.7</v>
      </c>
      <c r="K106" s="57" t="s">
        <v>318</v>
      </c>
      <c r="L106" s="64" t="s">
        <v>319</v>
      </c>
      <c r="M106" s="57" t="s">
        <v>320</v>
      </c>
      <c r="N106" s="59" t="s">
        <v>127</v>
      </c>
      <c r="O106" s="60">
        <v>0.1</v>
      </c>
      <c r="P106" s="56"/>
      <c r="Q106" s="60">
        <f t="shared" si="11"/>
        <v>0</v>
      </c>
      <c r="R106" s="61">
        <f t="shared" si="6"/>
        <v>0</v>
      </c>
      <c r="S106" s="60" t="s">
        <v>31</v>
      </c>
      <c r="T106" s="60"/>
      <c r="U106" s="17"/>
      <c r="V106" s="17"/>
      <c r="W106" s="17"/>
      <c r="X106" s="17"/>
      <c r="Y106" s="17"/>
      <c r="Z106" s="17"/>
      <c r="AA106" s="17"/>
      <c r="AB106" s="17"/>
      <c r="AC106" s="17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</row>
    <row r="107" spans="1:48" s="19" customFormat="1" ht="21.6" x14ac:dyDescent="0.2">
      <c r="A107" s="41">
        <v>2076</v>
      </c>
      <c r="B107" s="42" t="s">
        <v>20</v>
      </c>
      <c r="C107" s="43" t="s">
        <v>21</v>
      </c>
      <c r="D107" s="66">
        <v>6273</v>
      </c>
      <c r="E107" s="42" t="s">
        <v>373</v>
      </c>
      <c r="F107" s="45" t="s">
        <v>303</v>
      </c>
      <c r="G107" s="42" t="s">
        <v>64</v>
      </c>
      <c r="H107" s="45" t="s">
        <v>304</v>
      </c>
      <c r="I107" s="57" t="s">
        <v>27</v>
      </c>
      <c r="J107" s="47">
        <v>0.7</v>
      </c>
      <c r="K107" s="57" t="s">
        <v>321</v>
      </c>
      <c r="L107" s="64" t="s">
        <v>322</v>
      </c>
      <c r="M107" s="57" t="s">
        <v>323</v>
      </c>
      <c r="N107" s="59" t="s">
        <v>156</v>
      </c>
      <c r="O107" s="60">
        <v>0.1</v>
      </c>
      <c r="P107" s="56"/>
      <c r="Q107" s="60">
        <f t="shared" si="11"/>
        <v>0</v>
      </c>
      <c r="R107" s="61">
        <f t="shared" si="6"/>
        <v>0</v>
      </c>
      <c r="S107" s="60" t="s">
        <v>31</v>
      </c>
      <c r="T107" s="60"/>
      <c r="U107" s="17"/>
      <c r="V107" s="17"/>
      <c r="W107" s="17"/>
      <c r="X107" s="17"/>
      <c r="Y107" s="17"/>
      <c r="Z107" s="17"/>
      <c r="AA107" s="17"/>
      <c r="AB107" s="17"/>
      <c r="AC107" s="17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</row>
    <row r="108" spans="1:48" s="19" customFormat="1" ht="21.6" x14ac:dyDescent="0.2">
      <c r="A108" s="41">
        <v>2077</v>
      </c>
      <c r="B108" s="42" t="s">
        <v>20</v>
      </c>
      <c r="C108" s="43" t="s">
        <v>21</v>
      </c>
      <c r="D108" s="66">
        <v>6273</v>
      </c>
      <c r="E108" s="42" t="s">
        <v>373</v>
      </c>
      <c r="F108" s="45" t="s">
        <v>303</v>
      </c>
      <c r="G108" s="42" t="s">
        <v>64</v>
      </c>
      <c r="H108" s="45" t="s">
        <v>304</v>
      </c>
      <c r="I108" s="57" t="s">
        <v>27</v>
      </c>
      <c r="J108" s="47">
        <v>0.7</v>
      </c>
      <c r="K108" s="57" t="s">
        <v>324</v>
      </c>
      <c r="L108" s="64" t="s">
        <v>325</v>
      </c>
      <c r="M108" s="25" t="s">
        <v>326</v>
      </c>
      <c r="N108" s="62" t="s">
        <v>127</v>
      </c>
      <c r="O108" s="60">
        <v>0.1</v>
      </c>
      <c r="P108" s="62"/>
      <c r="Q108" s="60">
        <f t="shared" si="11"/>
        <v>0</v>
      </c>
      <c r="R108" s="61">
        <f t="shared" si="6"/>
        <v>0</v>
      </c>
      <c r="S108" s="60" t="s">
        <v>31</v>
      </c>
      <c r="T108" s="60"/>
      <c r="U108" s="17"/>
      <c r="V108" s="17"/>
      <c r="W108" s="17"/>
      <c r="X108" s="17"/>
      <c r="Y108" s="17"/>
      <c r="Z108" s="17"/>
      <c r="AA108" s="17"/>
      <c r="AB108" s="17"/>
      <c r="AC108" s="17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</row>
    <row r="109" spans="1:48" s="19" customFormat="1" ht="21.6" x14ac:dyDescent="0.2">
      <c r="A109" s="41">
        <v>2078</v>
      </c>
      <c r="B109" s="42" t="s">
        <v>20</v>
      </c>
      <c r="C109" s="43" t="s">
        <v>21</v>
      </c>
      <c r="D109" s="66">
        <v>6273</v>
      </c>
      <c r="E109" s="42" t="s">
        <v>373</v>
      </c>
      <c r="F109" s="45" t="s">
        <v>303</v>
      </c>
      <c r="G109" s="42" t="s">
        <v>64</v>
      </c>
      <c r="H109" s="45" t="s">
        <v>304</v>
      </c>
      <c r="I109" s="57" t="s">
        <v>59</v>
      </c>
      <c r="J109" s="58">
        <v>0.3</v>
      </c>
      <c r="K109" s="57" t="s">
        <v>327</v>
      </c>
      <c r="L109" s="64" t="s">
        <v>328</v>
      </c>
      <c r="M109" s="25" t="s">
        <v>329</v>
      </c>
      <c r="N109" s="62" t="s">
        <v>330</v>
      </c>
      <c r="O109" s="60">
        <v>0.1</v>
      </c>
      <c r="P109" s="62"/>
      <c r="Q109" s="60">
        <f t="shared" si="11"/>
        <v>0</v>
      </c>
      <c r="R109" s="61">
        <f t="shared" si="6"/>
        <v>0</v>
      </c>
      <c r="S109" s="60" t="s">
        <v>31</v>
      </c>
      <c r="T109" s="60"/>
      <c r="U109" s="17"/>
      <c r="V109" s="17"/>
      <c r="W109" s="17"/>
      <c r="X109" s="17"/>
      <c r="Y109" s="17"/>
      <c r="Z109" s="17"/>
      <c r="AA109" s="17"/>
      <c r="AB109" s="17"/>
      <c r="AC109" s="17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</row>
    <row r="110" spans="1:48" s="19" customFormat="1" ht="21.6" x14ac:dyDescent="0.2">
      <c r="A110" s="41">
        <v>2070</v>
      </c>
      <c r="B110" s="42" t="s">
        <v>20</v>
      </c>
      <c r="C110" s="43" t="s">
        <v>21</v>
      </c>
      <c r="D110" s="66">
        <v>6296</v>
      </c>
      <c r="E110" s="42" t="s">
        <v>374</v>
      </c>
      <c r="F110" s="45" t="s">
        <v>303</v>
      </c>
      <c r="G110" s="42" t="s">
        <v>64</v>
      </c>
      <c r="H110" s="45" t="s">
        <v>304</v>
      </c>
      <c r="I110" s="46" t="s">
        <v>27</v>
      </c>
      <c r="J110" s="47">
        <v>0.7</v>
      </c>
      <c r="K110" s="55" t="s">
        <v>66</v>
      </c>
      <c r="L110" s="63" t="s">
        <v>305</v>
      </c>
      <c r="M110" s="13" t="s">
        <v>306</v>
      </c>
      <c r="N110" s="51" t="s">
        <v>112</v>
      </c>
      <c r="O110" s="47">
        <v>0.15</v>
      </c>
      <c r="P110" s="47"/>
      <c r="Q110" s="47">
        <f>ROUND(IF(OR(N110="",P110=""),0,IF(AND(N110=0,P110=0),1,IF(S110="+",P110/N110,N110/P110))),2)</f>
        <v>0</v>
      </c>
      <c r="R110" s="49">
        <f t="shared" si="6"/>
        <v>0</v>
      </c>
      <c r="S110" s="47" t="s">
        <v>31</v>
      </c>
      <c r="T110" s="50">
        <f>SUM(R110:R118)%</f>
        <v>0</v>
      </c>
      <c r="U110" s="17"/>
      <c r="V110" s="17"/>
      <c r="W110" s="17"/>
      <c r="X110" s="17"/>
      <c r="Y110" s="17"/>
      <c r="Z110" s="17"/>
      <c r="AA110" s="17"/>
      <c r="AB110" s="17"/>
      <c r="AC110" s="17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</row>
    <row r="111" spans="1:48" s="19" customFormat="1" ht="21.6" x14ac:dyDescent="0.2">
      <c r="A111" s="41">
        <v>2071</v>
      </c>
      <c r="B111" s="42" t="s">
        <v>20</v>
      </c>
      <c r="C111" s="43" t="s">
        <v>21</v>
      </c>
      <c r="D111" s="66">
        <v>6296</v>
      </c>
      <c r="E111" s="42" t="s">
        <v>374</v>
      </c>
      <c r="F111" s="45" t="s">
        <v>303</v>
      </c>
      <c r="G111" s="42" t="s">
        <v>64</v>
      </c>
      <c r="H111" s="45" t="s">
        <v>304</v>
      </c>
      <c r="I111" s="46" t="s">
        <v>27</v>
      </c>
      <c r="J111" s="47">
        <v>0.7</v>
      </c>
      <c r="K111" s="55" t="s">
        <v>307</v>
      </c>
      <c r="L111" s="63" t="s">
        <v>308</v>
      </c>
      <c r="M111" s="55" t="s">
        <v>309</v>
      </c>
      <c r="N111" s="51" t="s">
        <v>310</v>
      </c>
      <c r="O111" s="47">
        <v>0.15</v>
      </c>
      <c r="P111" s="52"/>
      <c r="Q111" s="47">
        <f>ROUND(IF(OR(N111="",P111=""),0,IF(AND(N111=0,P111=0),1,IF(S111="+",P111/N111,N111/P111))),2)</f>
        <v>0</v>
      </c>
      <c r="R111" s="49">
        <f t="shared" si="6"/>
        <v>0</v>
      </c>
      <c r="S111" s="47" t="s">
        <v>36</v>
      </c>
      <c r="T111" s="47"/>
      <c r="U111" s="17"/>
      <c r="V111" s="17"/>
      <c r="W111" s="17"/>
      <c r="X111" s="17"/>
      <c r="Y111" s="17"/>
      <c r="Z111" s="17"/>
      <c r="AA111" s="17"/>
      <c r="AB111" s="17"/>
      <c r="AC111" s="17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</row>
    <row r="112" spans="1:48" s="19" customFormat="1" ht="21.6" x14ac:dyDescent="0.2">
      <c r="A112" s="41">
        <v>2072</v>
      </c>
      <c r="B112" s="42" t="s">
        <v>20</v>
      </c>
      <c r="C112" s="43" t="s">
        <v>21</v>
      </c>
      <c r="D112" s="66">
        <v>6296</v>
      </c>
      <c r="E112" s="42" t="s">
        <v>374</v>
      </c>
      <c r="F112" s="45" t="s">
        <v>303</v>
      </c>
      <c r="G112" s="42" t="s">
        <v>64</v>
      </c>
      <c r="H112" s="45" t="s">
        <v>304</v>
      </c>
      <c r="I112" s="46" t="s">
        <v>27</v>
      </c>
      <c r="J112" s="47">
        <v>0.7</v>
      </c>
      <c r="K112" s="55" t="s">
        <v>311</v>
      </c>
      <c r="L112" s="63" t="s">
        <v>312</v>
      </c>
      <c r="M112" s="55" t="s">
        <v>313</v>
      </c>
      <c r="N112" s="53">
        <v>1</v>
      </c>
      <c r="O112" s="47">
        <v>0.1</v>
      </c>
      <c r="P112" s="52"/>
      <c r="Q112" s="47">
        <f t="shared" ref="Q112:Q118" si="12">ROUND(IF(OR(N112="",P112=""),0,IF(AND(N112=0,P112=0),1,IF(S112="+",P112/N112,N112/P112))),2)</f>
        <v>0</v>
      </c>
      <c r="R112" s="49">
        <f t="shared" si="6"/>
        <v>0</v>
      </c>
      <c r="S112" s="47" t="s">
        <v>31</v>
      </c>
      <c r="T112" s="47"/>
      <c r="U112" s="17"/>
      <c r="V112" s="17"/>
      <c r="W112" s="17"/>
      <c r="X112" s="17"/>
      <c r="Y112" s="17"/>
      <c r="Z112" s="17"/>
      <c r="AA112" s="17"/>
      <c r="AB112" s="17"/>
      <c r="AC112" s="17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</row>
    <row r="113" spans="1:48" s="19" customFormat="1" ht="21.6" x14ac:dyDescent="0.2">
      <c r="A113" s="41">
        <v>2073</v>
      </c>
      <c r="B113" s="42" t="s">
        <v>20</v>
      </c>
      <c r="C113" s="43" t="s">
        <v>21</v>
      </c>
      <c r="D113" s="66">
        <v>6296</v>
      </c>
      <c r="E113" s="42" t="s">
        <v>374</v>
      </c>
      <c r="F113" s="45" t="s">
        <v>303</v>
      </c>
      <c r="G113" s="42" t="s">
        <v>64</v>
      </c>
      <c r="H113" s="45" t="s">
        <v>304</v>
      </c>
      <c r="I113" s="46" t="s">
        <v>27</v>
      </c>
      <c r="J113" s="47">
        <v>0.7</v>
      </c>
      <c r="K113" s="55" t="s">
        <v>145</v>
      </c>
      <c r="L113" s="63" t="s">
        <v>314</v>
      </c>
      <c r="M113" s="55" t="s">
        <v>315</v>
      </c>
      <c r="N113" s="52" t="s">
        <v>196</v>
      </c>
      <c r="O113" s="47">
        <v>0.1</v>
      </c>
      <c r="P113" s="54"/>
      <c r="Q113" s="47">
        <f t="shared" si="12"/>
        <v>0</v>
      </c>
      <c r="R113" s="49">
        <f t="shared" si="6"/>
        <v>0</v>
      </c>
      <c r="S113" s="47" t="s">
        <v>36</v>
      </c>
      <c r="T113" s="47"/>
      <c r="U113" s="17"/>
      <c r="V113" s="17"/>
      <c r="W113" s="17"/>
      <c r="X113" s="17"/>
      <c r="Y113" s="17"/>
      <c r="Z113" s="17"/>
      <c r="AA113" s="17"/>
      <c r="AB113" s="17"/>
      <c r="AC113" s="17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</row>
    <row r="114" spans="1:48" s="19" customFormat="1" ht="21.6" x14ac:dyDescent="0.2">
      <c r="A114" s="41">
        <v>2074</v>
      </c>
      <c r="B114" s="42" t="s">
        <v>20</v>
      </c>
      <c r="C114" s="43" t="s">
        <v>21</v>
      </c>
      <c r="D114" s="66">
        <v>6296</v>
      </c>
      <c r="E114" s="42" t="s">
        <v>374</v>
      </c>
      <c r="F114" s="45" t="s">
        <v>303</v>
      </c>
      <c r="G114" s="42" t="s">
        <v>64</v>
      </c>
      <c r="H114" s="45" t="s">
        <v>304</v>
      </c>
      <c r="I114" s="46" t="s">
        <v>27</v>
      </c>
      <c r="J114" s="47">
        <v>0.7</v>
      </c>
      <c r="K114" s="55" t="s">
        <v>84</v>
      </c>
      <c r="L114" s="63" t="s">
        <v>316</v>
      </c>
      <c r="M114" s="55" t="s">
        <v>317</v>
      </c>
      <c r="N114" s="55" t="s">
        <v>196</v>
      </c>
      <c r="O114" s="47">
        <v>0.1</v>
      </c>
      <c r="P114" s="56"/>
      <c r="Q114" s="47">
        <f t="shared" si="12"/>
        <v>0</v>
      </c>
      <c r="R114" s="49">
        <f t="shared" si="6"/>
        <v>0</v>
      </c>
      <c r="S114" s="47" t="s">
        <v>36</v>
      </c>
      <c r="T114" s="47"/>
      <c r="U114" s="17"/>
      <c r="V114" s="17"/>
      <c r="W114" s="17"/>
      <c r="X114" s="17"/>
      <c r="Y114" s="17"/>
      <c r="Z114" s="17"/>
      <c r="AA114" s="17"/>
      <c r="AB114" s="17"/>
      <c r="AC114" s="17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</row>
    <row r="115" spans="1:48" s="19" customFormat="1" ht="21.6" x14ac:dyDescent="0.2">
      <c r="A115" s="41">
        <v>2075</v>
      </c>
      <c r="B115" s="42" t="s">
        <v>20</v>
      </c>
      <c r="C115" s="43" t="s">
        <v>21</v>
      </c>
      <c r="D115" s="66">
        <v>6296</v>
      </c>
      <c r="E115" s="42" t="s">
        <v>374</v>
      </c>
      <c r="F115" s="45" t="s">
        <v>303</v>
      </c>
      <c r="G115" s="42" t="s">
        <v>64</v>
      </c>
      <c r="H115" s="45" t="s">
        <v>304</v>
      </c>
      <c r="I115" s="57" t="s">
        <v>27</v>
      </c>
      <c r="J115" s="47">
        <v>0.7</v>
      </c>
      <c r="K115" s="57" t="s">
        <v>318</v>
      </c>
      <c r="L115" s="64" t="s">
        <v>319</v>
      </c>
      <c r="M115" s="57" t="s">
        <v>320</v>
      </c>
      <c r="N115" s="59" t="s">
        <v>127</v>
      </c>
      <c r="O115" s="60">
        <v>0.1</v>
      </c>
      <c r="P115" s="56"/>
      <c r="Q115" s="60">
        <f t="shared" si="12"/>
        <v>0</v>
      </c>
      <c r="R115" s="61">
        <f t="shared" si="6"/>
        <v>0</v>
      </c>
      <c r="S115" s="60" t="s">
        <v>31</v>
      </c>
      <c r="T115" s="60"/>
      <c r="U115" s="17"/>
      <c r="V115" s="17"/>
      <c r="W115" s="17"/>
      <c r="X115" s="17"/>
      <c r="Y115" s="17"/>
      <c r="Z115" s="17"/>
      <c r="AA115" s="17"/>
      <c r="AB115" s="17"/>
      <c r="AC115" s="17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</row>
    <row r="116" spans="1:48" s="19" customFormat="1" ht="21.6" x14ac:dyDescent="0.2">
      <c r="A116" s="41">
        <v>2076</v>
      </c>
      <c r="B116" s="42" t="s">
        <v>20</v>
      </c>
      <c r="C116" s="43" t="s">
        <v>21</v>
      </c>
      <c r="D116" s="66">
        <v>6296</v>
      </c>
      <c r="E116" s="42" t="s">
        <v>374</v>
      </c>
      <c r="F116" s="45" t="s">
        <v>303</v>
      </c>
      <c r="G116" s="42" t="s">
        <v>64</v>
      </c>
      <c r="H116" s="45" t="s">
        <v>304</v>
      </c>
      <c r="I116" s="57" t="s">
        <v>27</v>
      </c>
      <c r="J116" s="47">
        <v>0.7</v>
      </c>
      <c r="K116" s="57" t="s">
        <v>321</v>
      </c>
      <c r="L116" s="64" t="s">
        <v>322</v>
      </c>
      <c r="M116" s="57" t="s">
        <v>323</v>
      </c>
      <c r="N116" s="59" t="s">
        <v>156</v>
      </c>
      <c r="O116" s="60">
        <v>0.1</v>
      </c>
      <c r="P116" s="56"/>
      <c r="Q116" s="60">
        <f t="shared" si="12"/>
        <v>0</v>
      </c>
      <c r="R116" s="61">
        <f t="shared" si="6"/>
        <v>0</v>
      </c>
      <c r="S116" s="60" t="s">
        <v>31</v>
      </c>
      <c r="T116" s="60"/>
      <c r="U116" s="17"/>
      <c r="V116" s="17"/>
      <c r="W116" s="17"/>
      <c r="X116" s="17"/>
      <c r="Y116" s="17"/>
      <c r="Z116" s="17"/>
      <c r="AA116" s="17"/>
      <c r="AB116" s="17"/>
      <c r="AC116" s="17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</row>
    <row r="117" spans="1:48" s="19" customFormat="1" ht="21.6" x14ac:dyDescent="0.2">
      <c r="A117" s="41">
        <v>2077</v>
      </c>
      <c r="B117" s="42" t="s">
        <v>20</v>
      </c>
      <c r="C117" s="43" t="s">
        <v>21</v>
      </c>
      <c r="D117" s="66">
        <v>6296</v>
      </c>
      <c r="E117" s="42" t="s">
        <v>374</v>
      </c>
      <c r="F117" s="45" t="s">
        <v>303</v>
      </c>
      <c r="G117" s="42" t="s">
        <v>64</v>
      </c>
      <c r="H117" s="45" t="s">
        <v>304</v>
      </c>
      <c r="I117" s="57" t="s">
        <v>27</v>
      </c>
      <c r="J117" s="47">
        <v>0.7</v>
      </c>
      <c r="K117" s="57" t="s">
        <v>324</v>
      </c>
      <c r="L117" s="64" t="s">
        <v>325</v>
      </c>
      <c r="M117" s="25" t="s">
        <v>326</v>
      </c>
      <c r="N117" s="62" t="s">
        <v>127</v>
      </c>
      <c r="O117" s="60">
        <v>0.1</v>
      </c>
      <c r="P117" s="62"/>
      <c r="Q117" s="60">
        <f t="shared" si="12"/>
        <v>0</v>
      </c>
      <c r="R117" s="61">
        <f t="shared" si="6"/>
        <v>0</v>
      </c>
      <c r="S117" s="60" t="s">
        <v>31</v>
      </c>
      <c r="T117" s="60"/>
      <c r="U117" s="17"/>
      <c r="V117" s="17"/>
      <c r="W117" s="17"/>
      <c r="X117" s="17"/>
      <c r="Y117" s="17"/>
      <c r="Z117" s="17"/>
      <c r="AA117" s="17"/>
      <c r="AB117" s="17"/>
      <c r="AC117" s="17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</row>
    <row r="118" spans="1:48" s="19" customFormat="1" ht="21.6" x14ac:dyDescent="0.2">
      <c r="A118" s="41">
        <v>2078</v>
      </c>
      <c r="B118" s="42" t="s">
        <v>20</v>
      </c>
      <c r="C118" s="43" t="s">
        <v>21</v>
      </c>
      <c r="D118" s="66">
        <v>6296</v>
      </c>
      <c r="E118" s="42" t="s">
        <v>374</v>
      </c>
      <c r="F118" s="45" t="s">
        <v>303</v>
      </c>
      <c r="G118" s="42" t="s">
        <v>64</v>
      </c>
      <c r="H118" s="45" t="s">
        <v>304</v>
      </c>
      <c r="I118" s="57" t="s">
        <v>59</v>
      </c>
      <c r="J118" s="58">
        <v>0.3</v>
      </c>
      <c r="K118" s="57" t="s">
        <v>327</v>
      </c>
      <c r="L118" s="64" t="s">
        <v>328</v>
      </c>
      <c r="M118" s="25" t="s">
        <v>329</v>
      </c>
      <c r="N118" s="62" t="s">
        <v>330</v>
      </c>
      <c r="O118" s="60">
        <v>0.1</v>
      </c>
      <c r="P118" s="62"/>
      <c r="Q118" s="60">
        <f t="shared" si="12"/>
        <v>0</v>
      </c>
      <c r="R118" s="61">
        <f t="shared" si="6"/>
        <v>0</v>
      </c>
      <c r="S118" s="60" t="s">
        <v>31</v>
      </c>
      <c r="T118" s="60"/>
      <c r="U118" s="17"/>
      <c r="V118" s="17"/>
      <c r="W118" s="17"/>
      <c r="X118" s="17"/>
      <c r="Y118" s="17"/>
      <c r="Z118" s="17"/>
      <c r="AA118" s="17"/>
      <c r="AB118" s="17"/>
      <c r="AC118" s="17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</row>
    <row r="119" spans="1:48" s="19" customFormat="1" ht="21.6" x14ac:dyDescent="0.2">
      <c r="A119" s="41">
        <v>2070</v>
      </c>
      <c r="B119" s="42" t="s">
        <v>20</v>
      </c>
      <c r="C119" s="43" t="s">
        <v>21</v>
      </c>
      <c r="D119" s="66">
        <v>6348</v>
      </c>
      <c r="E119" s="42" t="s">
        <v>375</v>
      </c>
      <c r="F119" s="45" t="s">
        <v>335</v>
      </c>
      <c r="G119" s="42" t="s">
        <v>64</v>
      </c>
      <c r="H119" s="45" t="s">
        <v>304</v>
      </c>
      <c r="I119" s="46" t="s">
        <v>27</v>
      </c>
      <c r="J119" s="47">
        <v>0.7</v>
      </c>
      <c r="K119" s="55" t="s">
        <v>66</v>
      </c>
      <c r="L119" s="63" t="s">
        <v>305</v>
      </c>
      <c r="M119" s="13" t="s">
        <v>306</v>
      </c>
      <c r="N119" s="51" t="s">
        <v>112</v>
      </c>
      <c r="O119" s="47">
        <v>0.15</v>
      </c>
      <c r="P119" s="47"/>
      <c r="Q119" s="47">
        <f>ROUND(IF(OR(N119="",P119=""),0,IF(AND(N119=0,P119=0),1,IF(S119="+",P119/N119,N119/P119))),2)</f>
        <v>0</v>
      </c>
      <c r="R119" s="49">
        <f t="shared" si="6"/>
        <v>0</v>
      </c>
      <c r="S119" s="47" t="s">
        <v>31</v>
      </c>
      <c r="T119" s="50">
        <f>SUM(R119:R127)%</f>
        <v>0</v>
      </c>
      <c r="U119" s="17"/>
      <c r="V119" s="17"/>
      <c r="W119" s="17"/>
      <c r="X119" s="17"/>
      <c r="Y119" s="17"/>
      <c r="Z119" s="17"/>
      <c r="AA119" s="17"/>
      <c r="AB119" s="17"/>
      <c r="AC119" s="17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</row>
    <row r="120" spans="1:48" s="19" customFormat="1" ht="21.6" x14ac:dyDescent="0.2">
      <c r="A120" s="41">
        <v>2071</v>
      </c>
      <c r="B120" s="42" t="s">
        <v>20</v>
      </c>
      <c r="C120" s="43" t="s">
        <v>21</v>
      </c>
      <c r="D120" s="66">
        <v>6348</v>
      </c>
      <c r="E120" s="42" t="s">
        <v>375</v>
      </c>
      <c r="F120" s="45" t="s">
        <v>335</v>
      </c>
      <c r="G120" s="42" t="s">
        <v>64</v>
      </c>
      <c r="H120" s="45" t="s">
        <v>304</v>
      </c>
      <c r="I120" s="46" t="s">
        <v>27</v>
      </c>
      <c r="J120" s="47">
        <v>0.7</v>
      </c>
      <c r="K120" s="55" t="s">
        <v>307</v>
      </c>
      <c r="L120" s="63" t="s">
        <v>308</v>
      </c>
      <c r="M120" s="55" t="s">
        <v>309</v>
      </c>
      <c r="N120" s="51" t="s">
        <v>310</v>
      </c>
      <c r="O120" s="47">
        <v>0.15</v>
      </c>
      <c r="P120" s="52"/>
      <c r="Q120" s="47">
        <f>ROUND(IF(OR(N120="",P120=""),0,IF(AND(N120=0,P120=0),1,IF(S120="+",P120/N120,N120/P120))),2)</f>
        <v>0</v>
      </c>
      <c r="R120" s="49">
        <f t="shared" si="6"/>
        <v>0</v>
      </c>
      <c r="S120" s="47" t="s">
        <v>36</v>
      </c>
      <c r="T120" s="47"/>
      <c r="U120" s="17"/>
      <c r="V120" s="17"/>
      <c r="W120" s="17"/>
      <c r="X120" s="17"/>
      <c r="Y120" s="17"/>
      <c r="Z120" s="17"/>
      <c r="AA120" s="17"/>
      <c r="AB120" s="17"/>
      <c r="AC120" s="17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</row>
    <row r="121" spans="1:48" s="19" customFormat="1" ht="21.6" x14ac:dyDescent="0.2">
      <c r="A121" s="41">
        <v>2072</v>
      </c>
      <c r="B121" s="42" t="s">
        <v>20</v>
      </c>
      <c r="C121" s="43" t="s">
        <v>21</v>
      </c>
      <c r="D121" s="66">
        <v>6348</v>
      </c>
      <c r="E121" s="42" t="s">
        <v>375</v>
      </c>
      <c r="F121" s="45" t="s">
        <v>335</v>
      </c>
      <c r="G121" s="42" t="s">
        <v>64</v>
      </c>
      <c r="H121" s="45" t="s">
        <v>304</v>
      </c>
      <c r="I121" s="46" t="s">
        <v>27</v>
      </c>
      <c r="J121" s="47">
        <v>0.7</v>
      </c>
      <c r="K121" s="55" t="s">
        <v>311</v>
      </c>
      <c r="L121" s="63" t="s">
        <v>312</v>
      </c>
      <c r="M121" s="55" t="s">
        <v>313</v>
      </c>
      <c r="N121" s="53">
        <v>1</v>
      </c>
      <c r="O121" s="47">
        <v>0.1</v>
      </c>
      <c r="P121" s="52"/>
      <c r="Q121" s="47">
        <f t="shared" ref="Q121:Q127" si="13">ROUND(IF(OR(N121="",P121=""),0,IF(AND(N121=0,P121=0),1,IF(S121="+",P121/N121,N121/P121))),2)</f>
        <v>0</v>
      </c>
      <c r="R121" s="49">
        <f t="shared" si="6"/>
        <v>0</v>
      </c>
      <c r="S121" s="47" t="s">
        <v>31</v>
      </c>
      <c r="T121" s="47"/>
      <c r="U121" s="17"/>
      <c r="V121" s="17"/>
      <c r="W121" s="17"/>
      <c r="X121" s="17"/>
      <c r="Y121" s="17"/>
      <c r="Z121" s="17"/>
      <c r="AA121" s="17"/>
      <c r="AB121" s="17"/>
      <c r="AC121" s="17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</row>
    <row r="122" spans="1:48" s="19" customFormat="1" ht="21.6" x14ac:dyDescent="0.2">
      <c r="A122" s="41">
        <v>2073</v>
      </c>
      <c r="B122" s="42" t="s">
        <v>20</v>
      </c>
      <c r="C122" s="43" t="s">
        <v>21</v>
      </c>
      <c r="D122" s="66">
        <v>6348</v>
      </c>
      <c r="E122" s="42" t="s">
        <v>375</v>
      </c>
      <c r="F122" s="45" t="s">
        <v>335</v>
      </c>
      <c r="G122" s="42" t="s">
        <v>64</v>
      </c>
      <c r="H122" s="45" t="s">
        <v>304</v>
      </c>
      <c r="I122" s="46" t="s">
        <v>27</v>
      </c>
      <c r="J122" s="47">
        <v>0.7</v>
      </c>
      <c r="K122" s="55" t="s">
        <v>145</v>
      </c>
      <c r="L122" s="63" t="s">
        <v>314</v>
      </c>
      <c r="M122" s="55" t="s">
        <v>315</v>
      </c>
      <c r="N122" s="52" t="s">
        <v>196</v>
      </c>
      <c r="O122" s="47">
        <v>0.1</v>
      </c>
      <c r="P122" s="54"/>
      <c r="Q122" s="47">
        <f t="shared" si="13"/>
        <v>0</v>
      </c>
      <c r="R122" s="49">
        <f t="shared" si="6"/>
        <v>0</v>
      </c>
      <c r="S122" s="47" t="s">
        <v>36</v>
      </c>
      <c r="T122" s="47"/>
      <c r="U122" s="17"/>
      <c r="V122" s="17"/>
      <c r="W122" s="17"/>
      <c r="X122" s="17"/>
      <c r="Y122" s="17"/>
      <c r="Z122" s="17"/>
      <c r="AA122" s="17"/>
      <c r="AB122" s="17"/>
      <c r="AC122" s="17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</row>
    <row r="123" spans="1:48" s="19" customFormat="1" ht="21.6" x14ac:dyDescent="0.2">
      <c r="A123" s="41">
        <v>2074</v>
      </c>
      <c r="B123" s="42" t="s">
        <v>20</v>
      </c>
      <c r="C123" s="43" t="s">
        <v>21</v>
      </c>
      <c r="D123" s="66">
        <v>6348</v>
      </c>
      <c r="E123" s="42" t="s">
        <v>375</v>
      </c>
      <c r="F123" s="45" t="s">
        <v>335</v>
      </c>
      <c r="G123" s="42" t="s">
        <v>64</v>
      </c>
      <c r="H123" s="45" t="s">
        <v>304</v>
      </c>
      <c r="I123" s="46" t="s">
        <v>27</v>
      </c>
      <c r="J123" s="47">
        <v>0.7</v>
      </c>
      <c r="K123" s="55" t="s">
        <v>84</v>
      </c>
      <c r="L123" s="63" t="s">
        <v>316</v>
      </c>
      <c r="M123" s="55" t="s">
        <v>317</v>
      </c>
      <c r="N123" s="55" t="s">
        <v>196</v>
      </c>
      <c r="O123" s="47">
        <v>0.1</v>
      </c>
      <c r="P123" s="56"/>
      <c r="Q123" s="47">
        <f t="shared" si="13"/>
        <v>0</v>
      </c>
      <c r="R123" s="49">
        <f t="shared" si="6"/>
        <v>0</v>
      </c>
      <c r="S123" s="47" t="s">
        <v>36</v>
      </c>
      <c r="T123" s="47"/>
      <c r="U123" s="17"/>
      <c r="V123" s="17"/>
      <c r="W123" s="17"/>
      <c r="X123" s="17"/>
      <c r="Y123" s="17"/>
      <c r="Z123" s="17"/>
      <c r="AA123" s="17"/>
      <c r="AB123" s="17"/>
      <c r="AC123" s="17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</row>
    <row r="124" spans="1:48" s="19" customFormat="1" ht="21.6" x14ac:dyDescent="0.2">
      <c r="A124" s="41">
        <v>2075</v>
      </c>
      <c r="B124" s="42" t="s">
        <v>20</v>
      </c>
      <c r="C124" s="43" t="s">
        <v>21</v>
      </c>
      <c r="D124" s="66">
        <v>6348</v>
      </c>
      <c r="E124" s="42" t="s">
        <v>375</v>
      </c>
      <c r="F124" s="45" t="s">
        <v>335</v>
      </c>
      <c r="G124" s="42" t="s">
        <v>64</v>
      </c>
      <c r="H124" s="45" t="s">
        <v>304</v>
      </c>
      <c r="I124" s="57" t="s">
        <v>27</v>
      </c>
      <c r="J124" s="47">
        <v>0.7</v>
      </c>
      <c r="K124" s="57" t="s">
        <v>318</v>
      </c>
      <c r="L124" s="64" t="s">
        <v>319</v>
      </c>
      <c r="M124" s="57" t="s">
        <v>320</v>
      </c>
      <c r="N124" s="59" t="s">
        <v>127</v>
      </c>
      <c r="O124" s="60">
        <v>0.1</v>
      </c>
      <c r="P124" s="56"/>
      <c r="Q124" s="60">
        <f t="shared" si="13"/>
        <v>0</v>
      </c>
      <c r="R124" s="61">
        <f t="shared" si="6"/>
        <v>0</v>
      </c>
      <c r="S124" s="60" t="s">
        <v>31</v>
      </c>
      <c r="T124" s="60"/>
      <c r="U124" s="17"/>
      <c r="V124" s="17"/>
      <c r="W124" s="17"/>
      <c r="X124" s="17"/>
      <c r="Y124" s="17"/>
      <c r="Z124" s="17"/>
      <c r="AA124" s="17"/>
      <c r="AB124" s="17"/>
      <c r="AC124" s="17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</row>
    <row r="125" spans="1:48" s="19" customFormat="1" ht="21.6" x14ac:dyDescent="0.2">
      <c r="A125" s="41">
        <v>2076</v>
      </c>
      <c r="B125" s="42" t="s">
        <v>20</v>
      </c>
      <c r="C125" s="43" t="s">
        <v>21</v>
      </c>
      <c r="D125" s="66">
        <v>6348</v>
      </c>
      <c r="E125" s="42" t="s">
        <v>375</v>
      </c>
      <c r="F125" s="45" t="s">
        <v>335</v>
      </c>
      <c r="G125" s="42" t="s">
        <v>64</v>
      </c>
      <c r="H125" s="45" t="s">
        <v>304</v>
      </c>
      <c r="I125" s="57" t="s">
        <v>27</v>
      </c>
      <c r="J125" s="47">
        <v>0.7</v>
      </c>
      <c r="K125" s="57" t="s">
        <v>321</v>
      </c>
      <c r="L125" s="64" t="s">
        <v>322</v>
      </c>
      <c r="M125" s="57" t="s">
        <v>323</v>
      </c>
      <c r="N125" s="59" t="s">
        <v>156</v>
      </c>
      <c r="O125" s="60">
        <v>0.1</v>
      </c>
      <c r="P125" s="56"/>
      <c r="Q125" s="60">
        <f t="shared" si="13"/>
        <v>0</v>
      </c>
      <c r="R125" s="61">
        <f t="shared" si="6"/>
        <v>0</v>
      </c>
      <c r="S125" s="60" t="s">
        <v>31</v>
      </c>
      <c r="T125" s="60"/>
      <c r="U125" s="17"/>
      <c r="V125" s="17"/>
      <c r="W125" s="17"/>
      <c r="X125" s="17"/>
      <c r="Y125" s="17"/>
      <c r="Z125" s="17"/>
      <c r="AA125" s="17"/>
      <c r="AB125" s="17"/>
      <c r="AC125" s="17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</row>
    <row r="126" spans="1:48" s="19" customFormat="1" ht="21.6" x14ac:dyDescent="0.2">
      <c r="A126" s="41">
        <v>2077</v>
      </c>
      <c r="B126" s="42" t="s">
        <v>20</v>
      </c>
      <c r="C126" s="43" t="s">
        <v>21</v>
      </c>
      <c r="D126" s="66">
        <v>6348</v>
      </c>
      <c r="E126" s="42" t="s">
        <v>375</v>
      </c>
      <c r="F126" s="45" t="s">
        <v>335</v>
      </c>
      <c r="G126" s="42" t="s">
        <v>64</v>
      </c>
      <c r="H126" s="45" t="s">
        <v>304</v>
      </c>
      <c r="I126" s="57" t="s">
        <v>27</v>
      </c>
      <c r="J126" s="47">
        <v>0.7</v>
      </c>
      <c r="K126" s="57" t="s">
        <v>324</v>
      </c>
      <c r="L126" s="64" t="s">
        <v>325</v>
      </c>
      <c r="M126" s="25" t="s">
        <v>326</v>
      </c>
      <c r="N126" s="62" t="s">
        <v>127</v>
      </c>
      <c r="O126" s="60">
        <v>0.1</v>
      </c>
      <c r="P126" s="62"/>
      <c r="Q126" s="60">
        <f t="shared" si="13"/>
        <v>0</v>
      </c>
      <c r="R126" s="61">
        <f t="shared" si="6"/>
        <v>0</v>
      </c>
      <c r="S126" s="60" t="s">
        <v>31</v>
      </c>
      <c r="T126" s="60"/>
      <c r="U126" s="17"/>
      <c r="V126" s="17"/>
      <c r="W126" s="17"/>
      <c r="X126" s="17"/>
      <c r="Y126" s="17"/>
      <c r="Z126" s="17"/>
      <c r="AA126" s="17"/>
      <c r="AB126" s="17"/>
      <c r="AC126" s="17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</row>
    <row r="127" spans="1:48" s="19" customFormat="1" ht="21.6" x14ac:dyDescent="0.2">
      <c r="A127" s="41">
        <v>2078</v>
      </c>
      <c r="B127" s="42" t="s">
        <v>20</v>
      </c>
      <c r="C127" s="43" t="s">
        <v>21</v>
      </c>
      <c r="D127" s="66">
        <v>6348</v>
      </c>
      <c r="E127" s="42" t="s">
        <v>375</v>
      </c>
      <c r="F127" s="45" t="s">
        <v>335</v>
      </c>
      <c r="G127" s="42" t="s">
        <v>64</v>
      </c>
      <c r="H127" s="45" t="s">
        <v>304</v>
      </c>
      <c r="I127" s="57" t="s">
        <v>59</v>
      </c>
      <c r="J127" s="58">
        <v>0.3</v>
      </c>
      <c r="K127" s="57" t="s">
        <v>327</v>
      </c>
      <c r="L127" s="64" t="s">
        <v>328</v>
      </c>
      <c r="M127" s="25" t="s">
        <v>329</v>
      </c>
      <c r="N127" s="62" t="s">
        <v>330</v>
      </c>
      <c r="O127" s="60">
        <v>0.1</v>
      </c>
      <c r="P127" s="62"/>
      <c r="Q127" s="60">
        <f t="shared" si="13"/>
        <v>0</v>
      </c>
      <c r="R127" s="61">
        <f t="shared" si="6"/>
        <v>0</v>
      </c>
      <c r="S127" s="60" t="s">
        <v>31</v>
      </c>
      <c r="T127" s="60"/>
      <c r="U127" s="17"/>
      <c r="V127" s="17"/>
      <c r="W127" s="17"/>
      <c r="X127" s="17"/>
      <c r="Y127" s="17"/>
      <c r="Z127" s="17"/>
      <c r="AA127" s="17"/>
      <c r="AB127" s="17"/>
      <c r="AC127" s="17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</row>
    <row r="128" spans="1:48" s="19" customFormat="1" ht="21.6" x14ac:dyDescent="0.2">
      <c r="A128" s="41">
        <v>2070</v>
      </c>
      <c r="B128" s="42" t="s">
        <v>20</v>
      </c>
      <c r="C128" s="43" t="s">
        <v>21</v>
      </c>
      <c r="D128" s="66">
        <v>6424</v>
      </c>
      <c r="E128" s="42" t="s">
        <v>376</v>
      </c>
      <c r="F128" s="45" t="s">
        <v>303</v>
      </c>
      <c r="G128" s="42" t="s">
        <v>64</v>
      </c>
      <c r="H128" s="45" t="s">
        <v>304</v>
      </c>
      <c r="I128" s="46" t="s">
        <v>27</v>
      </c>
      <c r="J128" s="47">
        <v>0.7</v>
      </c>
      <c r="K128" s="55" t="s">
        <v>66</v>
      </c>
      <c r="L128" s="63" t="s">
        <v>305</v>
      </c>
      <c r="M128" s="13" t="s">
        <v>306</v>
      </c>
      <c r="N128" s="51" t="s">
        <v>112</v>
      </c>
      <c r="O128" s="47">
        <v>0.15</v>
      </c>
      <c r="P128" s="47"/>
      <c r="Q128" s="47">
        <f>ROUND(IF(OR(N128="",P128=""),0,IF(AND(N128=0,P128=0),1,IF(S128="+",P128/N128,N128/P128))),2)</f>
        <v>0</v>
      </c>
      <c r="R128" s="49">
        <f t="shared" si="6"/>
        <v>0</v>
      </c>
      <c r="S128" s="47" t="s">
        <v>31</v>
      </c>
      <c r="T128" s="50">
        <f>SUM(R128:R136)%</f>
        <v>0</v>
      </c>
      <c r="U128" s="17"/>
      <c r="V128" s="17"/>
      <c r="W128" s="17"/>
      <c r="X128" s="17"/>
      <c r="Y128" s="17"/>
      <c r="Z128" s="17"/>
      <c r="AA128" s="17"/>
      <c r="AB128" s="17"/>
      <c r="AC128" s="17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</row>
    <row r="129" spans="1:48" s="19" customFormat="1" ht="21.6" x14ac:dyDescent="0.2">
      <c r="A129" s="41">
        <v>2071</v>
      </c>
      <c r="B129" s="42" t="s">
        <v>20</v>
      </c>
      <c r="C129" s="43" t="s">
        <v>21</v>
      </c>
      <c r="D129" s="66">
        <v>6425</v>
      </c>
      <c r="E129" s="42" t="s">
        <v>376</v>
      </c>
      <c r="F129" s="45" t="s">
        <v>303</v>
      </c>
      <c r="G129" s="42" t="s">
        <v>64</v>
      </c>
      <c r="H129" s="45" t="s">
        <v>304</v>
      </c>
      <c r="I129" s="46" t="s">
        <v>27</v>
      </c>
      <c r="J129" s="47">
        <v>0.7</v>
      </c>
      <c r="K129" s="55" t="s">
        <v>307</v>
      </c>
      <c r="L129" s="63" t="s">
        <v>308</v>
      </c>
      <c r="M129" s="55" t="s">
        <v>309</v>
      </c>
      <c r="N129" s="51" t="s">
        <v>310</v>
      </c>
      <c r="O129" s="47">
        <v>0.15</v>
      </c>
      <c r="P129" s="52"/>
      <c r="Q129" s="47">
        <f>ROUND(IF(OR(N129="",P129=""),0,IF(AND(N129=0,P129=0),1,IF(S129="+",P129/N129,N129/P129))),2)</f>
        <v>0</v>
      </c>
      <c r="R129" s="49">
        <f t="shared" ref="R129:R181" si="14">IF(AND(Q129&gt;=60%,Q129&lt;100%),Q129*((O129*J129)),IF(Q129=100%,((O129*J129)*Q129)*100%,IF(Q129&gt;100%,((J129*O129)*100%)*100%,0)))*100</f>
        <v>0</v>
      </c>
      <c r="S129" s="47" t="s">
        <v>36</v>
      </c>
      <c r="T129" s="47"/>
      <c r="U129" s="17"/>
      <c r="V129" s="17"/>
      <c r="W129" s="17"/>
      <c r="X129" s="17"/>
      <c r="Y129" s="17"/>
      <c r="Z129" s="17"/>
      <c r="AA129" s="17"/>
      <c r="AB129" s="17"/>
      <c r="AC129" s="17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</row>
    <row r="130" spans="1:48" s="19" customFormat="1" ht="21.6" x14ac:dyDescent="0.2">
      <c r="A130" s="41">
        <v>2072</v>
      </c>
      <c r="B130" s="42" t="s">
        <v>20</v>
      </c>
      <c r="C130" s="43" t="s">
        <v>21</v>
      </c>
      <c r="D130" s="66">
        <v>6426</v>
      </c>
      <c r="E130" s="42" t="s">
        <v>376</v>
      </c>
      <c r="F130" s="45" t="s">
        <v>303</v>
      </c>
      <c r="G130" s="42" t="s">
        <v>64</v>
      </c>
      <c r="H130" s="45" t="s">
        <v>304</v>
      </c>
      <c r="I130" s="46" t="s">
        <v>27</v>
      </c>
      <c r="J130" s="47">
        <v>0.7</v>
      </c>
      <c r="K130" s="55" t="s">
        <v>311</v>
      </c>
      <c r="L130" s="63" t="s">
        <v>312</v>
      </c>
      <c r="M130" s="55" t="s">
        <v>313</v>
      </c>
      <c r="N130" s="53">
        <v>1</v>
      </c>
      <c r="O130" s="47">
        <v>0.1</v>
      </c>
      <c r="P130" s="52"/>
      <c r="Q130" s="47">
        <f t="shared" ref="Q130:Q136" si="15">ROUND(IF(OR(N130="",P130=""),0,IF(AND(N130=0,P130=0),1,IF(S130="+",P130/N130,N130/P130))),2)</f>
        <v>0</v>
      </c>
      <c r="R130" s="49">
        <f t="shared" si="14"/>
        <v>0</v>
      </c>
      <c r="S130" s="47" t="s">
        <v>31</v>
      </c>
      <c r="T130" s="47"/>
      <c r="U130" s="17"/>
      <c r="V130" s="17"/>
      <c r="W130" s="17"/>
      <c r="X130" s="17"/>
      <c r="Y130" s="17"/>
      <c r="Z130" s="17"/>
      <c r="AA130" s="17"/>
      <c r="AB130" s="17"/>
      <c r="AC130" s="17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</row>
    <row r="131" spans="1:48" s="19" customFormat="1" ht="21.6" x14ac:dyDescent="0.2">
      <c r="A131" s="41">
        <v>2073</v>
      </c>
      <c r="B131" s="42" t="s">
        <v>20</v>
      </c>
      <c r="C131" s="43" t="s">
        <v>21</v>
      </c>
      <c r="D131" s="66">
        <v>6427</v>
      </c>
      <c r="E131" s="42" t="s">
        <v>376</v>
      </c>
      <c r="F131" s="45" t="s">
        <v>303</v>
      </c>
      <c r="G131" s="42" t="s">
        <v>64</v>
      </c>
      <c r="H131" s="45" t="s">
        <v>304</v>
      </c>
      <c r="I131" s="46" t="s">
        <v>27</v>
      </c>
      <c r="J131" s="47">
        <v>0.7</v>
      </c>
      <c r="K131" s="55" t="s">
        <v>145</v>
      </c>
      <c r="L131" s="63" t="s">
        <v>314</v>
      </c>
      <c r="M131" s="55" t="s">
        <v>315</v>
      </c>
      <c r="N131" s="52" t="s">
        <v>196</v>
      </c>
      <c r="O131" s="47">
        <v>0.1</v>
      </c>
      <c r="P131" s="54"/>
      <c r="Q131" s="47">
        <f t="shared" si="15"/>
        <v>0</v>
      </c>
      <c r="R131" s="49">
        <f t="shared" si="14"/>
        <v>0</v>
      </c>
      <c r="S131" s="47" t="s">
        <v>36</v>
      </c>
      <c r="T131" s="47"/>
      <c r="U131" s="17"/>
      <c r="V131" s="17"/>
      <c r="W131" s="17"/>
      <c r="X131" s="17"/>
      <c r="Y131" s="17"/>
      <c r="Z131" s="17"/>
      <c r="AA131" s="17"/>
      <c r="AB131" s="17"/>
      <c r="AC131" s="17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</row>
    <row r="132" spans="1:48" s="19" customFormat="1" ht="21.6" x14ac:dyDescent="0.2">
      <c r="A132" s="41">
        <v>2074</v>
      </c>
      <c r="B132" s="42" t="s">
        <v>20</v>
      </c>
      <c r="C132" s="43" t="s">
        <v>21</v>
      </c>
      <c r="D132" s="66">
        <v>6428</v>
      </c>
      <c r="E132" s="42" t="s">
        <v>376</v>
      </c>
      <c r="F132" s="45" t="s">
        <v>303</v>
      </c>
      <c r="G132" s="42" t="s">
        <v>64</v>
      </c>
      <c r="H132" s="45" t="s">
        <v>304</v>
      </c>
      <c r="I132" s="46" t="s">
        <v>27</v>
      </c>
      <c r="J132" s="47">
        <v>0.7</v>
      </c>
      <c r="K132" s="55" t="s">
        <v>84</v>
      </c>
      <c r="L132" s="63" t="s">
        <v>316</v>
      </c>
      <c r="M132" s="55" t="s">
        <v>317</v>
      </c>
      <c r="N132" s="55" t="s">
        <v>196</v>
      </c>
      <c r="O132" s="47">
        <v>0.1</v>
      </c>
      <c r="P132" s="56"/>
      <c r="Q132" s="47">
        <f t="shared" si="15"/>
        <v>0</v>
      </c>
      <c r="R132" s="49">
        <f t="shared" si="14"/>
        <v>0</v>
      </c>
      <c r="S132" s="47" t="s">
        <v>36</v>
      </c>
      <c r="T132" s="47"/>
      <c r="U132" s="17"/>
      <c r="V132" s="17"/>
      <c r="W132" s="17"/>
      <c r="X132" s="17"/>
      <c r="Y132" s="17"/>
      <c r="Z132" s="17"/>
      <c r="AA132" s="17"/>
      <c r="AB132" s="17"/>
      <c r="AC132" s="17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</row>
    <row r="133" spans="1:48" s="19" customFormat="1" ht="21.6" x14ac:dyDescent="0.2">
      <c r="A133" s="41">
        <v>2075</v>
      </c>
      <c r="B133" s="42" t="s">
        <v>20</v>
      </c>
      <c r="C133" s="43" t="s">
        <v>21</v>
      </c>
      <c r="D133" s="66">
        <v>6429</v>
      </c>
      <c r="E133" s="42" t="s">
        <v>376</v>
      </c>
      <c r="F133" s="45" t="s">
        <v>303</v>
      </c>
      <c r="G133" s="42" t="s">
        <v>64</v>
      </c>
      <c r="H133" s="45" t="s">
        <v>304</v>
      </c>
      <c r="I133" s="57" t="s">
        <v>27</v>
      </c>
      <c r="J133" s="47">
        <v>0.7</v>
      </c>
      <c r="K133" s="57" t="s">
        <v>318</v>
      </c>
      <c r="L133" s="64" t="s">
        <v>319</v>
      </c>
      <c r="M133" s="57" t="s">
        <v>320</v>
      </c>
      <c r="N133" s="59" t="s">
        <v>127</v>
      </c>
      <c r="O133" s="60">
        <v>0.1</v>
      </c>
      <c r="P133" s="56"/>
      <c r="Q133" s="60">
        <f t="shared" si="15"/>
        <v>0</v>
      </c>
      <c r="R133" s="61">
        <f t="shared" si="14"/>
        <v>0</v>
      </c>
      <c r="S133" s="60" t="s">
        <v>31</v>
      </c>
      <c r="T133" s="60"/>
      <c r="U133" s="17"/>
      <c r="V133" s="17"/>
      <c r="W133" s="17"/>
      <c r="X133" s="17"/>
      <c r="Y133" s="17"/>
      <c r="Z133" s="17"/>
      <c r="AA133" s="17"/>
      <c r="AB133" s="17"/>
      <c r="AC133" s="17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</row>
    <row r="134" spans="1:48" s="19" customFormat="1" ht="21.6" x14ac:dyDescent="0.2">
      <c r="A134" s="41">
        <v>2076</v>
      </c>
      <c r="B134" s="42" t="s">
        <v>20</v>
      </c>
      <c r="C134" s="43" t="s">
        <v>21</v>
      </c>
      <c r="D134" s="66">
        <v>6430</v>
      </c>
      <c r="E134" s="42" t="s">
        <v>376</v>
      </c>
      <c r="F134" s="45" t="s">
        <v>303</v>
      </c>
      <c r="G134" s="42" t="s">
        <v>64</v>
      </c>
      <c r="H134" s="45" t="s">
        <v>304</v>
      </c>
      <c r="I134" s="57" t="s">
        <v>27</v>
      </c>
      <c r="J134" s="47">
        <v>0.7</v>
      </c>
      <c r="K134" s="57" t="s">
        <v>321</v>
      </c>
      <c r="L134" s="64" t="s">
        <v>322</v>
      </c>
      <c r="M134" s="57" t="s">
        <v>323</v>
      </c>
      <c r="N134" s="59" t="s">
        <v>156</v>
      </c>
      <c r="O134" s="60">
        <v>0.1</v>
      </c>
      <c r="P134" s="56"/>
      <c r="Q134" s="60">
        <f t="shared" si="15"/>
        <v>0</v>
      </c>
      <c r="R134" s="61">
        <f t="shared" si="14"/>
        <v>0</v>
      </c>
      <c r="S134" s="60" t="s">
        <v>31</v>
      </c>
      <c r="T134" s="60"/>
      <c r="U134" s="17"/>
      <c r="V134" s="17"/>
      <c r="W134" s="17"/>
      <c r="X134" s="17"/>
      <c r="Y134" s="17"/>
      <c r="Z134" s="17"/>
      <c r="AA134" s="17"/>
      <c r="AB134" s="17"/>
      <c r="AC134" s="17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</row>
    <row r="135" spans="1:48" s="19" customFormat="1" ht="21.6" x14ac:dyDescent="0.2">
      <c r="A135" s="41">
        <v>2077</v>
      </c>
      <c r="B135" s="42" t="s">
        <v>20</v>
      </c>
      <c r="C135" s="43" t="s">
        <v>21</v>
      </c>
      <c r="D135" s="66">
        <v>6431</v>
      </c>
      <c r="E135" s="42" t="s">
        <v>376</v>
      </c>
      <c r="F135" s="45" t="s">
        <v>303</v>
      </c>
      <c r="G135" s="42" t="s">
        <v>64</v>
      </c>
      <c r="H135" s="45" t="s">
        <v>304</v>
      </c>
      <c r="I135" s="57" t="s">
        <v>27</v>
      </c>
      <c r="J135" s="47">
        <v>0.7</v>
      </c>
      <c r="K135" s="57" t="s">
        <v>324</v>
      </c>
      <c r="L135" s="64" t="s">
        <v>325</v>
      </c>
      <c r="M135" s="25" t="s">
        <v>326</v>
      </c>
      <c r="N135" s="62" t="s">
        <v>127</v>
      </c>
      <c r="O135" s="60">
        <v>0.1</v>
      </c>
      <c r="P135" s="62"/>
      <c r="Q135" s="60">
        <f t="shared" si="15"/>
        <v>0</v>
      </c>
      <c r="R135" s="61">
        <f t="shared" si="14"/>
        <v>0</v>
      </c>
      <c r="S135" s="60" t="s">
        <v>31</v>
      </c>
      <c r="T135" s="60"/>
      <c r="U135" s="17"/>
      <c r="V135" s="17"/>
      <c r="W135" s="17"/>
      <c r="X135" s="17"/>
      <c r="Y135" s="17"/>
      <c r="Z135" s="17"/>
      <c r="AA135" s="17"/>
      <c r="AB135" s="17"/>
      <c r="AC135" s="17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</row>
    <row r="136" spans="1:48" s="19" customFormat="1" ht="21.6" x14ac:dyDescent="0.2">
      <c r="A136" s="41">
        <v>2078</v>
      </c>
      <c r="B136" s="42" t="s">
        <v>20</v>
      </c>
      <c r="C136" s="43" t="s">
        <v>21</v>
      </c>
      <c r="D136" s="66">
        <v>6432</v>
      </c>
      <c r="E136" s="42" t="s">
        <v>376</v>
      </c>
      <c r="F136" s="45" t="s">
        <v>303</v>
      </c>
      <c r="G136" s="42" t="s">
        <v>64</v>
      </c>
      <c r="H136" s="45" t="s">
        <v>304</v>
      </c>
      <c r="I136" s="57" t="s">
        <v>59</v>
      </c>
      <c r="J136" s="58">
        <v>0.3</v>
      </c>
      <c r="K136" s="57" t="s">
        <v>327</v>
      </c>
      <c r="L136" s="64" t="s">
        <v>328</v>
      </c>
      <c r="M136" s="25" t="s">
        <v>329</v>
      </c>
      <c r="N136" s="62" t="s">
        <v>330</v>
      </c>
      <c r="O136" s="60">
        <v>0.1</v>
      </c>
      <c r="P136" s="62"/>
      <c r="Q136" s="60">
        <f t="shared" si="15"/>
        <v>0</v>
      </c>
      <c r="R136" s="61">
        <f t="shared" si="14"/>
        <v>0</v>
      </c>
      <c r="S136" s="60" t="s">
        <v>31</v>
      </c>
      <c r="T136" s="60"/>
      <c r="U136" s="17"/>
      <c r="V136" s="17"/>
      <c r="W136" s="17"/>
      <c r="X136" s="17"/>
      <c r="Y136" s="17"/>
      <c r="Z136" s="17"/>
      <c r="AA136" s="17"/>
      <c r="AB136" s="17"/>
      <c r="AC136" s="17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</row>
    <row r="137" spans="1:48" s="19" customFormat="1" ht="21.6" x14ac:dyDescent="0.2">
      <c r="A137" s="41">
        <v>2070</v>
      </c>
      <c r="B137" s="42" t="s">
        <v>20</v>
      </c>
      <c r="C137" s="43" t="s">
        <v>21</v>
      </c>
      <c r="D137" s="66">
        <v>3751</v>
      </c>
      <c r="E137" s="42" t="s">
        <v>377</v>
      </c>
      <c r="F137" s="45" t="s">
        <v>303</v>
      </c>
      <c r="G137" s="42" t="s">
        <v>64</v>
      </c>
      <c r="H137" s="45" t="s">
        <v>304</v>
      </c>
      <c r="I137" s="46" t="s">
        <v>27</v>
      </c>
      <c r="J137" s="47">
        <v>0.7</v>
      </c>
      <c r="K137" s="55" t="s">
        <v>66</v>
      </c>
      <c r="L137" s="63" t="s">
        <v>305</v>
      </c>
      <c r="M137" s="13" t="s">
        <v>306</v>
      </c>
      <c r="N137" s="51" t="s">
        <v>112</v>
      </c>
      <c r="O137" s="47">
        <v>0.15</v>
      </c>
      <c r="P137" s="47"/>
      <c r="Q137" s="47">
        <f>ROUND(IF(OR(N137="",P137=""),0,IF(AND(N137=0,P137=0),1,IF(S137="+",P137/N137,N137/P137))),2)</f>
        <v>0</v>
      </c>
      <c r="R137" s="49">
        <f t="shared" si="14"/>
        <v>0</v>
      </c>
      <c r="S137" s="47" t="s">
        <v>31</v>
      </c>
      <c r="T137" s="50">
        <f>SUM(R137:R145)%</f>
        <v>0</v>
      </c>
      <c r="U137" s="17"/>
      <c r="V137" s="17"/>
      <c r="W137" s="17"/>
      <c r="X137" s="17"/>
      <c r="Y137" s="17"/>
      <c r="Z137" s="17"/>
      <c r="AA137" s="17"/>
      <c r="AB137" s="17"/>
      <c r="AC137" s="17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</row>
    <row r="138" spans="1:48" s="19" customFormat="1" ht="21.6" x14ac:dyDescent="0.2">
      <c r="A138" s="41">
        <v>2071</v>
      </c>
      <c r="B138" s="42" t="s">
        <v>20</v>
      </c>
      <c r="C138" s="43" t="s">
        <v>21</v>
      </c>
      <c r="D138" s="66">
        <v>3751</v>
      </c>
      <c r="E138" s="42" t="s">
        <v>377</v>
      </c>
      <c r="F138" s="45" t="s">
        <v>303</v>
      </c>
      <c r="G138" s="42" t="s">
        <v>64</v>
      </c>
      <c r="H138" s="45" t="s">
        <v>304</v>
      </c>
      <c r="I138" s="46" t="s">
        <v>27</v>
      </c>
      <c r="J138" s="47">
        <v>0.7</v>
      </c>
      <c r="K138" s="55" t="s">
        <v>307</v>
      </c>
      <c r="L138" s="63" t="s">
        <v>308</v>
      </c>
      <c r="M138" s="55" t="s">
        <v>309</v>
      </c>
      <c r="N138" s="51" t="s">
        <v>310</v>
      </c>
      <c r="O138" s="47">
        <v>0.15</v>
      </c>
      <c r="P138" s="52"/>
      <c r="Q138" s="47">
        <f>ROUND(IF(OR(N138="",P138=""),0,IF(AND(N138=0,P138=0),1,IF(S138="+",P138/N138,N138/P138))),2)</f>
        <v>0</v>
      </c>
      <c r="R138" s="49">
        <f t="shared" si="14"/>
        <v>0</v>
      </c>
      <c r="S138" s="47" t="s">
        <v>36</v>
      </c>
      <c r="T138" s="47"/>
      <c r="U138" s="17"/>
      <c r="V138" s="17"/>
      <c r="W138" s="17"/>
      <c r="X138" s="17"/>
      <c r="Y138" s="17"/>
      <c r="Z138" s="17"/>
      <c r="AA138" s="17"/>
      <c r="AB138" s="17"/>
      <c r="AC138" s="17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</row>
    <row r="139" spans="1:48" s="19" customFormat="1" ht="21.6" x14ac:dyDescent="0.2">
      <c r="A139" s="41">
        <v>2072</v>
      </c>
      <c r="B139" s="42" t="s">
        <v>20</v>
      </c>
      <c r="C139" s="43" t="s">
        <v>21</v>
      </c>
      <c r="D139" s="66">
        <v>3751</v>
      </c>
      <c r="E139" s="42" t="s">
        <v>377</v>
      </c>
      <c r="F139" s="45" t="s">
        <v>303</v>
      </c>
      <c r="G139" s="42" t="s">
        <v>64</v>
      </c>
      <c r="H139" s="45" t="s">
        <v>304</v>
      </c>
      <c r="I139" s="46" t="s">
        <v>27</v>
      </c>
      <c r="J139" s="47">
        <v>0.7</v>
      </c>
      <c r="K139" s="55" t="s">
        <v>311</v>
      </c>
      <c r="L139" s="63" t="s">
        <v>312</v>
      </c>
      <c r="M139" s="55" t="s">
        <v>313</v>
      </c>
      <c r="N139" s="53">
        <v>1</v>
      </c>
      <c r="O139" s="47">
        <v>0.1</v>
      </c>
      <c r="P139" s="52"/>
      <c r="Q139" s="47">
        <f t="shared" ref="Q139:Q145" si="16">ROUND(IF(OR(N139="",P139=""),0,IF(AND(N139=0,P139=0),1,IF(S139="+",P139/N139,N139/P139))),2)</f>
        <v>0</v>
      </c>
      <c r="R139" s="49">
        <f t="shared" si="14"/>
        <v>0</v>
      </c>
      <c r="S139" s="47" t="s">
        <v>31</v>
      </c>
      <c r="T139" s="47"/>
      <c r="U139" s="17"/>
      <c r="V139" s="17"/>
      <c r="W139" s="17"/>
      <c r="X139" s="17"/>
      <c r="Y139" s="17"/>
      <c r="Z139" s="17"/>
      <c r="AA139" s="17"/>
      <c r="AB139" s="17"/>
      <c r="AC139" s="17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</row>
    <row r="140" spans="1:48" s="19" customFormat="1" ht="21.6" x14ac:dyDescent="0.2">
      <c r="A140" s="41">
        <v>2073</v>
      </c>
      <c r="B140" s="42" t="s">
        <v>20</v>
      </c>
      <c r="C140" s="43" t="s">
        <v>21</v>
      </c>
      <c r="D140" s="66">
        <v>3751</v>
      </c>
      <c r="E140" s="42" t="s">
        <v>377</v>
      </c>
      <c r="F140" s="45" t="s">
        <v>303</v>
      </c>
      <c r="G140" s="42" t="s">
        <v>64</v>
      </c>
      <c r="H140" s="45" t="s">
        <v>304</v>
      </c>
      <c r="I140" s="46" t="s">
        <v>27</v>
      </c>
      <c r="J140" s="47">
        <v>0.7</v>
      </c>
      <c r="K140" s="55" t="s">
        <v>145</v>
      </c>
      <c r="L140" s="63" t="s">
        <v>314</v>
      </c>
      <c r="M140" s="55" t="s">
        <v>315</v>
      </c>
      <c r="N140" s="52" t="s">
        <v>196</v>
      </c>
      <c r="O140" s="47">
        <v>0.1</v>
      </c>
      <c r="P140" s="54"/>
      <c r="Q140" s="47">
        <f t="shared" si="16"/>
        <v>0</v>
      </c>
      <c r="R140" s="49">
        <f t="shared" si="14"/>
        <v>0</v>
      </c>
      <c r="S140" s="47" t="s">
        <v>36</v>
      </c>
      <c r="T140" s="47"/>
      <c r="U140" s="17"/>
      <c r="V140" s="17"/>
      <c r="W140" s="17"/>
      <c r="X140" s="17"/>
      <c r="Y140" s="17"/>
      <c r="Z140" s="17"/>
      <c r="AA140" s="17"/>
      <c r="AB140" s="17"/>
      <c r="AC140" s="17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</row>
    <row r="141" spans="1:48" s="19" customFormat="1" ht="21.6" x14ac:dyDescent="0.2">
      <c r="A141" s="41">
        <v>2074</v>
      </c>
      <c r="B141" s="42" t="s">
        <v>20</v>
      </c>
      <c r="C141" s="43" t="s">
        <v>21</v>
      </c>
      <c r="D141" s="66">
        <v>3751</v>
      </c>
      <c r="E141" s="42" t="s">
        <v>377</v>
      </c>
      <c r="F141" s="45" t="s">
        <v>303</v>
      </c>
      <c r="G141" s="42" t="s">
        <v>64</v>
      </c>
      <c r="H141" s="45" t="s">
        <v>304</v>
      </c>
      <c r="I141" s="46" t="s">
        <v>27</v>
      </c>
      <c r="J141" s="47">
        <v>0.7</v>
      </c>
      <c r="K141" s="55" t="s">
        <v>84</v>
      </c>
      <c r="L141" s="63" t="s">
        <v>316</v>
      </c>
      <c r="M141" s="55" t="s">
        <v>317</v>
      </c>
      <c r="N141" s="55" t="s">
        <v>196</v>
      </c>
      <c r="O141" s="47">
        <v>0.1</v>
      </c>
      <c r="P141" s="56"/>
      <c r="Q141" s="47">
        <f t="shared" si="16"/>
        <v>0</v>
      </c>
      <c r="R141" s="49">
        <f t="shared" si="14"/>
        <v>0</v>
      </c>
      <c r="S141" s="47" t="s">
        <v>36</v>
      </c>
      <c r="T141" s="47"/>
      <c r="U141" s="17"/>
      <c r="V141" s="17"/>
      <c r="W141" s="17"/>
      <c r="X141" s="17"/>
      <c r="Y141" s="17"/>
      <c r="Z141" s="17"/>
      <c r="AA141" s="17"/>
      <c r="AB141" s="17"/>
      <c r="AC141" s="17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</row>
    <row r="142" spans="1:48" s="19" customFormat="1" ht="21.6" x14ac:dyDescent="0.2">
      <c r="A142" s="41">
        <v>2075</v>
      </c>
      <c r="B142" s="42" t="s">
        <v>20</v>
      </c>
      <c r="C142" s="43" t="s">
        <v>21</v>
      </c>
      <c r="D142" s="66">
        <v>3751</v>
      </c>
      <c r="E142" s="42" t="s">
        <v>377</v>
      </c>
      <c r="F142" s="45" t="s">
        <v>303</v>
      </c>
      <c r="G142" s="42" t="s">
        <v>64</v>
      </c>
      <c r="H142" s="45" t="s">
        <v>304</v>
      </c>
      <c r="I142" s="57" t="s">
        <v>27</v>
      </c>
      <c r="J142" s="47">
        <v>0.7</v>
      </c>
      <c r="K142" s="57" t="s">
        <v>318</v>
      </c>
      <c r="L142" s="64" t="s">
        <v>319</v>
      </c>
      <c r="M142" s="57" t="s">
        <v>320</v>
      </c>
      <c r="N142" s="59" t="s">
        <v>127</v>
      </c>
      <c r="O142" s="60">
        <v>0.1</v>
      </c>
      <c r="P142" s="56"/>
      <c r="Q142" s="60">
        <f t="shared" si="16"/>
        <v>0</v>
      </c>
      <c r="R142" s="61">
        <f t="shared" si="14"/>
        <v>0</v>
      </c>
      <c r="S142" s="60" t="s">
        <v>31</v>
      </c>
      <c r="T142" s="60"/>
      <c r="U142" s="17"/>
      <c r="V142" s="17"/>
      <c r="W142" s="17"/>
      <c r="X142" s="17"/>
      <c r="Y142" s="17"/>
      <c r="Z142" s="17"/>
      <c r="AA142" s="17"/>
      <c r="AB142" s="17"/>
      <c r="AC142" s="17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</row>
    <row r="143" spans="1:48" s="19" customFormat="1" ht="21.6" x14ac:dyDescent="0.2">
      <c r="A143" s="41">
        <v>2076</v>
      </c>
      <c r="B143" s="42" t="s">
        <v>20</v>
      </c>
      <c r="C143" s="43" t="s">
        <v>21</v>
      </c>
      <c r="D143" s="66">
        <v>3751</v>
      </c>
      <c r="E143" s="42" t="s">
        <v>377</v>
      </c>
      <c r="F143" s="45" t="s">
        <v>303</v>
      </c>
      <c r="G143" s="42" t="s">
        <v>64</v>
      </c>
      <c r="H143" s="45" t="s">
        <v>304</v>
      </c>
      <c r="I143" s="57" t="s">
        <v>27</v>
      </c>
      <c r="J143" s="47">
        <v>0.7</v>
      </c>
      <c r="K143" s="57" t="s">
        <v>321</v>
      </c>
      <c r="L143" s="64" t="s">
        <v>322</v>
      </c>
      <c r="M143" s="57" t="s">
        <v>323</v>
      </c>
      <c r="N143" s="59" t="s">
        <v>156</v>
      </c>
      <c r="O143" s="60">
        <v>0.1</v>
      </c>
      <c r="P143" s="56"/>
      <c r="Q143" s="60">
        <f t="shared" si="16"/>
        <v>0</v>
      </c>
      <c r="R143" s="61">
        <f t="shared" si="14"/>
        <v>0</v>
      </c>
      <c r="S143" s="60" t="s">
        <v>31</v>
      </c>
      <c r="T143" s="60"/>
      <c r="U143" s="17"/>
      <c r="V143" s="17"/>
      <c r="W143" s="17"/>
      <c r="X143" s="17"/>
      <c r="Y143" s="17"/>
      <c r="Z143" s="17"/>
      <c r="AA143" s="17"/>
      <c r="AB143" s="17"/>
      <c r="AC143" s="17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</row>
    <row r="144" spans="1:48" s="19" customFormat="1" ht="21.6" x14ac:dyDescent="0.2">
      <c r="A144" s="41">
        <v>2077</v>
      </c>
      <c r="B144" s="42" t="s">
        <v>20</v>
      </c>
      <c r="C144" s="43" t="s">
        <v>21</v>
      </c>
      <c r="D144" s="66">
        <v>3751</v>
      </c>
      <c r="E144" s="42" t="s">
        <v>377</v>
      </c>
      <c r="F144" s="45" t="s">
        <v>303</v>
      </c>
      <c r="G144" s="42" t="s">
        <v>64</v>
      </c>
      <c r="H144" s="45" t="s">
        <v>304</v>
      </c>
      <c r="I144" s="57" t="s">
        <v>27</v>
      </c>
      <c r="J144" s="47">
        <v>0.7</v>
      </c>
      <c r="K144" s="57" t="s">
        <v>324</v>
      </c>
      <c r="L144" s="64" t="s">
        <v>325</v>
      </c>
      <c r="M144" s="25" t="s">
        <v>326</v>
      </c>
      <c r="N144" s="62" t="s">
        <v>127</v>
      </c>
      <c r="O144" s="60">
        <v>0.1</v>
      </c>
      <c r="P144" s="62"/>
      <c r="Q144" s="60">
        <f t="shared" si="16"/>
        <v>0</v>
      </c>
      <c r="R144" s="61">
        <f t="shared" si="14"/>
        <v>0</v>
      </c>
      <c r="S144" s="60" t="s">
        <v>31</v>
      </c>
      <c r="T144" s="60"/>
      <c r="U144" s="17"/>
      <c r="V144" s="17"/>
      <c r="W144" s="17"/>
      <c r="X144" s="17"/>
      <c r="Y144" s="17"/>
      <c r="Z144" s="17"/>
      <c r="AA144" s="17"/>
      <c r="AB144" s="17"/>
      <c r="AC144" s="17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</row>
    <row r="145" spans="1:48" s="19" customFormat="1" ht="21.6" x14ac:dyDescent="0.2">
      <c r="A145" s="41">
        <v>2078</v>
      </c>
      <c r="B145" s="42" t="s">
        <v>20</v>
      </c>
      <c r="C145" s="43" t="s">
        <v>21</v>
      </c>
      <c r="D145" s="66">
        <v>3751</v>
      </c>
      <c r="E145" s="42" t="s">
        <v>377</v>
      </c>
      <c r="F145" s="45" t="s">
        <v>303</v>
      </c>
      <c r="G145" s="42" t="s">
        <v>64</v>
      </c>
      <c r="H145" s="45" t="s">
        <v>304</v>
      </c>
      <c r="I145" s="57" t="s">
        <v>59</v>
      </c>
      <c r="J145" s="58">
        <v>0.3</v>
      </c>
      <c r="K145" s="57" t="s">
        <v>327</v>
      </c>
      <c r="L145" s="64" t="s">
        <v>328</v>
      </c>
      <c r="M145" s="25" t="s">
        <v>329</v>
      </c>
      <c r="N145" s="62" t="s">
        <v>330</v>
      </c>
      <c r="O145" s="60">
        <v>0.1</v>
      </c>
      <c r="P145" s="62"/>
      <c r="Q145" s="60">
        <f t="shared" si="16"/>
        <v>0</v>
      </c>
      <c r="R145" s="61">
        <f t="shared" si="14"/>
        <v>0</v>
      </c>
      <c r="S145" s="60" t="s">
        <v>31</v>
      </c>
      <c r="T145" s="60"/>
      <c r="U145" s="17"/>
      <c r="V145" s="17"/>
      <c r="W145" s="17"/>
      <c r="X145" s="17"/>
      <c r="Y145" s="17"/>
      <c r="Z145" s="17"/>
      <c r="AA145" s="17"/>
      <c r="AB145" s="17"/>
      <c r="AC145" s="17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</row>
    <row r="146" spans="1:48" s="19" customFormat="1" ht="21.6" x14ac:dyDescent="0.2">
      <c r="A146" s="41">
        <v>2070</v>
      </c>
      <c r="B146" s="42" t="s">
        <v>20</v>
      </c>
      <c r="C146" s="43" t="s">
        <v>21</v>
      </c>
      <c r="D146" s="66">
        <v>6245</v>
      </c>
      <c r="E146" s="42" t="s">
        <v>378</v>
      </c>
      <c r="F146" s="45" t="s">
        <v>335</v>
      </c>
      <c r="G146" s="42" t="s">
        <v>64</v>
      </c>
      <c r="H146" s="45" t="s">
        <v>304</v>
      </c>
      <c r="I146" s="46" t="s">
        <v>27</v>
      </c>
      <c r="J146" s="47">
        <v>0.7</v>
      </c>
      <c r="K146" s="55" t="s">
        <v>66</v>
      </c>
      <c r="L146" s="63" t="s">
        <v>305</v>
      </c>
      <c r="M146" s="13" t="s">
        <v>306</v>
      </c>
      <c r="N146" s="51" t="s">
        <v>112</v>
      </c>
      <c r="O146" s="47">
        <v>0.15</v>
      </c>
      <c r="P146" s="47"/>
      <c r="Q146" s="47">
        <f>ROUND(IF(OR(N146="",P146=""),0,IF(AND(N146=0,P146=0),1,IF(S146="+",P146/N146,N146/P146))),2)</f>
        <v>0</v>
      </c>
      <c r="R146" s="49">
        <f t="shared" si="14"/>
        <v>0</v>
      </c>
      <c r="S146" s="47" t="s">
        <v>31</v>
      </c>
      <c r="T146" s="50">
        <f>SUM(R146:R154)%</f>
        <v>0</v>
      </c>
      <c r="U146" s="17"/>
      <c r="V146" s="17"/>
      <c r="W146" s="17"/>
      <c r="X146" s="17"/>
      <c r="Y146" s="17"/>
      <c r="Z146" s="17"/>
      <c r="AA146" s="17"/>
      <c r="AB146" s="17"/>
      <c r="AC146" s="17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</row>
    <row r="147" spans="1:48" s="19" customFormat="1" ht="21.6" x14ac:dyDescent="0.2">
      <c r="A147" s="41">
        <v>2071</v>
      </c>
      <c r="B147" s="42" t="s">
        <v>20</v>
      </c>
      <c r="C147" s="43" t="s">
        <v>21</v>
      </c>
      <c r="D147" s="66">
        <v>6245</v>
      </c>
      <c r="E147" s="42" t="s">
        <v>378</v>
      </c>
      <c r="F147" s="45" t="s">
        <v>335</v>
      </c>
      <c r="G147" s="42" t="s">
        <v>64</v>
      </c>
      <c r="H147" s="45" t="s">
        <v>304</v>
      </c>
      <c r="I147" s="46" t="s">
        <v>27</v>
      </c>
      <c r="J147" s="47">
        <v>0.7</v>
      </c>
      <c r="K147" s="55" t="s">
        <v>307</v>
      </c>
      <c r="L147" s="63" t="s">
        <v>308</v>
      </c>
      <c r="M147" s="55" t="s">
        <v>309</v>
      </c>
      <c r="N147" s="51" t="s">
        <v>310</v>
      </c>
      <c r="O147" s="47">
        <v>0.15</v>
      </c>
      <c r="P147" s="52"/>
      <c r="Q147" s="47">
        <f>ROUND(IF(OR(N147="",P147=""),0,IF(AND(N147=0,P147=0),1,IF(S147="+",P147/N147,N147/P147))),2)</f>
        <v>0</v>
      </c>
      <c r="R147" s="49">
        <f t="shared" si="14"/>
        <v>0</v>
      </c>
      <c r="S147" s="47" t="s">
        <v>36</v>
      </c>
      <c r="T147" s="47"/>
      <c r="U147" s="17"/>
      <c r="V147" s="17"/>
      <c r="W147" s="17"/>
      <c r="X147" s="17"/>
      <c r="Y147" s="17"/>
      <c r="Z147" s="17"/>
      <c r="AA147" s="17"/>
      <c r="AB147" s="17"/>
      <c r="AC147" s="17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</row>
    <row r="148" spans="1:48" s="19" customFormat="1" ht="21.6" x14ac:dyDescent="0.2">
      <c r="A148" s="41">
        <v>2072</v>
      </c>
      <c r="B148" s="42" t="s">
        <v>20</v>
      </c>
      <c r="C148" s="43" t="s">
        <v>21</v>
      </c>
      <c r="D148" s="66">
        <v>6245</v>
      </c>
      <c r="E148" s="42" t="s">
        <v>378</v>
      </c>
      <c r="F148" s="45" t="s">
        <v>335</v>
      </c>
      <c r="G148" s="42" t="s">
        <v>64</v>
      </c>
      <c r="H148" s="45" t="s">
        <v>304</v>
      </c>
      <c r="I148" s="46" t="s">
        <v>27</v>
      </c>
      <c r="J148" s="47">
        <v>0.7</v>
      </c>
      <c r="K148" s="55" t="s">
        <v>311</v>
      </c>
      <c r="L148" s="63" t="s">
        <v>312</v>
      </c>
      <c r="M148" s="55" t="s">
        <v>313</v>
      </c>
      <c r="N148" s="53">
        <v>1</v>
      </c>
      <c r="O148" s="47">
        <v>0.1</v>
      </c>
      <c r="P148" s="52"/>
      <c r="Q148" s="47">
        <f t="shared" ref="Q148:Q154" si="17">ROUND(IF(OR(N148="",P148=""),0,IF(AND(N148=0,P148=0),1,IF(S148="+",P148/N148,N148/P148))),2)</f>
        <v>0</v>
      </c>
      <c r="R148" s="49">
        <f t="shared" si="14"/>
        <v>0</v>
      </c>
      <c r="S148" s="47" t="s">
        <v>31</v>
      </c>
      <c r="T148" s="47"/>
      <c r="U148" s="17"/>
      <c r="V148" s="17"/>
      <c r="W148" s="17"/>
      <c r="X148" s="17"/>
      <c r="Y148" s="17"/>
      <c r="Z148" s="17"/>
      <c r="AA148" s="17"/>
      <c r="AB148" s="17"/>
      <c r="AC148" s="17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</row>
    <row r="149" spans="1:48" s="19" customFormat="1" ht="21.6" x14ac:dyDescent="0.2">
      <c r="A149" s="41">
        <v>2073</v>
      </c>
      <c r="B149" s="42" t="s">
        <v>20</v>
      </c>
      <c r="C149" s="43" t="s">
        <v>21</v>
      </c>
      <c r="D149" s="66">
        <v>6245</v>
      </c>
      <c r="E149" s="42" t="s">
        <v>378</v>
      </c>
      <c r="F149" s="45" t="s">
        <v>335</v>
      </c>
      <c r="G149" s="42" t="s">
        <v>64</v>
      </c>
      <c r="H149" s="45" t="s">
        <v>304</v>
      </c>
      <c r="I149" s="46" t="s">
        <v>27</v>
      </c>
      <c r="J149" s="47">
        <v>0.7</v>
      </c>
      <c r="K149" s="55" t="s">
        <v>145</v>
      </c>
      <c r="L149" s="63" t="s">
        <v>314</v>
      </c>
      <c r="M149" s="55" t="s">
        <v>315</v>
      </c>
      <c r="N149" s="52" t="s">
        <v>196</v>
      </c>
      <c r="O149" s="47">
        <v>0.1</v>
      </c>
      <c r="P149" s="54"/>
      <c r="Q149" s="47">
        <f t="shared" si="17"/>
        <v>0</v>
      </c>
      <c r="R149" s="49">
        <f t="shared" si="14"/>
        <v>0</v>
      </c>
      <c r="S149" s="47" t="s">
        <v>36</v>
      </c>
      <c r="T149" s="47"/>
      <c r="U149" s="17"/>
      <c r="V149" s="17"/>
      <c r="W149" s="17"/>
      <c r="X149" s="17"/>
      <c r="Y149" s="17"/>
      <c r="Z149" s="17"/>
      <c r="AA149" s="17"/>
      <c r="AB149" s="17"/>
      <c r="AC149" s="17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</row>
    <row r="150" spans="1:48" s="19" customFormat="1" ht="21.6" x14ac:dyDescent="0.2">
      <c r="A150" s="41">
        <v>2074</v>
      </c>
      <c r="B150" s="42" t="s">
        <v>20</v>
      </c>
      <c r="C150" s="43" t="s">
        <v>21</v>
      </c>
      <c r="D150" s="66">
        <v>6245</v>
      </c>
      <c r="E150" s="42" t="s">
        <v>378</v>
      </c>
      <c r="F150" s="45" t="s">
        <v>335</v>
      </c>
      <c r="G150" s="42" t="s">
        <v>64</v>
      </c>
      <c r="H150" s="45" t="s">
        <v>304</v>
      </c>
      <c r="I150" s="46" t="s">
        <v>27</v>
      </c>
      <c r="J150" s="47">
        <v>0.7</v>
      </c>
      <c r="K150" s="55" t="s">
        <v>84</v>
      </c>
      <c r="L150" s="63" t="s">
        <v>316</v>
      </c>
      <c r="M150" s="55" t="s">
        <v>317</v>
      </c>
      <c r="N150" s="55" t="s">
        <v>196</v>
      </c>
      <c r="O150" s="47">
        <v>0.1</v>
      </c>
      <c r="P150" s="56"/>
      <c r="Q150" s="47">
        <f t="shared" si="17"/>
        <v>0</v>
      </c>
      <c r="R150" s="49">
        <f t="shared" si="14"/>
        <v>0</v>
      </c>
      <c r="S150" s="47" t="s">
        <v>36</v>
      </c>
      <c r="T150" s="47"/>
      <c r="U150" s="17"/>
      <c r="V150" s="17"/>
      <c r="W150" s="17"/>
      <c r="X150" s="17"/>
      <c r="Y150" s="17"/>
      <c r="Z150" s="17"/>
      <c r="AA150" s="17"/>
      <c r="AB150" s="17"/>
      <c r="AC150" s="17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</row>
    <row r="151" spans="1:48" s="19" customFormat="1" ht="21.6" x14ac:dyDescent="0.2">
      <c r="A151" s="41">
        <v>2075</v>
      </c>
      <c r="B151" s="42" t="s">
        <v>20</v>
      </c>
      <c r="C151" s="43" t="s">
        <v>21</v>
      </c>
      <c r="D151" s="66">
        <v>6245</v>
      </c>
      <c r="E151" s="42" t="s">
        <v>378</v>
      </c>
      <c r="F151" s="45" t="s">
        <v>335</v>
      </c>
      <c r="G151" s="42" t="s">
        <v>64</v>
      </c>
      <c r="H151" s="45" t="s">
        <v>304</v>
      </c>
      <c r="I151" s="57" t="s">
        <v>27</v>
      </c>
      <c r="J151" s="47">
        <v>0.7</v>
      </c>
      <c r="K151" s="57" t="s">
        <v>318</v>
      </c>
      <c r="L151" s="64" t="s">
        <v>319</v>
      </c>
      <c r="M151" s="57" t="s">
        <v>320</v>
      </c>
      <c r="N151" s="59" t="s">
        <v>127</v>
      </c>
      <c r="O151" s="60">
        <v>0.1</v>
      </c>
      <c r="P151" s="56"/>
      <c r="Q151" s="60">
        <f t="shared" si="17"/>
        <v>0</v>
      </c>
      <c r="R151" s="61">
        <f t="shared" si="14"/>
        <v>0</v>
      </c>
      <c r="S151" s="60" t="s">
        <v>31</v>
      </c>
      <c r="T151" s="60"/>
      <c r="U151" s="17"/>
      <c r="V151" s="17"/>
      <c r="W151" s="17"/>
      <c r="X151" s="17"/>
      <c r="Y151" s="17"/>
      <c r="Z151" s="17"/>
      <c r="AA151" s="17"/>
      <c r="AB151" s="17"/>
      <c r="AC151" s="17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</row>
    <row r="152" spans="1:48" s="19" customFormat="1" ht="21.6" x14ac:dyDescent="0.2">
      <c r="A152" s="41">
        <v>2076</v>
      </c>
      <c r="B152" s="42" t="s">
        <v>20</v>
      </c>
      <c r="C152" s="43" t="s">
        <v>21</v>
      </c>
      <c r="D152" s="66">
        <v>6245</v>
      </c>
      <c r="E152" s="42" t="s">
        <v>378</v>
      </c>
      <c r="F152" s="45" t="s">
        <v>335</v>
      </c>
      <c r="G152" s="42" t="s">
        <v>64</v>
      </c>
      <c r="H152" s="45" t="s">
        <v>304</v>
      </c>
      <c r="I152" s="57" t="s">
        <v>27</v>
      </c>
      <c r="J152" s="47">
        <v>0.7</v>
      </c>
      <c r="K152" s="57" t="s">
        <v>321</v>
      </c>
      <c r="L152" s="64" t="s">
        <v>322</v>
      </c>
      <c r="M152" s="57" t="s">
        <v>323</v>
      </c>
      <c r="N152" s="59" t="s">
        <v>156</v>
      </c>
      <c r="O152" s="60">
        <v>0.1</v>
      </c>
      <c r="P152" s="56"/>
      <c r="Q152" s="60">
        <f t="shared" si="17"/>
        <v>0</v>
      </c>
      <c r="R152" s="61">
        <f t="shared" si="14"/>
        <v>0</v>
      </c>
      <c r="S152" s="60" t="s">
        <v>31</v>
      </c>
      <c r="T152" s="60"/>
      <c r="U152" s="17"/>
      <c r="V152" s="17"/>
      <c r="W152" s="17"/>
      <c r="X152" s="17"/>
      <c r="Y152" s="17"/>
      <c r="Z152" s="17"/>
      <c r="AA152" s="17"/>
      <c r="AB152" s="17"/>
      <c r="AC152" s="17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</row>
    <row r="153" spans="1:48" s="19" customFormat="1" ht="21.6" x14ac:dyDescent="0.2">
      <c r="A153" s="41">
        <v>2077</v>
      </c>
      <c r="B153" s="42" t="s">
        <v>20</v>
      </c>
      <c r="C153" s="43" t="s">
        <v>21</v>
      </c>
      <c r="D153" s="66">
        <v>6245</v>
      </c>
      <c r="E153" s="42" t="s">
        <v>378</v>
      </c>
      <c r="F153" s="45" t="s">
        <v>335</v>
      </c>
      <c r="G153" s="42" t="s">
        <v>64</v>
      </c>
      <c r="H153" s="45" t="s">
        <v>304</v>
      </c>
      <c r="I153" s="57" t="s">
        <v>27</v>
      </c>
      <c r="J153" s="47">
        <v>0.7</v>
      </c>
      <c r="K153" s="57" t="s">
        <v>324</v>
      </c>
      <c r="L153" s="64" t="s">
        <v>325</v>
      </c>
      <c r="M153" s="25" t="s">
        <v>326</v>
      </c>
      <c r="N153" s="62" t="s">
        <v>127</v>
      </c>
      <c r="O153" s="60">
        <v>0.1</v>
      </c>
      <c r="P153" s="62"/>
      <c r="Q153" s="60">
        <f t="shared" si="17"/>
        <v>0</v>
      </c>
      <c r="R153" s="61">
        <f t="shared" si="14"/>
        <v>0</v>
      </c>
      <c r="S153" s="60" t="s">
        <v>31</v>
      </c>
      <c r="T153" s="60"/>
      <c r="U153" s="17"/>
      <c r="V153" s="17"/>
      <c r="W153" s="17"/>
      <c r="X153" s="17"/>
      <c r="Y153" s="17"/>
      <c r="Z153" s="17"/>
      <c r="AA153" s="17"/>
      <c r="AB153" s="17"/>
      <c r="AC153" s="17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</row>
    <row r="154" spans="1:48" s="19" customFormat="1" ht="21.6" x14ac:dyDescent="0.2">
      <c r="A154" s="41">
        <v>2078</v>
      </c>
      <c r="B154" s="42" t="s">
        <v>20</v>
      </c>
      <c r="C154" s="43" t="s">
        <v>21</v>
      </c>
      <c r="D154" s="66">
        <v>6245</v>
      </c>
      <c r="E154" s="42" t="s">
        <v>378</v>
      </c>
      <c r="F154" s="45" t="s">
        <v>335</v>
      </c>
      <c r="G154" s="42" t="s">
        <v>64</v>
      </c>
      <c r="H154" s="45" t="s">
        <v>304</v>
      </c>
      <c r="I154" s="57" t="s">
        <v>59</v>
      </c>
      <c r="J154" s="58">
        <v>0.3</v>
      </c>
      <c r="K154" s="57" t="s">
        <v>327</v>
      </c>
      <c r="L154" s="64" t="s">
        <v>328</v>
      </c>
      <c r="M154" s="25" t="s">
        <v>329</v>
      </c>
      <c r="N154" s="62" t="s">
        <v>330</v>
      </c>
      <c r="O154" s="60">
        <v>0.1</v>
      </c>
      <c r="P154" s="62"/>
      <c r="Q154" s="60">
        <f t="shared" si="17"/>
        <v>0</v>
      </c>
      <c r="R154" s="61">
        <f t="shared" si="14"/>
        <v>0</v>
      </c>
      <c r="S154" s="60" t="s">
        <v>31</v>
      </c>
      <c r="T154" s="60"/>
      <c r="U154" s="17"/>
      <c r="V154" s="17"/>
      <c r="W154" s="17"/>
      <c r="X154" s="17"/>
      <c r="Y154" s="17"/>
      <c r="Z154" s="17"/>
      <c r="AA154" s="17"/>
      <c r="AB154" s="17"/>
      <c r="AC154" s="17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</row>
    <row r="155" spans="1:48" s="19" customFormat="1" ht="21.6" x14ac:dyDescent="0.2">
      <c r="A155" s="41">
        <v>2070</v>
      </c>
      <c r="B155" s="42" t="s">
        <v>20</v>
      </c>
      <c r="C155" s="43" t="s">
        <v>21</v>
      </c>
      <c r="D155" s="66">
        <v>6328</v>
      </c>
      <c r="E155" s="42" t="s">
        <v>379</v>
      </c>
      <c r="F155" s="45" t="s">
        <v>335</v>
      </c>
      <c r="G155" s="42" t="s">
        <v>64</v>
      </c>
      <c r="H155" s="45" t="s">
        <v>304</v>
      </c>
      <c r="I155" s="46" t="s">
        <v>27</v>
      </c>
      <c r="J155" s="47">
        <v>0.7</v>
      </c>
      <c r="K155" s="55" t="s">
        <v>66</v>
      </c>
      <c r="L155" s="63" t="s">
        <v>305</v>
      </c>
      <c r="M155" s="13" t="s">
        <v>306</v>
      </c>
      <c r="N155" s="51" t="s">
        <v>112</v>
      </c>
      <c r="O155" s="47">
        <v>0.15</v>
      </c>
      <c r="P155" s="47"/>
      <c r="Q155" s="47">
        <f>ROUND(IF(OR(N155="",P155=""),0,IF(AND(N155=0,P155=0),1,IF(S155="+",P155/N155,N155/P155))),2)</f>
        <v>0</v>
      </c>
      <c r="R155" s="49">
        <f t="shared" si="14"/>
        <v>0</v>
      </c>
      <c r="S155" s="47" t="s">
        <v>31</v>
      </c>
      <c r="T155" s="50">
        <f>SUM(R155:R163)%</f>
        <v>0</v>
      </c>
      <c r="U155" s="17"/>
      <c r="V155" s="17"/>
      <c r="W155" s="17"/>
      <c r="X155" s="17"/>
      <c r="Y155" s="17"/>
      <c r="Z155" s="17"/>
      <c r="AA155" s="17"/>
      <c r="AB155" s="17"/>
      <c r="AC155" s="17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</row>
    <row r="156" spans="1:48" s="19" customFormat="1" ht="21.6" x14ac:dyDescent="0.2">
      <c r="A156" s="41">
        <v>2071</v>
      </c>
      <c r="B156" s="42" t="s">
        <v>20</v>
      </c>
      <c r="C156" s="43" t="s">
        <v>21</v>
      </c>
      <c r="D156" s="66">
        <v>6328</v>
      </c>
      <c r="E156" s="42" t="s">
        <v>379</v>
      </c>
      <c r="F156" s="45" t="s">
        <v>335</v>
      </c>
      <c r="G156" s="42" t="s">
        <v>64</v>
      </c>
      <c r="H156" s="45" t="s">
        <v>304</v>
      </c>
      <c r="I156" s="46" t="s">
        <v>27</v>
      </c>
      <c r="J156" s="47">
        <v>0.7</v>
      </c>
      <c r="K156" s="55" t="s">
        <v>307</v>
      </c>
      <c r="L156" s="63" t="s">
        <v>308</v>
      </c>
      <c r="M156" s="55" t="s">
        <v>309</v>
      </c>
      <c r="N156" s="51" t="s">
        <v>310</v>
      </c>
      <c r="O156" s="47">
        <v>0.15</v>
      </c>
      <c r="P156" s="52"/>
      <c r="Q156" s="47">
        <f>ROUND(IF(OR(N156="",P156=""),0,IF(AND(N156=0,P156=0),1,IF(S156="+",P156/N156,N156/P156))),2)</f>
        <v>0</v>
      </c>
      <c r="R156" s="49">
        <f t="shared" si="14"/>
        <v>0</v>
      </c>
      <c r="S156" s="47" t="s">
        <v>36</v>
      </c>
      <c r="T156" s="47"/>
      <c r="U156" s="17"/>
      <c r="V156" s="17"/>
      <c r="W156" s="17"/>
      <c r="X156" s="17"/>
      <c r="Y156" s="17"/>
      <c r="Z156" s="17"/>
      <c r="AA156" s="17"/>
      <c r="AB156" s="17"/>
      <c r="AC156" s="17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</row>
    <row r="157" spans="1:48" s="19" customFormat="1" ht="21.6" x14ac:dyDescent="0.2">
      <c r="A157" s="41">
        <v>2072</v>
      </c>
      <c r="B157" s="42" t="s">
        <v>20</v>
      </c>
      <c r="C157" s="43" t="s">
        <v>21</v>
      </c>
      <c r="D157" s="66">
        <v>6328</v>
      </c>
      <c r="E157" s="42" t="s">
        <v>379</v>
      </c>
      <c r="F157" s="45" t="s">
        <v>335</v>
      </c>
      <c r="G157" s="42" t="s">
        <v>64</v>
      </c>
      <c r="H157" s="45" t="s">
        <v>304</v>
      </c>
      <c r="I157" s="46" t="s">
        <v>27</v>
      </c>
      <c r="J157" s="47">
        <v>0.7</v>
      </c>
      <c r="K157" s="55" t="s">
        <v>311</v>
      </c>
      <c r="L157" s="63" t="s">
        <v>312</v>
      </c>
      <c r="M157" s="55" t="s">
        <v>313</v>
      </c>
      <c r="N157" s="53">
        <v>1</v>
      </c>
      <c r="O157" s="47">
        <v>0.1</v>
      </c>
      <c r="P157" s="52"/>
      <c r="Q157" s="47">
        <f t="shared" ref="Q157:Q163" si="18">ROUND(IF(OR(N157="",P157=""),0,IF(AND(N157=0,P157=0),1,IF(S157="+",P157/N157,N157/P157))),2)</f>
        <v>0</v>
      </c>
      <c r="R157" s="49">
        <f t="shared" si="14"/>
        <v>0</v>
      </c>
      <c r="S157" s="47" t="s">
        <v>31</v>
      </c>
      <c r="T157" s="47"/>
      <c r="U157" s="17"/>
      <c r="V157" s="17"/>
      <c r="W157" s="17"/>
      <c r="X157" s="17"/>
      <c r="Y157" s="17"/>
      <c r="Z157" s="17"/>
      <c r="AA157" s="17"/>
      <c r="AB157" s="17"/>
      <c r="AC157" s="17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</row>
    <row r="158" spans="1:48" s="19" customFormat="1" ht="21.6" x14ac:dyDescent="0.2">
      <c r="A158" s="41">
        <v>2073</v>
      </c>
      <c r="B158" s="42" t="s">
        <v>20</v>
      </c>
      <c r="C158" s="43" t="s">
        <v>21</v>
      </c>
      <c r="D158" s="66">
        <v>6328</v>
      </c>
      <c r="E158" s="42" t="s">
        <v>379</v>
      </c>
      <c r="F158" s="45" t="s">
        <v>335</v>
      </c>
      <c r="G158" s="42" t="s">
        <v>64</v>
      </c>
      <c r="H158" s="45" t="s">
        <v>304</v>
      </c>
      <c r="I158" s="46" t="s">
        <v>27</v>
      </c>
      <c r="J158" s="47">
        <v>0.7</v>
      </c>
      <c r="K158" s="55" t="s">
        <v>145</v>
      </c>
      <c r="L158" s="63" t="s">
        <v>314</v>
      </c>
      <c r="M158" s="55" t="s">
        <v>315</v>
      </c>
      <c r="N158" s="52" t="s">
        <v>196</v>
      </c>
      <c r="O158" s="47">
        <v>0.1</v>
      </c>
      <c r="P158" s="54"/>
      <c r="Q158" s="47">
        <f t="shared" si="18"/>
        <v>0</v>
      </c>
      <c r="R158" s="49">
        <f t="shared" si="14"/>
        <v>0</v>
      </c>
      <c r="S158" s="47" t="s">
        <v>36</v>
      </c>
      <c r="T158" s="47"/>
      <c r="U158" s="17"/>
      <c r="V158" s="17"/>
      <c r="W158" s="17"/>
      <c r="X158" s="17"/>
      <c r="Y158" s="17"/>
      <c r="Z158" s="17"/>
      <c r="AA158" s="17"/>
      <c r="AB158" s="17"/>
      <c r="AC158" s="17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</row>
    <row r="159" spans="1:48" s="19" customFormat="1" ht="21.6" x14ac:dyDescent="0.2">
      <c r="A159" s="41">
        <v>2074</v>
      </c>
      <c r="B159" s="42" t="s">
        <v>20</v>
      </c>
      <c r="C159" s="43" t="s">
        <v>21</v>
      </c>
      <c r="D159" s="66">
        <v>6328</v>
      </c>
      <c r="E159" s="42" t="s">
        <v>379</v>
      </c>
      <c r="F159" s="45" t="s">
        <v>335</v>
      </c>
      <c r="G159" s="42" t="s">
        <v>64</v>
      </c>
      <c r="H159" s="45" t="s">
        <v>304</v>
      </c>
      <c r="I159" s="46" t="s">
        <v>27</v>
      </c>
      <c r="J159" s="47">
        <v>0.7</v>
      </c>
      <c r="K159" s="55" t="s">
        <v>84</v>
      </c>
      <c r="L159" s="63" t="s">
        <v>316</v>
      </c>
      <c r="M159" s="55" t="s">
        <v>317</v>
      </c>
      <c r="N159" s="55" t="s">
        <v>196</v>
      </c>
      <c r="O159" s="47">
        <v>0.1</v>
      </c>
      <c r="P159" s="56"/>
      <c r="Q159" s="47">
        <f t="shared" si="18"/>
        <v>0</v>
      </c>
      <c r="R159" s="49">
        <f t="shared" si="14"/>
        <v>0</v>
      </c>
      <c r="S159" s="47" t="s">
        <v>36</v>
      </c>
      <c r="T159" s="47"/>
      <c r="U159" s="17"/>
      <c r="V159" s="17"/>
      <c r="W159" s="17"/>
      <c r="X159" s="17"/>
      <c r="Y159" s="17"/>
      <c r="Z159" s="17"/>
      <c r="AA159" s="17"/>
      <c r="AB159" s="17"/>
      <c r="AC159" s="17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</row>
    <row r="160" spans="1:48" s="19" customFormat="1" ht="21.6" x14ac:dyDescent="0.2">
      <c r="A160" s="41">
        <v>2075</v>
      </c>
      <c r="B160" s="42" t="s">
        <v>20</v>
      </c>
      <c r="C160" s="43" t="s">
        <v>21</v>
      </c>
      <c r="D160" s="66">
        <v>6328</v>
      </c>
      <c r="E160" s="42" t="s">
        <v>379</v>
      </c>
      <c r="F160" s="45" t="s">
        <v>335</v>
      </c>
      <c r="G160" s="42" t="s">
        <v>64</v>
      </c>
      <c r="H160" s="45" t="s">
        <v>304</v>
      </c>
      <c r="I160" s="57" t="s">
        <v>27</v>
      </c>
      <c r="J160" s="47">
        <v>0.7</v>
      </c>
      <c r="K160" s="57" t="s">
        <v>318</v>
      </c>
      <c r="L160" s="64" t="s">
        <v>319</v>
      </c>
      <c r="M160" s="57" t="s">
        <v>320</v>
      </c>
      <c r="N160" s="59" t="s">
        <v>127</v>
      </c>
      <c r="O160" s="60">
        <v>0.1</v>
      </c>
      <c r="P160" s="56"/>
      <c r="Q160" s="60">
        <f t="shared" si="18"/>
        <v>0</v>
      </c>
      <c r="R160" s="61">
        <f t="shared" si="14"/>
        <v>0</v>
      </c>
      <c r="S160" s="60" t="s">
        <v>31</v>
      </c>
      <c r="T160" s="60"/>
      <c r="U160" s="17"/>
      <c r="V160" s="17"/>
      <c r="W160" s="17"/>
      <c r="X160" s="17"/>
      <c r="Y160" s="17"/>
      <c r="Z160" s="17"/>
      <c r="AA160" s="17"/>
      <c r="AB160" s="17"/>
      <c r="AC160" s="17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</row>
    <row r="161" spans="1:48" s="19" customFormat="1" ht="21.6" x14ac:dyDescent="0.2">
      <c r="A161" s="41">
        <v>2076</v>
      </c>
      <c r="B161" s="42" t="s">
        <v>20</v>
      </c>
      <c r="C161" s="43" t="s">
        <v>21</v>
      </c>
      <c r="D161" s="66">
        <v>6328</v>
      </c>
      <c r="E161" s="42" t="s">
        <v>379</v>
      </c>
      <c r="F161" s="45" t="s">
        <v>335</v>
      </c>
      <c r="G161" s="42" t="s">
        <v>64</v>
      </c>
      <c r="H161" s="45" t="s">
        <v>304</v>
      </c>
      <c r="I161" s="57" t="s">
        <v>27</v>
      </c>
      <c r="J161" s="47">
        <v>0.7</v>
      </c>
      <c r="K161" s="57" t="s">
        <v>321</v>
      </c>
      <c r="L161" s="64" t="s">
        <v>322</v>
      </c>
      <c r="M161" s="57" t="s">
        <v>323</v>
      </c>
      <c r="N161" s="59" t="s">
        <v>156</v>
      </c>
      <c r="O161" s="60">
        <v>0.1</v>
      </c>
      <c r="P161" s="56"/>
      <c r="Q161" s="60">
        <f t="shared" si="18"/>
        <v>0</v>
      </c>
      <c r="R161" s="61">
        <f t="shared" si="14"/>
        <v>0</v>
      </c>
      <c r="S161" s="60" t="s">
        <v>31</v>
      </c>
      <c r="T161" s="60"/>
      <c r="U161" s="17"/>
      <c r="V161" s="17"/>
      <c r="W161" s="17"/>
      <c r="X161" s="17"/>
      <c r="Y161" s="17"/>
      <c r="Z161" s="17"/>
      <c r="AA161" s="17"/>
      <c r="AB161" s="17"/>
      <c r="AC161" s="17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</row>
    <row r="162" spans="1:48" s="19" customFormat="1" ht="21.6" x14ac:dyDescent="0.2">
      <c r="A162" s="41">
        <v>2077</v>
      </c>
      <c r="B162" s="42" t="s">
        <v>20</v>
      </c>
      <c r="C162" s="43" t="s">
        <v>21</v>
      </c>
      <c r="D162" s="66">
        <v>6328</v>
      </c>
      <c r="E162" s="42" t="s">
        <v>379</v>
      </c>
      <c r="F162" s="45" t="s">
        <v>335</v>
      </c>
      <c r="G162" s="42" t="s">
        <v>64</v>
      </c>
      <c r="H162" s="45" t="s">
        <v>304</v>
      </c>
      <c r="I162" s="57" t="s">
        <v>27</v>
      </c>
      <c r="J162" s="47">
        <v>0.7</v>
      </c>
      <c r="K162" s="57" t="s">
        <v>324</v>
      </c>
      <c r="L162" s="64" t="s">
        <v>325</v>
      </c>
      <c r="M162" s="25" t="s">
        <v>326</v>
      </c>
      <c r="N162" s="62" t="s">
        <v>127</v>
      </c>
      <c r="O162" s="60">
        <v>0.1</v>
      </c>
      <c r="P162" s="62"/>
      <c r="Q162" s="60">
        <f t="shared" si="18"/>
        <v>0</v>
      </c>
      <c r="R162" s="61">
        <f t="shared" si="14"/>
        <v>0</v>
      </c>
      <c r="S162" s="60" t="s">
        <v>31</v>
      </c>
      <c r="T162" s="60"/>
      <c r="U162" s="17"/>
      <c r="V162" s="17"/>
      <c r="W162" s="17"/>
      <c r="X162" s="17"/>
      <c r="Y162" s="17"/>
      <c r="Z162" s="17"/>
      <c r="AA162" s="17"/>
      <c r="AB162" s="17"/>
      <c r="AC162" s="17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</row>
    <row r="163" spans="1:48" s="19" customFormat="1" ht="21.6" x14ac:dyDescent="0.2">
      <c r="A163" s="41">
        <v>2078</v>
      </c>
      <c r="B163" s="42" t="s">
        <v>20</v>
      </c>
      <c r="C163" s="43" t="s">
        <v>21</v>
      </c>
      <c r="D163" s="66">
        <v>6328</v>
      </c>
      <c r="E163" s="42" t="s">
        <v>379</v>
      </c>
      <c r="F163" s="45" t="s">
        <v>335</v>
      </c>
      <c r="G163" s="42" t="s">
        <v>64</v>
      </c>
      <c r="H163" s="45" t="s">
        <v>304</v>
      </c>
      <c r="I163" s="57" t="s">
        <v>59</v>
      </c>
      <c r="J163" s="58">
        <v>0.3</v>
      </c>
      <c r="K163" s="57" t="s">
        <v>327</v>
      </c>
      <c r="L163" s="64" t="s">
        <v>328</v>
      </c>
      <c r="M163" s="25" t="s">
        <v>329</v>
      </c>
      <c r="N163" s="62" t="s">
        <v>330</v>
      </c>
      <c r="O163" s="60">
        <v>0.1</v>
      </c>
      <c r="P163" s="62"/>
      <c r="Q163" s="60">
        <f t="shared" si="18"/>
        <v>0</v>
      </c>
      <c r="R163" s="61">
        <f t="shared" si="14"/>
        <v>0</v>
      </c>
      <c r="S163" s="60" t="s">
        <v>31</v>
      </c>
      <c r="T163" s="60"/>
      <c r="U163" s="17"/>
      <c r="V163" s="17"/>
      <c r="W163" s="17"/>
      <c r="X163" s="17"/>
      <c r="Y163" s="17"/>
      <c r="Z163" s="17"/>
      <c r="AA163" s="17"/>
      <c r="AB163" s="17"/>
      <c r="AC163" s="17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</row>
    <row r="164" spans="1:48" s="19" customFormat="1" ht="21.6" x14ac:dyDescent="0.2">
      <c r="A164" s="41">
        <v>2070</v>
      </c>
      <c r="B164" s="42" t="s">
        <v>20</v>
      </c>
      <c r="C164" s="43" t="s">
        <v>21</v>
      </c>
      <c r="D164" s="66">
        <v>6406</v>
      </c>
      <c r="E164" s="42" t="s">
        <v>380</v>
      </c>
      <c r="F164" s="45" t="s">
        <v>303</v>
      </c>
      <c r="G164" s="42" t="s">
        <v>64</v>
      </c>
      <c r="H164" s="45" t="s">
        <v>304</v>
      </c>
      <c r="I164" s="46" t="s">
        <v>27</v>
      </c>
      <c r="J164" s="47">
        <v>0.7</v>
      </c>
      <c r="K164" s="55" t="s">
        <v>66</v>
      </c>
      <c r="L164" s="63" t="s">
        <v>305</v>
      </c>
      <c r="M164" s="13" t="s">
        <v>306</v>
      </c>
      <c r="N164" s="51" t="s">
        <v>112</v>
      </c>
      <c r="O164" s="47">
        <v>0.15</v>
      </c>
      <c r="P164" s="47"/>
      <c r="Q164" s="47">
        <f>ROUND(IF(OR(N164="",P164=""),0,IF(AND(N164=0,P164=0),1,IF(S164="+",P164/N164,N164/P164))),2)</f>
        <v>0</v>
      </c>
      <c r="R164" s="49">
        <f t="shared" si="14"/>
        <v>0</v>
      </c>
      <c r="S164" s="47" t="s">
        <v>31</v>
      </c>
      <c r="T164" s="50">
        <f>SUM(R164:R172)%</f>
        <v>0</v>
      </c>
      <c r="U164" s="17"/>
      <c r="V164" s="17"/>
      <c r="W164" s="17"/>
      <c r="X164" s="17"/>
      <c r="Y164" s="17"/>
      <c r="Z164" s="17"/>
      <c r="AA164" s="17"/>
      <c r="AB164" s="17"/>
      <c r="AC164" s="17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</row>
    <row r="165" spans="1:48" s="19" customFormat="1" ht="21.6" x14ac:dyDescent="0.2">
      <c r="A165" s="41">
        <v>2071</v>
      </c>
      <c r="B165" s="42" t="s">
        <v>20</v>
      </c>
      <c r="C165" s="43" t="s">
        <v>21</v>
      </c>
      <c r="D165" s="66">
        <v>6406</v>
      </c>
      <c r="E165" s="42" t="s">
        <v>380</v>
      </c>
      <c r="F165" s="45" t="s">
        <v>303</v>
      </c>
      <c r="G165" s="42" t="s">
        <v>64</v>
      </c>
      <c r="H165" s="45" t="s">
        <v>304</v>
      </c>
      <c r="I165" s="46" t="s">
        <v>27</v>
      </c>
      <c r="J165" s="47">
        <v>0.7</v>
      </c>
      <c r="K165" s="55" t="s">
        <v>307</v>
      </c>
      <c r="L165" s="63" t="s">
        <v>308</v>
      </c>
      <c r="M165" s="55" t="s">
        <v>309</v>
      </c>
      <c r="N165" s="51" t="s">
        <v>310</v>
      </c>
      <c r="O165" s="47">
        <v>0.15</v>
      </c>
      <c r="P165" s="52"/>
      <c r="Q165" s="47">
        <f>ROUND(IF(OR(N165="",P165=""),0,IF(AND(N165=0,P165=0),1,IF(S165="+",P165/N165,N165/P165))),2)</f>
        <v>0</v>
      </c>
      <c r="R165" s="49">
        <f t="shared" si="14"/>
        <v>0</v>
      </c>
      <c r="S165" s="47" t="s">
        <v>36</v>
      </c>
      <c r="T165" s="47"/>
      <c r="U165" s="17"/>
      <c r="V165" s="17"/>
      <c r="W165" s="17"/>
      <c r="X165" s="17"/>
      <c r="Y165" s="17"/>
      <c r="Z165" s="17"/>
      <c r="AA165" s="17"/>
      <c r="AB165" s="17"/>
      <c r="AC165" s="17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</row>
    <row r="166" spans="1:48" s="19" customFormat="1" ht="21.6" x14ac:dyDescent="0.2">
      <c r="A166" s="41">
        <v>2072</v>
      </c>
      <c r="B166" s="42" t="s">
        <v>20</v>
      </c>
      <c r="C166" s="43" t="s">
        <v>21</v>
      </c>
      <c r="D166" s="66">
        <v>6406</v>
      </c>
      <c r="E166" s="42" t="s">
        <v>380</v>
      </c>
      <c r="F166" s="45" t="s">
        <v>303</v>
      </c>
      <c r="G166" s="42" t="s">
        <v>64</v>
      </c>
      <c r="H166" s="45" t="s">
        <v>304</v>
      </c>
      <c r="I166" s="46" t="s">
        <v>27</v>
      </c>
      <c r="J166" s="47">
        <v>0.7</v>
      </c>
      <c r="K166" s="55" t="s">
        <v>311</v>
      </c>
      <c r="L166" s="63" t="s">
        <v>312</v>
      </c>
      <c r="M166" s="55" t="s">
        <v>313</v>
      </c>
      <c r="N166" s="53">
        <v>1</v>
      </c>
      <c r="O166" s="47">
        <v>0.1</v>
      </c>
      <c r="P166" s="52"/>
      <c r="Q166" s="47">
        <f t="shared" ref="Q166:Q172" si="19">ROUND(IF(OR(N166="",P166=""),0,IF(AND(N166=0,P166=0),1,IF(S166="+",P166/N166,N166/P166))),2)</f>
        <v>0</v>
      </c>
      <c r="R166" s="49">
        <f t="shared" si="14"/>
        <v>0</v>
      </c>
      <c r="S166" s="47" t="s">
        <v>31</v>
      </c>
      <c r="T166" s="47"/>
      <c r="U166" s="17"/>
      <c r="V166" s="17"/>
      <c r="W166" s="17"/>
      <c r="X166" s="17"/>
      <c r="Y166" s="17"/>
      <c r="Z166" s="17"/>
      <c r="AA166" s="17"/>
      <c r="AB166" s="17"/>
      <c r="AC166" s="17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</row>
    <row r="167" spans="1:48" s="19" customFormat="1" ht="21.6" x14ac:dyDescent="0.2">
      <c r="A167" s="41">
        <v>2073</v>
      </c>
      <c r="B167" s="42" t="s">
        <v>20</v>
      </c>
      <c r="C167" s="43" t="s">
        <v>21</v>
      </c>
      <c r="D167" s="66">
        <v>6406</v>
      </c>
      <c r="E167" s="42" t="s">
        <v>380</v>
      </c>
      <c r="F167" s="45" t="s">
        <v>303</v>
      </c>
      <c r="G167" s="42" t="s">
        <v>64</v>
      </c>
      <c r="H167" s="45" t="s">
        <v>304</v>
      </c>
      <c r="I167" s="46" t="s">
        <v>27</v>
      </c>
      <c r="J167" s="47">
        <v>0.7</v>
      </c>
      <c r="K167" s="55" t="s">
        <v>145</v>
      </c>
      <c r="L167" s="63" t="s">
        <v>314</v>
      </c>
      <c r="M167" s="55" t="s">
        <v>315</v>
      </c>
      <c r="N167" s="52" t="s">
        <v>196</v>
      </c>
      <c r="O167" s="47">
        <v>0.1</v>
      </c>
      <c r="P167" s="54"/>
      <c r="Q167" s="47">
        <f t="shared" si="19"/>
        <v>0</v>
      </c>
      <c r="R167" s="49">
        <f t="shared" si="14"/>
        <v>0</v>
      </c>
      <c r="S167" s="47" t="s">
        <v>36</v>
      </c>
      <c r="T167" s="47"/>
      <c r="U167" s="17"/>
      <c r="V167" s="17"/>
      <c r="W167" s="17"/>
      <c r="X167" s="17"/>
      <c r="Y167" s="17"/>
      <c r="Z167" s="17"/>
      <c r="AA167" s="17"/>
      <c r="AB167" s="17"/>
      <c r="AC167" s="17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</row>
    <row r="168" spans="1:48" s="19" customFormat="1" ht="21.6" x14ac:dyDescent="0.2">
      <c r="A168" s="41">
        <v>2074</v>
      </c>
      <c r="B168" s="42" t="s">
        <v>20</v>
      </c>
      <c r="C168" s="43" t="s">
        <v>21</v>
      </c>
      <c r="D168" s="66">
        <v>6406</v>
      </c>
      <c r="E168" s="42" t="s">
        <v>380</v>
      </c>
      <c r="F168" s="45" t="s">
        <v>303</v>
      </c>
      <c r="G168" s="42" t="s">
        <v>64</v>
      </c>
      <c r="H168" s="45" t="s">
        <v>304</v>
      </c>
      <c r="I168" s="46" t="s">
        <v>27</v>
      </c>
      <c r="J168" s="47">
        <v>0.7</v>
      </c>
      <c r="K168" s="55" t="s">
        <v>84</v>
      </c>
      <c r="L168" s="63" t="s">
        <v>316</v>
      </c>
      <c r="M168" s="55" t="s">
        <v>317</v>
      </c>
      <c r="N168" s="55" t="s">
        <v>196</v>
      </c>
      <c r="O168" s="47">
        <v>0.1</v>
      </c>
      <c r="P168" s="56"/>
      <c r="Q168" s="47">
        <f t="shared" si="19"/>
        <v>0</v>
      </c>
      <c r="R168" s="49">
        <f t="shared" si="14"/>
        <v>0</v>
      </c>
      <c r="S168" s="47" t="s">
        <v>36</v>
      </c>
      <c r="T168" s="47"/>
      <c r="U168" s="17"/>
      <c r="V168" s="17"/>
      <c r="W168" s="17"/>
      <c r="X168" s="17"/>
      <c r="Y168" s="17"/>
      <c r="Z168" s="17"/>
      <c r="AA168" s="17"/>
      <c r="AB168" s="17"/>
      <c r="AC168" s="17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</row>
    <row r="169" spans="1:48" s="19" customFormat="1" ht="21.6" x14ac:dyDescent="0.2">
      <c r="A169" s="41">
        <v>2075</v>
      </c>
      <c r="B169" s="42" t="s">
        <v>20</v>
      </c>
      <c r="C169" s="43" t="s">
        <v>21</v>
      </c>
      <c r="D169" s="66">
        <v>6406</v>
      </c>
      <c r="E169" s="42" t="s">
        <v>380</v>
      </c>
      <c r="F169" s="45" t="s">
        <v>303</v>
      </c>
      <c r="G169" s="42" t="s">
        <v>64</v>
      </c>
      <c r="H169" s="45" t="s">
        <v>304</v>
      </c>
      <c r="I169" s="57" t="s">
        <v>27</v>
      </c>
      <c r="J169" s="47">
        <v>0.7</v>
      </c>
      <c r="K169" s="57" t="s">
        <v>318</v>
      </c>
      <c r="L169" s="64" t="s">
        <v>319</v>
      </c>
      <c r="M169" s="57" t="s">
        <v>320</v>
      </c>
      <c r="N169" s="59" t="s">
        <v>127</v>
      </c>
      <c r="O169" s="60">
        <v>0.1</v>
      </c>
      <c r="P169" s="56"/>
      <c r="Q169" s="60">
        <f t="shared" si="19"/>
        <v>0</v>
      </c>
      <c r="R169" s="61">
        <f t="shared" si="14"/>
        <v>0</v>
      </c>
      <c r="S169" s="60" t="s">
        <v>31</v>
      </c>
      <c r="T169" s="60"/>
      <c r="U169" s="17"/>
      <c r="V169" s="17"/>
      <c r="W169" s="17"/>
      <c r="X169" s="17"/>
      <c r="Y169" s="17"/>
      <c r="Z169" s="17"/>
      <c r="AA169" s="17"/>
      <c r="AB169" s="17"/>
      <c r="AC169" s="17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</row>
    <row r="170" spans="1:48" s="19" customFormat="1" ht="21.6" x14ac:dyDescent="0.2">
      <c r="A170" s="41">
        <v>2076</v>
      </c>
      <c r="B170" s="42" t="s">
        <v>20</v>
      </c>
      <c r="C170" s="43" t="s">
        <v>21</v>
      </c>
      <c r="D170" s="66">
        <v>6406</v>
      </c>
      <c r="E170" s="42" t="s">
        <v>380</v>
      </c>
      <c r="F170" s="45" t="s">
        <v>303</v>
      </c>
      <c r="G170" s="42" t="s">
        <v>64</v>
      </c>
      <c r="H170" s="45" t="s">
        <v>304</v>
      </c>
      <c r="I170" s="57" t="s">
        <v>27</v>
      </c>
      <c r="J170" s="47">
        <v>0.7</v>
      </c>
      <c r="K170" s="57" t="s">
        <v>321</v>
      </c>
      <c r="L170" s="64" t="s">
        <v>322</v>
      </c>
      <c r="M170" s="57" t="s">
        <v>323</v>
      </c>
      <c r="N170" s="59" t="s">
        <v>156</v>
      </c>
      <c r="O170" s="60">
        <v>0.1</v>
      </c>
      <c r="P170" s="56"/>
      <c r="Q170" s="60">
        <f t="shared" si="19"/>
        <v>0</v>
      </c>
      <c r="R170" s="61">
        <f t="shared" si="14"/>
        <v>0</v>
      </c>
      <c r="S170" s="60" t="s">
        <v>31</v>
      </c>
      <c r="T170" s="60"/>
      <c r="U170" s="17"/>
      <c r="V170" s="17"/>
      <c r="W170" s="17"/>
      <c r="X170" s="17"/>
      <c r="Y170" s="17"/>
      <c r="Z170" s="17"/>
      <c r="AA170" s="17"/>
      <c r="AB170" s="17"/>
      <c r="AC170" s="17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</row>
    <row r="171" spans="1:48" s="19" customFormat="1" ht="21.6" x14ac:dyDescent="0.2">
      <c r="A171" s="41">
        <v>2077</v>
      </c>
      <c r="B171" s="42" t="s">
        <v>20</v>
      </c>
      <c r="C171" s="43" t="s">
        <v>21</v>
      </c>
      <c r="D171" s="66">
        <v>6406</v>
      </c>
      <c r="E171" s="42" t="s">
        <v>380</v>
      </c>
      <c r="F171" s="45" t="s">
        <v>303</v>
      </c>
      <c r="G171" s="42" t="s">
        <v>64</v>
      </c>
      <c r="H171" s="45" t="s">
        <v>304</v>
      </c>
      <c r="I171" s="57" t="s">
        <v>27</v>
      </c>
      <c r="J171" s="47">
        <v>0.7</v>
      </c>
      <c r="K171" s="57" t="s">
        <v>324</v>
      </c>
      <c r="L171" s="64" t="s">
        <v>325</v>
      </c>
      <c r="M171" s="25" t="s">
        <v>326</v>
      </c>
      <c r="N171" s="62" t="s">
        <v>127</v>
      </c>
      <c r="O171" s="60">
        <v>0.1</v>
      </c>
      <c r="P171" s="62"/>
      <c r="Q171" s="60">
        <f t="shared" si="19"/>
        <v>0</v>
      </c>
      <c r="R171" s="61">
        <f t="shared" si="14"/>
        <v>0</v>
      </c>
      <c r="S171" s="60" t="s">
        <v>31</v>
      </c>
      <c r="T171" s="60"/>
      <c r="U171" s="17"/>
      <c r="V171" s="17"/>
      <c r="W171" s="17"/>
      <c r="X171" s="17"/>
      <c r="Y171" s="17"/>
      <c r="Z171" s="17"/>
      <c r="AA171" s="17"/>
      <c r="AB171" s="17"/>
      <c r="AC171" s="17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</row>
    <row r="172" spans="1:48" s="19" customFormat="1" ht="21.6" x14ac:dyDescent="0.2">
      <c r="A172" s="41">
        <v>2078</v>
      </c>
      <c r="B172" s="42" t="s">
        <v>20</v>
      </c>
      <c r="C172" s="43" t="s">
        <v>21</v>
      </c>
      <c r="D172" s="66">
        <v>6406</v>
      </c>
      <c r="E172" s="42" t="s">
        <v>380</v>
      </c>
      <c r="F172" s="45" t="s">
        <v>303</v>
      </c>
      <c r="G172" s="42" t="s">
        <v>64</v>
      </c>
      <c r="H172" s="45" t="s">
        <v>304</v>
      </c>
      <c r="I172" s="57" t="s">
        <v>59</v>
      </c>
      <c r="J172" s="58">
        <v>0.3</v>
      </c>
      <c r="K172" s="57" t="s">
        <v>327</v>
      </c>
      <c r="L172" s="64" t="s">
        <v>328</v>
      </c>
      <c r="M172" s="25" t="s">
        <v>329</v>
      </c>
      <c r="N172" s="62" t="s">
        <v>330</v>
      </c>
      <c r="O172" s="60">
        <v>0.1</v>
      </c>
      <c r="P172" s="62"/>
      <c r="Q172" s="60">
        <f t="shared" si="19"/>
        <v>0</v>
      </c>
      <c r="R172" s="61">
        <f t="shared" si="14"/>
        <v>0</v>
      </c>
      <c r="S172" s="60" t="s">
        <v>31</v>
      </c>
      <c r="T172" s="60"/>
      <c r="U172" s="17"/>
      <c r="V172" s="17"/>
      <c r="W172" s="17"/>
      <c r="X172" s="17"/>
      <c r="Y172" s="17"/>
      <c r="Z172" s="17"/>
      <c r="AA172" s="17"/>
      <c r="AB172" s="17"/>
      <c r="AC172" s="17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</row>
    <row r="173" spans="1:48" s="19" customFormat="1" ht="21.6" x14ac:dyDescent="0.2">
      <c r="A173" s="41">
        <v>2070</v>
      </c>
      <c r="B173" s="42" t="s">
        <v>20</v>
      </c>
      <c r="C173" s="43" t="s">
        <v>21</v>
      </c>
      <c r="D173" s="66">
        <v>6523</v>
      </c>
      <c r="E173" s="42" t="s">
        <v>381</v>
      </c>
      <c r="F173" s="45" t="s">
        <v>335</v>
      </c>
      <c r="G173" s="42" t="s">
        <v>64</v>
      </c>
      <c r="H173" s="45" t="s">
        <v>304</v>
      </c>
      <c r="I173" s="46" t="s">
        <v>27</v>
      </c>
      <c r="J173" s="47">
        <v>0.7</v>
      </c>
      <c r="K173" s="55" t="s">
        <v>66</v>
      </c>
      <c r="L173" s="63" t="s">
        <v>305</v>
      </c>
      <c r="M173" s="13" t="s">
        <v>306</v>
      </c>
      <c r="N173" s="51" t="s">
        <v>112</v>
      </c>
      <c r="O173" s="47">
        <v>0.15</v>
      </c>
      <c r="P173" s="47"/>
      <c r="Q173" s="47">
        <f>ROUND(IF(OR(N173="",P173=""),0,IF(AND(N173=0,P173=0),1,IF(S173="+",P173/N173,N173/P173))),2)</f>
        <v>0</v>
      </c>
      <c r="R173" s="49">
        <f t="shared" si="14"/>
        <v>0</v>
      </c>
      <c r="S173" s="47" t="s">
        <v>31</v>
      </c>
      <c r="T173" s="50">
        <f>SUM(R173:R181)%</f>
        <v>0</v>
      </c>
      <c r="U173" s="17"/>
      <c r="V173" s="17"/>
      <c r="W173" s="17"/>
      <c r="X173" s="17"/>
      <c r="Y173" s="17"/>
      <c r="Z173" s="17"/>
      <c r="AA173" s="17"/>
      <c r="AB173" s="17"/>
      <c r="AC173" s="17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</row>
    <row r="174" spans="1:48" s="19" customFormat="1" ht="21.6" x14ac:dyDescent="0.2">
      <c r="A174" s="41">
        <v>2071</v>
      </c>
      <c r="B174" s="42" t="s">
        <v>20</v>
      </c>
      <c r="C174" s="43" t="s">
        <v>21</v>
      </c>
      <c r="D174" s="66">
        <v>6523</v>
      </c>
      <c r="E174" s="42" t="s">
        <v>381</v>
      </c>
      <c r="F174" s="45" t="s">
        <v>335</v>
      </c>
      <c r="G174" s="42" t="s">
        <v>64</v>
      </c>
      <c r="H174" s="45" t="s">
        <v>304</v>
      </c>
      <c r="I174" s="46" t="s">
        <v>27</v>
      </c>
      <c r="J174" s="47">
        <v>0.7</v>
      </c>
      <c r="K174" s="55" t="s">
        <v>307</v>
      </c>
      <c r="L174" s="63" t="s">
        <v>308</v>
      </c>
      <c r="M174" s="55" t="s">
        <v>309</v>
      </c>
      <c r="N174" s="51" t="s">
        <v>310</v>
      </c>
      <c r="O174" s="47">
        <v>0.15</v>
      </c>
      <c r="P174" s="52"/>
      <c r="Q174" s="47">
        <f>ROUND(IF(OR(N174="",P174=""),0,IF(AND(N174=0,P174=0),1,IF(S174="+",P174/N174,N174/P174))),2)</f>
        <v>0</v>
      </c>
      <c r="R174" s="49">
        <f t="shared" si="14"/>
        <v>0</v>
      </c>
      <c r="S174" s="47" t="s">
        <v>36</v>
      </c>
      <c r="T174" s="47"/>
      <c r="U174" s="17"/>
      <c r="V174" s="17"/>
      <c r="W174" s="17"/>
      <c r="X174" s="17"/>
      <c r="Y174" s="17"/>
      <c r="Z174" s="17"/>
      <c r="AA174" s="17"/>
      <c r="AB174" s="17"/>
      <c r="AC174" s="17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</row>
    <row r="175" spans="1:48" s="19" customFormat="1" ht="21.6" x14ac:dyDescent="0.2">
      <c r="A175" s="41">
        <v>2072</v>
      </c>
      <c r="B175" s="42" t="s">
        <v>20</v>
      </c>
      <c r="C175" s="43" t="s">
        <v>21</v>
      </c>
      <c r="D175" s="66">
        <v>6523</v>
      </c>
      <c r="E175" s="42" t="s">
        <v>381</v>
      </c>
      <c r="F175" s="45" t="s">
        <v>335</v>
      </c>
      <c r="G175" s="42" t="s">
        <v>64</v>
      </c>
      <c r="H175" s="45" t="s">
        <v>304</v>
      </c>
      <c r="I175" s="46" t="s">
        <v>27</v>
      </c>
      <c r="J175" s="47">
        <v>0.7</v>
      </c>
      <c r="K175" s="55" t="s">
        <v>311</v>
      </c>
      <c r="L175" s="63" t="s">
        <v>312</v>
      </c>
      <c r="M175" s="55" t="s">
        <v>313</v>
      </c>
      <c r="N175" s="53">
        <v>1</v>
      </c>
      <c r="O175" s="47">
        <v>0.1</v>
      </c>
      <c r="P175" s="52"/>
      <c r="Q175" s="47">
        <f t="shared" ref="Q175:Q181" si="20">ROUND(IF(OR(N175="",P175=""),0,IF(AND(N175=0,P175=0),1,IF(S175="+",P175/N175,N175/P175))),2)</f>
        <v>0</v>
      </c>
      <c r="R175" s="49">
        <f t="shared" si="14"/>
        <v>0</v>
      </c>
      <c r="S175" s="47" t="s">
        <v>31</v>
      </c>
      <c r="T175" s="47"/>
      <c r="U175" s="17"/>
      <c r="V175" s="17"/>
      <c r="W175" s="17"/>
      <c r="X175" s="17"/>
      <c r="Y175" s="17"/>
      <c r="Z175" s="17"/>
      <c r="AA175" s="17"/>
      <c r="AB175" s="17"/>
      <c r="AC175" s="17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</row>
    <row r="176" spans="1:48" s="19" customFormat="1" ht="21.6" x14ac:dyDescent="0.2">
      <c r="A176" s="41">
        <v>2073</v>
      </c>
      <c r="B176" s="42" t="s">
        <v>20</v>
      </c>
      <c r="C176" s="43" t="s">
        <v>21</v>
      </c>
      <c r="D176" s="66">
        <v>6523</v>
      </c>
      <c r="E176" s="42" t="s">
        <v>381</v>
      </c>
      <c r="F176" s="45" t="s">
        <v>335</v>
      </c>
      <c r="G176" s="42" t="s">
        <v>64</v>
      </c>
      <c r="H176" s="45" t="s">
        <v>304</v>
      </c>
      <c r="I176" s="46" t="s">
        <v>27</v>
      </c>
      <c r="J176" s="47">
        <v>0.7</v>
      </c>
      <c r="K176" s="55" t="s">
        <v>145</v>
      </c>
      <c r="L176" s="63" t="s">
        <v>314</v>
      </c>
      <c r="M176" s="55" t="s">
        <v>315</v>
      </c>
      <c r="N176" s="52" t="s">
        <v>196</v>
      </c>
      <c r="O176" s="47">
        <v>0.1</v>
      </c>
      <c r="P176" s="54"/>
      <c r="Q176" s="47">
        <f t="shared" si="20"/>
        <v>0</v>
      </c>
      <c r="R176" s="49">
        <f t="shared" si="14"/>
        <v>0</v>
      </c>
      <c r="S176" s="47" t="s">
        <v>36</v>
      </c>
      <c r="T176" s="47"/>
      <c r="U176" s="17"/>
      <c r="V176" s="17"/>
      <c r="W176" s="17"/>
      <c r="X176" s="17"/>
      <c r="Y176" s="17"/>
      <c r="Z176" s="17"/>
      <c r="AA176" s="17"/>
      <c r="AB176" s="17"/>
      <c r="AC176" s="17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</row>
    <row r="177" spans="1:48" s="19" customFormat="1" ht="21.6" x14ac:dyDescent="0.2">
      <c r="A177" s="41">
        <v>2074</v>
      </c>
      <c r="B177" s="42" t="s">
        <v>20</v>
      </c>
      <c r="C177" s="43" t="s">
        <v>21</v>
      </c>
      <c r="D177" s="66">
        <v>6523</v>
      </c>
      <c r="E177" s="42" t="s">
        <v>381</v>
      </c>
      <c r="F177" s="45" t="s">
        <v>335</v>
      </c>
      <c r="G177" s="42" t="s">
        <v>64</v>
      </c>
      <c r="H177" s="45" t="s">
        <v>304</v>
      </c>
      <c r="I177" s="46" t="s">
        <v>27</v>
      </c>
      <c r="J177" s="47">
        <v>0.7</v>
      </c>
      <c r="K177" s="55" t="s">
        <v>84</v>
      </c>
      <c r="L177" s="63" t="s">
        <v>316</v>
      </c>
      <c r="M177" s="55" t="s">
        <v>317</v>
      </c>
      <c r="N177" s="55" t="s">
        <v>196</v>
      </c>
      <c r="O177" s="47">
        <v>0.1</v>
      </c>
      <c r="P177" s="56"/>
      <c r="Q177" s="47">
        <f t="shared" si="20"/>
        <v>0</v>
      </c>
      <c r="R177" s="49">
        <f t="shared" si="14"/>
        <v>0</v>
      </c>
      <c r="S177" s="47" t="s">
        <v>36</v>
      </c>
      <c r="T177" s="47"/>
      <c r="U177" s="17"/>
      <c r="V177" s="17"/>
      <c r="W177" s="17"/>
      <c r="X177" s="17"/>
      <c r="Y177" s="17"/>
      <c r="Z177" s="17"/>
      <c r="AA177" s="17"/>
      <c r="AB177" s="17"/>
      <c r="AC177" s="17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</row>
    <row r="178" spans="1:48" s="19" customFormat="1" ht="21.6" x14ac:dyDescent="0.2">
      <c r="A178" s="41">
        <v>2075</v>
      </c>
      <c r="B178" s="42" t="s">
        <v>20</v>
      </c>
      <c r="C178" s="43" t="s">
        <v>21</v>
      </c>
      <c r="D178" s="66">
        <v>6523</v>
      </c>
      <c r="E178" s="42" t="s">
        <v>381</v>
      </c>
      <c r="F178" s="45" t="s">
        <v>335</v>
      </c>
      <c r="G178" s="42" t="s">
        <v>64</v>
      </c>
      <c r="H178" s="45" t="s">
        <v>304</v>
      </c>
      <c r="I178" s="57" t="s">
        <v>27</v>
      </c>
      <c r="J178" s="47">
        <v>0.7</v>
      </c>
      <c r="K178" s="57" t="s">
        <v>318</v>
      </c>
      <c r="L178" s="64" t="s">
        <v>319</v>
      </c>
      <c r="M178" s="57" t="s">
        <v>320</v>
      </c>
      <c r="N178" s="59" t="s">
        <v>127</v>
      </c>
      <c r="O178" s="60">
        <v>0.1</v>
      </c>
      <c r="P178" s="56"/>
      <c r="Q178" s="60">
        <f t="shared" si="20"/>
        <v>0</v>
      </c>
      <c r="R178" s="61">
        <f t="shared" si="14"/>
        <v>0</v>
      </c>
      <c r="S178" s="60" t="s">
        <v>31</v>
      </c>
      <c r="T178" s="60"/>
      <c r="U178" s="17"/>
      <c r="V178" s="17"/>
      <c r="W178" s="17"/>
      <c r="X178" s="17"/>
      <c r="Y178" s="17"/>
      <c r="Z178" s="17"/>
      <c r="AA178" s="17"/>
      <c r="AB178" s="17"/>
      <c r="AC178" s="17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</row>
    <row r="179" spans="1:48" s="19" customFormat="1" ht="21.6" x14ac:dyDescent="0.2">
      <c r="A179" s="41">
        <v>2076</v>
      </c>
      <c r="B179" s="42" t="s">
        <v>20</v>
      </c>
      <c r="C179" s="43" t="s">
        <v>21</v>
      </c>
      <c r="D179" s="66">
        <v>6523</v>
      </c>
      <c r="E179" s="42" t="s">
        <v>381</v>
      </c>
      <c r="F179" s="45" t="s">
        <v>335</v>
      </c>
      <c r="G179" s="42" t="s">
        <v>64</v>
      </c>
      <c r="H179" s="45" t="s">
        <v>304</v>
      </c>
      <c r="I179" s="57" t="s">
        <v>27</v>
      </c>
      <c r="J179" s="47">
        <v>0.7</v>
      </c>
      <c r="K179" s="57" t="s">
        <v>321</v>
      </c>
      <c r="L179" s="64" t="s">
        <v>322</v>
      </c>
      <c r="M179" s="57" t="s">
        <v>323</v>
      </c>
      <c r="N179" s="59" t="s">
        <v>156</v>
      </c>
      <c r="O179" s="60">
        <v>0.1</v>
      </c>
      <c r="P179" s="56"/>
      <c r="Q179" s="60">
        <f t="shared" si="20"/>
        <v>0</v>
      </c>
      <c r="R179" s="61">
        <f t="shared" si="14"/>
        <v>0</v>
      </c>
      <c r="S179" s="60" t="s">
        <v>31</v>
      </c>
      <c r="T179" s="60"/>
      <c r="U179" s="17"/>
      <c r="V179" s="17"/>
      <c r="W179" s="17"/>
      <c r="X179" s="17"/>
      <c r="Y179" s="17"/>
      <c r="Z179" s="17"/>
      <c r="AA179" s="17"/>
      <c r="AB179" s="17"/>
      <c r="AC179" s="17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</row>
    <row r="180" spans="1:48" s="19" customFormat="1" ht="21.6" x14ac:dyDescent="0.2">
      <c r="A180" s="41">
        <v>2077</v>
      </c>
      <c r="B180" s="42" t="s">
        <v>20</v>
      </c>
      <c r="C180" s="43" t="s">
        <v>21</v>
      </c>
      <c r="D180" s="66">
        <v>6523</v>
      </c>
      <c r="E180" s="42" t="s">
        <v>381</v>
      </c>
      <c r="F180" s="45" t="s">
        <v>335</v>
      </c>
      <c r="G180" s="42" t="s">
        <v>64</v>
      </c>
      <c r="H180" s="45" t="s">
        <v>304</v>
      </c>
      <c r="I180" s="57" t="s">
        <v>27</v>
      </c>
      <c r="J180" s="47">
        <v>0.7</v>
      </c>
      <c r="K180" s="57" t="s">
        <v>324</v>
      </c>
      <c r="L180" s="64" t="s">
        <v>325</v>
      </c>
      <c r="M180" s="25" t="s">
        <v>326</v>
      </c>
      <c r="N180" s="62" t="s">
        <v>127</v>
      </c>
      <c r="O180" s="60">
        <v>0.1</v>
      </c>
      <c r="P180" s="62"/>
      <c r="Q180" s="60">
        <f t="shared" si="20"/>
        <v>0</v>
      </c>
      <c r="R180" s="61">
        <f t="shared" si="14"/>
        <v>0</v>
      </c>
      <c r="S180" s="60" t="s">
        <v>31</v>
      </c>
      <c r="T180" s="60"/>
      <c r="U180" s="17"/>
      <c r="V180" s="17"/>
      <c r="W180" s="17"/>
      <c r="X180" s="17"/>
      <c r="Y180" s="17"/>
      <c r="Z180" s="17"/>
      <c r="AA180" s="17"/>
      <c r="AB180" s="17"/>
      <c r="AC180" s="17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</row>
    <row r="181" spans="1:48" s="19" customFormat="1" ht="21.6" x14ac:dyDescent="0.2">
      <c r="A181" s="41">
        <v>2078</v>
      </c>
      <c r="B181" s="42" t="s">
        <v>20</v>
      </c>
      <c r="C181" s="43" t="s">
        <v>21</v>
      </c>
      <c r="D181" s="66">
        <v>6523</v>
      </c>
      <c r="E181" s="42" t="s">
        <v>381</v>
      </c>
      <c r="F181" s="45" t="s">
        <v>335</v>
      </c>
      <c r="G181" s="42" t="s">
        <v>64</v>
      </c>
      <c r="H181" s="45" t="s">
        <v>304</v>
      </c>
      <c r="I181" s="57" t="s">
        <v>59</v>
      </c>
      <c r="J181" s="58">
        <v>0.3</v>
      </c>
      <c r="K181" s="57" t="s">
        <v>327</v>
      </c>
      <c r="L181" s="64" t="s">
        <v>328</v>
      </c>
      <c r="M181" s="25" t="s">
        <v>329</v>
      </c>
      <c r="N181" s="62" t="s">
        <v>330</v>
      </c>
      <c r="O181" s="60">
        <v>0.1</v>
      </c>
      <c r="P181" s="62"/>
      <c r="Q181" s="60">
        <f t="shared" si="20"/>
        <v>0</v>
      </c>
      <c r="R181" s="61">
        <f t="shared" si="14"/>
        <v>0</v>
      </c>
      <c r="S181" s="60" t="s">
        <v>31</v>
      </c>
      <c r="T181" s="60"/>
      <c r="U181" s="17"/>
      <c r="V181" s="17"/>
      <c r="W181" s="17"/>
      <c r="X181" s="17"/>
      <c r="Y181" s="17"/>
      <c r="Z181" s="17"/>
      <c r="AA181" s="17"/>
      <c r="AB181" s="17"/>
      <c r="AC181" s="17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</row>
  </sheetData>
  <autoFilter ref="A1:T181" xr:uid="{7EF4661B-8CB2-466F-8DBB-EB69CD48EE90}"/>
  <conditionalFormatting sqref="K1:M46 I1:I181 K47:L64 K65:M181">
    <cfRule type="cellIs" dxfId="38" priority="1" operator="equal">
      <formula>"maintasks"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8639-0737-491F-8B3E-6B749818B4A7}">
  <dimension ref="A1:AV136"/>
  <sheetViews>
    <sheetView topLeftCell="F1" zoomScale="130" zoomScaleNormal="130" workbookViewId="0">
      <selection activeCell="F2" sqref="A2:XFD2"/>
    </sheetView>
  </sheetViews>
  <sheetFormatPr defaultRowHeight="14.4" x14ac:dyDescent="0.3"/>
  <cols>
    <col min="1" max="1" width="6.77734375" style="65" customWidth="1"/>
    <col min="2" max="2" width="14.44140625" style="65" bestFit="1" customWidth="1"/>
    <col min="3" max="3" width="6.77734375" style="65" customWidth="1"/>
    <col min="4" max="4" width="8.88671875" style="74"/>
    <col min="5" max="5" width="19.77734375" style="75" bestFit="1" customWidth="1"/>
    <col min="6" max="6" width="11.88671875" style="75" customWidth="1"/>
    <col min="7" max="7" width="12.44140625" style="75" customWidth="1"/>
    <col min="8" max="8" width="13.6640625" style="65" customWidth="1"/>
    <col min="9" max="9" width="14.77734375" style="65" customWidth="1"/>
    <col min="10" max="10" width="10" style="65" customWidth="1"/>
    <col min="11" max="11" width="22.77734375" style="65" customWidth="1"/>
    <col min="12" max="12" width="42.21875" style="65" customWidth="1"/>
    <col min="13" max="13" width="51.77734375" style="65" customWidth="1"/>
    <col min="14" max="14" width="14.21875" style="65" customWidth="1"/>
    <col min="15" max="15" width="7.77734375" style="65" customWidth="1"/>
    <col min="16" max="16" width="21.44140625" style="65" customWidth="1"/>
    <col min="17" max="17" width="19.109375" style="65" bestFit="1" customWidth="1"/>
    <col min="18" max="18" width="15" style="65" bestFit="1" customWidth="1"/>
    <col min="19" max="19" width="4" style="65" bestFit="1" customWidth="1"/>
    <col min="20" max="20" width="7.77734375" style="65" customWidth="1"/>
  </cols>
  <sheetData>
    <row r="1" spans="1:48" s="40" customFormat="1" ht="22.2" x14ac:dyDescent="0.75">
      <c r="A1" s="33" t="s">
        <v>0</v>
      </c>
      <c r="B1" s="34" t="s">
        <v>1</v>
      </c>
      <c r="C1" s="34" t="s">
        <v>2</v>
      </c>
      <c r="D1" s="68" t="s">
        <v>3</v>
      </c>
      <c r="E1" s="69" t="s">
        <v>4</v>
      </c>
      <c r="F1" s="69" t="s">
        <v>5</v>
      </c>
      <c r="G1" s="69" t="s">
        <v>6</v>
      </c>
      <c r="H1" s="34" t="s">
        <v>7</v>
      </c>
      <c r="I1" s="34" t="s">
        <v>8</v>
      </c>
      <c r="J1" s="35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5" t="s">
        <v>14</v>
      </c>
      <c r="P1" s="36" t="s">
        <v>15</v>
      </c>
      <c r="Q1" s="37" t="s">
        <v>16</v>
      </c>
      <c r="R1" s="38" t="s">
        <v>17</v>
      </c>
      <c r="S1" s="39" t="s">
        <v>18</v>
      </c>
      <c r="T1" s="35" t="s">
        <v>19</v>
      </c>
    </row>
    <row r="2" spans="1:48" s="19" customFormat="1" ht="21.6" x14ac:dyDescent="0.2">
      <c r="A2" s="41">
        <v>2070</v>
      </c>
      <c r="B2" s="42" t="s">
        <v>20</v>
      </c>
      <c r="C2" s="43" t="s">
        <v>21</v>
      </c>
      <c r="D2" s="70" t="s">
        <v>382</v>
      </c>
      <c r="E2" s="71" t="s">
        <v>383</v>
      </c>
      <c r="F2" s="71" t="s">
        <v>384</v>
      </c>
      <c r="G2" s="71" t="s">
        <v>102</v>
      </c>
      <c r="H2" s="45" t="s">
        <v>385</v>
      </c>
      <c r="I2" s="46" t="s">
        <v>27</v>
      </c>
      <c r="J2" s="47">
        <v>0.7</v>
      </c>
      <c r="K2" s="55" t="s">
        <v>66</v>
      </c>
      <c r="L2" s="63" t="s">
        <v>305</v>
      </c>
      <c r="M2" s="13" t="s">
        <v>306</v>
      </c>
      <c r="N2" s="51" t="s">
        <v>112</v>
      </c>
      <c r="O2" s="47">
        <v>0.15</v>
      </c>
      <c r="P2" s="47"/>
      <c r="Q2" s="47">
        <f t="shared" ref="Q2:Q11" si="0">ROUND(IF(OR(N2="",P2=""),0,IF(AND(N2=0,P2=0),1,IF(S2="+",P2/N2,N2/P2))),2)</f>
        <v>0</v>
      </c>
      <c r="R2" s="49">
        <f t="shared" ref="R2:R65" si="1">IF(AND(Q2&gt;=60%,Q2&lt;100%),Q2*((O2*J2)),IF(Q2=100%,((O2*J2)*Q2)*100%,IF(Q2&gt;100%,((J2*O2)*100%)*100%,0)))*100</f>
        <v>0</v>
      </c>
      <c r="S2" s="47" t="s">
        <v>31</v>
      </c>
      <c r="T2" s="50">
        <f>SUM(R2:R10)%</f>
        <v>0</v>
      </c>
      <c r="U2" s="17"/>
      <c r="V2" s="17"/>
      <c r="W2" s="17"/>
      <c r="X2" s="17"/>
      <c r="Y2" s="17"/>
      <c r="Z2" s="17"/>
      <c r="AA2" s="17"/>
      <c r="AB2" s="17"/>
      <c r="AC2" s="17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spans="1:48" s="19" customFormat="1" ht="21.6" x14ac:dyDescent="0.2">
      <c r="A3" s="41">
        <v>2071</v>
      </c>
      <c r="B3" s="42" t="s">
        <v>20</v>
      </c>
      <c r="C3" s="43" t="s">
        <v>21</v>
      </c>
      <c r="D3" s="70" t="s">
        <v>382</v>
      </c>
      <c r="E3" s="71" t="s">
        <v>383</v>
      </c>
      <c r="F3" s="72" t="s">
        <v>384</v>
      </c>
      <c r="G3" s="71" t="s">
        <v>102</v>
      </c>
      <c r="H3" s="45" t="s">
        <v>385</v>
      </c>
      <c r="I3" s="46" t="s">
        <v>27</v>
      </c>
      <c r="J3" s="47">
        <v>0.7</v>
      </c>
      <c r="K3" s="55" t="s">
        <v>307</v>
      </c>
      <c r="L3" s="63" t="s">
        <v>308</v>
      </c>
      <c r="M3" s="55" t="s">
        <v>309</v>
      </c>
      <c r="N3" s="51" t="s">
        <v>310</v>
      </c>
      <c r="O3" s="47">
        <v>0.15</v>
      </c>
      <c r="P3" s="52"/>
      <c r="Q3" s="47">
        <f>ROUND(IF(OR(N3="",P3=""),0,IF(AND(N3=0,P3=0),1,IF(S3="+",P3/N3,N3/P3))),2)</f>
        <v>0</v>
      </c>
      <c r="R3" s="49">
        <f t="shared" si="1"/>
        <v>0</v>
      </c>
      <c r="S3" s="47" t="s">
        <v>36</v>
      </c>
      <c r="T3" s="47"/>
      <c r="U3" s="17"/>
      <c r="V3" s="17"/>
      <c r="W3" s="17"/>
      <c r="X3" s="17"/>
      <c r="Y3" s="17"/>
      <c r="Z3" s="17"/>
      <c r="AA3" s="17"/>
      <c r="AB3" s="17"/>
      <c r="AC3" s="17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8" s="19" customFormat="1" ht="21.6" x14ac:dyDescent="0.2">
      <c r="A4" s="41">
        <v>2072</v>
      </c>
      <c r="B4" s="42" t="s">
        <v>20</v>
      </c>
      <c r="C4" s="43" t="s">
        <v>21</v>
      </c>
      <c r="D4" s="70" t="s">
        <v>382</v>
      </c>
      <c r="E4" s="71" t="s">
        <v>383</v>
      </c>
      <c r="F4" s="72" t="s">
        <v>384</v>
      </c>
      <c r="G4" s="71" t="s">
        <v>102</v>
      </c>
      <c r="H4" s="45" t="s">
        <v>385</v>
      </c>
      <c r="I4" s="46" t="s">
        <v>27</v>
      </c>
      <c r="J4" s="47">
        <v>0.7</v>
      </c>
      <c r="K4" s="55" t="s">
        <v>311</v>
      </c>
      <c r="L4" s="63" t="s">
        <v>312</v>
      </c>
      <c r="M4" s="55" t="s">
        <v>313</v>
      </c>
      <c r="N4" s="47">
        <v>1</v>
      </c>
      <c r="O4" s="47">
        <v>0.1</v>
      </c>
      <c r="P4" s="52"/>
      <c r="Q4" s="47">
        <f t="shared" si="0"/>
        <v>0</v>
      </c>
      <c r="R4" s="49">
        <f t="shared" si="1"/>
        <v>0</v>
      </c>
      <c r="S4" s="47" t="s">
        <v>31</v>
      </c>
      <c r="T4" s="47"/>
      <c r="U4" s="17"/>
      <c r="V4" s="17"/>
      <c r="W4" s="17"/>
      <c r="X4" s="17"/>
      <c r="Y4" s="17"/>
      <c r="Z4" s="17"/>
      <c r="AA4" s="17"/>
      <c r="AB4" s="17"/>
      <c r="AC4" s="17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s="19" customFormat="1" ht="21.6" x14ac:dyDescent="0.2">
      <c r="A5" s="41">
        <v>2073</v>
      </c>
      <c r="B5" s="42" t="s">
        <v>20</v>
      </c>
      <c r="C5" s="43" t="s">
        <v>21</v>
      </c>
      <c r="D5" s="70" t="s">
        <v>382</v>
      </c>
      <c r="E5" s="71" t="s">
        <v>383</v>
      </c>
      <c r="F5" s="72" t="s">
        <v>384</v>
      </c>
      <c r="G5" s="71" t="s">
        <v>102</v>
      </c>
      <c r="H5" s="45" t="s">
        <v>385</v>
      </c>
      <c r="I5" s="46" t="s">
        <v>27</v>
      </c>
      <c r="J5" s="47">
        <v>0.7</v>
      </c>
      <c r="K5" s="55" t="s">
        <v>145</v>
      </c>
      <c r="L5" s="63" t="s">
        <v>314</v>
      </c>
      <c r="M5" s="55" t="s">
        <v>315</v>
      </c>
      <c r="N5" s="52" t="s">
        <v>196</v>
      </c>
      <c r="O5" s="47">
        <v>0.1</v>
      </c>
      <c r="P5" s="54"/>
      <c r="Q5" s="47">
        <f t="shared" si="0"/>
        <v>0</v>
      </c>
      <c r="R5" s="49">
        <f t="shared" si="1"/>
        <v>0</v>
      </c>
      <c r="S5" s="47" t="s">
        <v>36</v>
      </c>
      <c r="T5" s="47"/>
      <c r="U5" s="17"/>
      <c r="V5" s="17"/>
      <c r="W5" s="17"/>
      <c r="X5" s="17"/>
      <c r="Y5" s="17"/>
      <c r="Z5" s="17"/>
      <c r="AA5" s="17"/>
      <c r="AB5" s="17"/>
      <c r="AC5" s="17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</row>
    <row r="6" spans="1:48" s="19" customFormat="1" ht="21.6" x14ac:dyDescent="0.2">
      <c r="A6" s="41">
        <v>2074</v>
      </c>
      <c r="B6" s="42" t="s">
        <v>20</v>
      </c>
      <c r="C6" s="43" t="s">
        <v>21</v>
      </c>
      <c r="D6" s="70" t="s">
        <v>382</v>
      </c>
      <c r="E6" s="71" t="s">
        <v>383</v>
      </c>
      <c r="F6" s="72" t="s">
        <v>384</v>
      </c>
      <c r="G6" s="71" t="s">
        <v>102</v>
      </c>
      <c r="H6" s="45" t="s">
        <v>385</v>
      </c>
      <c r="I6" s="46" t="s">
        <v>27</v>
      </c>
      <c r="J6" s="47">
        <v>0.7</v>
      </c>
      <c r="K6" s="55" t="s">
        <v>84</v>
      </c>
      <c r="L6" s="63" t="s">
        <v>316</v>
      </c>
      <c r="M6" s="55" t="s">
        <v>317</v>
      </c>
      <c r="N6" s="55" t="s">
        <v>196</v>
      </c>
      <c r="O6" s="47">
        <v>0.1</v>
      </c>
      <c r="P6" s="56"/>
      <c r="Q6" s="47">
        <f t="shared" si="0"/>
        <v>0</v>
      </c>
      <c r="R6" s="49">
        <f t="shared" si="1"/>
        <v>0</v>
      </c>
      <c r="S6" s="47" t="s">
        <v>36</v>
      </c>
      <c r="T6" s="47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1:48" s="19" customFormat="1" ht="21.6" x14ac:dyDescent="0.2">
      <c r="A7" s="41">
        <v>2075</v>
      </c>
      <c r="B7" s="42" t="s">
        <v>20</v>
      </c>
      <c r="C7" s="43" t="s">
        <v>21</v>
      </c>
      <c r="D7" s="70" t="s">
        <v>382</v>
      </c>
      <c r="E7" s="71" t="s">
        <v>383</v>
      </c>
      <c r="F7" s="72" t="s">
        <v>384</v>
      </c>
      <c r="G7" s="71" t="s">
        <v>102</v>
      </c>
      <c r="H7" s="45" t="s">
        <v>385</v>
      </c>
      <c r="I7" s="57" t="s">
        <v>27</v>
      </c>
      <c r="J7" s="47">
        <v>0.7</v>
      </c>
      <c r="K7" s="57" t="s">
        <v>318</v>
      </c>
      <c r="L7" s="64" t="s">
        <v>319</v>
      </c>
      <c r="M7" s="57" t="s">
        <v>320</v>
      </c>
      <c r="N7" s="59" t="s">
        <v>127</v>
      </c>
      <c r="O7" s="60">
        <v>0.1</v>
      </c>
      <c r="P7" s="56"/>
      <c r="Q7" s="60">
        <f t="shared" si="0"/>
        <v>0</v>
      </c>
      <c r="R7" s="61">
        <f t="shared" si="1"/>
        <v>0</v>
      </c>
      <c r="S7" s="60" t="s">
        <v>31</v>
      </c>
      <c r="T7" s="60"/>
      <c r="U7" s="17"/>
      <c r="V7" s="17"/>
      <c r="W7" s="17"/>
      <c r="X7" s="17"/>
      <c r="Y7" s="17"/>
      <c r="Z7" s="17"/>
      <c r="AA7" s="17"/>
      <c r="AB7" s="17"/>
      <c r="AC7" s="17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 s="19" customFormat="1" ht="21.6" x14ac:dyDescent="0.2">
      <c r="A8" s="41">
        <v>2076</v>
      </c>
      <c r="B8" s="42" t="s">
        <v>20</v>
      </c>
      <c r="C8" s="43" t="s">
        <v>21</v>
      </c>
      <c r="D8" s="70" t="s">
        <v>382</v>
      </c>
      <c r="E8" s="71" t="s">
        <v>383</v>
      </c>
      <c r="F8" s="72" t="s">
        <v>384</v>
      </c>
      <c r="G8" s="71" t="s">
        <v>102</v>
      </c>
      <c r="H8" s="45" t="s">
        <v>385</v>
      </c>
      <c r="I8" s="57" t="s">
        <v>27</v>
      </c>
      <c r="J8" s="47">
        <v>0.7</v>
      </c>
      <c r="K8" s="57" t="s">
        <v>321</v>
      </c>
      <c r="L8" s="64" t="s">
        <v>322</v>
      </c>
      <c r="M8" s="57" t="s">
        <v>323</v>
      </c>
      <c r="N8" s="59" t="s">
        <v>156</v>
      </c>
      <c r="O8" s="60">
        <v>0.1</v>
      </c>
      <c r="P8" s="56"/>
      <c r="Q8" s="60">
        <f t="shared" si="0"/>
        <v>0</v>
      </c>
      <c r="R8" s="61">
        <f t="shared" si="1"/>
        <v>0</v>
      </c>
      <c r="S8" s="60" t="s">
        <v>31</v>
      </c>
      <c r="T8" s="60"/>
      <c r="U8" s="17"/>
      <c r="V8" s="17"/>
      <c r="W8" s="17"/>
      <c r="X8" s="17"/>
      <c r="Y8" s="17"/>
      <c r="Z8" s="17"/>
      <c r="AA8" s="17"/>
      <c r="AB8" s="17"/>
      <c r="AC8" s="1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</row>
    <row r="9" spans="1:48" s="19" customFormat="1" ht="21.6" x14ac:dyDescent="0.2">
      <c r="A9" s="41">
        <v>2077</v>
      </c>
      <c r="B9" s="42" t="s">
        <v>20</v>
      </c>
      <c r="C9" s="43" t="s">
        <v>21</v>
      </c>
      <c r="D9" s="70" t="s">
        <v>382</v>
      </c>
      <c r="E9" s="71" t="s">
        <v>383</v>
      </c>
      <c r="F9" s="72" t="s">
        <v>384</v>
      </c>
      <c r="G9" s="71" t="s">
        <v>102</v>
      </c>
      <c r="H9" s="45" t="s">
        <v>385</v>
      </c>
      <c r="I9" s="57" t="s">
        <v>27</v>
      </c>
      <c r="J9" s="47">
        <v>0.7</v>
      </c>
      <c r="K9" s="57" t="s">
        <v>324</v>
      </c>
      <c r="L9" s="64" t="s">
        <v>325</v>
      </c>
      <c r="M9" s="25" t="s">
        <v>326</v>
      </c>
      <c r="N9" s="62" t="s">
        <v>127</v>
      </c>
      <c r="O9" s="60">
        <v>0.1</v>
      </c>
      <c r="P9" s="62"/>
      <c r="Q9" s="60">
        <f t="shared" si="0"/>
        <v>0</v>
      </c>
      <c r="R9" s="61">
        <f t="shared" si="1"/>
        <v>0</v>
      </c>
      <c r="S9" s="60" t="s">
        <v>31</v>
      </c>
      <c r="T9" s="60"/>
      <c r="U9" s="17"/>
      <c r="V9" s="17"/>
      <c r="W9" s="17"/>
      <c r="X9" s="17"/>
      <c r="Y9" s="17"/>
      <c r="Z9" s="17"/>
      <c r="AA9" s="17"/>
      <c r="AB9" s="17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</row>
    <row r="10" spans="1:48" s="19" customFormat="1" ht="21.6" x14ac:dyDescent="0.2">
      <c r="A10" s="41">
        <v>2078</v>
      </c>
      <c r="B10" s="42" t="s">
        <v>20</v>
      </c>
      <c r="C10" s="43" t="s">
        <v>21</v>
      </c>
      <c r="D10" s="70" t="s">
        <v>382</v>
      </c>
      <c r="E10" s="71" t="s">
        <v>383</v>
      </c>
      <c r="F10" s="72" t="s">
        <v>384</v>
      </c>
      <c r="G10" s="71" t="s">
        <v>102</v>
      </c>
      <c r="H10" s="45" t="s">
        <v>385</v>
      </c>
      <c r="I10" s="57" t="s">
        <v>59</v>
      </c>
      <c r="J10" s="58">
        <v>0.3</v>
      </c>
      <c r="K10" s="57" t="s">
        <v>327</v>
      </c>
      <c r="L10" s="64" t="s">
        <v>328</v>
      </c>
      <c r="M10" s="25" t="s">
        <v>329</v>
      </c>
      <c r="N10" s="62" t="s">
        <v>330</v>
      </c>
      <c r="O10" s="60">
        <v>0.1</v>
      </c>
      <c r="P10" s="62"/>
      <c r="Q10" s="60">
        <f t="shared" si="0"/>
        <v>0</v>
      </c>
      <c r="R10" s="61">
        <f t="shared" si="1"/>
        <v>0</v>
      </c>
      <c r="S10" s="60" t="s">
        <v>31</v>
      </c>
      <c r="T10" s="60"/>
      <c r="U10" s="17"/>
      <c r="V10" s="17"/>
      <c r="W10" s="17"/>
      <c r="X10" s="17"/>
      <c r="Y10" s="17"/>
      <c r="Z10" s="17"/>
      <c r="AA10" s="17"/>
      <c r="AB10" s="17"/>
      <c r="AC10" s="1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s="19" customFormat="1" ht="21.6" x14ac:dyDescent="0.2">
      <c r="A11" s="41">
        <v>2070</v>
      </c>
      <c r="B11" s="42" t="s">
        <v>20</v>
      </c>
      <c r="C11" s="43" t="s">
        <v>21</v>
      </c>
      <c r="D11" s="66">
        <v>5161</v>
      </c>
      <c r="E11" s="71" t="s">
        <v>386</v>
      </c>
      <c r="F11" s="72" t="s">
        <v>387</v>
      </c>
      <c r="G11" s="71" t="s">
        <v>102</v>
      </c>
      <c r="H11" s="45" t="s">
        <v>385</v>
      </c>
      <c r="I11" s="46" t="s">
        <v>27</v>
      </c>
      <c r="J11" s="47">
        <v>0.7</v>
      </c>
      <c r="K11" s="55" t="s">
        <v>66</v>
      </c>
      <c r="L11" s="63" t="s">
        <v>305</v>
      </c>
      <c r="M11" s="13" t="s">
        <v>306</v>
      </c>
      <c r="N11" s="51" t="s">
        <v>112</v>
      </c>
      <c r="O11" s="47">
        <v>0.15</v>
      </c>
      <c r="P11" s="47"/>
      <c r="Q11" s="47">
        <f t="shared" si="0"/>
        <v>0</v>
      </c>
      <c r="R11" s="49">
        <f t="shared" si="1"/>
        <v>0</v>
      </c>
      <c r="S11" s="47" t="s">
        <v>31</v>
      </c>
      <c r="T11" s="50">
        <f>SUM(R11:R19)%</f>
        <v>0</v>
      </c>
      <c r="U11" s="17"/>
      <c r="V11" s="17"/>
      <c r="W11" s="17"/>
      <c r="X11" s="17"/>
      <c r="Y11" s="17"/>
      <c r="Z11" s="17"/>
      <c r="AA11" s="17"/>
      <c r="AB11" s="17"/>
      <c r="AC11" s="17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8" s="19" customFormat="1" ht="21.6" x14ac:dyDescent="0.2">
      <c r="A12" s="41">
        <v>2071</v>
      </c>
      <c r="B12" s="42" t="s">
        <v>20</v>
      </c>
      <c r="C12" s="43" t="s">
        <v>21</v>
      </c>
      <c r="D12" s="66">
        <v>5161</v>
      </c>
      <c r="E12" s="71" t="s">
        <v>386</v>
      </c>
      <c r="F12" s="72" t="s">
        <v>387</v>
      </c>
      <c r="G12" s="71" t="s">
        <v>102</v>
      </c>
      <c r="H12" s="45" t="s">
        <v>385</v>
      </c>
      <c r="I12" s="46" t="s">
        <v>27</v>
      </c>
      <c r="J12" s="47">
        <v>0.7</v>
      </c>
      <c r="K12" s="55" t="s">
        <v>307</v>
      </c>
      <c r="L12" s="63" t="s">
        <v>308</v>
      </c>
      <c r="M12" s="55" t="s">
        <v>309</v>
      </c>
      <c r="N12" s="51" t="s">
        <v>310</v>
      </c>
      <c r="O12" s="47">
        <v>0.15</v>
      </c>
      <c r="P12" s="52"/>
      <c r="Q12" s="47">
        <f>ROUND(IF(OR(N12="",P12=""),0,IF(AND(N12=0,P12=0),1,IF(S12="+",P12/N12,N12/P12))),2)</f>
        <v>0</v>
      </c>
      <c r="R12" s="49">
        <f t="shared" si="1"/>
        <v>0</v>
      </c>
      <c r="S12" s="47" t="s">
        <v>36</v>
      </c>
      <c r="T12" s="47"/>
      <c r="U12" s="17"/>
      <c r="V12" s="17"/>
      <c r="W12" s="17"/>
      <c r="X12" s="17"/>
      <c r="Y12" s="17"/>
      <c r="Z12" s="17"/>
      <c r="AA12" s="17"/>
      <c r="AB12" s="17"/>
      <c r="AC12" s="1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s="19" customFormat="1" ht="21.6" x14ac:dyDescent="0.2">
      <c r="A13" s="41">
        <v>2072</v>
      </c>
      <c r="B13" s="42" t="s">
        <v>20</v>
      </c>
      <c r="C13" s="43" t="s">
        <v>21</v>
      </c>
      <c r="D13" s="66">
        <v>5161</v>
      </c>
      <c r="E13" s="71" t="s">
        <v>386</v>
      </c>
      <c r="F13" s="72" t="s">
        <v>387</v>
      </c>
      <c r="G13" s="71" t="s">
        <v>102</v>
      </c>
      <c r="H13" s="45" t="s">
        <v>385</v>
      </c>
      <c r="I13" s="46" t="s">
        <v>27</v>
      </c>
      <c r="J13" s="47">
        <v>0.7</v>
      </c>
      <c r="K13" s="55" t="s">
        <v>311</v>
      </c>
      <c r="L13" s="63" t="s">
        <v>312</v>
      </c>
      <c r="M13" s="55" t="s">
        <v>313</v>
      </c>
      <c r="N13" s="47">
        <v>1</v>
      </c>
      <c r="O13" s="47">
        <v>0.1</v>
      </c>
      <c r="P13" s="52"/>
      <c r="Q13" s="47">
        <f t="shared" ref="Q13:Q20" si="2">ROUND(IF(OR(N13="",P13=""),0,IF(AND(N13=0,P13=0),1,IF(S13="+",P13/N13,N13/P13))),2)</f>
        <v>0</v>
      </c>
      <c r="R13" s="49">
        <f t="shared" si="1"/>
        <v>0</v>
      </c>
      <c r="S13" s="47" t="s">
        <v>31</v>
      </c>
      <c r="T13" s="47"/>
      <c r="U13" s="17"/>
      <c r="V13" s="17"/>
      <c r="W13" s="17"/>
      <c r="X13" s="17"/>
      <c r="Y13" s="17"/>
      <c r="Z13" s="17"/>
      <c r="AA13" s="17"/>
      <c r="AB13" s="17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8" s="19" customFormat="1" ht="21.6" x14ac:dyDescent="0.2">
      <c r="A14" s="41">
        <v>2073</v>
      </c>
      <c r="B14" s="42" t="s">
        <v>20</v>
      </c>
      <c r="C14" s="43" t="s">
        <v>21</v>
      </c>
      <c r="D14" s="66">
        <v>5161</v>
      </c>
      <c r="E14" s="71" t="s">
        <v>386</v>
      </c>
      <c r="F14" s="72" t="s">
        <v>387</v>
      </c>
      <c r="G14" s="71" t="s">
        <v>102</v>
      </c>
      <c r="H14" s="45" t="s">
        <v>385</v>
      </c>
      <c r="I14" s="46" t="s">
        <v>27</v>
      </c>
      <c r="J14" s="47">
        <v>0.7</v>
      </c>
      <c r="K14" s="55" t="s">
        <v>145</v>
      </c>
      <c r="L14" s="63" t="s">
        <v>314</v>
      </c>
      <c r="M14" s="55" t="s">
        <v>315</v>
      </c>
      <c r="N14" s="52" t="s">
        <v>196</v>
      </c>
      <c r="O14" s="47">
        <v>0.1</v>
      </c>
      <c r="P14" s="54"/>
      <c r="Q14" s="47">
        <f t="shared" si="2"/>
        <v>0</v>
      </c>
      <c r="R14" s="49">
        <f t="shared" si="1"/>
        <v>0</v>
      </c>
      <c r="S14" s="47" t="s">
        <v>36</v>
      </c>
      <c r="T14" s="47"/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8" s="19" customFormat="1" ht="21.6" x14ac:dyDescent="0.2">
      <c r="A15" s="41">
        <v>2074</v>
      </c>
      <c r="B15" s="42" t="s">
        <v>20</v>
      </c>
      <c r="C15" s="43" t="s">
        <v>21</v>
      </c>
      <c r="D15" s="66">
        <v>5161</v>
      </c>
      <c r="E15" s="71" t="s">
        <v>386</v>
      </c>
      <c r="F15" s="72" t="s">
        <v>387</v>
      </c>
      <c r="G15" s="71" t="s">
        <v>102</v>
      </c>
      <c r="H15" s="45" t="s">
        <v>385</v>
      </c>
      <c r="I15" s="46" t="s">
        <v>27</v>
      </c>
      <c r="J15" s="47">
        <v>0.7</v>
      </c>
      <c r="K15" s="55" t="s">
        <v>84</v>
      </c>
      <c r="L15" s="63" t="s">
        <v>316</v>
      </c>
      <c r="M15" s="55" t="s">
        <v>317</v>
      </c>
      <c r="N15" s="55" t="s">
        <v>196</v>
      </c>
      <c r="O15" s="47">
        <v>0.1</v>
      </c>
      <c r="P15" s="56"/>
      <c r="Q15" s="47">
        <f t="shared" si="2"/>
        <v>0</v>
      </c>
      <c r="R15" s="49">
        <f t="shared" si="1"/>
        <v>0</v>
      </c>
      <c r="S15" s="47" t="s">
        <v>36</v>
      </c>
      <c r="T15" s="47"/>
      <c r="U15" s="17"/>
      <c r="V15" s="17"/>
      <c r="W15" s="17"/>
      <c r="X15" s="17"/>
      <c r="Y15" s="17"/>
      <c r="Z15" s="17"/>
      <c r="AA15" s="17"/>
      <c r="AB15" s="17"/>
      <c r="AC15" s="17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spans="1:48" s="19" customFormat="1" ht="21.6" x14ac:dyDescent="0.2">
      <c r="A16" s="41">
        <v>2075</v>
      </c>
      <c r="B16" s="42" t="s">
        <v>20</v>
      </c>
      <c r="C16" s="43" t="s">
        <v>21</v>
      </c>
      <c r="D16" s="66">
        <v>5161</v>
      </c>
      <c r="E16" s="71" t="s">
        <v>386</v>
      </c>
      <c r="F16" s="72" t="s">
        <v>387</v>
      </c>
      <c r="G16" s="71" t="s">
        <v>102</v>
      </c>
      <c r="H16" s="45" t="s">
        <v>385</v>
      </c>
      <c r="I16" s="57" t="s">
        <v>27</v>
      </c>
      <c r="J16" s="47">
        <v>0.7</v>
      </c>
      <c r="K16" s="57" t="s">
        <v>318</v>
      </c>
      <c r="L16" s="64" t="s">
        <v>319</v>
      </c>
      <c r="M16" s="57" t="s">
        <v>320</v>
      </c>
      <c r="N16" s="59" t="s">
        <v>127</v>
      </c>
      <c r="O16" s="60">
        <v>0.1</v>
      </c>
      <c r="P16" s="56"/>
      <c r="Q16" s="60">
        <f t="shared" si="2"/>
        <v>0</v>
      </c>
      <c r="R16" s="61">
        <f t="shared" si="1"/>
        <v>0</v>
      </c>
      <c r="S16" s="60" t="s">
        <v>31</v>
      </c>
      <c r="T16" s="60"/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1:48" s="19" customFormat="1" ht="21.6" x14ac:dyDescent="0.2">
      <c r="A17" s="41">
        <v>2076</v>
      </c>
      <c r="B17" s="42" t="s">
        <v>20</v>
      </c>
      <c r="C17" s="43" t="s">
        <v>21</v>
      </c>
      <c r="D17" s="66">
        <v>5161</v>
      </c>
      <c r="E17" s="71" t="s">
        <v>386</v>
      </c>
      <c r="F17" s="72" t="s">
        <v>387</v>
      </c>
      <c r="G17" s="71" t="s">
        <v>102</v>
      </c>
      <c r="H17" s="45" t="s">
        <v>385</v>
      </c>
      <c r="I17" s="57" t="s">
        <v>27</v>
      </c>
      <c r="J17" s="47">
        <v>0.7</v>
      </c>
      <c r="K17" s="57" t="s">
        <v>321</v>
      </c>
      <c r="L17" s="64" t="s">
        <v>322</v>
      </c>
      <c r="M17" s="57" t="s">
        <v>323</v>
      </c>
      <c r="N17" s="59" t="s">
        <v>156</v>
      </c>
      <c r="O17" s="60">
        <v>0.1</v>
      </c>
      <c r="P17" s="56"/>
      <c r="Q17" s="60">
        <f t="shared" si="2"/>
        <v>0</v>
      </c>
      <c r="R17" s="61">
        <f t="shared" si="1"/>
        <v>0</v>
      </c>
      <c r="S17" s="60" t="s">
        <v>31</v>
      </c>
      <c r="T17" s="60"/>
      <c r="U17" s="17"/>
      <c r="V17" s="17"/>
      <c r="W17" s="17"/>
      <c r="X17" s="17"/>
      <c r="Y17" s="17"/>
      <c r="Z17" s="17"/>
      <c r="AA17" s="17"/>
      <c r="AB17" s="17"/>
      <c r="AC17" s="17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1:48" s="19" customFormat="1" ht="21.6" x14ac:dyDescent="0.2">
      <c r="A18" s="41">
        <v>2077</v>
      </c>
      <c r="B18" s="42" t="s">
        <v>20</v>
      </c>
      <c r="C18" s="43" t="s">
        <v>21</v>
      </c>
      <c r="D18" s="66">
        <v>5161</v>
      </c>
      <c r="E18" s="71" t="s">
        <v>386</v>
      </c>
      <c r="F18" s="72" t="s">
        <v>387</v>
      </c>
      <c r="G18" s="71" t="s">
        <v>102</v>
      </c>
      <c r="H18" s="45" t="s">
        <v>385</v>
      </c>
      <c r="I18" s="57" t="s">
        <v>27</v>
      </c>
      <c r="J18" s="47">
        <v>0.7</v>
      </c>
      <c r="K18" s="57" t="s">
        <v>324</v>
      </c>
      <c r="L18" s="64" t="s">
        <v>325</v>
      </c>
      <c r="M18" s="25" t="s">
        <v>326</v>
      </c>
      <c r="N18" s="62" t="s">
        <v>127</v>
      </c>
      <c r="O18" s="60">
        <v>0.1</v>
      </c>
      <c r="P18" s="62"/>
      <c r="Q18" s="60">
        <f t="shared" si="2"/>
        <v>0</v>
      </c>
      <c r="R18" s="61">
        <f t="shared" si="1"/>
        <v>0</v>
      </c>
      <c r="S18" s="60" t="s">
        <v>31</v>
      </c>
      <c r="T18" s="60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 s="19" customFormat="1" ht="21.6" x14ac:dyDescent="0.2">
      <c r="A19" s="41">
        <v>2078</v>
      </c>
      <c r="B19" s="42" t="s">
        <v>20</v>
      </c>
      <c r="C19" s="43" t="s">
        <v>21</v>
      </c>
      <c r="D19" s="66">
        <v>5161</v>
      </c>
      <c r="E19" s="71" t="s">
        <v>386</v>
      </c>
      <c r="F19" s="72" t="s">
        <v>387</v>
      </c>
      <c r="G19" s="71" t="s">
        <v>102</v>
      </c>
      <c r="H19" s="45" t="s">
        <v>385</v>
      </c>
      <c r="I19" s="57" t="s">
        <v>59</v>
      </c>
      <c r="J19" s="58">
        <v>0.3</v>
      </c>
      <c r="K19" s="57" t="s">
        <v>327</v>
      </c>
      <c r="L19" s="64" t="s">
        <v>328</v>
      </c>
      <c r="M19" s="25" t="s">
        <v>329</v>
      </c>
      <c r="N19" s="62" t="s">
        <v>330</v>
      </c>
      <c r="O19" s="60">
        <v>0.1</v>
      </c>
      <c r="P19" s="62"/>
      <c r="Q19" s="60">
        <f t="shared" si="2"/>
        <v>0</v>
      </c>
      <c r="R19" s="61">
        <f t="shared" si="1"/>
        <v>0</v>
      </c>
      <c r="S19" s="60" t="s">
        <v>31</v>
      </c>
      <c r="T19" s="60"/>
      <c r="U19" s="17"/>
      <c r="V19" s="17"/>
      <c r="W19" s="17"/>
      <c r="X19" s="17"/>
      <c r="Y19" s="17"/>
      <c r="Z19" s="17"/>
      <c r="AA19" s="17"/>
      <c r="AB19" s="17"/>
      <c r="AC19" s="17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s="19" customFormat="1" ht="21.6" x14ac:dyDescent="0.2">
      <c r="A20" s="41">
        <v>2070</v>
      </c>
      <c r="B20" s="42" t="s">
        <v>20</v>
      </c>
      <c r="C20" s="43" t="s">
        <v>21</v>
      </c>
      <c r="D20" s="66">
        <v>5232</v>
      </c>
      <c r="E20" s="71" t="s">
        <v>388</v>
      </c>
      <c r="F20" s="72" t="s">
        <v>303</v>
      </c>
      <c r="G20" s="71" t="s">
        <v>102</v>
      </c>
      <c r="H20" s="45" t="s">
        <v>385</v>
      </c>
      <c r="I20" s="46" t="s">
        <v>27</v>
      </c>
      <c r="J20" s="47">
        <v>0.7</v>
      </c>
      <c r="K20" s="55" t="s">
        <v>66</v>
      </c>
      <c r="L20" s="63" t="s">
        <v>305</v>
      </c>
      <c r="M20" s="13" t="s">
        <v>306</v>
      </c>
      <c r="N20" s="51" t="s">
        <v>112</v>
      </c>
      <c r="O20" s="47">
        <v>0.15</v>
      </c>
      <c r="P20" s="47"/>
      <c r="Q20" s="47">
        <f t="shared" si="2"/>
        <v>0</v>
      </c>
      <c r="R20" s="49">
        <f t="shared" si="1"/>
        <v>0</v>
      </c>
      <c r="S20" s="47" t="s">
        <v>31</v>
      </c>
      <c r="T20" s="50">
        <f>SUM(R20:R28)%</f>
        <v>0</v>
      </c>
      <c r="U20" s="17"/>
      <c r="V20" s="17"/>
      <c r="W20" s="17"/>
      <c r="X20" s="17"/>
      <c r="Y20" s="17"/>
      <c r="Z20" s="17"/>
      <c r="AA20" s="17"/>
      <c r="AB20" s="17"/>
      <c r="AC20" s="17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s="19" customFormat="1" ht="21.6" x14ac:dyDescent="0.2">
      <c r="A21" s="41">
        <v>2071</v>
      </c>
      <c r="B21" s="42" t="s">
        <v>20</v>
      </c>
      <c r="C21" s="43" t="s">
        <v>21</v>
      </c>
      <c r="D21" s="66">
        <v>5232</v>
      </c>
      <c r="E21" s="71" t="s">
        <v>388</v>
      </c>
      <c r="F21" s="72" t="s">
        <v>303</v>
      </c>
      <c r="G21" s="71" t="s">
        <v>102</v>
      </c>
      <c r="H21" s="45" t="s">
        <v>385</v>
      </c>
      <c r="I21" s="46" t="s">
        <v>27</v>
      </c>
      <c r="J21" s="47">
        <v>0.7</v>
      </c>
      <c r="K21" s="55" t="s">
        <v>307</v>
      </c>
      <c r="L21" s="63" t="s">
        <v>308</v>
      </c>
      <c r="M21" s="55" t="s">
        <v>309</v>
      </c>
      <c r="N21" s="51" t="s">
        <v>310</v>
      </c>
      <c r="O21" s="47">
        <v>0.15</v>
      </c>
      <c r="P21" s="52"/>
      <c r="Q21" s="47">
        <f>ROUND(IF(OR(N21="",P21=""),0,IF(AND(N21=0,P21=0),1,IF(S21="+",P21/N21,N21/P21))),2)</f>
        <v>0</v>
      </c>
      <c r="R21" s="49">
        <f t="shared" si="1"/>
        <v>0</v>
      </c>
      <c r="S21" s="47" t="s">
        <v>36</v>
      </c>
      <c r="T21" s="47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</row>
    <row r="22" spans="1:48" s="19" customFormat="1" ht="21.6" x14ac:dyDescent="0.2">
      <c r="A22" s="41">
        <v>2072</v>
      </c>
      <c r="B22" s="42" t="s">
        <v>20</v>
      </c>
      <c r="C22" s="43" t="s">
        <v>21</v>
      </c>
      <c r="D22" s="66">
        <v>5232</v>
      </c>
      <c r="E22" s="71" t="s">
        <v>388</v>
      </c>
      <c r="F22" s="72" t="s">
        <v>303</v>
      </c>
      <c r="G22" s="71" t="s">
        <v>102</v>
      </c>
      <c r="H22" s="45" t="s">
        <v>385</v>
      </c>
      <c r="I22" s="46" t="s">
        <v>27</v>
      </c>
      <c r="J22" s="47">
        <v>0.7</v>
      </c>
      <c r="K22" s="55" t="s">
        <v>311</v>
      </c>
      <c r="L22" s="63" t="s">
        <v>312</v>
      </c>
      <c r="M22" s="55" t="s">
        <v>313</v>
      </c>
      <c r="N22" s="47">
        <v>1</v>
      </c>
      <c r="O22" s="47">
        <v>0.1</v>
      </c>
      <c r="P22" s="52"/>
      <c r="Q22" s="47">
        <f t="shared" ref="Q22:Q29" si="3">ROUND(IF(OR(N22="",P22=""),0,IF(AND(N22=0,P22=0),1,IF(S22="+",P22/N22,N22/P22))),2)</f>
        <v>0</v>
      </c>
      <c r="R22" s="49">
        <f t="shared" si="1"/>
        <v>0</v>
      </c>
      <c r="S22" s="47" t="s">
        <v>31</v>
      </c>
      <c r="T22" s="47"/>
      <c r="U22" s="17"/>
      <c r="V22" s="17"/>
      <c r="W22" s="17"/>
      <c r="X22" s="17"/>
      <c r="Y22" s="17"/>
      <c r="Z22" s="17"/>
      <c r="AA22" s="17"/>
      <c r="AB22" s="17"/>
      <c r="AC22" s="17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</row>
    <row r="23" spans="1:48" s="19" customFormat="1" ht="21.6" x14ac:dyDescent="0.2">
      <c r="A23" s="41">
        <v>2073</v>
      </c>
      <c r="B23" s="42" t="s">
        <v>20</v>
      </c>
      <c r="C23" s="43" t="s">
        <v>21</v>
      </c>
      <c r="D23" s="66">
        <v>5232</v>
      </c>
      <c r="E23" s="71" t="s">
        <v>388</v>
      </c>
      <c r="F23" s="72" t="s">
        <v>303</v>
      </c>
      <c r="G23" s="71" t="s">
        <v>102</v>
      </c>
      <c r="H23" s="45" t="s">
        <v>385</v>
      </c>
      <c r="I23" s="46" t="s">
        <v>27</v>
      </c>
      <c r="J23" s="47">
        <v>0.7</v>
      </c>
      <c r="K23" s="55" t="s">
        <v>145</v>
      </c>
      <c r="L23" s="63" t="s">
        <v>314</v>
      </c>
      <c r="M23" s="55" t="s">
        <v>315</v>
      </c>
      <c r="N23" s="52" t="s">
        <v>196</v>
      </c>
      <c r="O23" s="47">
        <v>0.1</v>
      </c>
      <c r="P23" s="54"/>
      <c r="Q23" s="47">
        <f t="shared" si="3"/>
        <v>0</v>
      </c>
      <c r="R23" s="49">
        <f t="shared" si="1"/>
        <v>0</v>
      </c>
      <c r="S23" s="47" t="s">
        <v>36</v>
      </c>
      <c r="T23" s="47"/>
      <c r="U23" s="17"/>
      <c r="V23" s="17"/>
      <c r="W23" s="17"/>
      <c r="X23" s="17"/>
      <c r="Y23" s="17"/>
      <c r="Z23" s="17"/>
      <c r="AA23" s="17"/>
      <c r="AB23" s="17"/>
      <c r="AC23" s="17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</row>
    <row r="24" spans="1:48" s="19" customFormat="1" ht="21.6" x14ac:dyDescent="0.2">
      <c r="A24" s="41">
        <v>2074</v>
      </c>
      <c r="B24" s="42" t="s">
        <v>20</v>
      </c>
      <c r="C24" s="43" t="s">
        <v>21</v>
      </c>
      <c r="D24" s="66">
        <v>5232</v>
      </c>
      <c r="E24" s="71" t="s">
        <v>388</v>
      </c>
      <c r="F24" s="72" t="s">
        <v>303</v>
      </c>
      <c r="G24" s="71" t="s">
        <v>102</v>
      </c>
      <c r="H24" s="45" t="s">
        <v>385</v>
      </c>
      <c r="I24" s="46" t="s">
        <v>27</v>
      </c>
      <c r="J24" s="47">
        <v>0.7</v>
      </c>
      <c r="K24" s="55" t="s">
        <v>84</v>
      </c>
      <c r="L24" s="63" t="s">
        <v>316</v>
      </c>
      <c r="M24" s="55" t="s">
        <v>317</v>
      </c>
      <c r="N24" s="55" t="s">
        <v>196</v>
      </c>
      <c r="O24" s="47">
        <v>0.1</v>
      </c>
      <c r="P24" s="56"/>
      <c r="Q24" s="47">
        <f t="shared" si="3"/>
        <v>0</v>
      </c>
      <c r="R24" s="49">
        <f t="shared" si="1"/>
        <v>0</v>
      </c>
      <c r="S24" s="47" t="s">
        <v>36</v>
      </c>
      <c r="T24" s="47"/>
      <c r="U24" s="17"/>
      <c r="V24" s="17"/>
      <c r="W24" s="17"/>
      <c r="X24" s="17"/>
      <c r="Y24" s="17"/>
      <c r="Z24" s="17"/>
      <c r="AA24" s="17"/>
      <c r="AB24" s="17"/>
      <c r="AC24" s="17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</row>
    <row r="25" spans="1:48" s="19" customFormat="1" ht="21.6" x14ac:dyDescent="0.2">
      <c r="A25" s="41">
        <v>2075</v>
      </c>
      <c r="B25" s="42" t="s">
        <v>20</v>
      </c>
      <c r="C25" s="43" t="s">
        <v>21</v>
      </c>
      <c r="D25" s="66">
        <v>5232</v>
      </c>
      <c r="E25" s="71" t="s">
        <v>388</v>
      </c>
      <c r="F25" s="72" t="s">
        <v>303</v>
      </c>
      <c r="G25" s="71" t="s">
        <v>102</v>
      </c>
      <c r="H25" s="45" t="s">
        <v>385</v>
      </c>
      <c r="I25" s="57" t="s">
        <v>27</v>
      </c>
      <c r="J25" s="47">
        <v>0.7</v>
      </c>
      <c r="K25" s="57" t="s">
        <v>318</v>
      </c>
      <c r="L25" s="64" t="s">
        <v>319</v>
      </c>
      <c r="M25" s="57" t="s">
        <v>320</v>
      </c>
      <c r="N25" s="59" t="s">
        <v>127</v>
      </c>
      <c r="O25" s="60">
        <v>0.1</v>
      </c>
      <c r="P25" s="56"/>
      <c r="Q25" s="60">
        <f t="shared" si="3"/>
        <v>0</v>
      </c>
      <c r="R25" s="61">
        <f t="shared" si="1"/>
        <v>0</v>
      </c>
      <c r="S25" s="60" t="s">
        <v>31</v>
      </c>
      <c r="T25" s="60"/>
      <c r="U25" s="17"/>
      <c r="V25" s="17"/>
      <c r="W25" s="17"/>
      <c r="X25" s="17"/>
      <c r="Y25" s="17"/>
      <c r="Z25" s="17"/>
      <c r="AA25" s="17"/>
      <c r="AB25" s="17"/>
      <c r="AC25" s="17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  <row r="26" spans="1:48" s="19" customFormat="1" ht="21.6" x14ac:dyDescent="0.2">
      <c r="A26" s="41">
        <v>2076</v>
      </c>
      <c r="B26" s="42" t="s">
        <v>20</v>
      </c>
      <c r="C26" s="43" t="s">
        <v>21</v>
      </c>
      <c r="D26" s="66">
        <v>5232</v>
      </c>
      <c r="E26" s="71" t="s">
        <v>388</v>
      </c>
      <c r="F26" s="72" t="s">
        <v>303</v>
      </c>
      <c r="G26" s="71" t="s">
        <v>102</v>
      </c>
      <c r="H26" s="45" t="s">
        <v>385</v>
      </c>
      <c r="I26" s="57" t="s">
        <v>27</v>
      </c>
      <c r="J26" s="47">
        <v>0.7</v>
      </c>
      <c r="K26" s="57" t="s">
        <v>321</v>
      </c>
      <c r="L26" s="64" t="s">
        <v>322</v>
      </c>
      <c r="M26" s="57" t="s">
        <v>323</v>
      </c>
      <c r="N26" s="59" t="s">
        <v>156</v>
      </c>
      <c r="O26" s="60">
        <v>0.1</v>
      </c>
      <c r="P26" s="56"/>
      <c r="Q26" s="60">
        <f t="shared" si="3"/>
        <v>0</v>
      </c>
      <c r="R26" s="61">
        <f t="shared" si="1"/>
        <v>0</v>
      </c>
      <c r="S26" s="60" t="s">
        <v>31</v>
      </c>
      <c r="T26" s="60"/>
      <c r="U26" s="17"/>
      <c r="V26" s="17"/>
      <c r="W26" s="17"/>
      <c r="X26" s="17"/>
      <c r="Y26" s="17"/>
      <c r="Z26" s="17"/>
      <c r="AA26" s="17"/>
      <c r="AB26" s="17"/>
      <c r="AC26" s="17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</row>
    <row r="27" spans="1:48" s="19" customFormat="1" ht="21.6" x14ac:dyDescent="0.2">
      <c r="A27" s="41">
        <v>2077</v>
      </c>
      <c r="B27" s="42" t="s">
        <v>20</v>
      </c>
      <c r="C27" s="43" t="s">
        <v>21</v>
      </c>
      <c r="D27" s="66">
        <v>5232</v>
      </c>
      <c r="E27" s="71" t="s">
        <v>388</v>
      </c>
      <c r="F27" s="72" t="s">
        <v>303</v>
      </c>
      <c r="G27" s="71" t="s">
        <v>102</v>
      </c>
      <c r="H27" s="45" t="s">
        <v>385</v>
      </c>
      <c r="I27" s="57" t="s">
        <v>27</v>
      </c>
      <c r="J27" s="47">
        <v>0.7</v>
      </c>
      <c r="K27" s="57" t="s">
        <v>324</v>
      </c>
      <c r="L27" s="64" t="s">
        <v>325</v>
      </c>
      <c r="M27" s="25" t="s">
        <v>326</v>
      </c>
      <c r="N27" s="62" t="s">
        <v>127</v>
      </c>
      <c r="O27" s="60">
        <v>0.1</v>
      </c>
      <c r="P27" s="62"/>
      <c r="Q27" s="60">
        <f t="shared" si="3"/>
        <v>0</v>
      </c>
      <c r="R27" s="61">
        <f t="shared" si="1"/>
        <v>0</v>
      </c>
      <c r="S27" s="60" t="s">
        <v>31</v>
      </c>
      <c r="T27" s="60"/>
      <c r="U27" s="17"/>
      <c r="V27" s="17"/>
      <c r="W27" s="17"/>
      <c r="X27" s="17"/>
      <c r="Y27" s="17"/>
      <c r="Z27" s="17"/>
      <c r="AA27" s="17"/>
      <c r="AB27" s="17"/>
      <c r="AC27" s="17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</row>
    <row r="28" spans="1:48" s="19" customFormat="1" ht="21.6" x14ac:dyDescent="0.2">
      <c r="A28" s="41">
        <v>2078</v>
      </c>
      <c r="B28" s="42" t="s">
        <v>20</v>
      </c>
      <c r="C28" s="43" t="s">
        <v>21</v>
      </c>
      <c r="D28" s="66">
        <v>5232</v>
      </c>
      <c r="E28" s="71" t="s">
        <v>388</v>
      </c>
      <c r="F28" s="72" t="s">
        <v>303</v>
      </c>
      <c r="G28" s="71" t="s">
        <v>102</v>
      </c>
      <c r="H28" s="45" t="s">
        <v>385</v>
      </c>
      <c r="I28" s="57" t="s">
        <v>59</v>
      </c>
      <c r="J28" s="58">
        <v>0.3</v>
      </c>
      <c r="K28" s="57" t="s">
        <v>327</v>
      </c>
      <c r="L28" s="64" t="s">
        <v>328</v>
      </c>
      <c r="M28" s="25" t="s">
        <v>329</v>
      </c>
      <c r="N28" s="62" t="s">
        <v>330</v>
      </c>
      <c r="O28" s="60">
        <v>0.1</v>
      </c>
      <c r="P28" s="62"/>
      <c r="Q28" s="60">
        <f t="shared" si="3"/>
        <v>0</v>
      </c>
      <c r="R28" s="61">
        <f t="shared" si="1"/>
        <v>0</v>
      </c>
      <c r="S28" s="60" t="s">
        <v>31</v>
      </c>
      <c r="T28" s="60"/>
      <c r="U28" s="17"/>
      <c r="V28" s="17"/>
      <c r="W28" s="17"/>
      <c r="X28" s="17"/>
      <c r="Y28" s="17"/>
      <c r="Z28" s="17"/>
      <c r="AA28" s="17"/>
      <c r="AB28" s="17"/>
      <c r="AC28" s="17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</row>
    <row r="29" spans="1:48" s="19" customFormat="1" ht="21.6" x14ac:dyDescent="0.2">
      <c r="A29" s="41">
        <v>2070</v>
      </c>
      <c r="B29" s="42" t="s">
        <v>20</v>
      </c>
      <c r="C29" s="43" t="s">
        <v>21</v>
      </c>
      <c r="D29" s="66">
        <v>5270</v>
      </c>
      <c r="E29" s="71" t="s">
        <v>389</v>
      </c>
      <c r="F29" s="72" t="s">
        <v>335</v>
      </c>
      <c r="G29" s="71" t="s">
        <v>102</v>
      </c>
      <c r="H29" s="45" t="s">
        <v>385</v>
      </c>
      <c r="I29" s="46" t="s">
        <v>27</v>
      </c>
      <c r="J29" s="47">
        <v>0.7</v>
      </c>
      <c r="K29" s="55" t="s">
        <v>66</v>
      </c>
      <c r="L29" s="63" t="s">
        <v>305</v>
      </c>
      <c r="M29" s="13" t="s">
        <v>306</v>
      </c>
      <c r="N29" s="51" t="s">
        <v>112</v>
      </c>
      <c r="O29" s="47">
        <v>0.15</v>
      </c>
      <c r="P29" s="47"/>
      <c r="Q29" s="47">
        <f t="shared" si="3"/>
        <v>0</v>
      </c>
      <c r="R29" s="49">
        <f t="shared" si="1"/>
        <v>0</v>
      </c>
      <c r="S29" s="47" t="s">
        <v>31</v>
      </c>
      <c r="T29" s="50">
        <f>SUM(R29:R37)%</f>
        <v>0</v>
      </c>
      <c r="U29" s="17"/>
      <c r="V29" s="17"/>
      <c r="W29" s="17"/>
      <c r="X29" s="17"/>
      <c r="Y29" s="17"/>
      <c r="Z29" s="17"/>
      <c r="AA29" s="17"/>
      <c r="AB29" s="17"/>
      <c r="AC29" s="17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</row>
    <row r="30" spans="1:48" s="19" customFormat="1" ht="21.6" x14ac:dyDescent="0.2">
      <c r="A30" s="41">
        <v>2071</v>
      </c>
      <c r="B30" s="42" t="s">
        <v>20</v>
      </c>
      <c r="C30" s="43" t="s">
        <v>21</v>
      </c>
      <c r="D30" s="66">
        <v>5270</v>
      </c>
      <c r="E30" s="71" t="s">
        <v>389</v>
      </c>
      <c r="F30" s="72" t="s">
        <v>335</v>
      </c>
      <c r="G30" s="71" t="s">
        <v>102</v>
      </c>
      <c r="H30" s="45" t="s">
        <v>385</v>
      </c>
      <c r="I30" s="46" t="s">
        <v>27</v>
      </c>
      <c r="J30" s="47">
        <v>0.7</v>
      </c>
      <c r="K30" s="55" t="s">
        <v>307</v>
      </c>
      <c r="L30" s="63" t="s">
        <v>308</v>
      </c>
      <c r="M30" s="55" t="s">
        <v>309</v>
      </c>
      <c r="N30" s="51" t="s">
        <v>310</v>
      </c>
      <c r="O30" s="47">
        <v>0.15</v>
      </c>
      <c r="P30" s="52"/>
      <c r="Q30" s="47">
        <f>ROUND(IF(OR(N30="",P30=""),0,IF(AND(N30=0,P30=0),1,IF(S30="+",P30/N30,N30/P30))),2)</f>
        <v>0</v>
      </c>
      <c r="R30" s="49">
        <f t="shared" si="1"/>
        <v>0</v>
      </c>
      <c r="S30" s="47" t="s">
        <v>36</v>
      </c>
      <c r="T30" s="4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</row>
    <row r="31" spans="1:48" s="19" customFormat="1" ht="21.6" x14ac:dyDescent="0.2">
      <c r="A31" s="41">
        <v>2072</v>
      </c>
      <c r="B31" s="42" t="s">
        <v>20</v>
      </c>
      <c r="C31" s="43" t="s">
        <v>21</v>
      </c>
      <c r="D31" s="66">
        <v>5270</v>
      </c>
      <c r="E31" s="71" t="s">
        <v>389</v>
      </c>
      <c r="F31" s="72" t="s">
        <v>335</v>
      </c>
      <c r="G31" s="71" t="s">
        <v>102</v>
      </c>
      <c r="H31" s="45" t="s">
        <v>385</v>
      </c>
      <c r="I31" s="46" t="s">
        <v>27</v>
      </c>
      <c r="J31" s="47">
        <v>0.7</v>
      </c>
      <c r="K31" s="55" t="s">
        <v>311</v>
      </c>
      <c r="L31" s="63" t="s">
        <v>312</v>
      </c>
      <c r="M31" s="55" t="s">
        <v>313</v>
      </c>
      <c r="N31" s="47">
        <v>1</v>
      </c>
      <c r="O31" s="47">
        <v>0.1</v>
      </c>
      <c r="P31" s="52"/>
      <c r="Q31" s="47">
        <f t="shared" ref="Q31:Q38" si="4">ROUND(IF(OR(N31="",P31=""),0,IF(AND(N31=0,P31=0),1,IF(S31="+",P31/N31,N31/P31))),2)</f>
        <v>0</v>
      </c>
      <c r="R31" s="49">
        <f t="shared" si="1"/>
        <v>0</v>
      </c>
      <c r="S31" s="47" t="s">
        <v>31</v>
      </c>
      <c r="T31" s="47"/>
      <c r="U31" s="17"/>
      <c r="V31" s="17"/>
      <c r="W31" s="17"/>
      <c r="X31" s="17"/>
      <c r="Y31" s="17"/>
      <c r="Z31" s="17"/>
      <c r="AA31" s="17"/>
      <c r="AB31" s="17"/>
      <c r="AC31" s="17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</row>
    <row r="32" spans="1:48" s="19" customFormat="1" ht="21.6" x14ac:dyDescent="0.2">
      <c r="A32" s="41">
        <v>2073</v>
      </c>
      <c r="B32" s="42" t="s">
        <v>20</v>
      </c>
      <c r="C32" s="43" t="s">
        <v>21</v>
      </c>
      <c r="D32" s="66">
        <v>5270</v>
      </c>
      <c r="E32" s="71" t="s">
        <v>389</v>
      </c>
      <c r="F32" s="72" t="s">
        <v>335</v>
      </c>
      <c r="G32" s="71" t="s">
        <v>102</v>
      </c>
      <c r="H32" s="45" t="s">
        <v>385</v>
      </c>
      <c r="I32" s="46" t="s">
        <v>27</v>
      </c>
      <c r="J32" s="47">
        <v>0.7</v>
      </c>
      <c r="K32" s="55" t="s">
        <v>145</v>
      </c>
      <c r="L32" s="63" t="s">
        <v>314</v>
      </c>
      <c r="M32" s="55" t="s">
        <v>315</v>
      </c>
      <c r="N32" s="52" t="s">
        <v>196</v>
      </c>
      <c r="O32" s="47">
        <v>0.1</v>
      </c>
      <c r="P32" s="54"/>
      <c r="Q32" s="47">
        <f t="shared" si="4"/>
        <v>0</v>
      </c>
      <c r="R32" s="49">
        <f t="shared" si="1"/>
        <v>0</v>
      </c>
      <c r="S32" s="47" t="s">
        <v>36</v>
      </c>
      <c r="T32" s="47"/>
      <c r="U32" s="17"/>
      <c r="V32" s="17"/>
      <c r="W32" s="17"/>
      <c r="X32" s="17"/>
      <c r="Y32" s="17"/>
      <c r="Z32" s="17"/>
      <c r="AA32" s="17"/>
      <c r="AB32" s="17"/>
      <c r="AC32" s="17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</row>
    <row r="33" spans="1:48" s="19" customFormat="1" ht="21.6" x14ac:dyDescent="0.2">
      <c r="A33" s="41">
        <v>2074</v>
      </c>
      <c r="B33" s="42" t="s">
        <v>20</v>
      </c>
      <c r="C33" s="43" t="s">
        <v>21</v>
      </c>
      <c r="D33" s="66">
        <v>5270</v>
      </c>
      <c r="E33" s="71" t="s">
        <v>389</v>
      </c>
      <c r="F33" s="72" t="s">
        <v>335</v>
      </c>
      <c r="G33" s="71" t="s">
        <v>102</v>
      </c>
      <c r="H33" s="45" t="s">
        <v>385</v>
      </c>
      <c r="I33" s="46" t="s">
        <v>27</v>
      </c>
      <c r="J33" s="47">
        <v>0.7</v>
      </c>
      <c r="K33" s="55" t="s">
        <v>84</v>
      </c>
      <c r="L33" s="63" t="s">
        <v>316</v>
      </c>
      <c r="M33" s="55" t="s">
        <v>317</v>
      </c>
      <c r="N33" s="55" t="s">
        <v>196</v>
      </c>
      <c r="O33" s="47">
        <v>0.1</v>
      </c>
      <c r="P33" s="56"/>
      <c r="Q33" s="47">
        <f t="shared" si="4"/>
        <v>0</v>
      </c>
      <c r="R33" s="49">
        <f t="shared" si="1"/>
        <v>0</v>
      </c>
      <c r="S33" s="47" t="s">
        <v>36</v>
      </c>
      <c r="T33" s="47"/>
      <c r="U33" s="17"/>
      <c r="V33" s="17"/>
      <c r="W33" s="17"/>
      <c r="X33" s="17"/>
      <c r="Y33" s="17"/>
      <c r="Z33" s="17"/>
      <c r="AA33" s="17"/>
      <c r="AB33" s="17"/>
      <c r="AC33" s="17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</row>
    <row r="34" spans="1:48" s="19" customFormat="1" ht="21.6" x14ac:dyDescent="0.2">
      <c r="A34" s="41">
        <v>2075</v>
      </c>
      <c r="B34" s="42" t="s">
        <v>20</v>
      </c>
      <c r="C34" s="43" t="s">
        <v>21</v>
      </c>
      <c r="D34" s="66">
        <v>5270</v>
      </c>
      <c r="E34" s="71" t="s">
        <v>389</v>
      </c>
      <c r="F34" s="72" t="s">
        <v>335</v>
      </c>
      <c r="G34" s="71" t="s">
        <v>102</v>
      </c>
      <c r="H34" s="45" t="s">
        <v>385</v>
      </c>
      <c r="I34" s="57" t="s">
        <v>27</v>
      </c>
      <c r="J34" s="47">
        <v>0.7</v>
      </c>
      <c r="K34" s="57" t="s">
        <v>318</v>
      </c>
      <c r="L34" s="64" t="s">
        <v>319</v>
      </c>
      <c r="M34" s="57" t="s">
        <v>320</v>
      </c>
      <c r="N34" s="59" t="s">
        <v>127</v>
      </c>
      <c r="O34" s="60">
        <v>0.1</v>
      </c>
      <c r="P34" s="56"/>
      <c r="Q34" s="60">
        <f t="shared" si="4"/>
        <v>0</v>
      </c>
      <c r="R34" s="61">
        <f t="shared" si="1"/>
        <v>0</v>
      </c>
      <c r="S34" s="60" t="s">
        <v>31</v>
      </c>
      <c r="T34" s="60"/>
      <c r="U34" s="17"/>
      <c r="V34" s="17"/>
      <c r="W34" s="17"/>
      <c r="X34" s="17"/>
      <c r="Y34" s="17"/>
      <c r="Z34" s="17"/>
      <c r="AA34" s="17"/>
      <c r="AB34" s="17"/>
      <c r="AC34" s="17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</row>
    <row r="35" spans="1:48" s="19" customFormat="1" ht="21.6" x14ac:dyDescent="0.2">
      <c r="A35" s="41">
        <v>2076</v>
      </c>
      <c r="B35" s="42" t="s">
        <v>20</v>
      </c>
      <c r="C35" s="43" t="s">
        <v>21</v>
      </c>
      <c r="D35" s="66">
        <v>5270</v>
      </c>
      <c r="E35" s="71" t="s">
        <v>389</v>
      </c>
      <c r="F35" s="72" t="s">
        <v>335</v>
      </c>
      <c r="G35" s="71" t="s">
        <v>102</v>
      </c>
      <c r="H35" s="45" t="s">
        <v>385</v>
      </c>
      <c r="I35" s="57" t="s">
        <v>27</v>
      </c>
      <c r="J35" s="47">
        <v>0.7</v>
      </c>
      <c r="K35" s="57" t="s">
        <v>321</v>
      </c>
      <c r="L35" s="64" t="s">
        <v>322</v>
      </c>
      <c r="M35" s="57" t="s">
        <v>323</v>
      </c>
      <c r="N35" s="59" t="s">
        <v>156</v>
      </c>
      <c r="O35" s="60">
        <v>0.1</v>
      </c>
      <c r="P35" s="56"/>
      <c r="Q35" s="60">
        <f t="shared" si="4"/>
        <v>0</v>
      </c>
      <c r="R35" s="61">
        <f t="shared" si="1"/>
        <v>0</v>
      </c>
      <c r="S35" s="60" t="s">
        <v>31</v>
      </c>
      <c r="T35" s="60"/>
      <c r="U35" s="17"/>
      <c r="V35" s="17"/>
      <c r="W35" s="17"/>
      <c r="X35" s="17"/>
      <c r="Y35" s="17"/>
      <c r="Z35" s="17"/>
      <c r="AA35" s="17"/>
      <c r="AB35" s="17"/>
      <c r="AC35" s="17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</row>
    <row r="36" spans="1:48" s="19" customFormat="1" ht="21.6" x14ac:dyDescent="0.2">
      <c r="A36" s="41">
        <v>2077</v>
      </c>
      <c r="B36" s="42" t="s">
        <v>20</v>
      </c>
      <c r="C36" s="43" t="s">
        <v>21</v>
      </c>
      <c r="D36" s="66">
        <v>5270</v>
      </c>
      <c r="E36" s="71" t="s">
        <v>389</v>
      </c>
      <c r="F36" s="72" t="s">
        <v>335</v>
      </c>
      <c r="G36" s="71" t="s">
        <v>102</v>
      </c>
      <c r="H36" s="45" t="s">
        <v>385</v>
      </c>
      <c r="I36" s="57" t="s">
        <v>27</v>
      </c>
      <c r="J36" s="47">
        <v>0.7</v>
      </c>
      <c r="K36" s="57" t="s">
        <v>324</v>
      </c>
      <c r="L36" s="64" t="s">
        <v>325</v>
      </c>
      <c r="M36" s="25" t="s">
        <v>326</v>
      </c>
      <c r="N36" s="62" t="s">
        <v>127</v>
      </c>
      <c r="O36" s="60">
        <v>0.1</v>
      </c>
      <c r="P36" s="62"/>
      <c r="Q36" s="60">
        <f t="shared" si="4"/>
        <v>0</v>
      </c>
      <c r="R36" s="61">
        <f t="shared" si="1"/>
        <v>0</v>
      </c>
      <c r="S36" s="60" t="s">
        <v>31</v>
      </c>
      <c r="T36" s="60"/>
      <c r="U36" s="17"/>
      <c r="V36" s="17"/>
      <c r="W36" s="17"/>
      <c r="X36" s="17"/>
      <c r="Y36" s="17"/>
      <c r="Z36" s="17"/>
      <c r="AA36" s="17"/>
      <c r="AB36" s="17"/>
      <c r="AC36" s="17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</row>
    <row r="37" spans="1:48" s="19" customFormat="1" ht="21.6" x14ac:dyDescent="0.2">
      <c r="A37" s="41">
        <v>2078</v>
      </c>
      <c r="B37" s="42" t="s">
        <v>20</v>
      </c>
      <c r="C37" s="43" t="s">
        <v>21</v>
      </c>
      <c r="D37" s="66">
        <v>5270</v>
      </c>
      <c r="E37" s="71" t="s">
        <v>389</v>
      </c>
      <c r="F37" s="72" t="s">
        <v>335</v>
      </c>
      <c r="G37" s="71" t="s">
        <v>102</v>
      </c>
      <c r="H37" s="45" t="s">
        <v>385</v>
      </c>
      <c r="I37" s="57" t="s">
        <v>59</v>
      </c>
      <c r="J37" s="58">
        <v>0.3</v>
      </c>
      <c r="K37" s="57" t="s">
        <v>327</v>
      </c>
      <c r="L37" s="64" t="s">
        <v>328</v>
      </c>
      <c r="M37" s="25" t="s">
        <v>329</v>
      </c>
      <c r="N37" s="62" t="s">
        <v>330</v>
      </c>
      <c r="O37" s="60">
        <v>0.1</v>
      </c>
      <c r="P37" s="62"/>
      <c r="Q37" s="60">
        <f t="shared" si="4"/>
        <v>0</v>
      </c>
      <c r="R37" s="61">
        <f t="shared" si="1"/>
        <v>0</v>
      </c>
      <c r="S37" s="60" t="s">
        <v>31</v>
      </c>
      <c r="T37" s="60"/>
      <c r="U37" s="17"/>
      <c r="V37" s="17"/>
      <c r="W37" s="17"/>
      <c r="X37" s="17"/>
      <c r="Y37" s="17"/>
      <c r="Z37" s="17"/>
      <c r="AA37" s="17"/>
      <c r="AB37" s="17"/>
      <c r="AC37" s="17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</row>
    <row r="38" spans="1:48" s="19" customFormat="1" ht="21.6" x14ac:dyDescent="0.2">
      <c r="A38" s="41">
        <v>2070</v>
      </c>
      <c r="B38" s="42" t="s">
        <v>20</v>
      </c>
      <c r="C38" s="43" t="s">
        <v>21</v>
      </c>
      <c r="D38" s="66">
        <v>5312</v>
      </c>
      <c r="E38" s="71" t="s">
        <v>390</v>
      </c>
      <c r="F38" s="72" t="s">
        <v>387</v>
      </c>
      <c r="G38" s="71" t="s">
        <v>102</v>
      </c>
      <c r="H38" s="45" t="s">
        <v>385</v>
      </c>
      <c r="I38" s="46" t="s">
        <v>27</v>
      </c>
      <c r="J38" s="47">
        <v>0.7</v>
      </c>
      <c r="K38" s="55" t="s">
        <v>66</v>
      </c>
      <c r="L38" s="63" t="s">
        <v>305</v>
      </c>
      <c r="M38" s="13" t="s">
        <v>306</v>
      </c>
      <c r="N38" s="51" t="s">
        <v>112</v>
      </c>
      <c r="O38" s="47">
        <v>0.15</v>
      </c>
      <c r="P38" s="47"/>
      <c r="Q38" s="47">
        <f t="shared" si="4"/>
        <v>0</v>
      </c>
      <c r="R38" s="49">
        <f t="shared" si="1"/>
        <v>0</v>
      </c>
      <c r="S38" s="47" t="s">
        <v>31</v>
      </c>
      <c r="T38" s="50">
        <f>SUM(R38:R46)%</f>
        <v>0</v>
      </c>
      <c r="U38" s="17"/>
      <c r="V38" s="17"/>
      <c r="W38" s="17"/>
      <c r="X38" s="17"/>
      <c r="Y38" s="17"/>
      <c r="Z38" s="17"/>
      <c r="AA38" s="17"/>
      <c r="AB38" s="17"/>
      <c r="AC38" s="17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spans="1:48" s="19" customFormat="1" ht="21.6" x14ac:dyDescent="0.2">
      <c r="A39" s="41">
        <v>2071</v>
      </c>
      <c r="B39" s="42" t="s">
        <v>20</v>
      </c>
      <c r="C39" s="43" t="s">
        <v>21</v>
      </c>
      <c r="D39" s="66">
        <v>5312</v>
      </c>
      <c r="E39" s="71" t="s">
        <v>390</v>
      </c>
      <c r="F39" s="72" t="s">
        <v>387</v>
      </c>
      <c r="G39" s="71" t="s">
        <v>102</v>
      </c>
      <c r="H39" s="45" t="s">
        <v>385</v>
      </c>
      <c r="I39" s="46" t="s">
        <v>27</v>
      </c>
      <c r="J39" s="47">
        <v>0.7</v>
      </c>
      <c r="K39" s="55" t="s">
        <v>307</v>
      </c>
      <c r="L39" s="63" t="s">
        <v>308</v>
      </c>
      <c r="M39" s="55" t="s">
        <v>309</v>
      </c>
      <c r="N39" s="51" t="s">
        <v>310</v>
      </c>
      <c r="O39" s="47">
        <v>0.15</v>
      </c>
      <c r="P39" s="52"/>
      <c r="Q39" s="47">
        <f>ROUND(IF(OR(N39="",P39=""),0,IF(AND(N39=0,P39=0),1,IF(S39="+",P39/N39,N39/P39))),2)</f>
        <v>0</v>
      </c>
      <c r="R39" s="49">
        <f t="shared" si="1"/>
        <v>0</v>
      </c>
      <c r="S39" s="47" t="s">
        <v>36</v>
      </c>
      <c r="T39" s="47"/>
      <c r="U39" s="17"/>
      <c r="V39" s="17"/>
      <c r="W39" s="17"/>
      <c r="X39" s="17"/>
      <c r="Y39" s="17"/>
      <c r="Z39" s="17"/>
      <c r="AA39" s="17"/>
      <c r="AB39" s="17"/>
      <c r="AC39" s="17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</row>
    <row r="40" spans="1:48" s="19" customFormat="1" ht="21.6" x14ac:dyDescent="0.2">
      <c r="A40" s="41">
        <v>2072</v>
      </c>
      <c r="B40" s="42" t="s">
        <v>20</v>
      </c>
      <c r="C40" s="43" t="s">
        <v>21</v>
      </c>
      <c r="D40" s="66">
        <v>5312</v>
      </c>
      <c r="E40" s="71" t="s">
        <v>390</v>
      </c>
      <c r="F40" s="72" t="s">
        <v>387</v>
      </c>
      <c r="G40" s="71" t="s">
        <v>102</v>
      </c>
      <c r="H40" s="45" t="s">
        <v>385</v>
      </c>
      <c r="I40" s="46" t="s">
        <v>27</v>
      </c>
      <c r="J40" s="47">
        <v>0.7</v>
      </c>
      <c r="K40" s="55" t="s">
        <v>311</v>
      </c>
      <c r="L40" s="63" t="s">
        <v>312</v>
      </c>
      <c r="M40" s="55" t="s">
        <v>313</v>
      </c>
      <c r="N40" s="47">
        <v>1</v>
      </c>
      <c r="O40" s="47">
        <v>0.1</v>
      </c>
      <c r="P40" s="52"/>
      <c r="Q40" s="47">
        <f t="shared" ref="Q40:Q47" si="5">ROUND(IF(OR(N40="",P40=""),0,IF(AND(N40=0,P40=0),1,IF(S40="+",P40/N40,N40/P40))),2)</f>
        <v>0</v>
      </c>
      <c r="R40" s="49">
        <f t="shared" si="1"/>
        <v>0</v>
      </c>
      <c r="S40" s="47" t="s">
        <v>31</v>
      </c>
      <c r="T40" s="47"/>
      <c r="U40" s="17"/>
      <c r="V40" s="17"/>
      <c r="W40" s="17"/>
      <c r="X40" s="17"/>
      <c r="Y40" s="17"/>
      <c r="Z40" s="17"/>
      <c r="AA40" s="17"/>
      <c r="AB40" s="17"/>
      <c r="AC40" s="17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</row>
    <row r="41" spans="1:48" s="19" customFormat="1" ht="21.6" x14ac:dyDescent="0.2">
      <c r="A41" s="41">
        <v>2073</v>
      </c>
      <c r="B41" s="42" t="s">
        <v>20</v>
      </c>
      <c r="C41" s="43" t="s">
        <v>21</v>
      </c>
      <c r="D41" s="66">
        <v>5312</v>
      </c>
      <c r="E41" s="71" t="s">
        <v>390</v>
      </c>
      <c r="F41" s="72" t="s">
        <v>387</v>
      </c>
      <c r="G41" s="71" t="s">
        <v>102</v>
      </c>
      <c r="H41" s="45" t="s">
        <v>385</v>
      </c>
      <c r="I41" s="46" t="s">
        <v>27</v>
      </c>
      <c r="J41" s="47">
        <v>0.7</v>
      </c>
      <c r="K41" s="55" t="s">
        <v>145</v>
      </c>
      <c r="L41" s="63" t="s">
        <v>314</v>
      </c>
      <c r="M41" s="55" t="s">
        <v>315</v>
      </c>
      <c r="N41" s="52" t="s">
        <v>196</v>
      </c>
      <c r="O41" s="47">
        <v>0.1</v>
      </c>
      <c r="P41" s="54"/>
      <c r="Q41" s="47">
        <f t="shared" si="5"/>
        <v>0</v>
      </c>
      <c r="R41" s="49">
        <f t="shared" si="1"/>
        <v>0</v>
      </c>
      <c r="S41" s="47" t="s">
        <v>36</v>
      </c>
      <c r="T41" s="47"/>
      <c r="U41" s="17"/>
      <c r="V41" s="17"/>
      <c r="W41" s="17"/>
      <c r="X41" s="17"/>
      <c r="Y41" s="17"/>
      <c r="Z41" s="17"/>
      <c r="AA41" s="17"/>
      <c r="AB41" s="17"/>
      <c r="AC41" s="17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spans="1:48" s="19" customFormat="1" ht="21.6" x14ac:dyDescent="0.2">
      <c r="A42" s="41">
        <v>2074</v>
      </c>
      <c r="B42" s="42" t="s">
        <v>20</v>
      </c>
      <c r="C42" s="43" t="s">
        <v>21</v>
      </c>
      <c r="D42" s="66">
        <v>5312</v>
      </c>
      <c r="E42" s="71" t="s">
        <v>390</v>
      </c>
      <c r="F42" s="72" t="s">
        <v>387</v>
      </c>
      <c r="G42" s="71" t="s">
        <v>102</v>
      </c>
      <c r="H42" s="45" t="s">
        <v>385</v>
      </c>
      <c r="I42" s="46" t="s">
        <v>27</v>
      </c>
      <c r="J42" s="47">
        <v>0.7</v>
      </c>
      <c r="K42" s="55" t="s">
        <v>84</v>
      </c>
      <c r="L42" s="63" t="s">
        <v>316</v>
      </c>
      <c r="M42" s="55" t="s">
        <v>317</v>
      </c>
      <c r="N42" s="55" t="s">
        <v>196</v>
      </c>
      <c r="O42" s="47">
        <v>0.1</v>
      </c>
      <c r="P42" s="56"/>
      <c r="Q42" s="47">
        <f t="shared" si="5"/>
        <v>0</v>
      </c>
      <c r="R42" s="49">
        <f t="shared" si="1"/>
        <v>0</v>
      </c>
      <c r="S42" s="47" t="s">
        <v>36</v>
      </c>
      <c r="T42" s="47"/>
      <c r="U42" s="17"/>
      <c r="V42" s="17"/>
      <c r="W42" s="17"/>
      <c r="X42" s="17"/>
      <c r="Y42" s="17"/>
      <c r="Z42" s="17"/>
      <c r="AA42" s="17"/>
      <c r="AB42" s="17"/>
      <c r="AC42" s="17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</row>
    <row r="43" spans="1:48" s="19" customFormat="1" ht="21.6" x14ac:dyDescent="0.2">
      <c r="A43" s="41">
        <v>2075</v>
      </c>
      <c r="B43" s="42" t="s">
        <v>20</v>
      </c>
      <c r="C43" s="43" t="s">
        <v>21</v>
      </c>
      <c r="D43" s="66">
        <v>5312</v>
      </c>
      <c r="E43" s="71" t="s">
        <v>390</v>
      </c>
      <c r="F43" s="72" t="s">
        <v>387</v>
      </c>
      <c r="G43" s="71" t="s">
        <v>102</v>
      </c>
      <c r="H43" s="45" t="s">
        <v>385</v>
      </c>
      <c r="I43" s="57" t="s">
        <v>27</v>
      </c>
      <c r="J43" s="47">
        <v>0.7</v>
      </c>
      <c r="K43" s="57" t="s">
        <v>318</v>
      </c>
      <c r="L43" s="64" t="s">
        <v>319</v>
      </c>
      <c r="M43" s="57" t="s">
        <v>320</v>
      </c>
      <c r="N43" s="59" t="s">
        <v>127</v>
      </c>
      <c r="O43" s="60">
        <v>0.1</v>
      </c>
      <c r="P43" s="56"/>
      <c r="Q43" s="60">
        <f t="shared" si="5"/>
        <v>0</v>
      </c>
      <c r="R43" s="61">
        <f t="shared" si="1"/>
        <v>0</v>
      </c>
      <c r="S43" s="60" t="s">
        <v>31</v>
      </c>
      <c r="T43" s="60"/>
      <c r="U43" s="17"/>
      <c r="V43" s="17"/>
      <c r="W43" s="17"/>
      <c r="X43" s="17"/>
      <c r="Y43" s="17"/>
      <c r="Z43" s="17"/>
      <c r="AA43" s="17"/>
      <c r="AB43" s="17"/>
      <c r="AC43" s="17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</row>
    <row r="44" spans="1:48" s="19" customFormat="1" ht="21.6" x14ac:dyDescent="0.2">
      <c r="A44" s="41">
        <v>2076</v>
      </c>
      <c r="B44" s="42" t="s">
        <v>20</v>
      </c>
      <c r="C44" s="43" t="s">
        <v>21</v>
      </c>
      <c r="D44" s="66">
        <v>5312</v>
      </c>
      <c r="E44" s="71" t="s">
        <v>390</v>
      </c>
      <c r="F44" s="72" t="s">
        <v>387</v>
      </c>
      <c r="G44" s="71" t="s">
        <v>102</v>
      </c>
      <c r="H44" s="45" t="s">
        <v>385</v>
      </c>
      <c r="I44" s="57" t="s">
        <v>27</v>
      </c>
      <c r="J44" s="47">
        <v>0.7</v>
      </c>
      <c r="K44" s="57" t="s">
        <v>321</v>
      </c>
      <c r="L44" s="64" t="s">
        <v>322</v>
      </c>
      <c r="M44" s="57" t="s">
        <v>323</v>
      </c>
      <c r="N44" s="59" t="s">
        <v>156</v>
      </c>
      <c r="O44" s="60">
        <v>0.1</v>
      </c>
      <c r="P44" s="56"/>
      <c r="Q44" s="60">
        <f t="shared" si="5"/>
        <v>0</v>
      </c>
      <c r="R44" s="61">
        <f t="shared" si="1"/>
        <v>0</v>
      </c>
      <c r="S44" s="60" t="s">
        <v>31</v>
      </c>
      <c r="T44" s="60"/>
      <c r="U44" s="17"/>
      <c r="V44" s="17"/>
      <c r="W44" s="17"/>
      <c r="X44" s="17"/>
      <c r="Y44" s="17"/>
      <c r="Z44" s="17"/>
      <c r="AA44" s="17"/>
      <c r="AB44" s="17"/>
      <c r="AC44" s="17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</row>
    <row r="45" spans="1:48" s="19" customFormat="1" ht="21.6" x14ac:dyDescent="0.2">
      <c r="A45" s="41">
        <v>2077</v>
      </c>
      <c r="B45" s="42" t="s">
        <v>20</v>
      </c>
      <c r="C45" s="43" t="s">
        <v>21</v>
      </c>
      <c r="D45" s="66">
        <v>5312</v>
      </c>
      <c r="E45" s="71" t="s">
        <v>390</v>
      </c>
      <c r="F45" s="72" t="s">
        <v>387</v>
      </c>
      <c r="G45" s="71" t="s">
        <v>102</v>
      </c>
      <c r="H45" s="45" t="s">
        <v>385</v>
      </c>
      <c r="I45" s="57" t="s">
        <v>27</v>
      </c>
      <c r="J45" s="47">
        <v>0.7</v>
      </c>
      <c r="K45" s="57" t="s">
        <v>324</v>
      </c>
      <c r="L45" s="64" t="s">
        <v>325</v>
      </c>
      <c r="M45" s="25" t="s">
        <v>326</v>
      </c>
      <c r="N45" s="62" t="s">
        <v>127</v>
      </c>
      <c r="O45" s="60">
        <v>0.1</v>
      </c>
      <c r="P45" s="62"/>
      <c r="Q45" s="60">
        <f t="shared" si="5"/>
        <v>0</v>
      </c>
      <c r="R45" s="61">
        <f t="shared" si="1"/>
        <v>0</v>
      </c>
      <c r="S45" s="60" t="s">
        <v>31</v>
      </c>
      <c r="T45" s="60"/>
      <c r="U45" s="17"/>
      <c r="V45" s="17"/>
      <c r="W45" s="17"/>
      <c r="X45" s="17"/>
      <c r="Y45" s="17"/>
      <c r="Z45" s="17"/>
      <c r="AA45" s="17"/>
      <c r="AB45" s="17"/>
      <c r="AC45" s="17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</row>
    <row r="46" spans="1:48" s="19" customFormat="1" ht="21.6" x14ac:dyDescent="0.2">
      <c r="A46" s="41">
        <v>2078</v>
      </c>
      <c r="B46" s="42" t="s">
        <v>20</v>
      </c>
      <c r="C46" s="43" t="s">
        <v>21</v>
      </c>
      <c r="D46" s="66">
        <v>5312</v>
      </c>
      <c r="E46" s="71" t="s">
        <v>390</v>
      </c>
      <c r="F46" s="72" t="s">
        <v>387</v>
      </c>
      <c r="G46" s="71" t="s">
        <v>102</v>
      </c>
      <c r="H46" s="45" t="s">
        <v>385</v>
      </c>
      <c r="I46" s="57" t="s">
        <v>59</v>
      </c>
      <c r="J46" s="58">
        <v>0.3</v>
      </c>
      <c r="K46" s="57" t="s">
        <v>327</v>
      </c>
      <c r="L46" s="64" t="s">
        <v>328</v>
      </c>
      <c r="M46" s="25" t="s">
        <v>329</v>
      </c>
      <c r="N46" s="62" t="s">
        <v>330</v>
      </c>
      <c r="O46" s="60">
        <v>0.1</v>
      </c>
      <c r="P46" s="62"/>
      <c r="Q46" s="60">
        <f t="shared" si="5"/>
        <v>0</v>
      </c>
      <c r="R46" s="61">
        <f t="shared" si="1"/>
        <v>0</v>
      </c>
      <c r="S46" s="60" t="s">
        <v>31</v>
      </c>
      <c r="T46" s="60"/>
      <c r="U46" s="17"/>
      <c r="V46" s="17"/>
      <c r="W46" s="17"/>
      <c r="X46" s="17"/>
      <c r="Y46" s="17"/>
      <c r="Z46" s="17"/>
      <c r="AA46" s="17"/>
      <c r="AB46" s="17"/>
      <c r="AC46" s="17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48" s="19" customFormat="1" ht="21.6" x14ac:dyDescent="0.2">
      <c r="A47" s="41">
        <v>2070</v>
      </c>
      <c r="B47" s="42" t="s">
        <v>20</v>
      </c>
      <c r="C47" s="43" t="s">
        <v>21</v>
      </c>
      <c r="D47" s="66">
        <v>5334</v>
      </c>
      <c r="E47" s="71" t="s">
        <v>390</v>
      </c>
      <c r="F47" s="72" t="s">
        <v>387</v>
      </c>
      <c r="G47" s="71" t="s">
        <v>102</v>
      </c>
      <c r="H47" s="45" t="s">
        <v>385</v>
      </c>
      <c r="I47" s="46" t="s">
        <v>27</v>
      </c>
      <c r="J47" s="47">
        <v>0.7</v>
      </c>
      <c r="K47" s="55" t="s">
        <v>66</v>
      </c>
      <c r="L47" s="63" t="s">
        <v>305</v>
      </c>
      <c r="M47" s="13" t="s">
        <v>306</v>
      </c>
      <c r="N47" s="51" t="s">
        <v>112</v>
      </c>
      <c r="O47" s="47">
        <v>0.15</v>
      </c>
      <c r="P47" s="47"/>
      <c r="Q47" s="47">
        <f t="shared" si="5"/>
        <v>0</v>
      </c>
      <c r="R47" s="49">
        <f t="shared" si="1"/>
        <v>0</v>
      </c>
      <c r="S47" s="47" t="s">
        <v>31</v>
      </c>
      <c r="T47" s="50">
        <f>SUM(R47:R55)%</f>
        <v>0</v>
      </c>
      <c r="U47" s="17"/>
      <c r="V47" s="17"/>
      <c r="W47" s="17"/>
      <c r="X47" s="17"/>
      <c r="Y47" s="17"/>
      <c r="Z47" s="17"/>
      <c r="AA47" s="17"/>
      <c r="AB47" s="17"/>
      <c r="AC47" s="17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</row>
    <row r="48" spans="1:48" s="19" customFormat="1" ht="21.6" x14ac:dyDescent="0.2">
      <c r="A48" s="41">
        <v>2071</v>
      </c>
      <c r="B48" s="42" t="s">
        <v>20</v>
      </c>
      <c r="C48" s="43" t="s">
        <v>21</v>
      </c>
      <c r="D48" s="66">
        <v>5334</v>
      </c>
      <c r="E48" s="71" t="s">
        <v>390</v>
      </c>
      <c r="F48" s="72" t="s">
        <v>387</v>
      </c>
      <c r="G48" s="71" t="s">
        <v>102</v>
      </c>
      <c r="H48" s="45" t="s">
        <v>385</v>
      </c>
      <c r="I48" s="46" t="s">
        <v>27</v>
      </c>
      <c r="J48" s="47">
        <v>0.7</v>
      </c>
      <c r="K48" s="55" t="s">
        <v>307</v>
      </c>
      <c r="L48" s="63" t="s">
        <v>308</v>
      </c>
      <c r="M48" s="55" t="s">
        <v>309</v>
      </c>
      <c r="N48" s="51" t="s">
        <v>310</v>
      </c>
      <c r="O48" s="47">
        <v>0.15</v>
      </c>
      <c r="P48" s="52"/>
      <c r="Q48" s="47">
        <f>ROUND(IF(OR(N48="",P48=""),0,IF(AND(N48=0,P48=0),1,IF(S48="+",P48/N48,N48/P48))),2)</f>
        <v>0</v>
      </c>
      <c r="R48" s="49">
        <f t="shared" si="1"/>
        <v>0</v>
      </c>
      <c r="S48" s="47" t="s">
        <v>36</v>
      </c>
      <c r="T48" s="47"/>
      <c r="U48" s="17"/>
      <c r="V48" s="17"/>
      <c r="W48" s="17"/>
      <c r="X48" s="17"/>
      <c r="Y48" s="17"/>
      <c r="Z48" s="17"/>
      <c r="AA48" s="17"/>
      <c r="AB48" s="17"/>
      <c r="AC48" s="17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9" customFormat="1" ht="21.6" x14ac:dyDescent="0.2">
      <c r="A49" s="41">
        <v>2072</v>
      </c>
      <c r="B49" s="42" t="s">
        <v>20</v>
      </c>
      <c r="C49" s="43" t="s">
        <v>21</v>
      </c>
      <c r="D49" s="66">
        <v>5334</v>
      </c>
      <c r="E49" s="71" t="s">
        <v>390</v>
      </c>
      <c r="F49" s="72" t="s">
        <v>387</v>
      </c>
      <c r="G49" s="71" t="s">
        <v>102</v>
      </c>
      <c r="H49" s="45" t="s">
        <v>385</v>
      </c>
      <c r="I49" s="46" t="s">
        <v>27</v>
      </c>
      <c r="J49" s="47">
        <v>0.7</v>
      </c>
      <c r="K49" s="55" t="s">
        <v>311</v>
      </c>
      <c r="L49" s="63" t="s">
        <v>312</v>
      </c>
      <c r="M49" s="55" t="s">
        <v>313</v>
      </c>
      <c r="N49" s="47">
        <v>1</v>
      </c>
      <c r="O49" s="47">
        <v>0.1</v>
      </c>
      <c r="P49" s="52"/>
      <c r="Q49" s="47">
        <f t="shared" ref="Q49:Q56" si="6">ROUND(IF(OR(N49="",P49=""),0,IF(AND(N49=0,P49=0),1,IF(S49="+",P49/N49,N49/P49))),2)</f>
        <v>0</v>
      </c>
      <c r="R49" s="49">
        <f t="shared" si="1"/>
        <v>0</v>
      </c>
      <c r="S49" s="47" t="s">
        <v>31</v>
      </c>
      <c r="T49" s="47"/>
      <c r="U49" s="17"/>
      <c r="V49" s="17"/>
      <c r="W49" s="17"/>
      <c r="X49" s="17"/>
      <c r="Y49" s="17"/>
      <c r="Z49" s="17"/>
      <c r="AA49" s="17"/>
      <c r="AB49" s="17"/>
      <c r="AC49" s="17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</row>
    <row r="50" spans="1:48" s="19" customFormat="1" ht="21.6" x14ac:dyDescent="0.2">
      <c r="A50" s="41">
        <v>2073</v>
      </c>
      <c r="B50" s="42" t="s">
        <v>20</v>
      </c>
      <c r="C50" s="43" t="s">
        <v>21</v>
      </c>
      <c r="D50" s="66">
        <v>5334</v>
      </c>
      <c r="E50" s="71" t="s">
        <v>390</v>
      </c>
      <c r="F50" s="72" t="s">
        <v>387</v>
      </c>
      <c r="G50" s="71" t="s">
        <v>102</v>
      </c>
      <c r="H50" s="45" t="s">
        <v>385</v>
      </c>
      <c r="I50" s="46" t="s">
        <v>27</v>
      </c>
      <c r="J50" s="47">
        <v>0.7</v>
      </c>
      <c r="K50" s="55" t="s">
        <v>145</v>
      </c>
      <c r="L50" s="63" t="s">
        <v>314</v>
      </c>
      <c r="M50" s="55" t="s">
        <v>315</v>
      </c>
      <c r="N50" s="52" t="s">
        <v>196</v>
      </c>
      <c r="O50" s="47">
        <v>0.1</v>
      </c>
      <c r="P50" s="54"/>
      <c r="Q50" s="47">
        <f t="shared" si="6"/>
        <v>0</v>
      </c>
      <c r="R50" s="49">
        <f t="shared" si="1"/>
        <v>0</v>
      </c>
      <c r="S50" s="47" t="s">
        <v>36</v>
      </c>
      <c r="T50" s="47"/>
      <c r="U50" s="17"/>
      <c r="V50" s="17"/>
      <c r="W50" s="17"/>
      <c r="X50" s="17"/>
      <c r="Y50" s="17"/>
      <c r="Z50" s="17"/>
      <c r="AA50" s="17"/>
      <c r="AB50" s="17"/>
      <c r="AC50" s="17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9" customFormat="1" ht="21.6" x14ac:dyDescent="0.2">
      <c r="A51" s="41">
        <v>2074</v>
      </c>
      <c r="B51" s="42" t="s">
        <v>20</v>
      </c>
      <c r="C51" s="43" t="s">
        <v>21</v>
      </c>
      <c r="D51" s="66">
        <v>5334</v>
      </c>
      <c r="E51" s="71" t="s">
        <v>390</v>
      </c>
      <c r="F51" s="72" t="s">
        <v>387</v>
      </c>
      <c r="G51" s="71" t="s">
        <v>102</v>
      </c>
      <c r="H51" s="45" t="s">
        <v>385</v>
      </c>
      <c r="I51" s="46" t="s">
        <v>27</v>
      </c>
      <c r="J51" s="47">
        <v>0.7</v>
      </c>
      <c r="K51" s="55" t="s">
        <v>84</v>
      </c>
      <c r="L51" s="63" t="s">
        <v>316</v>
      </c>
      <c r="M51" s="55" t="s">
        <v>317</v>
      </c>
      <c r="N51" s="55" t="s">
        <v>196</v>
      </c>
      <c r="O51" s="47">
        <v>0.1</v>
      </c>
      <c r="P51" s="56"/>
      <c r="Q51" s="47">
        <f t="shared" si="6"/>
        <v>0</v>
      </c>
      <c r="R51" s="49">
        <f t="shared" si="1"/>
        <v>0</v>
      </c>
      <c r="S51" s="47" t="s">
        <v>36</v>
      </c>
      <c r="T51" s="47"/>
      <c r="U51" s="17"/>
      <c r="V51" s="17"/>
      <c r="W51" s="17"/>
      <c r="X51" s="17"/>
      <c r="Y51" s="17"/>
      <c r="Z51" s="17"/>
      <c r="AA51" s="17"/>
      <c r="AB51" s="17"/>
      <c r="AC51" s="17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</row>
    <row r="52" spans="1:48" s="19" customFormat="1" ht="21.6" x14ac:dyDescent="0.2">
      <c r="A52" s="41">
        <v>2075</v>
      </c>
      <c r="B52" s="42" t="s">
        <v>20</v>
      </c>
      <c r="C52" s="43" t="s">
        <v>21</v>
      </c>
      <c r="D52" s="66">
        <v>5334</v>
      </c>
      <c r="E52" s="71" t="s">
        <v>390</v>
      </c>
      <c r="F52" s="72" t="s">
        <v>387</v>
      </c>
      <c r="G52" s="71" t="s">
        <v>102</v>
      </c>
      <c r="H52" s="45" t="s">
        <v>385</v>
      </c>
      <c r="I52" s="57" t="s">
        <v>27</v>
      </c>
      <c r="J52" s="47">
        <v>0.7</v>
      </c>
      <c r="K52" s="57" t="s">
        <v>318</v>
      </c>
      <c r="L52" s="64" t="s">
        <v>319</v>
      </c>
      <c r="M52" s="57" t="s">
        <v>320</v>
      </c>
      <c r="N52" s="59" t="s">
        <v>127</v>
      </c>
      <c r="O52" s="60">
        <v>0.1</v>
      </c>
      <c r="P52" s="56"/>
      <c r="Q52" s="60">
        <f t="shared" si="6"/>
        <v>0</v>
      </c>
      <c r="R52" s="61">
        <f t="shared" si="1"/>
        <v>0</v>
      </c>
      <c r="S52" s="60" t="s">
        <v>31</v>
      </c>
      <c r="T52" s="60"/>
      <c r="U52" s="17"/>
      <c r="V52" s="17"/>
      <c r="W52" s="17"/>
      <c r="X52" s="17"/>
      <c r="Y52" s="17"/>
      <c r="Z52" s="17"/>
      <c r="AA52" s="17"/>
      <c r="AB52" s="17"/>
      <c r="AC52" s="17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</row>
    <row r="53" spans="1:48" s="19" customFormat="1" ht="21.6" x14ac:dyDescent="0.2">
      <c r="A53" s="41">
        <v>2076</v>
      </c>
      <c r="B53" s="42" t="s">
        <v>20</v>
      </c>
      <c r="C53" s="43" t="s">
        <v>21</v>
      </c>
      <c r="D53" s="66">
        <v>5334</v>
      </c>
      <c r="E53" s="71" t="s">
        <v>390</v>
      </c>
      <c r="F53" s="72" t="s">
        <v>387</v>
      </c>
      <c r="G53" s="71" t="s">
        <v>102</v>
      </c>
      <c r="H53" s="45" t="s">
        <v>385</v>
      </c>
      <c r="I53" s="57" t="s">
        <v>27</v>
      </c>
      <c r="J53" s="47">
        <v>0.7</v>
      </c>
      <c r="K53" s="57" t="s">
        <v>321</v>
      </c>
      <c r="L53" s="64" t="s">
        <v>322</v>
      </c>
      <c r="M53" s="57" t="s">
        <v>323</v>
      </c>
      <c r="N53" s="59" t="s">
        <v>156</v>
      </c>
      <c r="O53" s="60">
        <v>0.1</v>
      </c>
      <c r="P53" s="56"/>
      <c r="Q53" s="60">
        <f t="shared" si="6"/>
        <v>0</v>
      </c>
      <c r="R53" s="61">
        <f t="shared" si="1"/>
        <v>0</v>
      </c>
      <c r="S53" s="60" t="s">
        <v>31</v>
      </c>
      <c r="T53" s="60"/>
      <c r="U53" s="17"/>
      <c r="V53" s="17"/>
      <c r="W53" s="17"/>
      <c r="X53" s="17"/>
      <c r="Y53" s="17"/>
      <c r="Z53" s="17"/>
      <c r="AA53" s="17"/>
      <c r="AB53" s="17"/>
      <c r="AC53" s="17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</row>
    <row r="54" spans="1:48" s="19" customFormat="1" ht="21.6" x14ac:dyDescent="0.2">
      <c r="A54" s="41">
        <v>2077</v>
      </c>
      <c r="B54" s="42" t="s">
        <v>20</v>
      </c>
      <c r="C54" s="43" t="s">
        <v>21</v>
      </c>
      <c r="D54" s="66">
        <v>5334</v>
      </c>
      <c r="E54" s="71" t="s">
        <v>390</v>
      </c>
      <c r="F54" s="72" t="s">
        <v>387</v>
      </c>
      <c r="G54" s="71" t="s">
        <v>102</v>
      </c>
      <c r="H54" s="45" t="s">
        <v>385</v>
      </c>
      <c r="I54" s="57" t="s">
        <v>27</v>
      </c>
      <c r="J54" s="47">
        <v>0.7</v>
      </c>
      <c r="K54" s="57" t="s">
        <v>324</v>
      </c>
      <c r="L54" s="64" t="s">
        <v>325</v>
      </c>
      <c r="M54" s="25" t="s">
        <v>326</v>
      </c>
      <c r="N54" s="62" t="s">
        <v>127</v>
      </c>
      <c r="O54" s="60">
        <v>0.1</v>
      </c>
      <c r="P54" s="62"/>
      <c r="Q54" s="60">
        <f t="shared" si="6"/>
        <v>0</v>
      </c>
      <c r="R54" s="61">
        <f t="shared" si="1"/>
        <v>0</v>
      </c>
      <c r="S54" s="60" t="s">
        <v>31</v>
      </c>
      <c r="T54" s="60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</row>
    <row r="55" spans="1:48" s="19" customFormat="1" ht="21.6" x14ac:dyDescent="0.2">
      <c r="A55" s="41">
        <v>2078</v>
      </c>
      <c r="B55" s="42" t="s">
        <v>20</v>
      </c>
      <c r="C55" s="43" t="s">
        <v>21</v>
      </c>
      <c r="D55" s="66">
        <v>5334</v>
      </c>
      <c r="E55" s="71" t="s">
        <v>390</v>
      </c>
      <c r="F55" s="72" t="s">
        <v>387</v>
      </c>
      <c r="G55" s="71" t="s">
        <v>102</v>
      </c>
      <c r="H55" s="45" t="s">
        <v>385</v>
      </c>
      <c r="I55" s="57" t="s">
        <v>59</v>
      </c>
      <c r="J55" s="58">
        <v>0.3</v>
      </c>
      <c r="K55" s="57" t="s">
        <v>327</v>
      </c>
      <c r="L55" s="64" t="s">
        <v>328</v>
      </c>
      <c r="M55" s="25" t="s">
        <v>329</v>
      </c>
      <c r="N55" s="62" t="s">
        <v>330</v>
      </c>
      <c r="O55" s="60">
        <v>0.1</v>
      </c>
      <c r="P55" s="62"/>
      <c r="Q55" s="60">
        <f t="shared" si="6"/>
        <v>0</v>
      </c>
      <c r="R55" s="61">
        <f t="shared" si="1"/>
        <v>0</v>
      </c>
      <c r="S55" s="60" t="s">
        <v>31</v>
      </c>
      <c r="T55" s="60"/>
      <c r="U55" s="17"/>
      <c r="V55" s="17"/>
      <c r="W55" s="17"/>
      <c r="X55" s="17"/>
      <c r="Y55" s="17"/>
      <c r="Z55" s="17"/>
      <c r="AA55" s="17"/>
      <c r="AB55" s="17"/>
      <c r="AC55" s="17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</row>
    <row r="56" spans="1:48" s="19" customFormat="1" ht="21.6" x14ac:dyDescent="0.2">
      <c r="A56" s="41">
        <v>2070</v>
      </c>
      <c r="B56" s="42" t="s">
        <v>20</v>
      </c>
      <c r="C56" s="43" t="s">
        <v>21</v>
      </c>
      <c r="D56" s="66">
        <v>5426</v>
      </c>
      <c r="E56" s="71" t="s">
        <v>391</v>
      </c>
      <c r="F56" s="72" t="s">
        <v>303</v>
      </c>
      <c r="G56" s="71" t="s">
        <v>102</v>
      </c>
      <c r="H56" s="45" t="s">
        <v>385</v>
      </c>
      <c r="I56" s="46" t="s">
        <v>27</v>
      </c>
      <c r="J56" s="47">
        <v>0.7</v>
      </c>
      <c r="K56" s="55" t="s">
        <v>66</v>
      </c>
      <c r="L56" s="63" t="s">
        <v>305</v>
      </c>
      <c r="M56" s="13" t="s">
        <v>306</v>
      </c>
      <c r="N56" s="51" t="s">
        <v>112</v>
      </c>
      <c r="O56" s="47">
        <v>0.15</v>
      </c>
      <c r="P56" s="47"/>
      <c r="Q56" s="47">
        <f t="shared" si="6"/>
        <v>0</v>
      </c>
      <c r="R56" s="49">
        <f t="shared" si="1"/>
        <v>0</v>
      </c>
      <c r="S56" s="47" t="s">
        <v>31</v>
      </c>
      <c r="T56" s="50">
        <f>SUM(R56:R64)%</f>
        <v>0</v>
      </c>
      <c r="U56" s="17"/>
      <c r="V56" s="17"/>
      <c r="W56" s="17"/>
      <c r="X56" s="17"/>
      <c r="Y56" s="17"/>
      <c r="Z56" s="17"/>
      <c r="AA56" s="17"/>
      <c r="AB56" s="17"/>
      <c r="AC56" s="17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</row>
    <row r="57" spans="1:48" s="19" customFormat="1" ht="21.6" x14ac:dyDescent="0.2">
      <c r="A57" s="41">
        <v>2071</v>
      </c>
      <c r="B57" s="42" t="s">
        <v>20</v>
      </c>
      <c r="C57" s="43" t="s">
        <v>21</v>
      </c>
      <c r="D57" s="66">
        <v>5426</v>
      </c>
      <c r="E57" s="71" t="s">
        <v>391</v>
      </c>
      <c r="F57" s="72" t="s">
        <v>303</v>
      </c>
      <c r="G57" s="71" t="s">
        <v>102</v>
      </c>
      <c r="H57" s="45" t="s">
        <v>385</v>
      </c>
      <c r="I57" s="46" t="s">
        <v>27</v>
      </c>
      <c r="J57" s="47">
        <v>0.7</v>
      </c>
      <c r="K57" s="55" t="s">
        <v>307</v>
      </c>
      <c r="L57" s="63" t="s">
        <v>308</v>
      </c>
      <c r="M57" s="55" t="s">
        <v>309</v>
      </c>
      <c r="N57" s="51" t="s">
        <v>310</v>
      </c>
      <c r="O57" s="47">
        <v>0.15</v>
      </c>
      <c r="P57" s="52"/>
      <c r="Q57" s="47">
        <f>ROUND(IF(OR(N57="",P57=""),0,IF(AND(N57=0,P57=0),1,IF(S57="+",P57/N57,N57/P57))),2)</f>
        <v>0</v>
      </c>
      <c r="R57" s="49">
        <f t="shared" si="1"/>
        <v>0</v>
      </c>
      <c r="S57" s="47" t="s">
        <v>36</v>
      </c>
      <c r="T57" s="47"/>
      <c r="U57" s="17"/>
      <c r="V57" s="17"/>
      <c r="W57" s="17"/>
      <c r="X57" s="17"/>
      <c r="Y57" s="17"/>
      <c r="Z57" s="17"/>
      <c r="AA57" s="17"/>
      <c r="AB57" s="17"/>
      <c r="AC57" s="17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</row>
    <row r="58" spans="1:48" s="19" customFormat="1" ht="21.6" x14ac:dyDescent="0.2">
      <c r="A58" s="41">
        <v>2072</v>
      </c>
      <c r="B58" s="42" t="s">
        <v>20</v>
      </c>
      <c r="C58" s="43" t="s">
        <v>21</v>
      </c>
      <c r="D58" s="66">
        <v>5426</v>
      </c>
      <c r="E58" s="71" t="s">
        <v>391</v>
      </c>
      <c r="F58" s="72" t="s">
        <v>303</v>
      </c>
      <c r="G58" s="71" t="s">
        <v>102</v>
      </c>
      <c r="H58" s="45" t="s">
        <v>385</v>
      </c>
      <c r="I58" s="46" t="s">
        <v>27</v>
      </c>
      <c r="J58" s="47">
        <v>0.7</v>
      </c>
      <c r="K58" s="55" t="s">
        <v>311</v>
      </c>
      <c r="L58" s="63" t="s">
        <v>312</v>
      </c>
      <c r="M58" s="55" t="s">
        <v>313</v>
      </c>
      <c r="N58" s="47">
        <v>1</v>
      </c>
      <c r="O58" s="47">
        <v>0.1</v>
      </c>
      <c r="P58" s="52"/>
      <c r="Q58" s="47">
        <f t="shared" ref="Q58:Q65" si="7">ROUND(IF(OR(N58="",P58=""),0,IF(AND(N58=0,P58=0),1,IF(S58="+",P58/N58,N58/P58))),2)</f>
        <v>0</v>
      </c>
      <c r="R58" s="49">
        <f t="shared" si="1"/>
        <v>0</v>
      </c>
      <c r="S58" s="47" t="s">
        <v>31</v>
      </c>
      <c r="T58" s="47"/>
      <c r="U58" s="17"/>
      <c r="V58" s="17"/>
      <c r="W58" s="17"/>
      <c r="X58" s="17"/>
      <c r="Y58" s="17"/>
      <c r="Z58" s="17"/>
      <c r="AA58" s="17"/>
      <c r="AB58" s="17"/>
      <c r="AC58" s="17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</row>
    <row r="59" spans="1:48" s="19" customFormat="1" ht="21.6" x14ac:dyDescent="0.2">
      <c r="A59" s="41">
        <v>2073</v>
      </c>
      <c r="B59" s="42" t="s">
        <v>20</v>
      </c>
      <c r="C59" s="43" t="s">
        <v>21</v>
      </c>
      <c r="D59" s="66">
        <v>5426</v>
      </c>
      <c r="E59" s="71" t="s">
        <v>391</v>
      </c>
      <c r="F59" s="72" t="s">
        <v>303</v>
      </c>
      <c r="G59" s="71" t="s">
        <v>102</v>
      </c>
      <c r="H59" s="45" t="s">
        <v>385</v>
      </c>
      <c r="I59" s="46" t="s">
        <v>27</v>
      </c>
      <c r="J59" s="47">
        <v>0.7</v>
      </c>
      <c r="K59" s="55" t="s">
        <v>145</v>
      </c>
      <c r="L59" s="63" t="s">
        <v>314</v>
      </c>
      <c r="M59" s="55" t="s">
        <v>315</v>
      </c>
      <c r="N59" s="52" t="s">
        <v>196</v>
      </c>
      <c r="O59" s="47">
        <v>0.1</v>
      </c>
      <c r="P59" s="54"/>
      <c r="Q59" s="47">
        <f t="shared" si="7"/>
        <v>0</v>
      </c>
      <c r="R59" s="49">
        <f t="shared" si="1"/>
        <v>0</v>
      </c>
      <c r="S59" s="47" t="s">
        <v>36</v>
      </c>
      <c r="T59" s="47"/>
      <c r="U59" s="17"/>
      <c r="V59" s="17"/>
      <c r="W59" s="17"/>
      <c r="X59" s="17"/>
      <c r="Y59" s="17"/>
      <c r="Z59" s="17"/>
      <c r="AA59" s="17"/>
      <c r="AB59" s="17"/>
      <c r="AC59" s="17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</row>
    <row r="60" spans="1:48" s="19" customFormat="1" ht="21.6" x14ac:dyDescent="0.2">
      <c r="A60" s="41">
        <v>2074</v>
      </c>
      <c r="B60" s="42" t="s">
        <v>20</v>
      </c>
      <c r="C60" s="43" t="s">
        <v>21</v>
      </c>
      <c r="D60" s="66">
        <v>5426</v>
      </c>
      <c r="E60" s="71" t="s">
        <v>391</v>
      </c>
      <c r="F60" s="72" t="s">
        <v>303</v>
      </c>
      <c r="G60" s="71" t="s">
        <v>102</v>
      </c>
      <c r="H60" s="45" t="s">
        <v>385</v>
      </c>
      <c r="I60" s="46" t="s">
        <v>27</v>
      </c>
      <c r="J60" s="47">
        <v>0.7</v>
      </c>
      <c r="K60" s="55" t="s">
        <v>84</v>
      </c>
      <c r="L60" s="63" t="s">
        <v>316</v>
      </c>
      <c r="M60" s="55" t="s">
        <v>317</v>
      </c>
      <c r="N60" s="55" t="s">
        <v>196</v>
      </c>
      <c r="O60" s="47">
        <v>0.1</v>
      </c>
      <c r="P60" s="56"/>
      <c r="Q60" s="47">
        <f t="shared" si="7"/>
        <v>0</v>
      </c>
      <c r="R60" s="49">
        <f t="shared" si="1"/>
        <v>0</v>
      </c>
      <c r="S60" s="47" t="s">
        <v>36</v>
      </c>
      <c r="T60" s="47"/>
      <c r="U60" s="17"/>
      <c r="V60" s="17"/>
      <c r="W60" s="17"/>
      <c r="X60" s="17"/>
      <c r="Y60" s="17"/>
      <c r="Z60" s="17"/>
      <c r="AA60" s="17"/>
      <c r="AB60" s="17"/>
      <c r="AC60" s="17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</row>
    <row r="61" spans="1:48" s="19" customFormat="1" ht="21.6" x14ac:dyDescent="0.2">
      <c r="A61" s="41">
        <v>2075</v>
      </c>
      <c r="B61" s="42" t="s">
        <v>20</v>
      </c>
      <c r="C61" s="43" t="s">
        <v>21</v>
      </c>
      <c r="D61" s="66">
        <v>5426</v>
      </c>
      <c r="E61" s="71" t="s">
        <v>391</v>
      </c>
      <c r="F61" s="72" t="s">
        <v>303</v>
      </c>
      <c r="G61" s="71" t="s">
        <v>102</v>
      </c>
      <c r="H61" s="45" t="s">
        <v>385</v>
      </c>
      <c r="I61" s="57" t="s">
        <v>27</v>
      </c>
      <c r="J61" s="47">
        <v>0.7</v>
      </c>
      <c r="K61" s="57" t="s">
        <v>318</v>
      </c>
      <c r="L61" s="64" t="s">
        <v>319</v>
      </c>
      <c r="M61" s="57" t="s">
        <v>320</v>
      </c>
      <c r="N61" s="59" t="s">
        <v>127</v>
      </c>
      <c r="O61" s="60">
        <v>0.1</v>
      </c>
      <c r="P61" s="56"/>
      <c r="Q61" s="60">
        <f t="shared" si="7"/>
        <v>0</v>
      </c>
      <c r="R61" s="61">
        <f t="shared" si="1"/>
        <v>0</v>
      </c>
      <c r="S61" s="60" t="s">
        <v>31</v>
      </c>
      <c r="T61" s="60"/>
      <c r="U61" s="17"/>
      <c r="V61" s="17"/>
      <c r="W61" s="17"/>
      <c r="X61" s="17"/>
      <c r="Y61" s="17"/>
      <c r="Z61" s="17"/>
      <c r="AA61" s="17"/>
      <c r="AB61" s="17"/>
      <c r="AC61" s="17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</row>
    <row r="62" spans="1:48" s="19" customFormat="1" ht="21.6" x14ac:dyDescent="0.2">
      <c r="A62" s="41">
        <v>2076</v>
      </c>
      <c r="B62" s="42" t="s">
        <v>20</v>
      </c>
      <c r="C62" s="43" t="s">
        <v>21</v>
      </c>
      <c r="D62" s="66">
        <v>5426</v>
      </c>
      <c r="E62" s="71" t="s">
        <v>391</v>
      </c>
      <c r="F62" s="72" t="s">
        <v>303</v>
      </c>
      <c r="G62" s="71" t="s">
        <v>102</v>
      </c>
      <c r="H62" s="45" t="s">
        <v>385</v>
      </c>
      <c r="I62" s="57" t="s">
        <v>27</v>
      </c>
      <c r="J62" s="47">
        <v>0.7</v>
      </c>
      <c r="K62" s="57" t="s">
        <v>321</v>
      </c>
      <c r="L62" s="64" t="s">
        <v>322</v>
      </c>
      <c r="M62" s="57" t="s">
        <v>323</v>
      </c>
      <c r="N62" s="59" t="s">
        <v>156</v>
      </c>
      <c r="O62" s="60">
        <v>0.1</v>
      </c>
      <c r="P62" s="56"/>
      <c r="Q62" s="60">
        <f t="shared" si="7"/>
        <v>0</v>
      </c>
      <c r="R62" s="61">
        <f t="shared" si="1"/>
        <v>0</v>
      </c>
      <c r="S62" s="60" t="s">
        <v>31</v>
      </c>
      <c r="T62" s="60"/>
      <c r="U62" s="17"/>
      <c r="V62" s="17"/>
      <c r="W62" s="17"/>
      <c r="X62" s="17"/>
      <c r="Y62" s="17"/>
      <c r="Z62" s="17"/>
      <c r="AA62" s="17"/>
      <c r="AB62" s="17"/>
      <c r="AC62" s="17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</row>
    <row r="63" spans="1:48" s="19" customFormat="1" ht="21.6" x14ac:dyDescent="0.2">
      <c r="A63" s="41">
        <v>2077</v>
      </c>
      <c r="B63" s="42" t="s">
        <v>20</v>
      </c>
      <c r="C63" s="43" t="s">
        <v>21</v>
      </c>
      <c r="D63" s="66">
        <v>5426</v>
      </c>
      <c r="E63" s="71" t="s">
        <v>391</v>
      </c>
      <c r="F63" s="72" t="s">
        <v>303</v>
      </c>
      <c r="G63" s="71" t="s">
        <v>102</v>
      </c>
      <c r="H63" s="45" t="s">
        <v>385</v>
      </c>
      <c r="I63" s="57" t="s">
        <v>27</v>
      </c>
      <c r="J63" s="47">
        <v>0.7</v>
      </c>
      <c r="K63" s="57" t="s">
        <v>324</v>
      </c>
      <c r="L63" s="64" t="s">
        <v>325</v>
      </c>
      <c r="M63" s="25" t="s">
        <v>326</v>
      </c>
      <c r="N63" s="62" t="s">
        <v>127</v>
      </c>
      <c r="O63" s="60">
        <v>0.1</v>
      </c>
      <c r="P63" s="62"/>
      <c r="Q63" s="60">
        <f t="shared" si="7"/>
        <v>0</v>
      </c>
      <c r="R63" s="61">
        <f t="shared" si="1"/>
        <v>0</v>
      </c>
      <c r="S63" s="60" t="s">
        <v>31</v>
      </c>
      <c r="T63" s="60"/>
      <c r="U63" s="17"/>
      <c r="V63" s="17"/>
      <c r="W63" s="17"/>
      <c r="X63" s="17"/>
      <c r="Y63" s="17"/>
      <c r="Z63" s="17"/>
      <c r="AA63" s="17"/>
      <c r="AB63" s="17"/>
      <c r="AC63" s="17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</row>
    <row r="64" spans="1:48" s="19" customFormat="1" ht="21.6" x14ac:dyDescent="0.2">
      <c r="A64" s="41">
        <v>2078</v>
      </c>
      <c r="B64" s="42" t="s">
        <v>20</v>
      </c>
      <c r="C64" s="43" t="s">
        <v>21</v>
      </c>
      <c r="D64" s="66">
        <v>5426</v>
      </c>
      <c r="E64" s="71" t="s">
        <v>391</v>
      </c>
      <c r="F64" s="72" t="s">
        <v>303</v>
      </c>
      <c r="G64" s="71" t="s">
        <v>102</v>
      </c>
      <c r="H64" s="45" t="s">
        <v>385</v>
      </c>
      <c r="I64" s="57" t="s">
        <v>59</v>
      </c>
      <c r="J64" s="58">
        <v>0.3</v>
      </c>
      <c r="K64" s="57" t="s">
        <v>327</v>
      </c>
      <c r="L64" s="64" t="s">
        <v>328</v>
      </c>
      <c r="M64" s="25" t="s">
        <v>329</v>
      </c>
      <c r="N64" s="62" t="s">
        <v>330</v>
      </c>
      <c r="O64" s="60">
        <v>0.1</v>
      </c>
      <c r="P64" s="62"/>
      <c r="Q64" s="60">
        <f t="shared" si="7"/>
        <v>0</v>
      </c>
      <c r="R64" s="61">
        <f t="shared" si="1"/>
        <v>0</v>
      </c>
      <c r="S64" s="60" t="s">
        <v>31</v>
      </c>
      <c r="T64" s="60"/>
      <c r="U64" s="17"/>
      <c r="V64" s="17"/>
      <c r="W64" s="17"/>
      <c r="X64" s="17"/>
      <c r="Y64" s="17"/>
      <c r="Z64" s="17"/>
      <c r="AA64" s="17"/>
      <c r="AB64" s="17"/>
      <c r="AC64" s="17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</row>
    <row r="65" spans="1:48" s="19" customFormat="1" ht="21.6" x14ac:dyDescent="0.2">
      <c r="A65" s="41">
        <v>2070</v>
      </c>
      <c r="B65" s="42" t="s">
        <v>20</v>
      </c>
      <c r="C65" s="43" t="s">
        <v>21</v>
      </c>
      <c r="D65" s="66">
        <v>5439</v>
      </c>
      <c r="E65" s="71" t="s">
        <v>392</v>
      </c>
      <c r="F65" s="72" t="s">
        <v>335</v>
      </c>
      <c r="G65" s="71" t="s">
        <v>102</v>
      </c>
      <c r="H65" s="45" t="s">
        <v>385</v>
      </c>
      <c r="I65" s="46" t="s">
        <v>27</v>
      </c>
      <c r="J65" s="47">
        <v>0.7</v>
      </c>
      <c r="K65" s="55" t="s">
        <v>66</v>
      </c>
      <c r="L65" s="63" t="s">
        <v>305</v>
      </c>
      <c r="M65" s="13" t="s">
        <v>306</v>
      </c>
      <c r="N65" s="51" t="s">
        <v>112</v>
      </c>
      <c r="O65" s="47">
        <v>0.15</v>
      </c>
      <c r="P65" s="47"/>
      <c r="Q65" s="47">
        <f t="shared" si="7"/>
        <v>0</v>
      </c>
      <c r="R65" s="49">
        <f t="shared" si="1"/>
        <v>0</v>
      </c>
      <c r="S65" s="47" t="s">
        <v>31</v>
      </c>
      <c r="T65" s="50">
        <f>SUM(R65:R73)%</f>
        <v>0</v>
      </c>
      <c r="U65" s="17"/>
      <c r="V65" s="17"/>
      <c r="W65" s="17"/>
      <c r="X65" s="17"/>
      <c r="Y65" s="17"/>
      <c r="Z65" s="17"/>
      <c r="AA65" s="17"/>
      <c r="AB65" s="17"/>
      <c r="AC65" s="17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</row>
    <row r="66" spans="1:48" s="19" customFormat="1" ht="21.6" x14ac:dyDescent="0.2">
      <c r="A66" s="41">
        <v>2071</v>
      </c>
      <c r="B66" s="42" t="s">
        <v>20</v>
      </c>
      <c r="C66" s="43" t="s">
        <v>21</v>
      </c>
      <c r="D66" s="66">
        <v>5439</v>
      </c>
      <c r="E66" s="71" t="s">
        <v>392</v>
      </c>
      <c r="F66" s="72" t="s">
        <v>335</v>
      </c>
      <c r="G66" s="71" t="s">
        <v>102</v>
      </c>
      <c r="H66" s="45" t="s">
        <v>385</v>
      </c>
      <c r="I66" s="46" t="s">
        <v>27</v>
      </c>
      <c r="J66" s="47">
        <v>0.7</v>
      </c>
      <c r="K66" s="55" t="s">
        <v>307</v>
      </c>
      <c r="L66" s="63" t="s">
        <v>308</v>
      </c>
      <c r="M66" s="55" t="s">
        <v>309</v>
      </c>
      <c r="N66" s="51" t="s">
        <v>310</v>
      </c>
      <c r="O66" s="47">
        <v>0.15</v>
      </c>
      <c r="P66" s="52"/>
      <c r="Q66" s="47">
        <f>ROUND(IF(OR(N66="",P66=""),0,IF(AND(N66=0,P66=0),1,IF(S66="+",P66/N66,N66/P66))),2)</f>
        <v>0</v>
      </c>
      <c r="R66" s="49">
        <f t="shared" ref="R66:R129" si="8">IF(AND(Q66&gt;=60%,Q66&lt;100%),Q66*((O66*J66)),IF(Q66=100%,((O66*J66)*Q66)*100%,IF(Q66&gt;100%,((J66*O66)*100%)*100%,0)))*100</f>
        <v>0</v>
      </c>
      <c r="S66" s="47" t="s">
        <v>36</v>
      </c>
      <c r="T66" s="47"/>
      <c r="U66" s="17"/>
      <c r="V66" s="17"/>
      <c r="W66" s="17"/>
      <c r="X66" s="17"/>
      <c r="Y66" s="17"/>
      <c r="Z66" s="17"/>
      <c r="AA66" s="17"/>
      <c r="AB66" s="17"/>
      <c r="AC66" s="17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</row>
    <row r="67" spans="1:48" s="19" customFormat="1" ht="21.6" x14ac:dyDescent="0.2">
      <c r="A67" s="41">
        <v>2072</v>
      </c>
      <c r="B67" s="42" t="s">
        <v>20</v>
      </c>
      <c r="C67" s="43" t="s">
        <v>21</v>
      </c>
      <c r="D67" s="66">
        <v>5439</v>
      </c>
      <c r="E67" s="71" t="s">
        <v>392</v>
      </c>
      <c r="F67" s="72" t="s">
        <v>335</v>
      </c>
      <c r="G67" s="71" t="s">
        <v>102</v>
      </c>
      <c r="H67" s="45" t="s">
        <v>385</v>
      </c>
      <c r="I67" s="46" t="s">
        <v>27</v>
      </c>
      <c r="J67" s="47">
        <v>0.7</v>
      </c>
      <c r="K67" s="55" t="s">
        <v>311</v>
      </c>
      <c r="L67" s="63" t="s">
        <v>312</v>
      </c>
      <c r="M67" s="55" t="s">
        <v>313</v>
      </c>
      <c r="N67" s="47">
        <v>1</v>
      </c>
      <c r="O67" s="47">
        <v>0.1</v>
      </c>
      <c r="P67" s="52"/>
      <c r="Q67" s="47">
        <f t="shared" ref="Q67:Q74" si="9">ROUND(IF(OR(N67="",P67=""),0,IF(AND(N67=0,P67=0),1,IF(S67="+",P67/N67,N67/P67))),2)</f>
        <v>0</v>
      </c>
      <c r="R67" s="49">
        <f t="shared" si="8"/>
        <v>0</v>
      </c>
      <c r="S67" s="47" t="s">
        <v>31</v>
      </c>
      <c r="T67" s="47"/>
      <c r="U67" s="17"/>
      <c r="V67" s="17"/>
      <c r="W67" s="17"/>
      <c r="X67" s="17"/>
      <c r="Y67" s="17"/>
      <c r="Z67" s="17"/>
      <c r="AA67" s="17"/>
      <c r="AB67" s="17"/>
      <c r="AC67" s="17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</row>
    <row r="68" spans="1:48" s="19" customFormat="1" ht="21.6" x14ac:dyDescent="0.2">
      <c r="A68" s="41">
        <v>2073</v>
      </c>
      <c r="B68" s="42" t="s">
        <v>20</v>
      </c>
      <c r="C68" s="43" t="s">
        <v>21</v>
      </c>
      <c r="D68" s="66">
        <v>5439</v>
      </c>
      <c r="E68" s="71" t="s">
        <v>392</v>
      </c>
      <c r="F68" s="72" t="s">
        <v>335</v>
      </c>
      <c r="G68" s="71" t="s">
        <v>102</v>
      </c>
      <c r="H68" s="45" t="s">
        <v>385</v>
      </c>
      <c r="I68" s="46" t="s">
        <v>27</v>
      </c>
      <c r="J68" s="47">
        <v>0.7</v>
      </c>
      <c r="K68" s="55" t="s">
        <v>145</v>
      </c>
      <c r="L68" s="63" t="s">
        <v>314</v>
      </c>
      <c r="M68" s="55" t="s">
        <v>315</v>
      </c>
      <c r="N68" s="52" t="s">
        <v>196</v>
      </c>
      <c r="O68" s="47">
        <v>0.1</v>
      </c>
      <c r="P68" s="54"/>
      <c r="Q68" s="47">
        <f t="shared" si="9"/>
        <v>0</v>
      </c>
      <c r="R68" s="49">
        <f t="shared" si="8"/>
        <v>0</v>
      </c>
      <c r="S68" s="47" t="s">
        <v>36</v>
      </c>
      <c r="T68" s="47"/>
      <c r="U68" s="17"/>
      <c r="V68" s="17"/>
      <c r="W68" s="17"/>
      <c r="X68" s="17"/>
      <c r="Y68" s="17"/>
      <c r="Z68" s="17"/>
      <c r="AA68" s="17"/>
      <c r="AB68" s="17"/>
      <c r="AC68" s="17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</row>
    <row r="69" spans="1:48" s="19" customFormat="1" ht="21.6" x14ac:dyDescent="0.2">
      <c r="A69" s="41">
        <v>2074</v>
      </c>
      <c r="B69" s="42" t="s">
        <v>20</v>
      </c>
      <c r="C69" s="43" t="s">
        <v>21</v>
      </c>
      <c r="D69" s="66">
        <v>5439</v>
      </c>
      <c r="E69" s="71" t="s">
        <v>392</v>
      </c>
      <c r="F69" s="72" t="s">
        <v>335</v>
      </c>
      <c r="G69" s="71" t="s">
        <v>102</v>
      </c>
      <c r="H69" s="45" t="s">
        <v>385</v>
      </c>
      <c r="I69" s="46" t="s">
        <v>27</v>
      </c>
      <c r="J69" s="47">
        <v>0.7</v>
      </c>
      <c r="K69" s="55" t="s">
        <v>84</v>
      </c>
      <c r="L69" s="63" t="s">
        <v>316</v>
      </c>
      <c r="M69" s="55" t="s">
        <v>317</v>
      </c>
      <c r="N69" s="55" t="s">
        <v>196</v>
      </c>
      <c r="O69" s="47">
        <v>0.1</v>
      </c>
      <c r="P69" s="56"/>
      <c r="Q69" s="47">
        <f t="shared" si="9"/>
        <v>0</v>
      </c>
      <c r="R69" s="49">
        <f t="shared" si="8"/>
        <v>0</v>
      </c>
      <c r="S69" s="47" t="s">
        <v>36</v>
      </c>
      <c r="T69" s="47"/>
      <c r="U69" s="17"/>
      <c r="V69" s="17"/>
      <c r="W69" s="17"/>
      <c r="X69" s="17"/>
      <c r="Y69" s="17"/>
      <c r="Z69" s="17"/>
      <c r="AA69" s="17"/>
      <c r="AB69" s="17"/>
      <c r="AC69" s="17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</row>
    <row r="70" spans="1:48" s="19" customFormat="1" ht="21.6" x14ac:dyDescent="0.2">
      <c r="A70" s="41">
        <v>2075</v>
      </c>
      <c r="B70" s="42" t="s">
        <v>20</v>
      </c>
      <c r="C70" s="43" t="s">
        <v>21</v>
      </c>
      <c r="D70" s="66">
        <v>5439</v>
      </c>
      <c r="E70" s="71" t="s">
        <v>392</v>
      </c>
      <c r="F70" s="72" t="s">
        <v>335</v>
      </c>
      <c r="G70" s="71" t="s">
        <v>102</v>
      </c>
      <c r="H70" s="45" t="s">
        <v>385</v>
      </c>
      <c r="I70" s="57" t="s">
        <v>27</v>
      </c>
      <c r="J70" s="47">
        <v>0.7</v>
      </c>
      <c r="K70" s="57" t="s">
        <v>318</v>
      </c>
      <c r="L70" s="64" t="s">
        <v>319</v>
      </c>
      <c r="M70" s="57" t="s">
        <v>320</v>
      </c>
      <c r="N70" s="59" t="s">
        <v>127</v>
      </c>
      <c r="O70" s="60">
        <v>0.1</v>
      </c>
      <c r="P70" s="56"/>
      <c r="Q70" s="60">
        <f t="shared" si="9"/>
        <v>0</v>
      </c>
      <c r="R70" s="61">
        <f t="shared" si="8"/>
        <v>0</v>
      </c>
      <c r="S70" s="60" t="s">
        <v>31</v>
      </c>
      <c r="T70" s="60"/>
      <c r="U70" s="17"/>
      <c r="V70" s="17"/>
      <c r="W70" s="17"/>
      <c r="X70" s="17"/>
      <c r="Y70" s="17"/>
      <c r="Z70" s="17"/>
      <c r="AA70" s="17"/>
      <c r="AB70" s="17"/>
      <c r="AC70" s="17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</row>
    <row r="71" spans="1:48" s="19" customFormat="1" ht="21.6" x14ac:dyDescent="0.2">
      <c r="A71" s="41">
        <v>2076</v>
      </c>
      <c r="B71" s="42" t="s">
        <v>20</v>
      </c>
      <c r="C71" s="43" t="s">
        <v>21</v>
      </c>
      <c r="D71" s="66">
        <v>5439</v>
      </c>
      <c r="E71" s="71" t="s">
        <v>392</v>
      </c>
      <c r="F71" s="72" t="s">
        <v>335</v>
      </c>
      <c r="G71" s="71" t="s">
        <v>102</v>
      </c>
      <c r="H71" s="45" t="s">
        <v>385</v>
      </c>
      <c r="I71" s="57" t="s">
        <v>27</v>
      </c>
      <c r="J71" s="47">
        <v>0.7</v>
      </c>
      <c r="K71" s="57" t="s">
        <v>321</v>
      </c>
      <c r="L71" s="64" t="s">
        <v>322</v>
      </c>
      <c r="M71" s="57" t="s">
        <v>323</v>
      </c>
      <c r="N71" s="59" t="s">
        <v>156</v>
      </c>
      <c r="O71" s="60">
        <v>0.1</v>
      </c>
      <c r="P71" s="56"/>
      <c r="Q71" s="60">
        <f t="shared" si="9"/>
        <v>0</v>
      </c>
      <c r="R71" s="61">
        <f t="shared" si="8"/>
        <v>0</v>
      </c>
      <c r="S71" s="60" t="s">
        <v>31</v>
      </c>
      <c r="T71" s="60"/>
      <c r="U71" s="17"/>
      <c r="V71" s="17"/>
      <c r="W71" s="17"/>
      <c r="X71" s="17"/>
      <c r="Y71" s="17"/>
      <c r="Z71" s="17"/>
      <c r="AA71" s="17"/>
      <c r="AB71" s="17"/>
      <c r="AC71" s="17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</row>
    <row r="72" spans="1:48" s="19" customFormat="1" ht="21.6" x14ac:dyDescent="0.2">
      <c r="A72" s="41">
        <v>2077</v>
      </c>
      <c r="B72" s="42" t="s">
        <v>20</v>
      </c>
      <c r="C72" s="43" t="s">
        <v>21</v>
      </c>
      <c r="D72" s="66">
        <v>5439</v>
      </c>
      <c r="E72" s="71" t="s">
        <v>392</v>
      </c>
      <c r="F72" s="72" t="s">
        <v>335</v>
      </c>
      <c r="G72" s="71" t="s">
        <v>102</v>
      </c>
      <c r="H72" s="45" t="s">
        <v>385</v>
      </c>
      <c r="I72" s="57" t="s">
        <v>27</v>
      </c>
      <c r="J72" s="47">
        <v>0.7</v>
      </c>
      <c r="K72" s="57" t="s">
        <v>324</v>
      </c>
      <c r="L72" s="64" t="s">
        <v>325</v>
      </c>
      <c r="M72" s="25" t="s">
        <v>326</v>
      </c>
      <c r="N72" s="62" t="s">
        <v>127</v>
      </c>
      <c r="O72" s="60">
        <v>0.1</v>
      </c>
      <c r="P72" s="62"/>
      <c r="Q72" s="60">
        <f t="shared" si="9"/>
        <v>0</v>
      </c>
      <c r="R72" s="61">
        <f t="shared" si="8"/>
        <v>0</v>
      </c>
      <c r="S72" s="60" t="s">
        <v>31</v>
      </c>
      <c r="T72" s="60"/>
      <c r="U72" s="17"/>
      <c r="V72" s="17"/>
      <c r="W72" s="17"/>
      <c r="X72" s="17"/>
      <c r="Y72" s="17"/>
      <c r="Z72" s="17"/>
      <c r="AA72" s="17"/>
      <c r="AB72" s="17"/>
      <c r="AC72" s="17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</row>
    <row r="73" spans="1:48" s="19" customFormat="1" ht="21.6" x14ac:dyDescent="0.2">
      <c r="A73" s="41">
        <v>2078</v>
      </c>
      <c r="B73" s="42" t="s">
        <v>20</v>
      </c>
      <c r="C73" s="43" t="s">
        <v>21</v>
      </c>
      <c r="D73" s="66">
        <v>5439</v>
      </c>
      <c r="E73" s="71" t="s">
        <v>392</v>
      </c>
      <c r="F73" s="72" t="s">
        <v>335</v>
      </c>
      <c r="G73" s="71" t="s">
        <v>102</v>
      </c>
      <c r="H73" s="45" t="s">
        <v>385</v>
      </c>
      <c r="I73" s="57" t="s">
        <v>59</v>
      </c>
      <c r="J73" s="58">
        <v>0.3</v>
      </c>
      <c r="K73" s="57" t="s">
        <v>327</v>
      </c>
      <c r="L73" s="64" t="s">
        <v>328</v>
      </c>
      <c r="M73" s="25" t="s">
        <v>329</v>
      </c>
      <c r="N73" s="62" t="s">
        <v>330</v>
      </c>
      <c r="O73" s="60">
        <v>0.1</v>
      </c>
      <c r="P73" s="62"/>
      <c r="Q73" s="60">
        <f t="shared" si="9"/>
        <v>0</v>
      </c>
      <c r="R73" s="61">
        <f t="shared" si="8"/>
        <v>0</v>
      </c>
      <c r="S73" s="60" t="s">
        <v>31</v>
      </c>
      <c r="T73" s="60"/>
      <c r="U73" s="17"/>
      <c r="V73" s="17"/>
      <c r="W73" s="17"/>
      <c r="X73" s="17"/>
      <c r="Y73" s="17"/>
      <c r="Z73" s="17"/>
      <c r="AA73" s="17"/>
      <c r="AB73" s="17"/>
      <c r="AC73" s="17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</row>
    <row r="74" spans="1:48" s="19" customFormat="1" ht="21.6" x14ac:dyDescent="0.2">
      <c r="A74" s="41">
        <v>2070</v>
      </c>
      <c r="B74" s="42" t="s">
        <v>20</v>
      </c>
      <c r="C74" s="43" t="s">
        <v>21</v>
      </c>
      <c r="D74" s="66">
        <v>5511</v>
      </c>
      <c r="E74" s="71" t="s">
        <v>393</v>
      </c>
      <c r="F74" s="72" t="s">
        <v>303</v>
      </c>
      <c r="G74" s="71" t="s">
        <v>102</v>
      </c>
      <c r="H74" s="45" t="s">
        <v>385</v>
      </c>
      <c r="I74" s="46" t="s">
        <v>27</v>
      </c>
      <c r="J74" s="47">
        <v>0.7</v>
      </c>
      <c r="K74" s="55" t="s">
        <v>66</v>
      </c>
      <c r="L74" s="63" t="s">
        <v>305</v>
      </c>
      <c r="M74" s="13" t="s">
        <v>306</v>
      </c>
      <c r="N74" s="51" t="s">
        <v>112</v>
      </c>
      <c r="O74" s="47">
        <v>0.15</v>
      </c>
      <c r="P74" s="47"/>
      <c r="Q74" s="47">
        <f t="shared" si="9"/>
        <v>0</v>
      </c>
      <c r="R74" s="49">
        <f t="shared" si="8"/>
        <v>0</v>
      </c>
      <c r="S74" s="47" t="s">
        <v>31</v>
      </c>
      <c r="T74" s="50">
        <f>SUM(R74:R82)%</f>
        <v>0</v>
      </c>
      <c r="U74" s="17"/>
      <c r="V74" s="17"/>
      <c r="W74" s="17"/>
      <c r="X74" s="17"/>
      <c r="Y74" s="17"/>
      <c r="Z74" s="17"/>
      <c r="AA74" s="17"/>
      <c r="AB74" s="17"/>
      <c r="AC74" s="17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</row>
    <row r="75" spans="1:48" s="19" customFormat="1" ht="21.6" x14ac:dyDescent="0.2">
      <c r="A75" s="41">
        <v>2071</v>
      </c>
      <c r="B75" s="42" t="s">
        <v>20</v>
      </c>
      <c r="C75" s="43" t="s">
        <v>21</v>
      </c>
      <c r="D75" s="66">
        <v>5511</v>
      </c>
      <c r="E75" s="71" t="s">
        <v>393</v>
      </c>
      <c r="F75" s="72" t="s">
        <v>303</v>
      </c>
      <c r="G75" s="71" t="s">
        <v>102</v>
      </c>
      <c r="H75" s="45" t="s">
        <v>385</v>
      </c>
      <c r="I75" s="46" t="s">
        <v>27</v>
      </c>
      <c r="J75" s="47">
        <v>0.7</v>
      </c>
      <c r="K75" s="55" t="s">
        <v>307</v>
      </c>
      <c r="L75" s="63" t="s">
        <v>308</v>
      </c>
      <c r="M75" s="55" t="s">
        <v>309</v>
      </c>
      <c r="N75" s="51" t="s">
        <v>310</v>
      </c>
      <c r="O75" s="47">
        <v>0.15</v>
      </c>
      <c r="P75" s="52"/>
      <c r="Q75" s="47">
        <f>ROUND(IF(OR(N75="",P75=""),0,IF(AND(N75=0,P75=0),1,IF(S75="+",P75/N75,N75/P75))),2)</f>
        <v>0</v>
      </c>
      <c r="R75" s="49">
        <f t="shared" si="8"/>
        <v>0</v>
      </c>
      <c r="S75" s="47" t="s">
        <v>36</v>
      </c>
      <c r="T75" s="47"/>
      <c r="U75" s="17"/>
      <c r="V75" s="17"/>
      <c r="W75" s="17"/>
      <c r="X75" s="17"/>
      <c r="Y75" s="17"/>
      <c r="Z75" s="17"/>
      <c r="AA75" s="17"/>
      <c r="AB75" s="17"/>
      <c r="AC75" s="17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</row>
    <row r="76" spans="1:48" s="19" customFormat="1" ht="21.6" x14ac:dyDescent="0.2">
      <c r="A76" s="41">
        <v>2072</v>
      </c>
      <c r="B76" s="42" t="s">
        <v>20</v>
      </c>
      <c r="C76" s="43" t="s">
        <v>21</v>
      </c>
      <c r="D76" s="66">
        <v>5511</v>
      </c>
      <c r="E76" s="71" t="s">
        <v>393</v>
      </c>
      <c r="F76" s="72" t="s">
        <v>303</v>
      </c>
      <c r="G76" s="71" t="s">
        <v>102</v>
      </c>
      <c r="H76" s="45" t="s">
        <v>385</v>
      </c>
      <c r="I76" s="46" t="s">
        <v>27</v>
      </c>
      <c r="J76" s="47">
        <v>0.7</v>
      </c>
      <c r="K76" s="55" t="s">
        <v>311</v>
      </c>
      <c r="L76" s="63" t="s">
        <v>312</v>
      </c>
      <c r="M76" s="55" t="s">
        <v>313</v>
      </c>
      <c r="N76" s="47">
        <v>1</v>
      </c>
      <c r="O76" s="47">
        <v>0.1</v>
      </c>
      <c r="P76" s="52"/>
      <c r="Q76" s="47">
        <f t="shared" ref="Q76:Q83" si="10">ROUND(IF(OR(N76="",P76=""),0,IF(AND(N76=0,P76=0),1,IF(S76="+",P76/N76,N76/P76))),2)</f>
        <v>0</v>
      </c>
      <c r="R76" s="49">
        <f t="shared" si="8"/>
        <v>0</v>
      </c>
      <c r="S76" s="47" t="s">
        <v>31</v>
      </c>
      <c r="T76" s="47"/>
      <c r="U76" s="17"/>
      <c r="V76" s="17"/>
      <c r="W76" s="17"/>
      <c r="X76" s="17"/>
      <c r="Y76" s="17"/>
      <c r="Z76" s="17"/>
      <c r="AA76" s="17"/>
      <c r="AB76" s="17"/>
      <c r="AC76" s="17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</row>
    <row r="77" spans="1:48" s="19" customFormat="1" ht="21.6" x14ac:dyDescent="0.2">
      <c r="A77" s="41">
        <v>2073</v>
      </c>
      <c r="B77" s="42" t="s">
        <v>20</v>
      </c>
      <c r="C77" s="43" t="s">
        <v>21</v>
      </c>
      <c r="D77" s="66">
        <v>5511</v>
      </c>
      <c r="E77" s="71" t="s">
        <v>393</v>
      </c>
      <c r="F77" s="72" t="s">
        <v>303</v>
      </c>
      <c r="G77" s="71" t="s">
        <v>102</v>
      </c>
      <c r="H77" s="45" t="s">
        <v>385</v>
      </c>
      <c r="I77" s="46" t="s">
        <v>27</v>
      </c>
      <c r="J77" s="47">
        <v>0.7</v>
      </c>
      <c r="K77" s="55" t="s">
        <v>145</v>
      </c>
      <c r="L77" s="63" t="s">
        <v>314</v>
      </c>
      <c r="M77" s="55" t="s">
        <v>315</v>
      </c>
      <c r="N77" s="52" t="s">
        <v>196</v>
      </c>
      <c r="O77" s="47">
        <v>0.1</v>
      </c>
      <c r="P77" s="54"/>
      <c r="Q77" s="47">
        <f t="shared" si="10"/>
        <v>0</v>
      </c>
      <c r="R77" s="49">
        <f t="shared" si="8"/>
        <v>0</v>
      </c>
      <c r="S77" s="47" t="s">
        <v>36</v>
      </c>
      <c r="T77" s="47"/>
      <c r="U77" s="17"/>
      <c r="V77" s="17"/>
      <c r="W77" s="17"/>
      <c r="X77" s="17"/>
      <c r="Y77" s="17"/>
      <c r="Z77" s="17"/>
      <c r="AA77" s="17"/>
      <c r="AB77" s="17"/>
      <c r="AC77" s="17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</row>
    <row r="78" spans="1:48" s="19" customFormat="1" ht="21.6" x14ac:dyDescent="0.2">
      <c r="A78" s="41">
        <v>2074</v>
      </c>
      <c r="B78" s="42" t="s">
        <v>20</v>
      </c>
      <c r="C78" s="43" t="s">
        <v>21</v>
      </c>
      <c r="D78" s="66">
        <v>5511</v>
      </c>
      <c r="E78" s="71" t="s">
        <v>393</v>
      </c>
      <c r="F78" s="72" t="s">
        <v>303</v>
      </c>
      <c r="G78" s="71" t="s">
        <v>102</v>
      </c>
      <c r="H78" s="45" t="s">
        <v>385</v>
      </c>
      <c r="I78" s="46" t="s">
        <v>27</v>
      </c>
      <c r="J78" s="47">
        <v>0.7</v>
      </c>
      <c r="K78" s="55" t="s">
        <v>84</v>
      </c>
      <c r="L78" s="63" t="s">
        <v>316</v>
      </c>
      <c r="M78" s="55" t="s">
        <v>317</v>
      </c>
      <c r="N78" s="55" t="s">
        <v>196</v>
      </c>
      <c r="O78" s="47">
        <v>0.1</v>
      </c>
      <c r="P78" s="56"/>
      <c r="Q78" s="47">
        <f t="shared" si="10"/>
        <v>0</v>
      </c>
      <c r="R78" s="49">
        <f t="shared" si="8"/>
        <v>0</v>
      </c>
      <c r="S78" s="47" t="s">
        <v>36</v>
      </c>
      <c r="T78" s="47"/>
      <c r="U78" s="17"/>
      <c r="V78" s="17"/>
      <c r="W78" s="17"/>
      <c r="X78" s="17"/>
      <c r="Y78" s="17"/>
      <c r="Z78" s="17"/>
      <c r="AA78" s="17"/>
      <c r="AB78" s="17"/>
      <c r="AC78" s="17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</row>
    <row r="79" spans="1:48" s="19" customFormat="1" ht="21.6" x14ac:dyDescent="0.2">
      <c r="A79" s="41">
        <v>2075</v>
      </c>
      <c r="B79" s="42" t="s">
        <v>20</v>
      </c>
      <c r="C79" s="43" t="s">
        <v>21</v>
      </c>
      <c r="D79" s="66">
        <v>5511</v>
      </c>
      <c r="E79" s="71" t="s">
        <v>393</v>
      </c>
      <c r="F79" s="72" t="s">
        <v>303</v>
      </c>
      <c r="G79" s="71" t="s">
        <v>102</v>
      </c>
      <c r="H79" s="45" t="s">
        <v>385</v>
      </c>
      <c r="I79" s="57" t="s">
        <v>27</v>
      </c>
      <c r="J79" s="47">
        <v>0.7</v>
      </c>
      <c r="K79" s="57" t="s">
        <v>318</v>
      </c>
      <c r="L79" s="64" t="s">
        <v>319</v>
      </c>
      <c r="M79" s="57" t="s">
        <v>320</v>
      </c>
      <c r="N79" s="59" t="s">
        <v>127</v>
      </c>
      <c r="O79" s="60">
        <v>0.1</v>
      </c>
      <c r="P79" s="56"/>
      <c r="Q79" s="60">
        <f t="shared" si="10"/>
        <v>0</v>
      </c>
      <c r="R79" s="61">
        <f t="shared" si="8"/>
        <v>0</v>
      </c>
      <c r="S79" s="60" t="s">
        <v>31</v>
      </c>
      <c r="T79" s="60"/>
      <c r="U79" s="17"/>
      <c r="V79" s="17"/>
      <c r="W79" s="17"/>
      <c r="X79" s="17"/>
      <c r="Y79" s="17"/>
      <c r="Z79" s="17"/>
      <c r="AA79" s="17"/>
      <c r="AB79" s="17"/>
      <c r="AC79" s="17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</row>
    <row r="80" spans="1:48" s="19" customFormat="1" ht="21.6" x14ac:dyDescent="0.2">
      <c r="A80" s="41">
        <v>2076</v>
      </c>
      <c r="B80" s="42" t="s">
        <v>20</v>
      </c>
      <c r="C80" s="43" t="s">
        <v>21</v>
      </c>
      <c r="D80" s="66">
        <v>5511</v>
      </c>
      <c r="E80" s="71" t="s">
        <v>393</v>
      </c>
      <c r="F80" s="72" t="s">
        <v>303</v>
      </c>
      <c r="G80" s="71" t="s">
        <v>102</v>
      </c>
      <c r="H80" s="45" t="s">
        <v>385</v>
      </c>
      <c r="I80" s="57" t="s">
        <v>27</v>
      </c>
      <c r="J80" s="47">
        <v>0.7</v>
      </c>
      <c r="K80" s="57" t="s">
        <v>321</v>
      </c>
      <c r="L80" s="64" t="s">
        <v>322</v>
      </c>
      <c r="M80" s="57" t="s">
        <v>323</v>
      </c>
      <c r="N80" s="59" t="s">
        <v>156</v>
      </c>
      <c r="O80" s="60">
        <v>0.1</v>
      </c>
      <c r="P80" s="56"/>
      <c r="Q80" s="60">
        <f t="shared" si="10"/>
        <v>0</v>
      </c>
      <c r="R80" s="61">
        <f t="shared" si="8"/>
        <v>0</v>
      </c>
      <c r="S80" s="60" t="s">
        <v>31</v>
      </c>
      <c r="T80" s="60"/>
      <c r="U80" s="17"/>
      <c r="V80" s="17"/>
      <c r="W80" s="17"/>
      <c r="X80" s="17"/>
      <c r="Y80" s="17"/>
      <c r="Z80" s="17"/>
      <c r="AA80" s="17"/>
      <c r="AB80" s="17"/>
      <c r="AC80" s="17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</row>
    <row r="81" spans="1:48" s="19" customFormat="1" ht="21.6" x14ac:dyDescent="0.2">
      <c r="A81" s="41">
        <v>2077</v>
      </c>
      <c r="B81" s="42" t="s">
        <v>20</v>
      </c>
      <c r="C81" s="43" t="s">
        <v>21</v>
      </c>
      <c r="D81" s="66">
        <v>5511</v>
      </c>
      <c r="E81" s="71" t="s">
        <v>393</v>
      </c>
      <c r="F81" s="72" t="s">
        <v>303</v>
      </c>
      <c r="G81" s="71" t="s">
        <v>102</v>
      </c>
      <c r="H81" s="45" t="s">
        <v>385</v>
      </c>
      <c r="I81" s="57" t="s">
        <v>27</v>
      </c>
      <c r="J81" s="47">
        <v>0.7</v>
      </c>
      <c r="K81" s="57" t="s">
        <v>324</v>
      </c>
      <c r="L81" s="64" t="s">
        <v>325</v>
      </c>
      <c r="M81" s="25" t="s">
        <v>326</v>
      </c>
      <c r="N81" s="62" t="s">
        <v>127</v>
      </c>
      <c r="O81" s="60">
        <v>0.1</v>
      </c>
      <c r="P81" s="62"/>
      <c r="Q81" s="60">
        <f t="shared" si="10"/>
        <v>0</v>
      </c>
      <c r="R81" s="61">
        <f t="shared" si="8"/>
        <v>0</v>
      </c>
      <c r="S81" s="60" t="s">
        <v>31</v>
      </c>
      <c r="T81" s="60"/>
      <c r="U81" s="17"/>
      <c r="V81" s="17"/>
      <c r="W81" s="17"/>
      <c r="X81" s="17"/>
      <c r="Y81" s="17"/>
      <c r="Z81" s="17"/>
      <c r="AA81" s="17"/>
      <c r="AB81" s="17"/>
      <c r="AC81" s="17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</row>
    <row r="82" spans="1:48" s="19" customFormat="1" ht="21.6" x14ac:dyDescent="0.2">
      <c r="A82" s="41">
        <v>2078</v>
      </c>
      <c r="B82" s="42" t="s">
        <v>20</v>
      </c>
      <c r="C82" s="43" t="s">
        <v>21</v>
      </c>
      <c r="D82" s="66">
        <v>5511</v>
      </c>
      <c r="E82" s="71" t="s">
        <v>393</v>
      </c>
      <c r="F82" s="72" t="s">
        <v>303</v>
      </c>
      <c r="G82" s="71" t="s">
        <v>102</v>
      </c>
      <c r="H82" s="45" t="s">
        <v>385</v>
      </c>
      <c r="I82" s="57" t="s">
        <v>59</v>
      </c>
      <c r="J82" s="58">
        <v>0.3</v>
      </c>
      <c r="K82" s="57" t="s">
        <v>327</v>
      </c>
      <c r="L82" s="64" t="s">
        <v>328</v>
      </c>
      <c r="M82" s="25" t="s">
        <v>329</v>
      </c>
      <c r="N82" s="62" t="s">
        <v>330</v>
      </c>
      <c r="O82" s="60">
        <v>0.1</v>
      </c>
      <c r="P82" s="62"/>
      <c r="Q82" s="60">
        <f t="shared" si="10"/>
        <v>0</v>
      </c>
      <c r="R82" s="61">
        <f t="shared" si="8"/>
        <v>0</v>
      </c>
      <c r="S82" s="60" t="s">
        <v>31</v>
      </c>
      <c r="T82" s="60"/>
      <c r="U82" s="17"/>
      <c r="V82" s="17"/>
      <c r="W82" s="17"/>
      <c r="X82" s="17"/>
      <c r="Y82" s="17"/>
      <c r="Z82" s="17"/>
      <c r="AA82" s="17"/>
      <c r="AB82" s="17"/>
      <c r="AC82" s="17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</row>
    <row r="83" spans="1:48" s="19" customFormat="1" ht="21.6" x14ac:dyDescent="0.2">
      <c r="A83" s="41">
        <v>2070</v>
      </c>
      <c r="B83" s="42" t="s">
        <v>20</v>
      </c>
      <c r="C83" s="43" t="s">
        <v>21</v>
      </c>
      <c r="D83" s="66">
        <v>5536</v>
      </c>
      <c r="E83" s="71" t="s">
        <v>394</v>
      </c>
      <c r="F83" s="72" t="s">
        <v>303</v>
      </c>
      <c r="G83" s="71" t="s">
        <v>102</v>
      </c>
      <c r="H83" s="45" t="s">
        <v>385</v>
      </c>
      <c r="I83" s="46" t="s">
        <v>27</v>
      </c>
      <c r="J83" s="47">
        <v>0.7</v>
      </c>
      <c r="K83" s="55" t="s">
        <v>66</v>
      </c>
      <c r="L83" s="63" t="s">
        <v>305</v>
      </c>
      <c r="M83" s="13" t="s">
        <v>306</v>
      </c>
      <c r="N83" s="51" t="s">
        <v>112</v>
      </c>
      <c r="O83" s="47">
        <v>0.15</v>
      </c>
      <c r="P83" s="47"/>
      <c r="Q83" s="47">
        <f t="shared" si="10"/>
        <v>0</v>
      </c>
      <c r="R83" s="49">
        <f t="shared" si="8"/>
        <v>0</v>
      </c>
      <c r="S83" s="47" t="s">
        <v>31</v>
      </c>
      <c r="T83" s="50">
        <f>SUM(R83:R91)%</f>
        <v>0</v>
      </c>
      <c r="U83" s="17"/>
      <c r="V83" s="17"/>
      <c r="W83" s="17"/>
      <c r="X83" s="17"/>
      <c r="Y83" s="17"/>
      <c r="Z83" s="17"/>
      <c r="AA83" s="17"/>
      <c r="AB83" s="17"/>
      <c r="AC83" s="17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</row>
    <row r="84" spans="1:48" s="19" customFormat="1" ht="21.6" x14ac:dyDescent="0.2">
      <c r="A84" s="41">
        <v>2071</v>
      </c>
      <c r="B84" s="42" t="s">
        <v>20</v>
      </c>
      <c r="C84" s="43" t="s">
        <v>21</v>
      </c>
      <c r="D84" s="66">
        <v>5536</v>
      </c>
      <c r="E84" s="71" t="s">
        <v>394</v>
      </c>
      <c r="F84" s="72" t="s">
        <v>303</v>
      </c>
      <c r="G84" s="71" t="s">
        <v>102</v>
      </c>
      <c r="H84" s="45" t="s">
        <v>385</v>
      </c>
      <c r="I84" s="46" t="s">
        <v>27</v>
      </c>
      <c r="J84" s="47">
        <v>0.7</v>
      </c>
      <c r="K84" s="55" t="s">
        <v>307</v>
      </c>
      <c r="L84" s="63" t="s">
        <v>308</v>
      </c>
      <c r="M84" s="55" t="s">
        <v>309</v>
      </c>
      <c r="N84" s="51" t="s">
        <v>310</v>
      </c>
      <c r="O84" s="47">
        <v>0.15</v>
      </c>
      <c r="P84" s="52"/>
      <c r="Q84" s="47">
        <f>ROUND(IF(OR(N84="",P84=""),0,IF(AND(N84=0,P84=0),1,IF(S84="+",P84/N84,N84/P84))),2)</f>
        <v>0</v>
      </c>
      <c r="R84" s="49">
        <f t="shared" si="8"/>
        <v>0</v>
      </c>
      <c r="S84" s="47" t="s">
        <v>36</v>
      </c>
      <c r="T84" s="47"/>
      <c r="U84" s="17"/>
      <c r="V84" s="17"/>
      <c r="W84" s="17"/>
      <c r="X84" s="17"/>
      <c r="Y84" s="17"/>
      <c r="Z84" s="17"/>
      <c r="AA84" s="17"/>
      <c r="AB84" s="17"/>
      <c r="AC84" s="17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</row>
    <row r="85" spans="1:48" s="19" customFormat="1" ht="21.6" x14ac:dyDescent="0.2">
      <c r="A85" s="41">
        <v>2072</v>
      </c>
      <c r="B85" s="42" t="s">
        <v>20</v>
      </c>
      <c r="C85" s="43" t="s">
        <v>21</v>
      </c>
      <c r="D85" s="66">
        <v>5536</v>
      </c>
      <c r="E85" s="71" t="s">
        <v>394</v>
      </c>
      <c r="F85" s="72" t="s">
        <v>303</v>
      </c>
      <c r="G85" s="71" t="s">
        <v>102</v>
      </c>
      <c r="H85" s="45" t="s">
        <v>385</v>
      </c>
      <c r="I85" s="46" t="s">
        <v>27</v>
      </c>
      <c r="J85" s="47">
        <v>0.7</v>
      </c>
      <c r="K85" s="55" t="s">
        <v>311</v>
      </c>
      <c r="L85" s="63" t="s">
        <v>312</v>
      </c>
      <c r="M85" s="55" t="s">
        <v>313</v>
      </c>
      <c r="N85" s="47">
        <v>1</v>
      </c>
      <c r="O85" s="47">
        <v>0.1</v>
      </c>
      <c r="P85" s="52"/>
      <c r="Q85" s="47">
        <f t="shared" ref="Q85:Q92" si="11">ROUND(IF(OR(N85="",P85=""),0,IF(AND(N85=0,P85=0),1,IF(S85="+",P85/N85,N85/P85))),2)</f>
        <v>0</v>
      </c>
      <c r="R85" s="49">
        <f t="shared" si="8"/>
        <v>0</v>
      </c>
      <c r="S85" s="47" t="s">
        <v>31</v>
      </c>
      <c r="T85" s="47"/>
      <c r="U85" s="17"/>
      <c r="V85" s="17"/>
      <c r="W85" s="17"/>
      <c r="X85" s="17"/>
      <c r="Y85" s="17"/>
      <c r="Z85" s="17"/>
      <c r="AA85" s="17"/>
      <c r="AB85" s="17"/>
      <c r="AC85" s="17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</row>
    <row r="86" spans="1:48" s="19" customFormat="1" ht="21.6" x14ac:dyDescent="0.2">
      <c r="A86" s="41">
        <v>2073</v>
      </c>
      <c r="B86" s="42" t="s">
        <v>20</v>
      </c>
      <c r="C86" s="43" t="s">
        <v>21</v>
      </c>
      <c r="D86" s="66">
        <v>5536</v>
      </c>
      <c r="E86" s="71" t="s">
        <v>394</v>
      </c>
      <c r="F86" s="72" t="s">
        <v>303</v>
      </c>
      <c r="G86" s="71" t="s">
        <v>102</v>
      </c>
      <c r="H86" s="45" t="s">
        <v>385</v>
      </c>
      <c r="I86" s="46" t="s">
        <v>27</v>
      </c>
      <c r="J86" s="47">
        <v>0.7</v>
      </c>
      <c r="K86" s="55" t="s">
        <v>145</v>
      </c>
      <c r="L86" s="63" t="s">
        <v>314</v>
      </c>
      <c r="M86" s="55" t="s">
        <v>315</v>
      </c>
      <c r="N86" s="52" t="s">
        <v>196</v>
      </c>
      <c r="O86" s="47">
        <v>0.1</v>
      </c>
      <c r="P86" s="54"/>
      <c r="Q86" s="47">
        <f t="shared" si="11"/>
        <v>0</v>
      </c>
      <c r="R86" s="49">
        <f t="shared" si="8"/>
        <v>0</v>
      </c>
      <c r="S86" s="47" t="s">
        <v>36</v>
      </c>
      <c r="T86" s="47"/>
      <c r="U86" s="17"/>
      <c r="V86" s="17"/>
      <c r="W86" s="17"/>
      <c r="X86" s="17"/>
      <c r="Y86" s="17"/>
      <c r="Z86" s="17"/>
      <c r="AA86" s="17"/>
      <c r="AB86" s="17"/>
      <c r="AC86" s="17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</row>
    <row r="87" spans="1:48" s="19" customFormat="1" ht="21.6" x14ac:dyDescent="0.2">
      <c r="A87" s="41">
        <v>2074</v>
      </c>
      <c r="B87" s="42" t="s">
        <v>20</v>
      </c>
      <c r="C87" s="43" t="s">
        <v>21</v>
      </c>
      <c r="D87" s="66">
        <v>5536</v>
      </c>
      <c r="E87" s="71" t="s">
        <v>394</v>
      </c>
      <c r="F87" s="72" t="s">
        <v>303</v>
      </c>
      <c r="G87" s="71" t="s">
        <v>102</v>
      </c>
      <c r="H87" s="45" t="s">
        <v>385</v>
      </c>
      <c r="I87" s="46" t="s">
        <v>27</v>
      </c>
      <c r="J87" s="47">
        <v>0.7</v>
      </c>
      <c r="K87" s="55" t="s">
        <v>84</v>
      </c>
      <c r="L87" s="63" t="s">
        <v>316</v>
      </c>
      <c r="M87" s="55" t="s">
        <v>317</v>
      </c>
      <c r="N87" s="55" t="s">
        <v>196</v>
      </c>
      <c r="O87" s="47">
        <v>0.1</v>
      </c>
      <c r="P87" s="56"/>
      <c r="Q87" s="47">
        <f t="shared" si="11"/>
        <v>0</v>
      </c>
      <c r="R87" s="49">
        <f t="shared" si="8"/>
        <v>0</v>
      </c>
      <c r="S87" s="47" t="s">
        <v>36</v>
      </c>
      <c r="T87" s="47"/>
      <c r="U87" s="17"/>
      <c r="V87" s="17"/>
      <c r="W87" s="17"/>
      <c r="X87" s="17"/>
      <c r="Y87" s="17"/>
      <c r="Z87" s="17"/>
      <c r="AA87" s="17"/>
      <c r="AB87" s="17"/>
      <c r="AC87" s="17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</row>
    <row r="88" spans="1:48" s="19" customFormat="1" ht="21.6" x14ac:dyDescent="0.2">
      <c r="A88" s="41">
        <v>2075</v>
      </c>
      <c r="B88" s="42" t="s">
        <v>20</v>
      </c>
      <c r="C88" s="43" t="s">
        <v>21</v>
      </c>
      <c r="D88" s="66">
        <v>5536</v>
      </c>
      <c r="E88" s="71" t="s">
        <v>394</v>
      </c>
      <c r="F88" s="72" t="s">
        <v>303</v>
      </c>
      <c r="G88" s="71" t="s">
        <v>102</v>
      </c>
      <c r="H88" s="45" t="s">
        <v>385</v>
      </c>
      <c r="I88" s="57" t="s">
        <v>27</v>
      </c>
      <c r="J88" s="47">
        <v>0.7</v>
      </c>
      <c r="K88" s="57" t="s">
        <v>318</v>
      </c>
      <c r="L88" s="64" t="s">
        <v>319</v>
      </c>
      <c r="M88" s="57" t="s">
        <v>320</v>
      </c>
      <c r="N88" s="59" t="s">
        <v>127</v>
      </c>
      <c r="O88" s="60">
        <v>0.1</v>
      </c>
      <c r="P88" s="56"/>
      <c r="Q88" s="60">
        <f t="shared" si="11"/>
        <v>0</v>
      </c>
      <c r="R88" s="61">
        <f t="shared" si="8"/>
        <v>0</v>
      </c>
      <c r="S88" s="60" t="s">
        <v>31</v>
      </c>
      <c r="T88" s="60"/>
      <c r="U88" s="17"/>
      <c r="V88" s="17"/>
      <c r="W88" s="17"/>
      <c r="X88" s="17"/>
      <c r="Y88" s="17"/>
      <c r="Z88" s="17"/>
      <c r="AA88" s="17"/>
      <c r="AB88" s="17"/>
      <c r="AC88" s="17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</row>
    <row r="89" spans="1:48" s="19" customFormat="1" ht="21.6" x14ac:dyDescent="0.2">
      <c r="A89" s="41">
        <v>2076</v>
      </c>
      <c r="B89" s="42" t="s">
        <v>20</v>
      </c>
      <c r="C89" s="43" t="s">
        <v>21</v>
      </c>
      <c r="D89" s="66">
        <v>5536</v>
      </c>
      <c r="E89" s="71" t="s">
        <v>394</v>
      </c>
      <c r="F89" s="72" t="s">
        <v>303</v>
      </c>
      <c r="G89" s="71" t="s">
        <v>102</v>
      </c>
      <c r="H89" s="45" t="s">
        <v>385</v>
      </c>
      <c r="I89" s="57" t="s">
        <v>27</v>
      </c>
      <c r="J89" s="47">
        <v>0.7</v>
      </c>
      <c r="K89" s="57" t="s">
        <v>321</v>
      </c>
      <c r="L89" s="64" t="s">
        <v>322</v>
      </c>
      <c r="M89" s="57" t="s">
        <v>323</v>
      </c>
      <c r="N89" s="59" t="s">
        <v>156</v>
      </c>
      <c r="O89" s="60">
        <v>0.1</v>
      </c>
      <c r="P89" s="56"/>
      <c r="Q89" s="60">
        <f t="shared" si="11"/>
        <v>0</v>
      </c>
      <c r="R89" s="61">
        <f t="shared" si="8"/>
        <v>0</v>
      </c>
      <c r="S89" s="60" t="s">
        <v>31</v>
      </c>
      <c r="T89" s="60"/>
      <c r="U89" s="17"/>
      <c r="V89" s="17"/>
      <c r="W89" s="17"/>
      <c r="X89" s="17"/>
      <c r="Y89" s="17"/>
      <c r="Z89" s="17"/>
      <c r="AA89" s="17"/>
      <c r="AB89" s="17"/>
      <c r="AC89" s="17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</row>
    <row r="90" spans="1:48" s="19" customFormat="1" ht="21.6" x14ac:dyDescent="0.2">
      <c r="A90" s="41">
        <v>2077</v>
      </c>
      <c r="B90" s="42" t="s">
        <v>20</v>
      </c>
      <c r="C90" s="43" t="s">
        <v>21</v>
      </c>
      <c r="D90" s="66">
        <v>5536</v>
      </c>
      <c r="E90" s="71" t="s">
        <v>394</v>
      </c>
      <c r="F90" s="72" t="s">
        <v>303</v>
      </c>
      <c r="G90" s="71" t="s">
        <v>102</v>
      </c>
      <c r="H90" s="45" t="s">
        <v>385</v>
      </c>
      <c r="I90" s="57" t="s">
        <v>27</v>
      </c>
      <c r="J90" s="47">
        <v>0.7</v>
      </c>
      <c r="K90" s="57" t="s">
        <v>324</v>
      </c>
      <c r="L90" s="64" t="s">
        <v>325</v>
      </c>
      <c r="M90" s="25" t="s">
        <v>326</v>
      </c>
      <c r="N90" s="62" t="s">
        <v>127</v>
      </c>
      <c r="O90" s="60">
        <v>0.1</v>
      </c>
      <c r="P90" s="62"/>
      <c r="Q90" s="60">
        <f t="shared" si="11"/>
        <v>0</v>
      </c>
      <c r="R90" s="61">
        <f t="shared" si="8"/>
        <v>0</v>
      </c>
      <c r="S90" s="60" t="s">
        <v>31</v>
      </c>
      <c r="T90" s="60"/>
      <c r="U90" s="17"/>
      <c r="V90" s="17"/>
      <c r="W90" s="17"/>
      <c r="X90" s="17"/>
      <c r="Y90" s="17"/>
      <c r="Z90" s="17"/>
      <c r="AA90" s="17"/>
      <c r="AB90" s="17"/>
      <c r="AC90" s="17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</row>
    <row r="91" spans="1:48" s="19" customFormat="1" ht="21.6" x14ac:dyDescent="0.2">
      <c r="A91" s="41">
        <v>2078</v>
      </c>
      <c r="B91" s="42" t="s">
        <v>20</v>
      </c>
      <c r="C91" s="43" t="s">
        <v>21</v>
      </c>
      <c r="D91" s="66">
        <v>5536</v>
      </c>
      <c r="E91" s="71" t="s">
        <v>394</v>
      </c>
      <c r="F91" s="72" t="s">
        <v>303</v>
      </c>
      <c r="G91" s="71" t="s">
        <v>102</v>
      </c>
      <c r="H91" s="45" t="s">
        <v>385</v>
      </c>
      <c r="I91" s="57" t="s">
        <v>59</v>
      </c>
      <c r="J91" s="58">
        <v>0.3</v>
      </c>
      <c r="K91" s="57" t="s">
        <v>327</v>
      </c>
      <c r="L91" s="64" t="s">
        <v>328</v>
      </c>
      <c r="M91" s="25" t="s">
        <v>329</v>
      </c>
      <c r="N91" s="62" t="s">
        <v>330</v>
      </c>
      <c r="O91" s="60">
        <v>0.1</v>
      </c>
      <c r="P91" s="62"/>
      <c r="Q91" s="60">
        <f t="shared" si="11"/>
        <v>0</v>
      </c>
      <c r="R91" s="61">
        <f t="shared" si="8"/>
        <v>0</v>
      </c>
      <c r="S91" s="60" t="s">
        <v>31</v>
      </c>
      <c r="T91" s="60"/>
      <c r="U91" s="17"/>
      <c r="V91" s="17"/>
      <c r="W91" s="17"/>
      <c r="X91" s="17"/>
      <c r="Y91" s="17"/>
      <c r="Z91" s="17"/>
      <c r="AA91" s="17"/>
      <c r="AB91" s="17"/>
      <c r="AC91" s="17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</row>
    <row r="92" spans="1:48" s="19" customFormat="1" ht="21.6" x14ac:dyDescent="0.2">
      <c r="A92" s="41">
        <v>2070</v>
      </c>
      <c r="B92" s="42" t="s">
        <v>20</v>
      </c>
      <c r="C92" s="43" t="s">
        <v>21</v>
      </c>
      <c r="D92" s="66">
        <v>5557</v>
      </c>
      <c r="E92" s="71" t="s">
        <v>395</v>
      </c>
      <c r="F92" s="72" t="s">
        <v>303</v>
      </c>
      <c r="G92" s="71" t="s">
        <v>102</v>
      </c>
      <c r="H92" s="45" t="s">
        <v>385</v>
      </c>
      <c r="I92" s="46" t="s">
        <v>27</v>
      </c>
      <c r="J92" s="47">
        <v>0.7</v>
      </c>
      <c r="K92" s="55" t="s">
        <v>66</v>
      </c>
      <c r="L92" s="63" t="s">
        <v>305</v>
      </c>
      <c r="M92" s="13" t="s">
        <v>306</v>
      </c>
      <c r="N92" s="51" t="s">
        <v>112</v>
      </c>
      <c r="O92" s="47">
        <v>0.15</v>
      </c>
      <c r="P92" s="47"/>
      <c r="Q92" s="47">
        <f t="shared" si="11"/>
        <v>0</v>
      </c>
      <c r="R92" s="49">
        <f t="shared" si="8"/>
        <v>0</v>
      </c>
      <c r="S92" s="47" t="s">
        <v>31</v>
      </c>
      <c r="T92" s="50">
        <f>SUM(R92:R100)%</f>
        <v>0</v>
      </c>
      <c r="U92" s="17"/>
      <c r="V92" s="17"/>
      <c r="W92" s="17"/>
      <c r="X92" s="17"/>
      <c r="Y92" s="17"/>
      <c r="Z92" s="17"/>
      <c r="AA92" s="17"/>
      <c r="AB92" s="17"/>
      <c r="AC92" s="17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</row>
    <row r="93" spans="1:48" s="19" customFormat="1" ht="21.6" x14ac:dyDescent="0.2">
      <c r="A93" s="41">
        <v>2071</v>
      </c>
      <c r="B93" s="42" t="s">
        <v>20</v>
      </c>
      <c r="C93" s="43" t="s">
        <v>21</v>
      </c>
      <c r="D93" s="66">
        <v>5557</v>
      </c>
      <c r="E93" s="71" t="s">
        <v>395</v>
      </c>
      <c r="F93" s="72" t="s">
        <v>303</v>
      </c>
      <c r="G93" s="71" t="s">
        <v>102</v>
      </c>
      <c r="H93" s="45" t="s">
        <v>385</v>
      </c>
      <c r="I93" s="46" t="s">
        <v>27</v>
      </c>
      <c r="J93" s="47">
        <v>0.7</v>
      </c>
      <c r="K93" s="55" t="s">
        <v>307</v>
      </c>
      <c r="L93" s="63" t="s">
        <v>308</v>
      </c>
      <c r="M93" s="55" t="s">
        <v>309</v>
      </c>
      <c r="N93" s="51" t="s">
        <v>310</v>
      </c>
      <c r="O93" s="47">
        <v>0.15</v>
      </c>
      <c r="P93" s="52"/>
      <c r="Q93" s="47">
        <f>ROUND(IF(OR(N93="",P93=""),0,IF(AND(N93=0,P93=0),1,IF(S93="+",P93/N93,N93/P93))),2)</f>
        <v>0</v>
      </c>
      <c r="R93" s="49">
        <f t="shared" si="8"/>
        <v>0</v>
      </c>
      <c r="S93" s="47" t="s">
        <v>36</v>
      </c>
      <c r="T93" s="47"/>
      <c r="U93" s="17"/>
      <c r="V93" s="17"/>
      <c r="W93" s="17"/>
      <c r="X93" s="17"/>
      <c r="Y93" s="17"/>
      <c r="Z93" s="17"/>
      <c r="AA93" s="17"/>
      <c r="AB93" s="17"/>
      <c r="AC93" s="17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</row>
    <row r="94" spans="1:48" s="19" customFormat="1" ht="21.6" x14ac:dyDescent="0.2">
      <c r="A94" s="41">
        <v>2072</v>
      </c>
      <c r="B94" s="42" t="s">
        <v>20</v>
      </c>
      <c r="C94" s="43" t="s">
        <v>21</v>
      </c>
      <c r="D94" s="66">
        <v>5557</v>
      </c>
      <c r="E94" s="71" t="s">
        <v>395</v>
      </c>
      <c r="F94" s="72" t="s">
        <v>303</v>
      </c>
      <c r="G94" s="71" t="s">
        <v>102</v>
      </c>
      <c r="H94" s="45" t="s">
        <v>385</v>
      </c>
      <c r="I94" s="46" t="s">
        <v>27</v>
      </c>
      <c r="J94" s="47">
        <v>0.7</v>
      </c>
      <c r="K94" s="55" t="s">
        <v>311</v>
      </c>
      <c r="L94" s="63" t="s">
        <v>312</v>
      </c>
      <c r="M94" s="55" t="s">
        <v>313</v>
      </c>
      <c r="N94" s="47">
        <v>1</v>
      </c>
      <c r="O94" s="47">
        <v>0.1</v>
      </c>
      <c r="P94" s="52"/>
      <c r="Q94" s="47">
        <f t="shared" ref="Q94:Q101" si="12">ROUND(IF(OR(N94="",P94=""),0,IF(AND(N94=0,P94=0),1,IF(S94="+",P94/N94,N94/P94))),2)</f>
        <v>0</v>
      </c>
      <c r="R94" s="49">
        <f t="shared" si="8"/>
        <v>0</v>
      </c>
      <c r="S94" s="47" t="s">
        <v>31</v>
      </c>
      <c r="T94" s="47"/>
      <c r="U94" s="17"/>
      <c r="V94" s="17"/>
      <c r="W94" s="17"/>
      <c r="X94" s="17"/>
      <c r="Y94" s="17"/>
      <c r="Z94" s="17"/>
      <c r="AA94" s="17"/>
      <c r="AB94" s="17"/>
      <c r="AC94" s="17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</row>
    <row r="95" spans="1:48" s="19" customFormat="1" ht="21.6" x14ac:dyDescent="0.2">
      <c r="A95" s="41">
        <v>2073</v>
      </c>
      <c r="B95" s="42" t="s">
        <v>20</v>
      </c>
      <c r="C95" s="43" t="s">
        <v>21</v>
      </c>
      <c r="D95" s="66">
        <v>5557</v>
      </c>
      <c r="E95" s="71" t="s">
        <v>395</v>
      </c>
      <c r="F95" s="72" t="s">
        <v>303</v>
      </c>
      <c r="G95" s="71" t="s">
        <v>102</v>
      </c>
      <c r="H95" s="45" t="s">
        <v>385</v>
      </c>
      <c r="I95" s="46" t="s">
        <v>27</v>
      </c>
      <c r="J95" s="47">
        <v>0.7</v>
      </c>
      <c r="K95" s="55" t="s">
        <v>145</v>
      </c>
      <c r="L95" s="63" t="s">
        <v>314</v>
      </c>
      <c r="M95" s="55" t="s">
        <v>315</v>
      </c>
      <c r="N95" s="52" t="s">
        <v>196</v>
      </c>
      <c r="O95" s="47">
        <v>0.1</v>
      </c>
      <c r="P95" s="54"/>
      <c r="Q95" s="47">
        <f t="shared" si="12"/>
        <v>0</v>
      </c>
      <c r="R95" s="49">
        <f t="shared" si="8"/>
        <v>0</v>
      </c>
      <c r="S95" s="47" t="s">
        <v>36</v>
      </c>
      <c r="T95" s="47"/>
      <c r="U95" s="17"/>
      <c r="V95" s="17"/>
      <c r="W95" s="17"/>
      <c r="X95" s="17"/>
      <c r="Y95" s="17"/>
      <c r="Z95" s="17"/>
      <c r="AA95" s="17"/>
      <c r="AB95" s="17"/>
      <c r="AC95" s="17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</row>
    <row r="96" spans="1:48" s="19" customFormat="1" ht="21.6" x14ac:dyDescent="0.2">
      <c r="A96" s="41">
        <v>2074</v>
      </c>
      <c r="B96" s="42" t="s">
        <v>20</v>
      </c>
      <c r="C96" s="43" t="s">
        <v>21</v>
      </c>
      <c r="D96" s="66">
        <v>5557</v>
      </c>
      <c r="E96" s="71" t="s">
        <v>395</v>
      </c>
      <c r="F96" s="72" t="s">
        <v>303</v>
      </c>
      <c r="G96" s="71" t="s">
        <v>102</v>
      </c>
      <c r="H96" s="45" t="s">
        <v>385</v>
      </c>
      <c r="I96" s="46" t="s">
        <v>27</v>
      </c>
      <c r="J96" s="47">
        <v>0.7</v>
      </c>
      <c r="K96" s="55" t="s">
        <v>84</v>
      </c>
      <c r="L96" s="63" t="s">
        <v>316</v>
      </c>
      <c r="M96" s="55" t="s">
        <v>317</v>
      </c>
      <c r="N96" s="55" t="s">
        <v>196</v>
      </c>
      <c r="O96" s="47">
        <v>0.1</v>
      </c>
      <c r="P96" s="56"/>
      <c r="Q96" s="47">
        <f t="shared" si="12"/>
        <v>0</v>
      </c>
      <c r="R96" s="49">
        <f t="shared" si="8"/>
        <v>0</v>
      </c>
      <c r="S96" s="47" t="s">
        <v>36</v>
      </c>
      <c r="T96" s="47"/>
      <c r="U96" s="17"/>
      <c r="V96" s="17"/>
      <c r="W96" s="17"/>
      <c r="X96" s="17"/>
      <c r="Y96" s="17"/>
      <c r="Z96" s="17"/>
      <c r="AA96" s="17"/>
      <c r="AB96" s="17"/>
      <c r="AC96" s="17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</row>
    <row r="97" spans="1:48" s="19" customFormat="1" ht="21.6" x14ac:dyDescent="0.2">
      <c r="A97" s="41">
        <v>2075</v>
      </c>
      <c r="B97" s="42" t="s">
        <v>20</v>
      </c>
      <c r="C97" s="43" t="s">
        <v>21</v>
      </c>
      <c r="D97" s="66">
        <v>5557</v>
      </c>
      <c r="E97" s="71" t="s">
        <v>395</v>
      </c>
      <c r="F97" s="72" t="s">
        <v>303</v>
      </c>
      <c r="G97" s="71" t="s">
        <v>102</v>
      </c>
      <c r="H97" s="45" t="s">
        <v>385</v>
      </c>
      <c r="I97" s="57" t="s">
        <v>27</v>
      </c>
      <c r="J97" s="47">
        <v>0.7</v>
      </c>
      <c r="K97" s="57" t="s">
        <v>318</v>
      </c>
      <c r="L97" s="64" t="s">
        <v>319</v>
      </c>
      <c r="M97" s="57" t="s">
        <v>320</v>
      </c>
      <c r="N97" s="59" t="s">
        <v>127</v>
      </c>
      <c r="O97" s="60">
        <v>0.1</v>
      </c>
      <c r="P97" s="56"/>
      <c r="Q97" s="60">
        <f t="shared" si="12"/>
        <v>0</v>
      </c>
      <c r="R97" s="61">
        <f t="shared" si="8"/>
        <v>0</v>
      </c>
      <c r="S97" s="60" t="s">
        <v>31</v>
      </c>
      <c r="T97" s="60"/>
      <c r="U97" s="17"/>
      <c r="V97" s="17"/>
      <c r="W97" s="17"/>
      <c r="X97" s="17"/>
      <c r="Y97" s="17"/>
      <c r="Z97" s="17"/>
      <c r="AA97" s="17"/>
      <c r="AB97" s="17"/>
      <c r="AC97" s="17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</row>
    <row r="98" spans="1:48" s="19" customFormat="1" ht="21.6" x14ac:dyDescent="0.2">
      <c r="A98" s="41">
        <v>2076</v>
      </c>
      <c r="B98" s="42" t="s">
        <v>20</v>
      </c>
      <c r="C98" s="43" t="s">
        <v>21</v>
      </c>
      <c r="D98" s="66">
        <v>5557</v>
      </c>
      <c r="E98" s="71" t="s">
        <v>395</v>
      </c>
      <c r="F98" s="72" t="s">
        <v>303</v>
      </c>
      <c r="G98" s="71" t="s">
        <v>102</v>
      </c>
      <c r="H98" s="45" t="s">
        <v>385</v>
      </c>
      <c r="I98" s="57" t="s">
        <v>27</v>
      </c>
      <c r="J98" s="47">
        <v>0.7</v>
      </c>
      <c r="K98" s="57" t="s">
        <v>321</v>
      </c>
      <c r="L98" s="64" t="s">
        <v>322</v>
      </c>
      <c r="M98" s="57" t="s">
        <v>323</v>
      </c>
      <c r="N98" s="59" t="s">
        <v>156</v>
      </c>
      <c r="O98" s="60">
        <v>0.1</v>
      </c>
      <c r="P98" s="56"/>
      <c r="Q98" s="60">
        <f t="shared" si="12"/>
        <v>0</v>
      </c>
      <c r="R98" s="61">
        <f t="shared" si="8"/>
        <v>0</v>
      </c>
      <c r="S98" s="60" t="s">
        <v>31</v>
      </c>
      <c r="T98" s="60"/>
      <c r="U98" s="17"/>
      <c r="V98" s="17"/>
      <c r="W98" s="17"/>
      <c r="X98" s="17"/>
      <c r="Y98" s="17"/>
      <c r="Z98" s="17"/>
      <c r="AA98" s="17"/>
      <c r="AB98" s="17"/>
      <c r="AC98" s="17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</row>
    <row r="99" spans="1:48" s="19" customFormat="1" ht="21.6" x14ac:dyDescent="0.2">
      <c r="A99" s="41">
        <v>2077</v>
      </c>
      <c r="B99" s="42" t="s">
        <v>20</v>
      </c>
      <c r="C99" s="43" t="s">
        <v>21</v>
      </c>
      <c r="D99" s="66">
        <v>5557</v>
      </c>
      <c r="E99" s="71" t="s">
        <v>395</v>
      </c>
      <c r="F99" s="72" t="s">
        <v>303</v>
      </c>
      <c r="G99" s="71" t="s">
        <v>102</v>
      </c>
      <c r="H99" s="45" t="s">
        <v>385</v>
      </c>
      <c r="I99" s="57" t="s">
        <v>27</v>
      </c>
      <c r="J99" s="47">
        <v>0.7</v>
      </c>
      <c r="K99" s="57" t="s">
        <v>324</v>
      </c>
      <c r="L99" s="64" t="s">
        <v>325</v>
      </c>
      <c r="M99" s="25" t="s">
        <v>326</v>
      </c>
      <c r="N99" s="62" t="s">
        <v>127</v>
      </c>
      <c r="O99" s="60">
        <v>0.1</v>
      </c>
      <c r="P99" s="62"/>
      <c r="Q99" s="60">
        <f t="shared" si="12"/>
        <v>0</v>
      </c>
      <c r="R99" s="61">
        <f t="shared" si="8"/>
        <v>0</v>
      </c>
      <c r="S99" s="60" t="s">
        <v>31</v>
      </c>
      <c r="T99" s="60"/>
      <c r="U99" s="17"/>
      <c r="V99" s="17"/>
      <c r="W99" s="17"/>
      <c r="X99" s="17"/>
      <c r="Y99" s="17"/>
      <c r="Z99" s="17"/>
      <c r="AA99" s="17"/>
      <c r="AB99" s="17"/>
      <c r="AC99" s="17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</row>
    <row r="100" spans="1:48" s="19" customFormat="1" ht="21.6" x14ac:dyDescent="0.2">
      <c r="A100" s="41">
        <v>2078</v>
      </c>
      <c r="B100" s="42" t="s">
        <v>20</v>
      </c>
      <c r="C100" s="43" t="s">
        <v>21</v>
      </c>
      <c r="D100" s="66">
        <v>5557</v>
      </c>
      <c r="E100" s="71" t="s">
        <v>395</v>
      </c>
      <c r="F100" s="72" t="s">
        <v>303</v>
      </c>
      <c r="G100" s="71" t="s">
        <v>102</v>
      </c>
      <c r="H100" s="45" t="s">
        <v>385</v>
      </c>
      <c r="I100" s="57" t="s">
        <v>59</v>
      </c>
      <c r="J100" s="58">
        <v>0.3</v>
      </c>
      <c r="K100" s="57" t="s">
        <v>327</v>
      </c>
      <c r="L100" s="64" t="s">
        <v>328</v>
      </c>
      <c r="M100" s="25" t="s">
        <v>329</v>
      </c>
      <c r="N100" s="62" t="s">
        <v>330</v>
      </c>
      <c r="O100" s="60">
        <v>0.1</v>
      </c>
      <c r="P100" s="62"/>
      <c r="Q100" s="60">
        <f t="shared" si="12"/>
        <v>0</v>
      </c>
      <c r="R100" s="61">
        <f t="shared" si="8"/>
        <v>0</v>
      </c>
      <c r="S100" s="60" t="s">
        <v>31</v>
      </c>
      <c r="T100" s="60"/>
      <c r="U100" s="17"/>
      <c r="V100" s="17"/>
      <c r="W100" s="17"/>
      <c r="X100" s="17"/>
      <c r="Y100" s="17"/>
      <c r="Z100" s="17"/>
      <c r="AA100" s="17"/>
      <c r="AB100" s="17"/>
      <c r="AC100" s="17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</row>
    <row r="101" spans="1:48" s="19" customFormat="1" ht="21.6" x14ac:dyDescent="0.2">
      <c r="A101" s="41">
        <v>2070</v>
      </c>
      <c r="B101" s="42" t="s">
        <v>20</v>
      </c>
      <c r="C101" s="43" t="s">
        <v>21</v>
      </c>
      <c r="D101" s="66">
        <v>5911</v>
      </c>
      <c r="E101" s="71" t="s">
        <v>396</v>
      </c>
      <c r="F101" s="72" t="s">
        <v>303</v>
      </c>
      <c r="G101" s="71" t="s">
        <v>102</v>
      </c>
      <c r="H101" s="45" t="s">
        <v>385</v>
      </c>
      <c r="I101" s="46" t="s">
        <v>27</v>
      </c>
      <c r="J101" s="47">
        <v>0.7</v>
      </c>
      <c r="K101" s="55" t="s">
        <v>66</v>
      </c>
      <c r="L101" s="63" t="s">
        <v>305</v>
      </c>
      <c r="M101" s="13" t="s">
        <v>306</v>
      </c>
      <c r="N101" s="51" t="s">
        <v>112</v>
      </c>
      <c r="O101" s="47">
        <v>0.15</v>
      </c>
      <c r="P101" s="47"/>
      <c r="Q101" s="47">
        <f t="shared" si="12"/>
        <v>0</v>
      </c>
      <c r="R101" s="49">
        <f t="shared" si="8"/>
        <v>0</v>
      </c>
      <c r="S101" s="47" t="s">
        <v>31</v>
      </c>
      <c r="T101" s="50">
        <f>SUM(R101:R109)%</f>
        <v>0</v>
      </c>
      <c r="U101" s="17"/>
      <c r="V101" s="17"/>
      <c r="W101" s="17"/>
      <c r="X101" s="17"/>
      <c r="Y101" s="17"/>
      <c r="Z101" s="17"/>
      <c r="AA101" s="17"/>
      <c r="AB101" s="17"/>
      <c r="AC101" s="17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</row>
    <row r="102" spans="1:48" s="19" customFormat="1" ht="21.6" x14ac:dyDescent="0.2">
      <c r="A102" s="41">
        <v>2071</v>
      </c>
      <c r="B102" s="42" t="s">
        <v>20</v>
      </c>
      <c r="C102" s="43" t="s">
        <v>21</v>
      </c>
      <c r="D102" s="66">
        <v>5912</v>
      </c>
      <c r="E102" s="71" t="s">
        <v>396</v>
      </c>
      <c r="F102" s="72" t="s">
        <v>303</v>
      </c>
      <c r="G102" s="71" t="s">
        <v>102</v>
      </c>
      <c r="H102" s="45" t="s">
        <v>385</v>
      </c>
      <c r="I102" s="46" t="s">
        <v>27</v>
      </c>
      <c r="J102" s="47">
        <v>0.7</v>
      </c>
      <c r="K102" s="55" t="s">
        <v>307</v>
      </c>
      <c r="L102" s="63" t="s">
        <v>308</v>
      </c>
      <c r="M102" s="55" t="s">
        <v>309</v>
      </c>
      <c r="N102" s="51" t="s">
        <v>310</v>
      </c>
      <c r="O102" s="47">
        <v>0.15</v>
      </c>
      <c r="P102" s="52"/>
      <c r="Q102" s="47">
        <f>ROUND(IF(OR(N102="",P102=""),0,IF(AND(N102=0,P102=0),1,IF(S102="+",P102/N102,N102/P102))),2)</f>
        <v>0</v>
      </c>
      <c r="R102" s="49">
        <f t="shared" si="8"/>
        <v>0</v>
      </c>
      <c r="S102" s="47" t="s">
        <v>36</v>
      </c>
      <c r="T102" s="47"/>
      <c r="U102" s="17"/>
      <c r="V102" s="17"/>
      <c r="W102" s="17"/>
      <c r="X102" s="17"/>
      <c r="Y102" s="17"/>
      <c r="Z102" s="17"/>
      <c r="AA102" s="17"/>
      <c r="AB102" s="17"/>
      <c r="AC102" s="17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</row>
    <row r="103" spans="1:48" s="19" customFormat="1" ht="21.6" x14ac:dyDescent="0.2">
      <c r="A103" s="41">
        <v>2072</v>
      </c>
      <c r="B103" s="42" t="s">
        <v>20</v>
      </c>
      <c r="C103" s="43" t="s">
        <v>21</v>
      </c>
      <c r="D103" s="66">
        <v>5913</v>
      </c>
      <c r="E103" s="71" t="s">
        <v>396</v>
      </c>
      <c r="F103" s="72" t="s">
        <v>303</v>
      </c>
      <c r="G103" s="71" t="s">
        <v>102</v>
      </c>
      <c r="H103" s="45" t="s">
        <v>385</v>
      </c>
      <c r="I103" s="46" t="s">
        <v>27</v>
      </c>
      <c r="J103" s="47">
        <v>0.7</v>
      </c>
      <c r="K103" s="55" t="s">
        <v>311</v>
      </c>
      <c r="L103" s="63" t="s">
        <v>312</v>
      </c>
      <c r="M103" s="55" t="s">
        <v>313</v>
      </c>
      <c r="N103" s="47">
        <v>1</v>
      </c>
      <c r="O103" s="47">
        <v>0.1</v>
      </c>
      <c r="P103" s="52"/>
      <c r="Q103" s="47">
        <f t="shared" ref="Q103:Q110" si="13">ROUND(IF(OR(N103="",P103=""),0,IF(AND(N103=0,P103=0),1,IF(S103="+",P103/N103,N103/P103))),2)</f>
        <v>0</v>
      </c>
      <c r="R103" s="49">
        <f t="shared" si="8"/>
        <v>0</v>
      </c>
      <c r="S103" s="47" t="s">
        <v>31</v>
      </c>
      <c r="T103" s="47"/>
      <c r="U103" s="17"/>
      <c r="V103" s="17"/>
      <c r="W103" s="17"/>
      <c r="X103" s="17"/>
      <c r="Y103" s="17"/>
      <c r="Z103" s="17"/>
      <c r="AA103" s="17"/>
      <c r="AB103" s="17"/>
      <c r="AC103" s="17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</row>
    <row r="104" spans="1:48" s="19" customFormat="1" ht="21.6" x14ac:dyDescent="0.2">
      <c r="A104" s="41">
        <v>2073</v>
      </c>
      <c r="B104" s="42" t="s">
        <v>20</v>
      </c>
      <c r="C104" s="43" t="s">
        <v>21</v>
      </c>
      <c r="D104" s="66">
        <v>5914</v>
      </c>
      <c r="E104" s="71" t="s">
        <v>396</v>
      </c>
      <c r="F104" s="72" t="s">
        <v>303</v>
      </c>
      <c r="G104" s="71" t="s">
        <v>102</v>
      </c>
      <c r="H104" s="45" t="s">
        <v>385</v>
      </c>
      <c r="I104" s="46" t="s">
        <v>27</v>
      </c>
      <c r="J104" s="47">
        <v>0.7</v>
      </c>
      <c r="K104" s="55" t="s">
        <v>145</v>
      </c>
      <c r="L104" s="63" t="s">
        <v>314</v>
      </c>
      <c r="M104" s="55" t="s">
        <v>315</v>
      </c>
      <c r="N104" s="52" t="s">
        <v>196</v>
      </c>
      <c r="O104" s="47">
        <v>0.1</v>
      </c>
      <c r="P104" s="54"/>
      <c r="Q104" s="47">
        <f t="shared" si="13"/>
        <v>0</v>
      </c>
      <c r="R104" s="49">
        <f t="shared" si="8"/>
        <v>0</v>
      </c>
      <c r="S104" s="47" t="s">
        <v>36</v>
      </c>
      <c r="T104" s="47"/>
      <c r="U104" s="17"/>
      <c r="V104" s="17"/>
      <c r="W104" s="17"/>
      <c r="X104" s="17"/>
      <c r="Y104" s="17"/>
      <c r="Z104" s="17"/>
      <c r="AA104" s="17"/>
      <c r="AB104" s="17"/>
      <c r="AC104" s="17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</row>
    <row r="105" spans="1:48" s="19" customFormat="1" ht="21.6" x14ac:dyDescent="0.2">
      <c r="A105" s="41">
        <v>2074</v>
      </c>
      <c r="B105" s="42" t="s">
        <v>20</v>
      </c>
      <c r="C105" s="43" t="s">
        <v>21</v>
      </c>
      <c r="D105" s="66">
        <v>5915</v>
      </c>
      <c r="E105" s="71" t="s">
        <v>396</v>
      </c>
      <c r="F105" s="72" t="s">
        <v>303</v>
      </c>
      <c r="G105" s="71" t="s">
        <v>102</v>
      </c>
      <c r="H105" s="45" t="s">
        <v>385</v>
      </c>
      <c r="I105" s="46" t="s">
        <v>27</v>
      </c>
      <c r="J105" s="47">
        <v>0.7</v>
      </c>
      <c r="K105" s="55" t="s">
        <v>84</v>
      </c>
      <c r="L105" s="63" t="s">
        <v>316</v>
      </c>
      <c r="M105" s="55" t="s">
        <v>317</v>
      </c>
      <c r="N105" s="55" t="s">
        <v>196</v>
      </c>
      <c r="O105" s="47">
        <v>0.1</v>
      </c>
      <c r="P105" s="56"/>
      <c r="Q105" s="47">
        <f t="shared" si="13"/>
        <v>0</v>
      </c>
      <c r="R105" s="49">
        <f t="shared" si="8"/>
        <v>0</v>
      </c>
      <c r="S105" s="47" t="s">
        <v>36</v>
      </c>
      <c r="T105" s="47"/>
      <c r="U105" s="17"/>
      <c r="V105" s="17"/>
      <c r="W105" s="17"/>
      <c r="X105" s="17"/>
      <c r="Y105" s="17"/>
      <c r="Z105" s="17"/>
      <c r="AA105" s="17"/>
      <c r="AB105" s="17"/>
      <c r="AC105" s="17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</row>
    <row r="106" spans="1:48" s="19" customFormat="1" ht="21.6" x14ac:dyDescent="0.2">
      <c r="A106" s="41">
        <v>2075</v>
      </c>
      <c r="B106" s="42" t="s">
        <v>20</v>
      </c>
      <c r="C106" s="43" t="s">
        <v>21</v>
      </c>
      <c r="D106" s="66">
        <v>5916</v>
      </c>
      <c r="E106" s="71" t="s">
        <v>396</v>
      </c>
      <c r="F106" s="72" t="s">
        <v>303</v>
      </c>
      <c r="G106" s="71" t="s">
        <v>102</v>
      </c>
      <c r="H106" s="45" t="s">
        <v>385</v>
      </c>
      <c r="I106" s="57" t="s">
        <v>27</v>
      </c>
      <c r="J106" s="47">
        <v>0.7</v>
      </c>
      <c r="K106" s="57" t="s">
        <v>318</v>
      </c>
      <c r="L106" s="64" t="s">
        <v>319</v>
      </c>
      <c r="M106" s="57" t="s">
        <v>320</v>
      </c>
      <c r="N106" s="59" t="s">
        <v>127</v>
      </c>
      <c r="O106" s="60">
        <v>0.1</v>
      </c>
      <c r="P106" s="56"/>
      <c r="Q106" s="60">
        <f t="shared" si="13"/>
        <v>0</v>
      </c>
      <c r="R106" s="61">
        <f t="shared" si="8"/>
        <v>0</v>
      </c>
      <c r="S106" s="60" t="s">
        <v>31</v>
      </c>
      <c r="T106" s="60"/>
      <c r="U106" s="17"/>
      <c r="V106" s="17"/>
      <c r="W106" s="17"/>
      <c r="X106" s="17"/>
      <c r="Y106" s="17"/>
      <c r="Z106" s="17"/>
      <c r="AA106" s="17"/>
      <c r="AB106" s="17"/>
      <c r="AC106" s="17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</row>
    <row r="107" spans="1:48" s="19" customFormat="1" ht="21.6" x14ac:dyDescent="0.2">
      <c r="A107" s="41">
        <v>2076</v>
      </c>
      <c r="B107" s="42" t="s">
        <v>20</v>
      </c>
      <c r="C107" s="43" t="s">
        <v>21</v>
      </c>
      <c r="D107" s="66">
        <v>5917</v>
      </c>
      <c r="E107" s="71" t="s">
        <v>396</v>
      </c>
      <c r="F107" s="72" t="s">
        <v>303</v>
      </c>
      <c r="G107" s="71" t="s">
        <v>102</v>
      </c>
      <c r="H107" s="45" t="s">
        <v>385</v>
      </c>
      <c r="I107" s="57" t="s">
        <v>27</v>
      </c>
      <c r="J107" s="47">
        <v>0.7</v>
      </c>
      <c r="K107" s="57" t="s">
        <v>321</v>
      </c>
      <c r="L107" s="64" t="s">
        <v>322</v>
      </c>
      <c r="M107" s="57" t="s">
        <v>323</v>
      </c>
      <c r="N107" s="59" t="s">
        <v>156</v>
      </c>
      <c r="O107" s="60">
        <v>0.1</v>
      </c>
      <c r="P107" s="56"/>
      <c r="Q107" s="60">
        <f t="shared" si="13"/>
        <v>0</v>
      </c>
      <c r="R107" s="61">
        <f t="shared" si="8"/>
        <v>0</v>
      </c>
      <c r="S107" s="60" t="s">
        <v>31</v>
      </c>
      <c r="T107" s="60"/>
      <c r="U107" s="17"/>
      <c r="V107" s="17"/>
      <c r="W107" s="17"/>
      <c r="X107" s="17"/>
      <c r="Y107" s="17"/>
      <c r="Z107" s="17"/>
      <c r="AA107" s="17"/>
      <c r="AB107" s="17"/>
      <c r="AC107" s="17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</row>
    <row r="108" spans="1:48" s="19" customFormat="1" ht="21.6" x14ac:dyDescent="0.2">
      <c r="A108" s="41">
        <v>2077</v>
      </c>
      <c r="B108" s="42" t="s">
        <v>20</v>
      </c>
      <c r="C108" s="43" t="s">
        <v>21</v>
      </c>
      <c r="D108" s="66">
        <v>5918</v>
      </c>
      <c r="E108" s="71" t="s">
        <v>396</v>
      </c>
      <c r="F108" s="72" t="s">
        <v>303</v>
      </c>
      <c r="G108" s="71" t="s">
        <v>102</v>
      </c>
      <c r="H108" s="45" t="s">
        <v>385</v>
      </c>
      <c r="I108" s="57" t="s">
        <v>27</v>
      </c>
      <c r="J108" s="47">
        <v>0.7</v>
      </c>
      <c r="K108" s="57" t="s">
        <v>324</v>
      </c>
      <c r="L108" s="64" t="s">
        <v>325</v>
      </c>
      <c r="M108" s="25" t="s">
        <v>326</v>
      </c>
      <c r="N108" s="62" t="s">
        <v>127</v>
      </c>
      <c r="O108" s="60">
        <v>0.1</v>
      </c>
      <c r="P108" s="62"/>
      <c r="Q108" s="60">
        <f t="shared" si="13"/>
        <v>0</v>
      </c>
      <c r="R108" s="61">
        <f t="shared" si="8"/>
        <v>0</v>
      </c>
      <c r="S108" s="60" t="s">
        <v>31</v>
      </c>
      <c r="T108" s="60"/>
      <c r="U108" s="17"/>
      <c r="V108" s="17"/>
      <c r="W108" s="17"/>
      <c r="X108" s="17"/>
      <c r="Y108" s="17"/>
      <c r="Z108" s="17"/>
      <c r="AA108" s="17"/>
      <c r="AB108" s="17"/>
      <c r="AC108" s="17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</row>
    <row r="109" spans="1:48" s="19" customFormat="1" ht="21.6" x14ac:dyDescent="0.2">
      <c r="A109" s="41">
        <v>2078</v>
      </c>
      <c r="B109" s="42" t="s">
        <v>20</v>
      </c>
      <c r="C109" s="43" t="s">
        <v>21</v>
      </c>
      <c r="D109" s="66">
        <v>5919</v>
      </c>
      <c r="E109" s="71" t="s">
        <v>396</v>
      </c>
      <c r="F109" s="72" t="s">
        <v>303</v>
      </c>
      <c r="G109" s="71" t="s">
        <v>102</v>
      </c>
      <c r="H109" s="45" t="s">
        <v>385</v>
      </c>
      <c r="I109" s="57" t="s">
        <v>59</v>
      </c>
      <c r="J109" s="58">
        <v>0.3</v>
      </c>
      <c r="K109" s="57" t="s">
        <v>327</v>
      </c>
      <c r="L109" s="64" t="s">
        <v>328</v>
      </c>
      <c r="M109" s="25" t="s">
        <v>329</v>
      </c>
      <c r="N109" s="62" t="s">
        <v>330</v>
      </c>
      <c r="O109" s="60">
        <v>0.1</v>
      </c>
      <c r="P109" s="62"/>
      <c r="Q109" s="60">
        <f t="shared" si="13"/>
        <v>0</v>
      </c>
      <c r="R109" s="61">
        <f t="shared" si="8"/>
        <v>0</v>
      </c>
      <c r="S109" s="60" t="s">
        <v>31</v>
      </c>
      <c r="T109" s="60"/>
      <c r="U109" s="17"/>
      <c r="V109" s="17"/>
      <c r="W109" s="17"/>
      <c r="X109" s="17"/>
      <c r="Y109" s="17"/>
      <c r="Z109" s="17"/>
      <c r="AA109" s="17"/>
      <c r="AB109" s="17"/>
      <c r="AC109" s="17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</row>
    <row r="110" spans="1:48" s="19" customFormat="1" ht="21.6" x14ac:dyDescent="0.2">
      <c r="A110" s="41">
        <v>2070</v>
      </c>
      <c r="B110" s="42" t="s">
        <v>20</v>
      </c>
      <c r="C110" s="43" t="s">
        <v>21</v>
      </c>
      <c r="D110" s="19">
        <v>6365</v>
      </c>
      <c r="E110" s="71" t="s">
        <v>397</v>
      </c>
      <c r="F110" s="72" t="s">
        <v>303</v>
      </c>
      <c r="G110" s="71" t="s">
        <v>102</v>
      </c>
      <c r="H110" s="45" t="s">
        <v>385</v>
      </c>
      <c r="I110" s="46" t="s">
        <v>27</v>
      </c>
      <c r="J110" s="47">
        <v>0.7</v>
      </c>
      <c r="K110" s="55" t="s">
        <v>66</v>
      </c>
      <c r="L110" s="63" t="s">
        <v>305</v>
      </c>
      <c r="M110" s="13" t="s">
        <v>306</v>
      </c>
      <c r="N110" s="51" t="s">
        <v>112</v>
      </c>
      <c r="O110" s="47">
        <v>0.15</v>
      </c>
      <c r="P110" s="47"/>
      <c r="Q110" s="47">
        <f t="shared" si="13"/>
        <v>0</v>
      </c>
      <c r="R110" s="49">
        <f t="shared" si="8"/>
        <v>0</v>
      </c>
      <c r="S110" s="47" t="s">
        <v>31</v>
      </c>
      <c r="T110" s="50">
        <f>SUM(R110:R118)%</f>
        <v>0</v>
      </c>
      <c r="U110" s="17"/>
      <c r="V110" s="17"/>
      <c r="W110" s="17"/>
      <c r="X110" s="17"/>
      <c r="Y110" s="17"/>
      <c r="Z110" s="17"/>
      <c r="AA110" s="17"/>
      <c r="AB110" s="17"/>
      <c r="AC110" s="17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</row>
    <row r="111" spans="1:48" s="19" customFormat="1" ht="21.6" x14ac:dyDescent="0.2">
      <c r="A111" s="41">
        <v>2071</v>
      </c>
      <c r="B111" s="42" t="s">
        <v>20</v>
      </c>
      <c r="C111" s="43" t="s">
        <v>21</v>
      </c>
      <c r="D111" s="66">
        <v>6365</v>
      </c>
      <c r="E111" s="71" t="s">
        <v>397</v>
      </c>
      <c r="F111" s="72" t="s">
        <v>303</v>
      </c>
      <c r="G111" s="71" t="s">
        <v>102</v>
      </c>
      <c r="H111" s="45" t="s">
        <v>385</v>
      </c>
      <c r="I111" s="46" t="s">
        <v>27</v>
      </c>
      <c r="J111" s="47">
        <v>0.7</v>
      </c>
      <c r="K111" s="55" t="s">
        <v>307</v>
      </c>
      <c r="L111" s="63" t="s">
        <v>308</v>
      </c>
      <c r="M111" s="55" t="s">
        <v>309</v>
      </c>
      <c r="N111" s="51" t="s">
        <v>310</v>
      </c>
      <c r="O111" s="47">
        <v>0.15</v>
      </c>
      <c r="P111" s="52"/>
      <c r="Q111" s="47">
        <f>ROUND(IF(OR(N111="",P111=""),0,IF(AND(N111=0,P111=0),1,IF(S111="+",P111/N111,N111/P111))),2)</f>
        <v>0</v>
      </c>
      <c r="R111" s="49">
        <f t="shared" si="8"/>
        <v>0</v>
      </c>
      <c r="S111" s="47" t="s">
        <v>36</v>
      </c>
      <c r="T111" s="47"/>
      <c r="U111" s="17"/>
      <c r="V111" s="17"/>
      <c r="W111" s="17"/>
      <c r="X111" s="17"/>
      <c r="Y111" s="17"/>
      <c r="Z111" s="17"/>
      <c r="AA111" s="17"/>
      <c r="AB111" s="17"/>
      <c r="AC111" s="17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</row>
    <row r="112" spans="1:48" s="19" customFormat="1" ht="21.6" x14ac:dyDescent="0.2">
      <c r="A112" s="41">
        <v>2072</v>
      </c>
      <c r="B112" s="42" t="s">
        <v>20</v>
      </c>
      <c r="C112" s="43" t="s">
        <v>21</v>
      </c>
      <c r="D112" s="66">
        <v>6365</v>
      </c>
      <c r="E112" s="71" t="s">
        <v>397</v>
      </c>
      <c r="F112" s="72" t="s">
        <v>303</v>
      </c>
      <c r="G112" s="71" t="s">
        <v>102</v>
      </c>
      <c r="H112" s="45" t="s">
        <v>385</v>
      </c>
      <c r="I112" s="46" t="s">
        <v>27</v>
      </c>
      <c r="J112" s="47">
        <v>0.7</v>
      </c>
      <c r="K112" s="55" t="s">
        <v>311</v>
      </c>
      <c r="L112" s="63" t="s">
        <v>312</v>
      </c>
      <c r="M112" s="55" t="s">
        <v>313</v>
      </c>
      <c r="N112" s="47">
        <v>1</v>
      </c>
      <c r="O112" s="47">
        <v>0.1</v>
      </c>
      <c r="P112" s="52"/>
      <c r="Q112" s="47">
        <f t="shared" ref="Q112:Q119" si="14">ROUND(IF(OR(N112="",P112=""),0,IF(AND(N112=0,P112=0),1,IF(S112="+",P112/N112,N112/P112))),2)</f>
        <v>0</v>
      </c>
      <c r="R112" s="49">
        <f t="shared" si="8"/>
        <v>0</v>
      </c>
      <c r="S112" s="47" t="s">
        <v>31</v>
      </c>
      <c r="T112" s="47"/>
      <c r="U112" s="17"/>
      <c r="V112" s="17"/>
      <c r="W112" s="17"/>
      <c r="X112" s="17"/>
      <c r="Y112" s="17"/>
      <c r="Z112" s="17"/>
      <c r="AA112" s="17"/>
      <c r="AB112" s="17"/>
      <c r="AC112" s="17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</row>
    <row r="113" spans="1:48" s="19" customFormat="1" ht="21.6" x14ac:dyDescent="0.2">
      <c r="A113" s="41">
        <v>2073</v>
      </c>
      <c r="B113" s="42" t="s">
        <v>20</v>
      </c>
      <c r="C113" s="43" t="s">
        <v>21</v>
      </c>
      <c r="D113" s="66">
        <v>6365</v>
      </c>
      <c r="E113" s="71" t="s">
        <v>397</v>
      </c>
      <c r="F113" s="72" t="s">
        <v>303</v>
      </c>
      <c r="G113" s="71" t="s">
        <v>102</v>
      </c>
      <c r="H113" s="45" t="s">
        <v>385</v>
      </c>
      <c r="I113" s="46" t="s">
        <v>27</v>
      </c>
      <c r="J113" s="47">
        <v>0.7</v>
      </c>
      <c r="K113" s="55" t="s">
        <v>145</v>
      </c>
      <c r="L113" s="63" t="s">
        <v>314</v>
      </c>
      <c r="M113" s="55" t="s">
        <v>315</v>
      </c>
      <c r="N113" s="52" t="s">
        <v>196</v>
      </c>
      <c r="O113" s="47">
        <v>0.1</v>
      </c>
      <c r="P113" s="54"/>
      <c r="Q113" s="47">
        <f t="shared" si="14"/>
        <v>0</v>
      </c>
      <c r="R113" s="49">
        <f t="shared" si="8"/>
        <v>0</v>
      </c>
      <c r="S113" s="47" t="s">
        <v>36</v>
      </c>
      <c r="T113" s="47"/>
      <c r="U113" s="17"/>
      <c r="V113" s="17"/>
      <c r="W113" s="17"/>
      <c r="X113" s="17"/>
      <c r="Y113" s="17"/>
      <c r="Z113" s="17"/>
      <c r="AA113" s="17"/>
      <c r="AB113" s="17"/>
      <c r="AC113" s="17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</row>
    <row r="114" spans="1:48" s="19" customFormat="1" ht="21.6" x14ac:dyDescent="0.2">
      <c r="A114" s="41">
        <v>2074</v>
      </c>
      <c r="B114" s="42" t="s">
        <v>20</v>
      </c>
      <c r="C114" s="43" t="s">
        <v>21</v>
      </c>
      <c r="D114" s="66">
        <v>6365</v>
      </c>
      <c r="E114" s="71" t="s">
        <v>397</v>
      </c>
      <c r="F114" s="72" t="s">
        <v>303</v>
      </c>
      <c r="G114" s="71" t="s">
        <v>102</v>
      </c>
      <c r="H114" s="45" t="s">
        <v>385</v>
      </c>
      <c r="I114" s="46" t="s">
        <v>27</v>
      </c>
      <c r="J114" s="47">
        <v>0.7</v>
      </c>
      <c r="K114" s="55" t="s">
        <v>84</v>
      </c>
      <c r="L114" s="63" t="s">
        <v>316</v>
      </c>
      <c r="M114" s="55" t="s">
        <v>317</v>
      </c>
      <c r="N114" s="55" t="s">
        <v>196</v>
      </c>
      <c r="O114" s="47">
        <v>0.1</v>
      </c>
      <c r="P114" s="56"/>
      <c r="Q114" s="47">
        <f t="shared" si="14"/>
        <v>0</v>
      </c>
      <c r="R114" s="49">
        <f t="shared" si="8"/>
        <v>0</v>
      </c>
      <c r="S114" s="47" t="s">
        <v>36</v>
      </c>
      <c r="T114" s="47"/>
      <c r="U114" s="17"/>
      <c r="V114" s="17"/>
      <c r="W114" s="17"/>
      <c r="X114" s="17"/>
      <c r="Y114" s="17"/>
      <c r="Z114" s="17"/>
      <c r="AA114" s="17"/>
      <c r="AB114" s="17"/>
      <c r="AC114" s="17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</row>
    <row r="115" spans="1:48" s="19" customFormat="1" ht="21.6" x14ac:dyDescent="0.2">
      <c r="A115" s="41">
        <v>2075</v>
      </c>
      <c r="B115" s="42" t="s">
        <v>20</v>
      </c>
      <c r="C115" s="43" t="s">
        <v>21</v>
      </c>
      <c r="D115" s="66">
        <v>6365</v>
      </c>
      <c r="E115" s="71" t="s">
        <v>397</v>
      </c>
      <c r="F115" s="72" t="s">
        <v>303</v>
      </c>
      <c r="G115" s="71" t="s">
        <v>102</v>
      </c>
      <c r="H115" s="45" t="s">
        <v>385</v>
      </c>
      <c r="I115" s="57" t="s">
        <v>27</v>
      </c>
      <c r="J115" s="47">
        <v>0.7</v>
      </c>
      <c r="K115" s="57" t="s">
        <v>318</v>
      </c>
      <c r="L115" s="64" t="s">
        <v>319</v>
      </c>
      <c r="M115" s="57" t="s">
        <v>320</v>
      </c>
      <c r="N115" s="59" t="s">
        <v>127</v>
      </c>
      <c r="O115" s="60">
        <v>0.1</v>
      </c>
      <c r="P115" s="56"/>
      <c r="Q115" s="60">
        <f t="shared" si="14"/>
        <v>0</v>
      </c>
      <c r="R115" s="61">
        <f t="shared" si="8"/>
        <v>0</v>
      </c>
      <c r="S115" s="60" t="s">
        <v>31</v>
      </c>
      <c r="T115" s="60"/>
      <c r="U115" s="17"/>
      <c r="V115" s="17"/>
      <c r="W115" s="17"/>
      <c r="X115" s="17"/>
      <c r="Y115" s="17"/>
      <c r="Z115" s="17"/>
      <c r="AA115" s="17"/>
      <c r="AB115" s="17"/>
      <c r="AC115" s="17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</row>
    <row r="116" spans="1:48" s="19" customFormat="1" ht="21.6" x14ac:dyDescent="0.2">
      <c r="A116" s="41">
        <v>2076</v>
      </c>
      <c r="B116" s="42" t="s">
        <v>20</v>
      </c>
      <c r="C116" s="43" t="s">
        <v>21</v>
      </c>
      <c r="D116" s="66">
        <v>6365</v>
      </c>
      <c r="E116" s="71" t="s">
        <v>397</v>
      </c>
      <c r="F116" s="72" t="s">
        <v>303</v>
      </c>
      <c r="G116" s="71" t="s">
        <v>102</v>
      </c>
      <c r="H116" s="45" t="s">
        <v>385</v>
      </c>
      <c r="I116" s="57" t="s">
        <v>27</v>
      </c>
      <c r="J116" s="47">
        <v>0.7</v>
      </c>
      <c r="K116" s="57" t="s">
        <v>321</v>
      </c>
      <c r="L116" s="64" t="s">
        <v>322</v>
      </c>
      <c r="M116" s="57" t="s">
        <v>323</v>
      </c>
      <c r="N116" s="59" t="s">
        <v>156</v>
      </c>
      <c r="O116" s="60">
        <v>0.1</v>
      </c>
      <c r="P116" s="56"/>
      <c r="Q116" s="60">
        <f t="shared" si="14"/>
        <v>0</v>
      </c>
      <c r="R116" s="61">
        <f t="shared" si="8"/>
        <v>0</v>
      </c>
      <c r="S116" s="60" t="s">
        <v>31</v>
      </c>
      <c r="T116" s="60"/>
      <c r="U116" s="17"/>
      <c r="V116" s="17"/>
      <c r="W116" s="17"/>
      <c r="X116" s="17"/>
      <c r="Y116" s="17"/>
      <c r="Z116" s="17"/>
      <c r="AA116" s="17"/>
      <c r="AB116" s="17"/>
      <c r="AC116" s="17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</row>
    <row r="117" spans="1:48" s="19" customFormat="1" ht="21.6" x14ac:dyDescent="0.2">
      <c r="A117" s="41">
        <v>2077</v>
      </c>
      <c r="B117" s="42" t="s">
        <v>20</v>
      </c>
      <c r="C117" s="43" t="s">
        <v>21</v>
      </c>
      <c r="D117" s="66">
        <v>6365</v>
      </c>
      <c r="E117" s="71" t="s">
        <v>397</v>
      </c>
      <c r="F117" s="72" t="s">
        <v>303</v>
      </c>
      <c r="G117" s="71" t="s">
        <v>102</v>
      </c>
      <c r="H117" s="45" t="s">
        <v>385</v>
      </c>
      <c r="I117" s="57" t="s">
        <v>27</v>
      </c>
      <c r="J117" s="47">
        <v>0.7</v>
      </c>
      <c r="K117" s="57" t="s">
        <v>324</v>
      </c>
      <c r="L117" s="64" t="s">
        <v>325</v>
      </c>
      <c r="M117" s="25" t="s">
        <v>326</v>
      </c>
      <c r="N117" s="62" t="s">
        <v>127</v>
      </c>
      <c r="O117" s="60">
        <v>0.1</v>
      </c>
      <c r="P117" s="62"/>
      <c r="Q117" s="60">
        <f t="shared" si="14"/>
        <v>0</v>
      </c>
      <c r="R117" s="61">
        <f t="shared" si="8"/>
        <v>0</v>
      </c>
      <c r="S117" s="60" t="s">
        <v>31</v>
      </c>
      <c r="T117" s="60"/>
      <c r="U117" s="17"/>
      <c r="V117" s="17"/>
      <c r="W117" s="17"/>
      <c r="X117" s="17"/>
      <c r="Y117" s="17"/>
      <c r="Z117" s="17"/>
      <c r="AA117" s="17"/>
      <c r="AB117" s="17"/>
      <c r="AC117" s="17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</row>
    <row r="118" spans="1:48" s="19" customFormat="1" ht="21.6" x14ac:dyDescent="0.2">
      <c r="A118" s="41">
        <v>2078</v>
      </c>
      <c r="B118" s="42" t="s">
        <v>20</v>
      </c>
      <c r="C118" s="43" t="s">
        <v>21</v>
      </c>
      <c r="D118" s="66">
        <v>6365</v>
      </c>
      <c r="E118" s="71" t="s">
        <v>397</v>
      </c>
      <c r="F118" s="72" t="s">
        <v>303</v>
      </c>
      <c r="G118" s="71" t="s">
        <v>102</v>
      </c>
      <c r="H118" s="45" t="s">
        <v>385</v>
      </c>
      <c r="I118" s="57" t="s">
        <v>59</v>
      </c>
      <c r="J118" s="58">
        <v>0.3</v>
      </c>
      <c r="K118" s="57" t="s">
        <v>327</v>
      </c>
      <c r="L118" s="64" t="s">
        <v>328</v>
      </c>
      <c r="M118" s="25" t="s">
        <v>329</v>
      </c>
      <c r="N118" s="62" t="s">
        <v>330</v>
      </c>
      <c r="O118" s="60">
        <v>0.1</v>
      </c>
      <c r="P118" s="62"/>
      <c r="Q118" s="60">
        <f t="shared" si="14"/>
        <v>0</v>
      </c>
      <c r="R118" s="61">
        <f t="shared" si="8"/>
        <v>0</v>
      </c>
      <c r="S118" s="60" t="s">
        <v>31</v>
      </c>
      <c r="T118" s="60"/>
      <c r="U118" s="17"/>
      <c r="V118" s="17"/>
      <c r="W118" s="17"/>
      <c r="X118" s="17"/>
      <c r="Y118" s="17"/>
      <c r="Z118" s="17"/>
      <c r="AA118" s="17"/>
      <c r="AB118" s="17"/>
      <c r="AC118" s="17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</row>
    <row r="119" spans="1:48" s="19" customFormat="1" ht="21.6" x14ac:dyDescent="0.2">
      <c r="A119" s="41">
        <v>2070</v>
      </c>
      <c r="B119" s="42" t="s">
        <v>20</v>
      </c>
      <c r="C119" s="43" t="s">
        <v>21</v>
      </c>
      <c r="D119" s="73">
        <v>6250</v>
      </c>
      <c r="E119" s="71" t="s">
        <v>398</v>
      </c>
      <c r="F119" s="72" t="s">
        <v>399</v>
      </c>
      <c r="G119" s="71" t="s">
        <v>102</v>
      </c>
      <c r="H119" s="45" t="s">
        <v>385</v>
      </c>
      <c r="I119" s="46" t="s">
        <v>27</v>
      </c>
      <c r="J119" s="47">
        <v>0.7</v>
      </c>
      <c r="K119" s="55" t="s">
        <v>66</v>
      </c>
      <c r="L119" s="63" t="s">
        <v>305</v>
      </c>
      <c r="M119" s="13" t="s">
        <v>306</v>
      </c>
      <c r="N119" s="51" t="s">
        <v>112</v>
      </c>
      <c r="O119" s="47">
        <v>0.15</v>
      </c>
      <c r="P119" s="47"/>
      <c r="Q119" s="47">
        <f t="shared" si="14"/>
        <v>0</v>
      </c>
      <c r="R119" s="49">
        <f t="shared" si="8"/>
        <v>0</v>
      </c>
      <c r="S119" s="47" t="s">
        <v>31</v>
      </c>
      <c r="T119" s="50">
        <f>SUM(R119:R127)%</f>
        <v>0</v>
      </c>
      <c r="U119" s="17"/>
      <c r="V119" s="17"/>
      <c r="W119" s="17"/>
      <c r="X119" s="17"/>
      <c r="Y119" s="17"/>
      <c r="Z119" s="17"/>
      <c r="AA119" s="17"/>
      <c r="AB119" s="17"/>
      <c r="AC119" s="17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</row>
    <row r="120" spans="1:48" s="19" customFormat="1" ht="21.6" x14ac:dyDescent="0.2">
      <c r="A120" s="41">
        <v>2071</v>
      </c>
      <c r="B120" s="42" t="s">
        <v>20</v>
      </c>
      <c r="C120" s="43" t="s">
        <v>21</v>
      </c>
      <c r="D120" s="73">
        <v>6250</v>
      </c>
      <c r="E120" s="71" t="s">
        <v>398</v>
      </c>
      <c r="F120" s="72" t="s">
        <v>399</v>
      </c>
      <c r="G120" s="71" t="s">
        <v>102</v>
      </c>
      <c r="H120" s="45" t="s">
        <v>385</v>
      </c>
      <c r="I120" s="46" t="s">
        <v>27</v>
      </c>
      <c r="J120" s="47">
        <v>0.7</v>
      </c>
      <c r="K120" s="55" t="s">
        <v>307</v>
      </c>
      <c r="L120" s="63" t="s">
        <v>308</v>
      </c>
      <c r="M120" s="55" t="s">
        <v>309</v>
      </c>
      <c r="N120" s="51" t="s">
        <v>310</v>
      </c>
      <c r="O120" s="47">
        <v>0.15</v>
      </c>
      <c r="P120" s="52"/>
      <c r="Q120" s="47">
        <f>ROUND(IF(OR(N120="",P120=""),0,IF(AND(N120=0,P120=0),1,IF(S120="+",P120/N120,N120/P120))),2)</f>
        <v>0</v>
      </c>
      <c r="R120" s="49">
        <f t="shared" si="8"/>
        <v>0</v>
      </c>
      <c r="S120" s="47" t="s">
        <v>36</v>
      </c>
      <c r="T120" s="47"/>
      <c r="U120" s="17"/>
      <c r="V120" s="17"/>
      <c r="W120" s="17"/>
      <c r="X120" s="17"/>
      <c r="Y120" s="17"/>
      <c r="Z120" s="17"/>
      <c r="AA120" s="17"/>
      <c r="AB120" s="17"/>
      <c r="AC120" s="17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</row>
    <row r="121" spans="1:48" s="19" customFormat="1" ht="21.6" x14ac:dyDescent="0.2">
      <c r="A121" s="41">
        <v>2072</v>
      </c>
      <c r="B121" s="42" t="s">
        <v>20</v>
      </c>
      <c r="C121" s="43" t="s">
        <v>21</v>
      </c>
      <c r="D121" s="73">
        <v>6250</v>
      </c>
      <c r="E121" s="71" t="s">
        <v>398</v>
      </c>
      <c r="F121" s="72" t="s">
        <v>399</v>
      </c>
      <c r="G121" s="71" t="s">
        <v>102</v>
      </c>
      <c r="H121" s="45" t="s">
        <v>385</v>
      </c>
      <c r="I121" s="46" t="s">
        <v>27</v>
      </c>
      <c r="J121" s="47">
        <v>0.7</v>
      </c>
      <c r="K121" s="55" t="s">
        <v>311</v>
      </c>
      <c r="L121" s="63" t="s">
        <v>312</v>
      </c>
      <c r="M121" s="55" t="s">
        <v>313</v>
      </c>
      <c r="N121" s="47">
        <v>1</v>
      </c>
      <c r="O121" s="47">
        <v>0.1</v>
      </c>
      <c r="P121" s="52"/>
      <c r="Q121" s="47">
        <f t="shared" ref="Q121:Q128" si="15">ROUND(IF(OR(N121="",P121=""),0,IF(AND(N121=0,P121=0),1,IF(S121="+",P121/N121,N121/P121))),2)</f>
        <v>0</v>
      </c>
      <c r="R121" s="49">
        <f t="shared" si="8"/>
        <v>0</v>
      </c>
      <c r="S121" s="47" t="s">
        <v>31</v>
      </c>
      <c r="T121" s="47"/>
      <c r="U121" s="17"/>
      <c r="V121" s="17"/>
      <c r="W121" s="17"/>
      <c r="X121" s="17"/>
      <c r="Y121" s="17"/>
      <c r="Z121" s="17"/>
      <c r="AA121" s="17"/>
      <c r="AB121" s="17"/>
      <c r="AC121" s="17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</row>
    <row r="122" spans="1:48" s="19" customFormat="1" ht="21.6" x14ac:dyDescent="0.2">
      <c r="A122" s="41">
        <v>2073</v>
      </c>
      <c r="B122" s="42" t="s">
        <v>20</v>
      </c>
      <c r="C122" s="43" t="s">
        <v>21</v>
      </c>
      <c r="D122" s="73">
        <v>6250</v>
      </c>
      <c r="E122" s="71" t="s">
        <v>398</v>
      </c>
      <c r="F122" s="72" t="s">
        <v>399</v>
      </c>
      <c r="G122" s="71" t="s">
        <v>102</v>
      </c>
      <c r="H122" s="45" t="s">
        <v>385</v>
      </c>
      <c r="I122" s="46" t="s">
        <v>27</v>
      </c>
      <c r="J122" s="47">
        <v>0.7</v>
      </c>
      <c r="K122" s="55" t="s">
        <v>145</v>
      </c>
      <c r="L122" s="63" t="s">
        <v>314</v>
      </c>
      <c r="M122" s="55" t="s">
        <v>315</v>
      </c>
      <c r="N122" s="52" t="s">
        <v>196</v>
      </c>
      <c r="O122" s="47">
        <v>0.1</v>
      </c>
      <c r="P122" s="54"/>
      <c r="Q122" s="47">
        <f t="shared" si="15"/>
        <v>0</v>
      </c>
      <c r="R122" s="49">
        <f t="shared" si="8"/>
        <v>0</v>
      </c>
      <c r="S122" s="47" t="s">
        <v>36</v>
      </c>
      <c r="T122" s="47"/>
      <c r="U122" s="17"/>
      <c r="V122" s="17"/>
      <c r="W122" s="17"/>
      <c r="X122" s="17"/>
      <c r="Y122" s="17"/>
      <c r="Z122" s="17"/>
      <c r="AA122" s="17"/>
      <c r="AB122" s="17"/>
      <c r="AC122" s="17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</row>
    <row r="123" spans="1:48" s="19" customFormat="1" ht="21.6" x14ac:dyDescent="0.2">
      <c r="A123" s="41">
        <v>2074</v>
      </c>
      <c r="B123" s="42" t="s">
        <v>20</v>
      </c>
      <c r="C123" s="43" t="s">
        <v>21</v>
      </c>
      <c r="D123" s="73">
        <v>6250</v>
      </c>
      <c r="E123" s="71" t="s">
        <v>398</v>
      </c>
      <c r="F123" s="72" t="s">
        <v>399</v>
      </c>
      <c r="G123" s="71" t="s">
        <v>102</v>
      </c>
      <c r="H123" s="45" t="s">
        <v>385</v>
      </c>
      <c r="I123" s="46" t="s">
        <v>27</v>
      </c>
      <c r="J123" s="47">
        <v>0.7</v>
      </c>
      <c r="K123" s="55" t="s">
        <v>84</v>
      </c>
      <c r="L123" s="63" t="s">
        <v>316</v>
      </c>
      <c r="M123" s="55" t="s">
        <v>317</v>
      </c>
      <c r="N123" s="55" t="s">
        <v>196</v>
      </c>
      <c r="O123" s="47">
        <v>0.1</v>
      </c>
      <c r="P123" s="56"/>
      <c r="Q123" s="47">
        <f t="shared" si="15"/>
        <v>0</v>
      </c>
      <c r="R123" s="49">
        <f t="shared" si="8"/>
        <v>0</v>
      </c>
      <c r="S123" s="47" t="s">
        <v>36</v>
      </c>
      <c r="T123" s="47"/>
      <c r="U123" s="17"/>
      <c r="V123" s="17"/>
      <c r="W123" s="17"/>
      <c r="X123" s="17"/>
      <c r="Y123" s="17"/>
      <c r="Z123" s="17"/>
      <c r="AA123" s="17"/>
      <c r="AB123" s="17"/>
      <c r="AC123" s="17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</row>
    <row r="124" spans="1:48" s="19" customFormat="1" ht="21.6" x14ac:dyDescent="0.2">
      <c r="A124" s="41">
        <v>2075</v>
      </c>
      <c r="B124" s="42" t="s">
        <v>20</v>
      </c>
      <c r="C124" s="43" t="s">
        <v>21</v>
      </c>
      <c r="D124" s="73">
        <v>6250</v>
      </c>
      <c r="E124" s="71" t="s">
        <v>398</v>
      </c>
      <c r="F124" s="72" t="s">
        <v>399</v>
      </c>
      <c r="G124" s="71" t="s">
        <v>102</v>
      </c>
      <c r="H124" s="45" t="s">
        <v>385</v>
      </c>
      <c r="I124" s="57" t="s">
        <v>27</v>
      </c>
      <c r="J124" s="47">
        <v>0.7</v>
      </c>
      <c r="K124" s="57" t="s">
        <v>318</v>
      </c>
      <c r="L124" s="64" t="s">
        <v>319</v>
      </c>
      <c r="M124" s="57" t="s">
        <v>320</v>
      </c>
      <c r="N124" s="59" t="s">
        <v>127</v>
      </c>
      <c r="O124" s="60">
        <v>0.1</v>
      </c>
      <c r="P124" s="56"/>
      <c r="Q124" s="60">
        <f t="shared" si="15"/>
        <v>0</v>
      </c>
      <c r="R124" s="61">
        <f t="shared" si="8"/>
        <v>0</v>
      </c>
      <c r="S124" s="60" t="s">
        <v>31</v>
      </c>
      <c r="T124" s="60"/>
      <c r="U124" s="17"/>
      <c r="V124" s="17"/>
      <c r="W124" s="17"/>
      <c r="X124" s="17"/>
      <c r="Y124" s="17"/>
      <c r="Z124" s="17"/>
      <c r="AA124" s="17"/>
      <c r="AB124" s="17"/>
      <c r="AC124" s="17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</row>
    <row r="125" spans="1:48" s="19" customFormat="1" ht="21.6" x14ac:dyDescent="0.2">
      <c r="A125" s="41">
        <v>2076</v>
      </c>
      <c r="B125" s="42" t="s">
        <v>20</v>
      </c>
      <c r="C125" s="43" t="s">
        <v>21</v>
      </c>
      <c r="D125" s="73">
        <v>6250</v>
      </c>
      <c r="E125" s="71" t="s">
        <v>398</v>
      </c>
      <c r="F125" s="72" t="s">
        <v>399</v>
      </c>
      <c r="G125" s="71" t="s">
        <v>102</v>
      </c>
      <c r="H125" s="45" t="s">
        <v>385</v>
      </c>
      <c r="I125" s="57" t="s">
        <v>27</v>
      </c>
      <c r="J125" s="47">
        <v>0.7</v>
      </c>
      <c r="K125" s="57" t="s">
        <v>321</v>
      </c>
      <c r="L125" s="64" t="s">
        <v>322</v>
      </c>
      <c r="M125" s="57" t="s">
        <v>323</v>
      </c>
      <c r="N125" s="59" t="s">
        <v>156</v>
      </c>
      <c r="O125" s="60">
        <v>0.1</v>
      </c>
      <c r="P125" s="56"/>
      <c r="Q125" s="60">
        <f t="shared" si="15"/>
        <v>0</v>
      </c>
      <c r="R125" s="61">
        <f t="shared" si="8"/>
        <v>0</v>
      </c>
      <c r="S125" s="60" t="s">
        <v>31</v>
      </c>
      <c r="T125" s="60"/>
      <c r="U125" s="17"/>
      <c r="V125" s="17"/>
      <c r="W125" s="17"/>
      <c r="X125" s="17"/>
      <c r="Y125" s="17"/>
      <c r="Z125" s="17"/>
      <c r="AA125" s="17"/>
      <c r="AB125" s="17"/>
      <c r="AC125" s="17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</row>
    <row r="126" spans="1:48" s="19" customFormat="1" ht="21.6" x14ac:dyDescent="0.2">
      <c r="A126" s="41">
        <v>2077</v>
      </c>
      <c r="B126" s="42" t="s">
        <v>20</v>
      </c>
      <c r="C126" s="43" t="s">
        <v>21</v>
      </c>
      <c r="D126" s="73">
        <v>6250</v>
      </c>
      <c r="E126" s="71" t="s">
        <v>398</v>
      </c>
      <c r="F126" s="72" t="s">
        <v>399</v>
      </c>
      <c r="G126" s="71" t="s">
        <v>102</v>
      </c>
      <c r="H126" s="45" t="s">
        <v>385</v>
      </c>
      <c r="I126" s="57" t="s">
        <v>27</v>
      </c>
      <c r="J126" s="47">
        <v>0.7</v>
      </c>
      <c r="K126" s="57" t="s">
        <v>324</v>
      </c>
      <c r="L126" s="64" t="s">
        <v>325</v>
      </c>
      <c r="M126" s="25" t="s">
        <v>326</v>
      </c>
      <c r="N126" s="62" t="s">
        <v>127</v>
      </c>
      <c r="O126" s="60">
        <v>0.1</v>
      </c>
      <c r="P126" s="62"/>
      <c r="Q126" s="60">
        <f t="shared" si="15"/>
        <v>0</v>
      </c>
      <c r="R126" s="61">
        <f t="shared" si="8"/>
        <v>0</v>
      </c>
      <c r="S126" s="60" t="s">
        <v>31</v>
      </c>
      <c r="T126" s="60"/>
      <c r="U126" s="17"/>
      <c r="V126" s="17"/>
      <c r="W126" s="17"/>
      <c r="X126" s="17"/>
      <c r="Y126" s="17"/>
      <c r="Z126" s="17"/>
      <c r="AA126" s="17"/>
      <c r="AB126" s="17"/>
      <c r="AC126" s="17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</row>
    <row r="127" spans="1:48" s="19" customFormat="1" ht="21.6" x14ac:dyDescent="0.2">
      <c r="A127" s="41">
        <v>2078</v>
      </c>
      <c r="B127" s="42" t="s">
        <v>20</v>
      </c>
      <c r="C127" s="43" t="s">
        <v>21</v>
      </c>
      <c r="D127" s="73">
        <v>6250</v>
      </c>
      <c r="E127" s="71" t="s">
        <v>398</v>
      </c>
      <c r="F127" s="72" t="s">
        <v>399</v>
      </c>
      <c r="G127" s="71" t="s">
        <v>102</v>
      </c>
      <c r="H127" s="45" t="s">
        <v>385</v>
      </c>
      <c r="I127" s="57" t="s">
        <v>59</v>
      </c>
      <c r="J127" s="58">
        <v>0.3</v>
      </c>
      <c r="K127" s="57" t="s">
        <v>327</v>
      </c>
      <c r="L127" s="64" t="s">
        <v>328</v>
      </c>
      <c r="M127" s="25" t="s">
        <v>329</v>
      </c>
      <c r="N127" s="62" t="s">
        <v>330</v>
      </c>
      <c r="O127" s="60">
        <v>0.1</v>
      </c>
      <c r="P127" s="62"/>
      <c r="Q127" s="60">
        <f t="shared" si="15"/>
        <v>0</v>
      </c>
      <c r="R127" s="61">
        <f t="shared" si="8"/>
        <v>0</v>
      </c>
      <c r="S127" s="60" t="s">
        <v>31</v>
      </c>
      <c r="T127" s="60"/>
      <c r="U127" s="17"/>
      <c r="V127" s="17"/>
      <c r="W127" s="17"/>
      <c r="X127" s="17"/>
      <c r="Y127" s="17"/>
      <c r="Z127" s="17"/>
      <c r="AA127" s="17"/>
      <c r="AB127" s="17"/>
      <c r="AC127" s="17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</row>
    <row r="128" spans="1:48" s="19" customFormat="1" ht="21.6" x14ac:dyDescent="0.2">
      <c r="A128" s="41">
        <v>2070</v>
      </c>
      <c r="B128" s="42" t="s">
        <v>20</v>
      </c>
      <c r="C128" s="43" t="s">
        <v>21</v>
      </c>
      <c r="D128" s="73">
        <v>6311</v>
      </c>
      <c r="E128" s="71" t="s">
        <v>400</v>
      </c>
      <c r="F128" s="72" t="s">
        <v>399</v>
      </c>
      <c r="G128" s="71" t="s">
        <v>102</v>
      </c>
      <c r="H128" s="45" t="s">
        <v>385</v>
      </c>
      <c r="I128" s="46" t="s">
        <v>27</v>
      </c>
      <c r="J128" s="47">
        <v>0.7</v>
      </c>
      <c r="K128" s="55" t="s">
        <v>66</v>
      </c>
      <c r="L128" s="63" t="s">
        <v>305</v>
      </c>
      <c r="M128" s="13" t="s">
        <v>306</v>
      </c>
      <c r="N128" s="51" t="s">
        <v>112</v>
      </c>
      <c r="O128" s="47">
        <v>0.15</v>
      </c>
      <c r="P128" s="47"/>
      <c r="Q128" s="47">
        <f t="shared" si="15"/>
        <v>0</v>
      </c>
      <c r="R128" s="49">
        <f t="shared" si="8"/>
        <v>0</v>
      </c>
      <c r="S128" s="47" t="s">
        <v>31</v>
      </c>
      <c r="T128" s="50">
        <f>SUM(R128:R136)%</f>
        <v>0</v>
      </c>
      <c r="U128" s="17"/>
      <c r="V128" s="17"/>
      <c r="W128" s="17"/>
      <c r="X128" s="17"/>
      <c r="Y128" s="17"/>
      <c r="Z128" s="17"/>
      <c r="AA128" s="17"/>
      <c r="AB128" s="17"/>
      <c r="AC128" s="17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</row>
    <row r="129" spans="1:48" s="19" customFormat="1" ht="21.6" x14ac:dyDescent="0.2">
      <c r="A129" s="41">
        <v>2071</v>
      </c>
      <c r="B129" s="42" t="s">
        <v>20</v>
      </c>
      <c r="C129" s="43" t="s">
        <v>21</v>
      </c>
      <c r="D129" s="73">
        <v>6311</v>
      </c>
      <c r="E129" s="71" t="s">
        <v>400</v>
      </c>
      <c r="F129" s="72" t="s">
        <v>399</v>
      </c>
      <c r="G129" s="71" t="s">
        <v>102</v>
      </c>
      <c r="H129" s="45" t="s">
        <v>385</v>
      </c>
      <c r="I129" s="46" t="s">
        <v>27</v>
      </c>
      <c r="J129" s="47">
        <v>0.7</v>
      </c>
      <c r="K129" s="55" t="s">
        <v>307</v>
      </c>
      <c r="L129" s="63" t="s">
        <v>308</v>
      </c>
      <c r="M129" s="55" t="s">
        <v>309</v>
      </c>
      <c r="N129" s="51" t="s">
        <v>310</v>
      </c>
      <c r="O129" s="47">
        <v>0.15</v>
      </c>
      <c r="P129" s="52"/>
      <c r="Q129" s="47">
        <f>ROUND(IF(OR(N129="",P129=""),0,IF(AND(N129=0,P129=0),1,IF(S129="+",P129/N129,N129/P129))),2)</f>
        <v>0</v>
      </c>
      <c r="R129" s="49">
        <f t="shared" si="8"/>
        <v>0</v>
      </c>
      <c r="S129" s="47" t="s">
        <v>36</v>
      </c>
      <c r="T129" s="47"/>
      <c r="U129" s="17"/>
      <c r="V129" s="17"/>
      <c r="W129" s="17"/>
      <c r="X129" s="17"/>
      <c r="Y129" s="17"/>
      <c r="Z129" s="17"/>
      <c r="AA129" s="17"/>
      <c r="AB129" s="17"/>
      <c r="AC129" s="17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</row>
    <row r="130" spans="1:48" s="19" customFormat="1" ht="21.6" x14ac:dyDescent="0.2">
      <c r="A130" s="41">
        <v>2072</v>
      </c>
      <c r="B130" s="42" t="s">
        <v>20</v>
      </c>
      <c r="C130" s="43" t="s">
        <v>21</v>
      </c>
      <c r="D130" s="73">
        <v>6311</v>
      </c>
      <c r="E130" s="71" t="s">
        <v>400</v>
      </c>
      <c r="F130" s="72" t="s">
        <v>399</v>
      </c>
      <c r="G130" s="71" t="s">
        <v>102</v>
      </c>
      <c r="H130" s="45" t="s">
        <v>385</v>
      </c>
      <c r="I130" s="46" t="s">
        <v>27</v>
      </c>
      <c r="J130" s="47">
        <v>0.7</v>
      </c>
      <c r="K130" s="55" t="s">
        <v>311</v>
      </c>
      <c r="L130" s="63" t="s">
        <v>312</v>
      </c>
      <c r="M130" s="55" t="s">
        <v>313</v>
      </c>
      <c r="N130" s="47">
        <v>1</v>
      </c>
      <c r="O130" s="47">
        <v>0.1</v>
      </c>
      <c r="P130" s="52"/>
      <c r="Q130" s="47">
        <f t="shared" ref="Q130:Q136" si="16">ROUND(IF(OR(N130="",P130=""),0,IF(AND(N130=0,P130=0),1,IF(S130="+",P130/N130,N130/P130))),2)</f>
        <v>0</v>
      </c>
      <c r="R130" s="49">
        <f t="shared" ref="R130:R136" si="17">IF(AND(Q130&gt;=60%,Q130&lt;100%),Q130*((O130*J130)),IF(Q130=100%,((O130*J130)*Q130)*100%,IF(Q130&gt;100%,((J130*O130)*100%)*100%,0)))*100</f>
        <v>0</v>
      </c>
      <c r="S130" s="47" t="s">
        <v>31</v>
      </c>
      <c r="T130" s="47"/>
      <c r="U130" s="17"/>
      <c r="V130" s="17"/>
      <c r="W130" s="17"/>
      <c r="X130" s="17"/>
      <c r="Y130" s="17"/>
      <c r="Z130" s="17"/>
      <c r="AA130" s="17"/>
      <c r="AB130" s="17"/>
      <c r="AC130" s="17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</row>
    <row r="131" spans="1:48" s="19" customFormat="1" ht="21.6" x14ac:dyDescent="0.2">
      <c r="A131" s="41">
        <v>2073</v>
      </c>
      <c r="B131" s="42" t="s">
        <v>20</v>
      </c>
      <c r="C131" s="43" t="s">
        <v>21</v>
      </c>
      <c r="D131" s="73">
        <v>6311</v>
      </c>
      <c r="E131" s="71" t="s">
        <v>400</v>
      </c>
      <c r="F131" s="72" t="s">
        <v>399</v>
      </c>
      <c r="G131" s="71" t="s">
        <v>102</v>
      </c>
      <c r="H131" s="45" t="s">
        <v>385</v>
      </c>
      <c r="I131" s="46" t="s">
        <v>27</v>
      </c>
      <c r="J131" s="47">
        <v>0.7</v>
      </c>
      <c r="K131" s="55" t="s">
        <v>145</v>
      </c>
      <c r="L131" s="63" t="s">
        <v>314</v>
      </c>
      <c r="M131" s="55" t="s">
        <v>315</v>
      </c>
      <c r="N131" s="52" t="s">
        <v>196</v>
      </c>
      <c r="O131" s="47">
        <v>0.1</v>
      </c>
      <c r="P131" s="54"/>
      <c r="Q131" s="47">
        <f t="shared" si="16"/>
        <v>0</v>
      </c>
      <c r="R131" s="49">
        <f t="shared" si="17"/>
        <v>0</v>
      </c>
      <c r="S131" s="47" t="s">
        <v>36</v>
      </c>
      <c r="T131" s="47"/>
      <c r="U131" s="17"/>
      <c r="V131" s="17"/>
      <c r="W131" s="17"/>
      <c r="X131" s="17"/>
      <c r="Y131" s="17"/>
      <c r="Z131" s="17"/>
      <c r="AA131" s="17"/>
      <c r="AB131" s="17"/>
      <c r="AC131" s="17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</row>
    <row r="132" spans="1:48" s="19" customFormat="1" ht="21.6" x14ac:dyDescent="0.2">
      <c r="A132" s="41">
        <v>2074</v>
      </c>
      <c r="B132" s="42" t="s">
        <v>20</v>
      </c>
      <c r="C132" s="43" t="s">
        <v>21</v>
      </c>
      <c r="D132" s="73">
        <v>6311</v>
      </c>
      <c r="E132" s="71" t="s">
        <v>400</v>
      </c>
      <c r="F132" s="72" t="s">
        <v>399</v>
      </c>
      <c r="G132" s="71" t="s">
        <v>102</v>
      </c>
      <c r="H132" s="45" t="s">
        <v>385</v>
      </c>
      <c r="I132" s="46" t="s">
        <v>27</v>
      </c>
      <c r="J132" s="47">
        <v>0.7</v>
      </c>
      <c r="K132" s="55" t="s">
        <v>84</v>
      </c>
      <c r="L132" s="63" t="s">
        <v>316</v>
      </c>
      <c r="M132" s="55" t="s">
        <v>317</v>
      </c>
      <c r="N132" s="55" t="s">
        <v>196</v>
      </c>
      <c r="O132" s="47">
        <v>0.1</v>
      </c>
      <c r="P132" s="56"/>
      <c r="Q132" s="47">
        <f t="shared" si="16"/>
        <v>0</v>
      </c>
      <c r="R132" s="49">
        <f t="shared" si="17"/>
        <v>0</v>
      </c>
      <c r="S132" s="47" t="s">
        <v>36</v>
      </c>
      <c r="T132" s="47"/>
      <c r="U132" s="17"/>
      <c r="V132" s="17"/>
      <c r="W132" s="17"/>
      <c r="X132" s="17"/>
      <c r="Y132" s="17"/>
      <c r="Z132" s="17"/>
      <c r="AA132" s="17"/>
      <c r="AB132" s="17"/>
      <c r="AC132" s="17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</row>
    <row r="133" spans="1:48" s="19" customFormat="1" ht="21.6" x14ac:dyDescent="0.2">
      <c r="A133" s="41">
        <v>2075</v>
      </c>
      <c r="B133" s="42" t="s">
        <v>20</v>
      </c>
      <c r="C133" s="43" t="s">
        <v>21</v>
      </c>
      <c r="D133" s="73">
        <v>6311</v>
      </c>
      <c r="E133" s="71" t="s">
        <v>400</v>
      </c>
      <c r="F133" s="72" t="s">
        <v>399</v>
      </c>
      <c r="G133" s="71" t="s">
        <v>102</v>
      </c>
      <c r="H133" s="45" t="s">
        <v>385</v>
      </c>
      <c r="I133" s="57" t="s">
        <v>27</v>
      </c>
      <c r="J133" s="47">
        <v>0.7</v>
      </c>
      <c r="K133" s="57" t="s">
        <v>318</v>
      </c>
      <c r="L133" s="64" t="s">
        <v>319</v>
      </c>
      <c r="M133" s="57" t="s">
        <v>320</v>
      </c>
      <c r="N133" s="59" t="s">
        <v>127</v>
      </c>
      <c r="O133" s="60">
        <v>0.1</v>
      </c>
      <c r="P133" s="56"/>
      <c r="Q133" s="60">
        <f t="shared" si="16"/>
        <v>0</v>
      </c>
      <c r="R133" s="61">
        <f t="shared" si="17"/>
        <v>0</v>
      </c>
      <c r="S133" s="60" t="s">
        <v>31</v>
      </c>
      <c r="T133" s="60"/>
      <c r="U133" s="17"/>
      <c r="V133" s="17"/>
      <c r="W133" s="17"/>
      <c r="X133" s="17"/>
      <c r="Y133" s="17"/>
      <c r="Z133" s="17"/>
      <c r="AA133" s="17"/>
      <c r="AB133" s="17"/>
      <c r="AC133" s="17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</row>
    <row r="134" spans="1:48" s="19" customFormat="1" ht="21.6" x14ac:dyDescent="0.2">
      <c r="A134" s="41">
        <v>2076</v>
      </c>
      <c r="B134" s="42" t="s">
        <v>20</v>
      </c>
      <c r="C134" s="43" t="s">
        <v>21</v>
      </c>
      <c r="D134" s="73">
        <v>6311</v>
      </c>
      <c r="E134" s="71" t="s">
        <v>400</v>
      </c>
      <c r="F134" s="72" t="s">
        <v>399</v>
      </c>
      <c r="G134" s="71" t="s">
        <v>102</v>
      </c>
      <c r="H134" s="45" t="s">
        <v>385</v>
      </c>
      <c r="I134" s="57" t="s">
        <v>27</v>
      </c>
      <c r="J134" s="47">
        <v>0.7</v>
      </c>
      <c r="K134" s="57" t="s">
        <v>321</v>
      </c>
      <c r="L134" s="64" t="s">
        <v>322</v>
      </c>
      <c r="M134" s="57" t="s">
        <v>323</v>
      </c>
      <c r="N134" s="59" t="s">
        <v>156</v>
      </c>
      <c r="O134" s="60">
        <v>0.1</v>
      </c>
      <c r="P134" s="56"/>
      <c r="Q134" s="60">
        <f t="shared" si="16"/>
        <v>0</v>
      </c>
      <c r="R134" s="61">
        <f t="shared" si="17"/>
        <v>0</v>
      </c>
      <c r="S134" s="60" t="s">
        <v>31</v>
      </c>
      <c r="T134" s="60"/>
      <c r="U134" s="17"/>
      <c r="V134" s="17"/>
      <c r="W134" s="17"/>
      <c r="X134" s="17"/>
      <c r="Y134" s="17"/>
      <c r="Z134" s="17"/>
      <c r="AA134" s="17"/>
      <c r="AB134" s="17"/>
      <c r="AC134" s="17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</row>
    <row r="135" spans="1:48" s="19" customFormat="1" ht="21.6" x14ac:dyDescent="0.2">
      <c r="A135" s="41">
        <v>2077</v>
      </c>
      <c r="B135" s="42" t="s">
        <v>20</v>
      </c>
      <c r="C135" s="43" t="s">
        <v>21</v>
      </c>
      <c r="D135" s="73">
        <v>6311</v>
      </c>
      <c r="E135" s="71" t="s">
        <v>400</v>
      </c>
      <c r="F135" s="72" t="s">
        <v>399</v>
      </c>
      <c r="G135" s="71" t="s">
        <v>102</v>
      </c>
      <c r="H135" s="45" t="s">
        <v>385</v>
      </c>
      <c r="I135" s="57" t="s">
        <v>27</v>
      </c>
      <c r="J135" s="47">
        <v>0.7</v>
      </c>
      <c r="K135" s="57" t="s">
        <v>324</v>
      </c>
      <c r="L135" s="64" t="s">
        <v>325</v>
      </c>
      <c r="M135" s="25" t="s">
        <v>326</v>
      </c>
      <c r="N135" s="62" t="s">
        <v>127</v>
      </c>
      <c r="O135" s="60">
        <v>0.1</v>
      </c>
      <c r="P135" s="62"/>
      <c r="Q135" s="60">
        <f t="shared" si="16"/>
        <v>0</v>
      </c>
      <c r="R135" s="61">
        <f t="shared" si="17"/>
        <v>0</v>
      </c>
      <c r="S135" s="60" t="s">
        <v>31</v>
      </c>
      <c r="T135" s="60"/>
      <c r="U135" s="17"/>
      <c r="V135" s="17"/>
      <c r="W135" s="17"/>
      <c r="X135" s="17"/>
      <c r="Y135" s="17"/>
      <c r="Z135" s="17"/>
      <c r="AA135" s="17"/>
      <c r="AB135" s="17"/>
      <c r="AC135" s="17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</row>
    <row r="136" spans="1:48" s="19" customFormat="1" ht="21.6" x14ac:dyDescent="0.2">
      <c r="A136" s="41">
        <v>2078</v>
      </c>
      <c r="B136" s="42" t="s">
        <v>20</v>
      </c>
      <c r="C136" s="43" t="s">
        <v>21</v>
      </c>
      <c r="D136" s="73">
        <v>6311</v>
      </c>
      <c r="E136" s="71" t="s">
        <v>400</v>
      </c>
      <c r="F136" s="72" t="s">
        <v>399</v>
      </c>
      <c r="G136" s="71" t="s">
        <v>102</v>
      </c>
      <c r="H136" s="45" t="s">
        <v>385</v>
      </c>
      <c r="I136" s="57" t="s">
        <v>59</v>
      </c>
      <c r="J136" s="58">
        <v>0.3</v>
      </c>
      <c r="K136" s="57" t="s">
        <v>327</v>
      </c>
      <c r="L136" s="64" t="s">
        <v>328</v>
      </c>
      <c r="M136" s="25" t="s">
        <v>329</v>
      </c>
      <c r="N136" s="62" t="s">
        <v>330</v>
      </c>
      <c r="O136" s="60">
        <v>0.1</v>
      </c>
      <c r="P136" s="62"/>
      <c r="Q136" s="60">
        <f t="shared" si="16"/>
        <v>0</v>
      </c>
      <c r="R136" s="61">
        <f t="shared" si="17"/>
        <v>0</v>
      </c>
      <c r="S136" s="60" t="s">
        <v>31</v>
      </c>
      <c r="T136" s="60"/>
      <c r="U136" s="17"/>
      <c r="V136" s="17"/>
      <c r="W136" s="17"/>
      <c r="X136" s="17"/>
      <c r="Y136" s="17"/>
      <c r="Z136" s="17"/>
      <c r="AA136" s="17"/>
      <c r="AB136" s="17"/>
      <c r="AC136" s="17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</row>
  </sheetData>
  <autoFilter ref="A1:T10" xr:uid="{7EF4661B-8CB2-466F-8DBB-EB69CD48EE90}"/>
  <conditionalFormatting sqref="I1:I136 K1:M136">
    <cfRule type="cellIs" dxfId="37" priority="1" operator="equal">
      <formula>"maintasks"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92D6-892C-4C70-BCF7-3FD10E6CDC89}">
  <dimension ref="A1:AV18"/>
  <sheetViews>
    <sheetView zoomScale="130" zoomScaleNormal="130" workbookViewId="0">
      <selection activeCell="A2" sqref="A2:XFD2"/>
    </sheetView>
  </sheetViews>
  <sheetFormatPr defaultRowHeight="14.4" x14ac:dyDescent="0.3"/>
  <cols>
    <col min="1" max="1" width="6.88671875" customWidth="1"/>
    <col min="2" max="2" width="14.44140625" bestFit="1" customWidth="1"/>
    <col min="3" max="3" width="6.88671875" customWidth="1"/>
    <col min="5" max="5" width="19.6640625" bestFit="1" customWidth="1"/>
    <col min="6" max="6" width="17.21875" style="85" customWidth="1"/>
    <col min="7" max="7" width="12.44140625" customWidth="1"/>
    <col min="8" max="8" width="11.6640625" customWidth="1"/>
    <col min="9" max="9" width="16.33203125" customWidth="1"/>
    <col min="10" max="10" width="6.88671875" customWidth="1"/>
    <col min="11" max="11" width="22.88671875" style="86" customWidth="1"/>
    <col min="12" max="12" width="42.33203125" customWidth="1"/>
    <col min="13" max="13" width="51.6640625" customWidth="1"/>
    <col min="14" max="14" width="14.109375" customWidth="1"/>
    <col min="15" max="15" width="7.6640625" customWidth="1"/>
    <col min="16" max="16" width="21.44140625" customWidth="1"/>
    <col min="17" max="20" width="7.6640625" customWidth="1"/>
  </cols>
  <sheetData>
    <row r="1" spans="1:48" x14ac:dyDescent="0.3">
      <c r="A1" s="76" t="s">
        <v>0</v>
      </c>
      <c r="B1" s="77" t="s">
        <v>1</v>
      </c>
      <c r="C1" s="77" t="s">
        <v>2</v>
      </c>
      <c r="D1" s="76" t="s">
        <v>3</v>
      </c>
      <c r="E1" s="77" t="s">
        <v>4</v>
      </c>
      <c r="F1" s="78" t="s">
        <v>5</v>
      </c>
      <c r="G1" s="77" t="s">
        <v>6</v>
      </c>
      <c r="H1" s="77" t="s">
        <v>7</v>
      </c>
      <c r="I1" s="77" t="s">
        <v>8</v>
      </c>
      <c r="J1" s="79" t="s">
        <v>9</v>
      </c>
      <c r="K1" s="77" t="s">
        <v>10</v>
      </c>
      <c r="L1" s="77" t="s">
        <v>11</v>
      </c>
      <c r="M1" s="80" t="s">
        <v>12</v>
      </c>
      <c r="N1" s="77" t="s">
        <v>13</v>
      </c>
      <c r="O1" s="81" t="s">
        <v>14</v>
      </c>
      <c r="P1" s="77" t="s">
        <v>15</v>
      </c>
      <c r="Q1" s="82" t="s">
        <v>16</v>
      </c>
      <c r="R1" s="83" t="s">
        <v>17</v>
      </c>
      <c r="S1" s="84" t="s">
        <v>18</v>
      </c>
      <c r="T1" s="81" t="s">
        <v>19</v>
      </c>
    </row>
    <row r="2" spans="1:48" s="19" customFormat="1" ht="21.6" x14ac:dyDescent="0.2">
      <c r="A2" s="41">
        <v>1</v>
      </c>
      <c r="B2" s="42" t="s">
        <v>20</v>
      </c>
      <c r="C2" s="43" t="s">
        <v>21</v>
      </c>
      <c r="D2" s="70">
        <v>3651</v>
      </c>
      <c r="E2" s="71" t="s">
        <v>401</v>
      </c>
      <c r="F2" s="71" t="s">
        <v>402</v>
      </c>
      <c r="G2" s="71" t="s">
        <v>403</v>
      </c>
      <c r="H2" s="45" t="s">
        <v>26</v>
      </c>
      <c r="I2" s="46" t="s">
        <v>27</v>
      </c>
      <c r="J2" s="47">
        <v>0.7</v>
      </c>
      <c r="K2" s="55" t="s">
        <v>109</v>
      </c>
      <c r="L2" s="63" t="s">
        <v>110</v>
      </c>
      <c r="M2" s="13" t="s">
        <v>111</v>
      </c>
      <c r="N2" s="51" t="s">
        <v>112</v>
      </c>
      <c r="O2" s="47">
        <v>0.15</v>
      </c>
      <c r="P2" s="47"/>
      <c r="Q2" s="47">
        <f t="shared" ref="Q2:Q15" si="0">ROUND(IF(OR(N2="",P2=""),0,IF(AND(N2=0,P2=0),1,IF(S2="+",P2/N2,N2/P2))),2)</f>
        <v>0</v>
      </c>
      <c r="R2" s="49">
        <f t="shared" ref="R2:R15" si="1">IF(AND(Q2&gt;=60%,Q2&lt;100%),Q2*((O2*J2)),IF(Q2=100%,((O2*J2)*Q2)*100%,IF(Q2&gt;100%,((J2*O2)*100%)*100%,0)))*100</f>
        <v>0</v>
      </c>
      <c r="S2" s="47" t="s">
        <v>31</v>
      </c>
      <c r="T2" s="50">
        <f>SUM(R2:R8)%</f>
        <v>0</v>
      </c>
      <c r="U2" s="17"/>
      <c r="V2" s="17"/>
      <c r="W2" s="17"/>
      <c r="X2" s="17"/>
      <c r="Y2" s="17"/>
      <c r="Z2" s="17"/>
      <c r="AA2" s="17"/>
      <c r="AB2" s="17"/>
      <c r="AC2" s="17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spans="1:48" s="19" customFormat="1" ht="21.6" x14ac:dyDescent="0.2">
      <c r="A3" s="41">
        <v>2</v>
      </c>
      <c r="B3" s="42" t="s">
        <v>20</v>
      </c>
      <c r="C3" s="43" t="s">
        <v>21</v>
      </c>
      <c r="D3" s="70" t="s">
        <v>404</v>
      </c>
      <c r="E3" s="71" t="s">
        <v>401</v>
      </c>
      <c r="F3" s="71" t="s">
        <v>402</v>
      </c>
      <c r="G3" s="71" t="s">
        <v>403</v>
      </c>
      <c r="H3" s="45" t="s">
        <v>26</v>
      </c>
      <c r="I3" s="46" t="s">
        <v>27</v>
      </c>
      <c r="J3" s="47">
        <v>0.7</v>
      </c>
      <c r="K3" s="55" t="s">
        <v>113</v>
      </c>
      <c r="L3" s="63" t="s">
        <v>114</v>
      </c>
      <c r="M3" s="13" t="s">
        <v>115</v>
      </c>
      <c r="N3" s="51" t="s">
        <v>116</v>
      </c>
      <c r="O3" s="47">
        <v>0.15</v>
      </c>
      <c r="P3" s="47"/>
      <c r="Q3" s="47">
        <f t="shared" si="0"/>
        <v>0</v>
      </c>
      <c r="R3" s="49">
        <f t="shared" si="1"/>
        <v>0</v>
      </c>
      <c r="S3" s="47" t="s">
        <v>31</v>
      </c>
      <c r="T3" s="50"/>
      <c r="U3" s="17"/>
      <c r="V3" s="17"/>
      <c r="W3" s="17"/>
      <c r="X3" s="17"/>
      <c r="Y3" s="17"/>
      <c r="Z3" s="17"/>
      <c r="AA3" s="17"/>
      <c r="AB3" s="17"/>
      <c r="AC3" s="17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8" s="19" customFormat="1" ht="21.6" x14ac:dyDescent="0.2">
      <c r="A4" s="41">
        <v>3</v>
      </c>
      <c r="B4" s="42" t="s">
        <v>20</v>
      </c>
      <c r="C4" s="43" t="s">
        <v>21</v>
      </c>
      <c r="D4" s="70">
        <v>3651</v>
      </c>
      <c r="E4" s="71" t="s">
        <v>401</v>
      </c>
      <c r="F4" s="71" t="s">
        <v>402</v>
      </c>
      <c r="G4" s="71" t="s">
        <v>403</v>
      </c>
      <c r="H4" s="45" t="s">
        <v>26</v>
      </c>
      <c r="I4" s="46" t="s">
        <v>27</v>
      </c>
      <c r="J4" s="47">
        <v>0.7</v>
      </c>
      <c r="K4" s="55" t="s">
        <v>117</v>
      </c>
      <c r="L4" s="63" t="s">
        <v>118</v>
      </c>
      <c r="M4" s="13" t="s">
        <v>119</v>
      </c>
      <c r="N4" s="51" t="s">
        <v>120</v>
      </c>
      <c r="O4" s="47">
        <v>0.1</v>
      </c>
      <c r="P4" s="47"/>
      <c r="Q4" s="47">
        <f t="shared" si="0"/>
        <v>0</v>
      </c>
      <c r="R4" s="49">
        <f t="shared" si="1"/>
        <v>0</v>
      </c>
      <c r="S4" s="47" t="s">
        <v>36</v>
      </c>
      <c r="T4" s="50"/>
      <c r="U4" s="17"/>
      <c r="V4" s="17"/>
      <c r="W4" s="17"/>
      <c r="X4" s="17"/>
      <c r="Y4" s="17"/>
      <c r="Z4" s="17"/>
      <c r="AA4" s="17"/>
      <c r="AB4" s="17"/>
      <c r="AC4" s="17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s="19" customFormat="1" ht="21.6" x14ac:dyDescent="0.2">
      <c r="A5" s="41">
        <v>4</v>
      </c>
      <c r="B5" s="42" t="s">
        <v>20</v>
      </c>
      <c r="C5" s="43" t="s">
        <v>21</v>
      </c>
      <c r="D5" s="70" t="s">
        <v>404</v>
      </c>
      <c r="E5" s="71" t="s">
        <v>401</v>
      </c>
      <c r="F5" s="71" t="s">
        <v>402</v>
      </c>
      <c r="G5" s="71" t="s">
        <v>403</v>
      </c>
      <c r="H5" s="45" t="s">
        <v>26</v>
      </c>
      <c r="I5" s="46" t="s">
        <v>27</v>
      </c>
      <c r="J5" s="47">
        <v>0.7</v>
      </c>
      <c r="K5" s="55" t="s">
        <v>121</v>
      </c>
      <c r="L5" s="63" t="s">
        <v>122</v>
      </c>
      <c r="M5" s="13" t="s">
        <v>123</v>
      </c>
      <c r="N5" s="51" t="s">
        <v>116</v>
      </c>
      <c r="O5" s="47">
        <v>0.1</v>
      </c>
      <c r="P5" s="47"/>
      <c r="Q5" s="47">
        <f t="shared" si="0"/>
        <v>0</v>
      </c>
      <c r="R5" s="49">
        <f t="shared" si="1"/>
        <v>0</v>
      </c>
      <c r="S5" s="47" t="s">
        <v>31</v>
      </c>
      <c r="T5" s="50"/>
      <c r="U5" s="17"/>
      <c r="V5" s="17"/>
      <c r="W5" s="17"/>
      <c r="X5" s="17"/>
      <c r="Y5" s="17"/>
      <c r="Z5" s="17"/>
      <c r="AA5" s="17"/>
      <c r="AB5" s="17"/>
      <c r="AC5" s="17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</row>
    <row r="6" spans="1:48" s="19" customFormat="1" ht="21.6" x14ac:dyDescent="0.2">
      <c r="A6" s="41">
        <v>5</v>
      </c>
      <c r="B6" s="42" t="s">
        <v>20</v>
      </c>
      <c r="C6" s="43" t="s">
        <v>21</v>
      </c>
      <c r="D6" s="70">
        <v>3651</v>
      </c>
      <c r="E6" s="71" t="s">
        <v>401</v>
      </c>
      <c r="F6" s="71" t="s">
        <v>402</v>
      </c>
      <c r="G6" s="71" t="s">
        <v>403</v>
      </c>
      <c r="H6" s="45" t="s">
        <v>26</v>
      </c>
      <c r="I6" s="46" t="s">
        <v>27</v>
      </c>
      <c r="J6" s="47">
        <v>0.7</v>
      </c>
      <c r="K6" s="55" t="s">
        <v>124</v>
      </c>
      <c r="L6" s="63" t="s">
        <v>125</v>
      </c>
      <c r="M6" s="13" t="s">
        <v>126</v>
      </c>
      <c r="N6" s="51" t="s">
        <v>127</v>
      </c>
      <c r="O6" s="47">
        <v>0.1</v>
      </c>
      <c r="P6" s="47"/>
      <c r="Q6" s="47">
        <f t="shared" si="0"/>
        <v>0</v>
      </c>
      <c r="R6" s="49">
        <f t="shared" si="1"/>
        <v>0</v>
      </c>
      <c r="S6" s="47" t="s">
        <v>31</v>
      </c>
      <c r="T6" s="50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1:48" s="19" customFormat="1" ht="21.6" x14ac:dyDescent="0.2">
      <c r="A7" s="41">
        <v>6</v>
      </c>
      <c r="B7" s="42" t="s">
        <v>20</v>
      </c>
      <c r="C7" s="43" t="s">
        <v>21</v>
      </c>
      <c r="D7" s="70" t="s">
        <v>404</v>
      </c>
      <c r="E7" s="71" t="s">
        <v>401</v>
      </c>
      <c r="F7" s="71" t="s">
        <v>402</v>
      </c>
      <c r="G7" s="71" t="s">
        <v>403</v>
      </c>
      <c r="H7" s="45" t="s">
        <v>26</v>
      </c>
      <c r="I7" s="46" t="s">
        <v>59</v>
      </c>
      <c r="J7" s="47">
        <v>0.2</v>
      </c>
      <c r="K7" s="55" t="s">
        <v>128</v>
      </c>
      <c r="L7" s="63" t="s">
        <v>129</v>
      </c>
      <c r="M7" s="13" t="s">
        <v>130</v>
      </c>
      <c r="N7" s="51" t="s">
        <v>112</v>
      </c>
      <c r="O7" s="47">
        <v>0.2</v>
      </c>
      <c r="P7" s="47"/>
      <c r="Q7" s="47">
        <f t="shared" si="0"/>
        <v>0</v>
      </c>
      <c r="R7" s="49">
        <f t="shared" si="1"/>
        <v>0</v>
      </c>
      <c r="S7" s="47" t="s">
        <v>31</v>
      </c>
      <c r="T7" s="50"/>
      <c r="U7" s="17"/>
      <c r="V7" s="17"/>
      <c r="W7" s="17"/>
      <c r="X7" s="17"/>
      <c r="Y7" s="17"/>
      <c r="Z7" s="17"/>
      <c r="AA7" s="17"/>
      <c r="AB7" s="17"/>
      <c r="AC7" s="17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 s="19" customFormat="1" ht="21.6" x14ac:dyDescent="0.2">
      <c r="A8" s="41">
        <v>7</v>
      </c>
      <c r="B8" s="42" t="s">
        <v>20</v>
      </c>
      <c r="C8" s="43" t="s">
        <v>21</v>
      </c>
      <c r="D8" s="70">
        <v>3651</v>
      </c>
      <c r="E8" s="71" t="s">
        <v>401</v>
      </c>
      <c r="F8" s="71" t="s">
        <v>402</v>
      </c>
      <c r="G8" s="71" t="s">
        <v>403</v>
      </c>
      <c r="H8" s="45" t="s">
        <v>26</v>
      </c>
      <c r="I8" s="46" t="s">
        <v>131</v>
      </c>
      <c r="J8" s="47">
        <v>0.1</v>
      </c>
      <c r="K8" s="55" t="s">
        <v>132</v>
      </c>
      <c r="L8" s="63" t="s">
        <v>133</v>
      </c>
      <c r="M8" s="13" t="s">
        <v>134</v>
      </c>
      <c r="N8" s="51" t="s">
        <v>135</v>
      </c>
      <c r="O8" s="47">
        <v>0.2</v>
      </c>
      <c r="P8" s="47"/>
      <c r="Q8" s="47">
        <f t="shared" si="0"/>
        <v>0</v>
      </c>
      <c r="R8" s="49">
        <f t="shared" si="1"/>
        <v>0</v>
      </c>
      <c r="S8" s="47" t="s">
        <v>31</v>
      </c>
      <c r="T8" s="50"/>
      <c r="U8" s="17"/>
      <c r="V8" s="17"/>
      <c r="W8" s="17"/>
      <c r="X8" s="17"/>
      <c r="Y8" s="17"/>
      <c r="Z8" s="17"/>
      <c r="AA8" s="17"/>
      <c r="AB8" s="17"/>
      <c r="AC8" s="1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</row>
    <row r="9" spans="1:48" s="19" customFormat="1" ht="21.6" x14ac:dyDescent="0.2">
      <c r="A9" s="41">
        <v>1</v>
      </c>
      <c r="B9" s="42" t="s">
        <v>20</v>
      </c>
      <c r="C9" s="43" t="s">
        <v>21</v>
      </c>
      <c r="D9" s="70">
        <v>6363</v>
      </c>
      <c r="E9" s="71" t="s">
        <v>405</v>
      </c>
      <c r="F9" s="71" t="s">
        <v>402</v>
      </c>
      <c r="G9" s="71" t="s">
        <v>403</v>
      </c>
      <c r="H9" s="45" t="s">
        <v>26</v>
      </c>
      <c r="I9" s="46" t="s">
        <v>27</v>
      </c>
      <c r="J9" s="47">
        <v>0.7</v>
      </c>
      <c r="K9" s="55" t="s">
        <v>109</v>
      </c>
      <c r="L9" s="63" t="s">
        <v>110</v>
      </c>
      <c r="M9" s="13" t="s">
        <v>111</v>
      </c>
      <c r="N9" s="51" t="s">
        <v>112</v>
      </c>
      <c r="O9" s="47">
        <v>0.15</v>
      </c>
      <c r="P9" s="47"/>
      <c r="Q9" s="47">
        <f t="shared" si="0"/>
        <v>0</v>
      </c>
      <c r="R9" s="49">
        <f t="shared" si="1"/>
        <v>0</v>
      </c>
      <c r="S9" s="47" t="s">
        <v>31</v>
      </c>
      <c r="T9" s="50">
        <f>SUM(R9:R15)%</f>
        <v>0</v>
      </c>
      <c r="U9" s="17"/>
      <c r="V9" s="17"/>
      <c r="W9" s="17"/>
      <c r="X9" s="17"/>
      <c r="Y9" s="17"/>
      <c r="Z9" s="17"/>
      <c r="AA9" s="17"/>
      <c r="AB9" s="17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</row>
    <row r="10" spans="1:48" s="19" customFormat="1" ht="21.6" x14ac:dyDescent="0.2">
      <c r="A10" s="41">
        <v>2</v>
      </c>
      <c r="B10" s="42" t="s">
        <v>20</v>
      </c>
      <c r="C10" s="43" t="s">
        <v>21</v>
      </c>
      <c r="D10" s="70">
        <v>6363</v>
      </c>
      <c r="E10" s="71" t="s">
        <v>405</v>
      </c>
      <c r="F10" s="71" t="s">
        <v>402</v>
      </c>
      <c r="G10" s="71" t="s">
        <v>403</v>
      </c>
      <c r="H10" s="45" t="s">
        <v>26</v>
      </c>
      <c r="I10" s="46" t="s">
        <v>27</v>
      </c>
      <c r="J10" s="47">
        <v>0.7</v>
      </c>
      <c r="K10" s="55" t="s">
        <v>113</v>
      </c>
      <c r="L10" s="63" t="s">
        <v>114</v>
      </c>
      <c r="M10" s="13" t="s">
        <v>115</v>
      </c>
      <c r="N10" s="51" t="s">
        <v>116</v>
      </c>
      <c r="O10" s="47">
        <v>0.15</v>
      </c>
      <c r="P10" s="47"/>
      <c r="Q10" s="47">
        <f t="shared" si="0"/>
        <v>0</v>
      </c>
      <c r="R10" s="49">
        <f t="shared" si="1"/>
        <v>0</v>
      </c>
      <c r="S10" s="47" t="s">
        <v>31</v>
      </c>
      <c r="T10" s="50"/>
      <c r="U10" s="17"/>
      <c r="V10" s="17"/>
      <c r="W10" s="17"/>
      <c r="X10" s="17"/>
      <c r="Y10" s="17"/>
      <c r="Z10" s="17"/>
      <c r="AA10" s="17"/>
      <c r="AB10" s="17"/>
      <c r="AC10" s="1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s="19" customFormat="1" ht="21.6" x14ac:dyDescent="0.2">
      <c r="A11" s="41">
        <v>3</v>
      </c>
      <c r="B11" s="42" t="s">
        <v>20</v>
      </c>
      <c r="C11" s="43" t="s">
        <v>21</v>
      </c>
      <c r="D11" s="70">
        <v>6363</v>
      </c>
      <c r="E11" s="71" t="s">
        <v>405</v>
      </c>
      <c r="F11" s="71" t="s">
        <v>402</v>
      </c>
      <c r="G11" s="71" t="s">
        <v>403</v>
      </c>
      <c r="H11" s="45" t="s">
        <v>26</v>
      </c>
      <c r="I11" s="46" t="s">
        <v>27</v>
      </c>
      <c r="J11" s="47">
        <v>0.7</v>
      </c>
      <c r="K11" s="55" t="s">
        <v>117</v>
      </c>
      <c r="L11" s="63" t="s">
        <v>118</v>
      </c>
      <c r="M11" s="13" t="s">
        <v>119</v>
      </c>
      <c r="N11" s="51" t="s">
        <v>120</v>
      </c>
      <c r="O11" s="47">
        <v>0.1</v>
      </c>
      <c r="P11" s="47"/>
      <c r="Q11" s="47">
        <f t="shared" si="0"/>
        <v>0</v>
      </c>
      <c r="R11" s="49">
        <f t="shared" si="1"/>
        <v>0</v>
      </c>
      <c r="S11" s="47" t="s">
        <v>36</v>
      </c>
      <c r="T11" s="50"/>
      <c r="U11" s="17"/>
      <c r="V11" s="17"/>
      <c r="W11" s="17"/>
      <c r="X11" s="17"/>
      <c r="Y11" s="17"/>
      <c r="Z11" s="17"/>
      <c r="AA11" s="17"/>
      <c r="AB11" s="17"/>
      <c r="AC11" s="17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8" s="19" customFormat="1" ht="21.6" x14ac:dyDescent="0.2">
      <c r="A12" s="41">
        <v>4</v>
      </c>
      <c r="B12" s="42" t="s">
        <v>20</v>
      </c>
      <c r="C12" s="43" t="s">
        <v>21</v>
      </c>
      <c r="D12" s="70">
        <v>6363</v>
      </c>
      <c r="E12" s="71" t="s">
        <v>405</v>
      </c>
      <c r="F12" s="71" t="s">
        <v>402</v>
      </c>
      <c r="G12" s="71" t="s">
        <v>403</v>
      </c>
      <c r="H12" s="45" t="s">
        <v>26</v>
      </c>
      <c r="I12" s="46" t="s">
        <v>27</v>
      </c>
      <c r="J12" s="47">
        <v>0.7</v>
      </c>
      <c r="K12" s="55" t="s">
        <v>121</v>
      </c>
      <c r="L12" s="63" t="s">
        <v>122</v>
      </c>
      <c r="M12" s="13" t="s">
        <v>123</v>
      </c>
      <c r="N12" s="51" t="s">
        <v>116</v>
      </c>
      <c r="O12" s="47">
        <v>0.1</v>
      </c>
      <c r="P12" s="47"/>
      <c r="Q12" s="47">
        <f t="shared" si="0"/>
        <v>0</v>
      </c>
      <c r="R12" s="49">
        <f t="shared" si="1"/>
        <v>0</v>
      </c>
      <c r="S12" s="47" t="s">
        <v>31</v>
      </c>
      <c r="T12" s="50"/>
      <c r="U12" s="17"/>
      <c r="V12" s="17"/>
      <c r="W12" s="17"/>
      <c r="X12" s="17"/>
      <c r="Y12" s="17"/>
      <c r="Z12" s="17"/>
      <c r="AA12" s="17"/>
      <c r="AB12" s="17"/>
      <c r="AC12" s="1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s="19" customFormat="1" ht="21.6" x14ac:dyDescent="0.2">
      <c r="A13" s="41">
        <v>5</v>
      </c>
      <c r="B13" s="42" t="s">
        <v>20</v>
      </c>
      <c r="C13" s="43" t="s">
        <v>21</v>
      </c>
      <c r="D13" s="70">
        <v>6363</v>
      </c>
      <c r="E13" s="71" t="s">
        <v>405</v>
      </c>
      <c r="F13" s="71" t="s">
        <v>402</v>
      </c>
      <c r="G13" s="71" t="s">
        <v>403</v>
      </c>
      <c r="H13" s="45" t="s">
        <v>26</v>
      </c>
      <c r="I13" s="46" t="s">
        <v>27</v>
      </c>
      <c r="J13" s="47">
        <v>0.7</v>
      </c>
      <c r="K13" s="55" t="s">
        <v>124</v>
      </c>
      <c r="L13" s="63" t="s">
        <v>125</v>
      </c>
      <c r="M13" s="13" t="s">
        <v>126</v>
      </c>
      <c r="N13" s="51" t="s">
        <v>127</v>
      </c>
      <c r="O13" s="47">
        <v>0.1</v>
      </c>
      <c r="P13" s="47"/>
      <c r="Q13" s="47">
        <f t="shared" si="0"/>
        <v>0</v>
      </c>
      <c r="R13" s="49">
        <f t="shared" si="1"/>
        <v>0</v>
      </c>
      <c r="S13" s="47" t="s">
        <v>31</v>
      </c>
      <c r="T13" s="50"/>
      <c r="U13" s="17"/>
      <c r="V13" s="17"/>
      <c r="W13" s="17"/>
      <c r="X13" s="17"/>
      <c r="Y13" s="17"/>
      <c r="Z13" s="17"/>
      <c r="AA13" s="17"/>
      <c r="AB13" s="17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8" s="19" customFormat="1" ht="21.6" x14ac:dyDescent="0.2">
      <c r="A14" s="41">
        <v>6</v>
      </c>
      <c r="B14" s="42" t="s">
        <v>20</v>
      </c>
      <c r="C14" s="43" t="s">
        <v>21</v>
      </c>
      <c r="D14" s="70">
        <v>6363</v>
      </c>
      <c r="E14" s="71" t="s">
        <v>405</v>
      </c>
      <c r="F14" s="71" t="s">
        <v>402</v>
      </c>
      <c r="G14" s="71" t="s">
        <v>403</v>
      </c>
      <c r="H14" s="45" t="s">
        <v>26</v>
      </c>
      <c r="I14" s="46" t="s">
        <v>59</v>
      </c>
      <c r="J14" s="47">
        <v>0.2</v>
      </c>
      <c r="K14" s="55" t="s">
        <v>128</v>
      </c>
      <c r="L14" s="63" t="s">
        <v>129</v>
      </c>
      <c r="M14" s="13" t="s">
        <v>130</v>
      </c>
      <c r="N14" s="51" t="s">
        <v>112</v>
      </c>
      <c r="O14" s="47">
        <v>0.2</v>
      </c>
      <c r="P14" s="47"/>
      <c r="Q14" s="47">
        <f t="shared" si="0"/>
        <v>0</v>
      </c>
      <c r="R14" s="49">
        <f t="shared" si="1"/>
        <v>0</v>
      </c>
      <c r="S14" s="47" t="s">
        <v>31</v>
      </c>
      <c r="T14" s="50"/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8" s="19" customFormat="1" ht="21.6" x14ac:dyDescent="0.2">
      <c r="A15" s="41">
        <v>7</v>
      </c>
      <c r="B15" s="42" t="s">
        <v>20</v>
      </c>
      <c r="C15" s="43" t="s">
        <v>21</v>
      </c>
      <c r="D15" s="70">
        <v>6363</v>
      </c>
      <c r="E15" s="71" t="s">
        <v>405</v>
      </c>
      <c r="F15" s="71" t="s">
        <v>402</v>
      </c>
      <c r="G15" s="71" t="s">
        <v>403</v>
      </c>
      <c r="H15" s="45" t="s">
        <v>26</v>
      </c>
      <c r="I15" s="46" t="s">
        <v>131</v>
      </c>
      <c r="J15" s="47">
        <v>0.1</v>
      </c>
      <c r="K15" s="55" t="s">
        <v>132</v>
      </c>
      <c r="L15" s="63" t="s">
        <v>133</v>
      </c>
      <c r="M15" s="13" t="s">
        <v>134</v>
      </c>
      <c r="N15" s="51" t="s">
        <v>135</v>
      </c>
      <c r="O15" s="47">
        <v>0.2</v>
      </c>
      <c r="P15" s="47"/>
      <c r="Q15" s="47">
        <f t="shared" si="0"/>
        <v>0</v>
      </c>
      <c r="R15" s="49">
        <f t="shared" si="1"/>
        <v>0</v>
      </c>
      <c r="S15" s="47" t="s">
        <v>31</v>
      </c>
      <c r="T15" s="50"/>
      <c r="U15" s="17"/>
      <c r="V15" s="17"/>
      <c r="W15" s="17"/>
      <c r="X15" s="17"/>
      <c r="Y15" s="17"/>
      <c r="Z15" s="17"/>
      <c r="AA15" s="17"/>
      <c r="AB15" s="17"/>
      <c r="AC15" s="17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8" spans="13:13" x14ac:dyDescent="0.3">
      <c r="M18" t="s">
        <v>406</v>
      </c>
    </row>
  </sheetData>
  <conditionalFormatting sqref="I1 K1:M1">
    <cfRule type="cellIs" dxfId="36" priority="2" operator="equal">
      <formula>"maintasks"</formula>
    </cfRule>
  </conditionalFormatting>
  <conditionalFormatting sqref="I2:I15 K2:M15">
    <cfRule type="cellIs" dxfId="35" priority="1" operator="equal">
      <formula>"maintasks"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94AB-B533-43A5-A0D0-93A4A82D1E37}">
  <dimension ref="A1:AV25"/>
  <sheetViews>
    <sheetView workbookViewId="0">
      <selection activeCell="D8" sqref="D8:D13"/>
    </sheetView>
  </sheetViews>
  <sheetFormatPr defaultRowHeight="14.4" x14ac:dyDescent="0.3"/>
  <cols>
    <col min="1" max="1" width="6.88671875" customWidth="1"/>
    <col min="2" max="2" width="14.44140625" bestFit="1" customWidth="1"/>
    <col min="3" max="3" width="10.44140625" customWidth="1"/>
    <col min="5" max="5" width="11.77734375" customWidth="1"/>
    <col min="6" max="6" width="13.44140625" customWidth="1"/>
    <col min="7" max="7" width="12.44140625" customWidth="1"/>
    <col min="8" max="8" width="7.88671875" bestFit="1" customWidth="1"/>
    <col min="9" max="9" width="22.5546875" customWidth="1"/>
    <col min="10" max="10" width="10.6640625" customWidth="1"/>
    <col min="11" max="11" width="38.88671875" customWidth="1"/>
    <col min="12" max="12" width="42.21875" customWidth="1"/>
    <col min="13" max="13" width="51.77734375" customWidth="1"/>
    <col min="14" max="14" width="14.109375" customWidth="1"/>
    <col min="15" max="15" width="14.77734375" customWidth="1"/>
    <col min="16" max="16" width="21.44140625" customWidth="1"/>
    <col min="17" max="17" width="24.77734375" customWidth="1"/>
    <col min="18" max="18" width="18.77734375" customWidth="1"/>
    <col min="19" max="19" width="16.33203125" customWidth="1"/>
    <col min="20" max="20" width="7.77734375" customWidth="1"/>
  </cols>
  <sheetData>
    <row r="1" spans="1:48" ht="27.45" customHeight="1" x14ac:dyDescent="0.3">
      <c r="A1" s="87" t="s">
        <v>0</v>
      </c>
      <c r="B1" s="88" t="s">
        <v>1</v>
      </c>
      <c r="C1" s="88" t="s">
        <v>2</v>
      </c>
      <c r="D1" s="89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8</v>
      </c>
      <c r="J1" s="90" t="s">
        <v>9</v>
      </c>
      <c r="K1" s="88" t="s">
        <v>10</v>
      </c>
      <c r="L1" s="88" t="s">
        <v>11</v>
      </c>
      <c r="M1" s="88" t="s">
        <v>12</v>
      </c>
      <c r="N1" s="88" t="s">
        <v>13</v>
      </c>
      <c r="O1" s="90" t="s">
        <v>14</v>
      </c>
      <c r="P1" s="88" t="s">
        <v>15</v>
      </c>
      <c r="Q1" s="91" t="s">
        <v>16</v>
      </c>
      <c r="R1" s="92" t="s">
        <v>17</v>
      </c>
      <c r="S1" s="93" t="s">
        <v>18</v>
      </c>
      <c r="T1" s="94" t="s">
        <v>19</v>
      </c>
    </row>
    <row r="2" spans="1:48" s="19" customFormat="1" ht="21.6" x14ac:dyDescent="0.2">
      <c r="A2" s="41">
        <v>1</v>
      </c>
      <c r="B2" s="42" t="s">
        <v>20</v>
      </c>
      <c r="C2" s="43" t="s">
        <v>21</v>
      </c>
      <c r="D2" s="70"/>
      <c r="E2" s="71" t="s">
        <v>407</v>
      </c>
      <c r="F2" s="71" t="s">
        <v>408</v>
      </c>
      <c r="G2" s="71" t="s">
        <v>104</v>
      </c>
      <c r="H2" s="45" t="s">
        <v>409</v>
      </c>
      <c r="I2" s="46" t="s">
        <v>27</v>
      </c>
      <c r="J2" s="47">
        <v>1</v>
      </c>
      <c r="K2" s="55"/>
      <c r="L2" s="63" t="s">
        <v>410</v>
      </c>
      <c r="M2" s="13"/>
      <c r="N2" s="51">
        <v>0.8</v>
      </c>
      <c r="O2" s="47">
        <v>0.2</v>
      </c>
      <c r="P2" s="47"/>
      <c r="Q2" s="47">
        <f t="shared" ref="Q2:Q25" si="0">ROUND(IF(OR(N2="",P2=""),0,IF(AND(N2=0,P2=0),1,IF(S2="+",P2/N2,N2/P2))),2)</f>
        <v>0</v>
      </c>
      <c r="R2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" s="47" t="s">
        <v>31</v>
      </c>
      <c r="T2" s="50">
        <f>SUM(R2:R7)%</f>
        <v>0</v>
      </c>
      <c r="U2" s="17"/>
      <c r="V2" s="17"/>
      <c r="W2" s="17"/>
      <c r="X2" s="17"/>
      <c r="Y2" s="17"/>
      <c r="Z2" s="17"/>
      <c r="AA2" s="17"/>
      <c r="AB2" s="17"/>
      <c r="AC2" s="17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spans="1:48" s="19" customFormat="1" ht="21.6" x14ac:dyDescent="0.2">
      <c r="A3" s="41">
        <v>2</v>
      </c>
      <c r="B3" s="42" t="s">
        <v>20</v>
      </c>
      <c r="C3" s="43" t="s">
        <v>21</v>
      </c>
      <c r="D3" s="70"/>
      <c r="E3" s="71" t="s">
        <v>407</v>
      </c>
      <c r="F3" s="71" t="s">
        <v>408</v>
      </c>
      <c r="G3" s="71" t="s">
        <v>104</v>
      </c>
      <c r="H3" s="45" t="s">
        <v>409</v>
      </c>
      <c r="I3" s="46" t="s">
        <v>27</v>
      </c>
      <c r="J3" s="47">
        <v>1</v>
      </c>
      <c r="K3" s="55"/>
      <c r="L3" s="63" t="s">
        <v>411</v>
      </c>
      <c r="M3" s="13"/>
      <c r="N3" s="51">
        <v>0.8</v>
      </c>
      <c r="O3" s="47">
        <v>0.2</v>
      </c>
      <c r="P3" s="47"/>
      <c r="Q3" s="47">
        <f t="shared" si="0"/>
        <v>0</v>
      </c>
      <c r="R3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3" s="47" t="s">
        <v>31</v>
      </c>
      <c r="T3" s="50"/>
      <c r="U3" s="17"/>
      <c r="V3" s="17"/>
      <c r="W3" s="17"/>
      <c r="X3" s="17"/>
      <c r="Y3" s="17"/>
      <c r="Z3" s="17"/>
      <c r="AA3" s="17"/>
      <c r="AB3" s="17"/>
      <c r="AC3" s="17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8" s="19" customFormat="1" ht="21.6" x14ac:dyDescent="0.2">
      <c r="A4" s="41">
        <v>3</v>
      </c>
      <c r="B4" s="42" t="s">
        <v>20</v>
      </c>
      <c r="C4" s="43" t="s">
        <v>21</v>
      </c>
      <c r="D4" s="70"/>
      <c r="E4" s="71" t="s">
        <v>407</v>
      </c>
      <c r="F4" s="71" t="s">
        <v>408</v>
      </c>
      <c r="G4" s="71" t="s">
        <v>104</v>
      </c>
      <c r="H4" s="45" t="s">
        <v>409</v>
      </c>
      <c r="I4" s="46" t="s">
        <v>27</v>
      </c>
      <c r="J4" s="47">
        <v>1</v>
      </c>
      <c r="K4" s="55"/>
      <c r="L4" s="63" t="s">
        <v>412</v>
      </c>
      <c r="M4" s="13"/>
      <c r="N4" s="51">
        <v>60</v>
      </c>
      <c r="O4" s="47">
        <v>0.05</v>
      </c>
      <c r="P4" s="47"/>
      <c r="Q4" s="47">
        <f t="shared" si="0"/>
        <v>0</v>
      </c>
      <c r="R4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4" s="47" t="s">
        <v>36</v>
      </c>
      <c r="T4" s="50"/>
      <c r="U4" s="17"/>
      <c r="V4" s="17"/>
      <c r="W4" s="17"/>
      <c r="X4" s="17"/>
      <c r="Y4" s="17"/>
      <c r="Z4" s="17"/>
      <c r="AA4" s="17"/>
      <c r="AB4" s="17"/>
      <c r="AC4" s="17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s="19" customFormat="1" ht="21.6" x14ac:dyDescent="0.2">
      <c r="A5" s="41">
        <v>4</v>
      </c>
      <c r="B5" s="42" t="s">
        <v>20</v>
      </c>
      <c r="C5" s="43" t="s">
        <v>21</v>
      </c>
      <c r="D5" s="70"/>
      <c r="E5" s="71" t="s">
        <v>407</v>
      </c>
      <c r="F5" s="71" t="s">
        <v>408</v>
      </c>
      <c r="G5" s="71" t="s">
        <v>104</v>
      </c>
      <c r="H5" s="45" t="s">
        <v>409</v>
      </c>
      <c r="I5" s="46" t="s">
        <v>27</v>
      </c>
      <c r="J5" s="47">
        <v>1</v>
      </c>
      <c r="K5" s="55"/>
      <c r="L5" s="63" t="s">
        <v>413</v>
      </c>
      <c r="M5" s="13"/>
      <c r="N5" s="51">
        <v>0</v>
      </c>
      <c r="O5" s="47">
        <v>0.3</v>
      </c>
      <c r="P5" s="47"/>
      <c r="Q5" s="47">
        <f t="shared" si="0"/>
        <v>0</v>
      </c>
      <c r="R5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" s="47" t="s">
        <v>36</v>
      </c>
      <c r="T5" s="50"/>
      <c r="U5" s="17"/>
      <c r="V5" s="17"/>
      <c r="W5" s="17"/>
      <c r="X5" s="17"/>
      <c r="Y5" s="17"/>
      <c r="Z5" s="17"/>
      <c r="AA5" s="17"/>
      <c r="AB5" s="17"/>
      <c r="AC5" s="17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</row>
    <row r="6" spans="1:48" s="19" customFormat="1" ht="21.6" x14ac:dyDescent="0.2">
      <c r="A6" s="41">
        <v>5</v>
      </c>
      <c r="B6" s="42" t="s">
        <v>20</v>
      </c>
      <c r="C6" s="43" t="s">
        <v>21</v>
      </c>
      <c r="D6" s="70"/>
      <c r="E6" s="71" t="s">
        <v>407</v>
      </c>
      <c r="F6" s="71" t="s">
        <v>408</v>
      </c>
      <c r="G6" s="71" t="s">
        <v>104</v>
      </c>
      <c r="H6" s="45" t="s">
        <v>409</v>
      </c>
      <c r="I6" s="46" t="s">
        <v>27</v>
      </c>
      <c r="J6" s="47">
        <v>1</v>
      </c>
      <c r="K6" s="55"/>
      <c r="L6" s="63" t="s">
        <v>414</v>
      </c>
      <c r="M6" s="13"/>
      <c r="N6" s="51">
        <v>0</v>
      </c>
      <c r="O6" s="47">
        <v>0.2</v>
      </c>
      <c r="P6" s="47"/>
      <c r="Q6" s="47">
        <f t="shared" si="0"/>
        <v>0</v>
      </c>
      <c r="R6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" s="47" t="s">
        <v>36</v>
      </c>
      <c r="T6" s="50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1:48" s="19" customFormat="1" ht="21.6" x14ac:dyDescent="0.2">
      <c r="A7" s="41">
        <v>6</v>
      </c>
      <c r="B7" s="42" t="s">
        <v>20</v>
      </c>
      <c r="C7" s="43" t="s">
        <v>21</v>
      </c>
      <c r="D7" s="70"/>
      <c r="E7" s="71" t="s">
        <v>407</v>
      </c>
      <c r="F7" s="71" t="s">
        <v>408</v>
      </c>
      <c r="G7" s="71" t="s">
        <v>104</v>
      </c>
      <c r="H7" s="45" t="s">
        <v>409</v>
      </c>
      <c r="I7" s="46" t="s">
        <v>27</v>
      </c>
      <c r="J7" s="47">
        <v>1</v>
      </c>
      <c r="K7" s="55"/>
      <c r="L7" s="63" t="s">
        <v>415</v>
      </c>
      <c r="M7" s="13"/>
      <c r="N7" s="51">
        <v>0</v>
      </c>
      <c r="O7" s="47">
        <v>0.05</v>
      </c>
      <c r="P7" s="47"/>
      <c r="Q7" s="47">
        <f t="shared" si="0"/>
        <v>0</v>
      </c>
      <c r="R7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" s="47" t="s">
        <v>36</v>
      </c>
      <c r="T7" s="50"/>
      <c r="U7" s="17"/>
      <c r="V7" s="17"/>
      <c r="W7" s="17"/>
      <c r="X7" s="17"/>
      <c r="Y7" s="17"/>
      <c r="Z7" s="17"/>
      <c r="AA7" s="17"/>
      <c r="AB7" s="17"/>
      <c r="AC7" s="17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 s="19" customFormat="1" ht="21.6" x14ac:dyDescent="0.2">
      <c r="A8" s="41">
        <v>7</v>
      </c>
      <c r="B8" s="42" t="s">
        <v>20</v>
      </c>
      <c r="C8" s="43" t="s">
        <v>21</v>
      </c>
      <c r="D8" s="66">
        <v>3076</v>
      </c>
      <c r="E8" s="71" t="s">
        <v>416</v>
      </c>
      <c r="F8" s="71" t="s">
        <v>417</v>
      </c>
      <c r="G8" s="71" t="s">
        <v>104</v>
      </c>
      <c r="H8" s="45" t="s">
        <v>409</v>
      </c>
      <c r="I8" s="46" t="s">
        <v>27</v>
      </c>
      <c r="J8" s="47">
        <v>1</v>
      </c>
      <c r="K8" s="55"/>
      <c r="L8" s="63" t="s">
        <v>410</v>
      </c>
      <c r="M8" s="13"/>
      <c r="N8" s="51">
        <v>0.8</v>
      </c>
      <c r="O8" s="47">
        <v>0.2</v>
      </c>
      <c r="P8" s="47"/>
      <c r="Q8" s="47">
        <f t="shared" si="0"/>
        <v>0</v>
      </c>
      <c r="R8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" s="47" t="s">
        <v>31</v>
      </c>
      <c r="T8" s="50">
        <f>SUM(R8:R13)%</f>
        <v>0</v>
      </c>
      <c r="U8" s="17"/>
      <c r="V8" s="17"/>
      <c r="W8" s="17"/>
      <c r="X8" s="17"/>
      <c r="Y8" s="17"/>
      <c r="Z8" s="17"/>
      <c r="AA8" s="17"/>
      <c r="AB8" s="17"/>
      <c r="AC8" s="1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</row>
    <row r="9" spans="1:48" s="19" customFormat="1" ht="21.6" x14ac:dyDescent="0.2">
      <c r="A9" s="41">
        <v>8</v>
      </c>
      <c r="B9" s="42" t="s">
        <v>20</v>
      </c>
      <c r="C9" s="43" t="s">
        <v>21</v>
      </c>
      <c r="D9" s="66">
        <v>3076</v>
      </c>
      <c r="E9" s="71" t="s">
        <v>416</v>
      </c>
      <c r="F9" s="71" t="s">
        <v>417</v>
      </c>
      <c r="G9" s="71" t="s">
        <v>104</v>
      </c>
      <c r="H9" s="45" t="s">
        <v>409</v>
      </c>
      <c r="I9" s="46" t="s">
        <v>27</v>
      </c>
      <c r="J9" s="47">
        <v>1</v>
      </c>
      <c r="K9" s="55"/>
      <c r="L9" s="63" t="s">
        <v>411</v>
      </c>
      <c r="M9" s="13"/>
      <c r="N9" s="51">
        <v>0.8</v>
      </c>
      <c r="O9" s="47">
        <v>0.2</v>
      </c>
      <c r="P9" s="47"/>
      <c r="Q9" s="47">
        <f t="shared" si="0"/>
        <v>0</v>
      </c>
      <c r="R9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" s="47" t="s">
        <v>31</v>
      </c>
      <c r="T9" s="50"/>
      <c r="U9" s="17"/>
      <c r="V9" s="17"/>
      <c r="W9" s="17"/>
      <c r="X9" s="17"/>
      <c r="Y9" s="17"/>
      <c r="Z9" s="17"/>
      <c r="AA9" s="17"/>
      <c r="AB9" s="17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</row>
    <row r="10" spans="1:48" s="19" customFormat="1" ht="21.6" x14ac:dyDescent="0.2">
      <c r="A10" s="41">
        <v>9</v>
      </c>
      <c r="B10" s="42" t="s">
        <v>20</v>
      </c>
      <c r="C10" s="43" t="s">
        <v>21</v>
      </c>
      <c r="D10" s="66">
        <v>3076</v>
      </c>
      <c r="E10" s="71" t="s">
        <v>416</v>
      </c>
      <c r="F10" s="71" t="s">
        <v>417</v>
      </c>
      <c r="G10" s="71" t="s">
        <v>104</v>
      </c>
      <c r="H10" s="45" t="s">
        <v>409</v>
      </c>
      <c r="I10" s="46" t="s">
        <v>27</v>
      </c>
      <c r="J10" s="47">
        <v>1</v>
      </c>
      <c r="K10" s="55"/>
      <c r="L10" s="63" t="s">
        <v>412</v>
      </c>
      <c r="M10" s="13"/>
      <c r="N10" s="51">
        <v>60</v>
      </c>
      <c r="O10" s="47">
        <v>0.05</v>
      </c>
      <c r="P10" s="47"/>
      <c r="Q10" s="47">
        <f t="shared" si="0"/>
        <v>0</v>
      </c>
      <c r="R10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" s="47" t="s">
        <v>36</v>
      </c>
      <c r="T10" s="50"/>
      <c r="U10" s="17"/>
      <c r="V10" s="17"/>
      <c r="W10" s="17"/>
      <c r="X10" s="17"/>
      <c r="Y10" s="17"/>
      <c r="Z10" s="17"/>
      <c r="AA10" s="17"/>
      <c r="AB10" s="17"/>
      <c r="AC10" s="1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s="19" customFormat="1" ht="21.6" x14ac:dyDescent="0.2">
      <c r="A11" s="41">
        <v>10</v>
      </c>
      <c r="B11" s="42" t="s">
        <v>20</v>
      </c>
      <c r="C11" s="43" t="s">
        <v>21</v>
      </c>
      <c r="D11" s="66">
        <v>3076</v>
      </c>
      <c r="E11" s="71" t="s">
        <v>416</v>
      </c>
      <c r="F11" s="71" t="s">
        <v>417</v>
      </c>
      <c r="G11" s="71" t="s">
        <v>104</v>
      </c>
      <c r="H11" s="45" t="s">
        <v>409</v>
      </c>
      <c r="I11" s="46" t="s">
        <v>27</v>
      </c>
      <c r="J11" s="47">
        <v>1</v>
      </c>
      <c r="K11" s="55"/>
      <c r="L11" s="63" t="s">
        <v>413</v>
      </c>
      <c r="M11" s="13"/>
      <c r="N11" s="51">
        <v>0</v>
      </c>
      <c r="O11" s="47">
        <v>0.3</v>
      </c>
      <c r="P11" s="47"/>
      <c r="Q11" s="47">
        <f t="shared" si="0"/>
        <v>0</v>
      </c>
      <c r="R11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" s="47" t="s">
        <v>36</v>
      </c>
      <c r="T11" s="50"/>
      <c r="U11" s="17"/>
      <c r="V11" s="17"/>
      <c r="W11" s="17"/>
      <c r="X11" s="17"/>
      <c r="Y11" s="17"/>
      <c r="Z11" s="17"/>
      <c r="AA11" s="17"/>
      <c r="AB11" s="17"/>
      <c r="AC11" s="17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8" s="19" customFormat="1" ht="21.6" x14ac:dyDescent="0.2">
      <c r="A12" s="41">
        <v>11</v>
      </c>
      <c r="B12" s="42" t="s">
        <v>20</v>
      </c>
      <c r="C12" s="43" t="s">
        <v>21</v>
      </c>
      <c r="D12" s="66">
        <v>3076</v>
      </c>
      <c r="E12" s="71" t="s">
        <v>416</v>
      </c>
      <c r="F12" s="71" t="s">
        <v>417</v>
      </c>
      <c r="G12" s="71" t="s">
        <v>104</v>
      </c>
      <c r="H12" s="45" t="s">
        <v>409</v>
      </c>
      <c r="I12" s="46" t="s">
        <v>27</v>
      </c>
      <c r="J12" s="47">
        <v>1</v>
      </c>
      <c r="K12" s="55"/>
      <c r="L12" s="63" t="s">
        <v>414</v>
      </c>
      <c r="M12" s="13"/>
      <c r="N12" s="51">
        <v>0</v>
      </c>
      <c r="O12" s="47">
        <v>0.2</v>
      </c>
      <c r="P12" s="47"/>
      <c r="Q12" s="47">
        <f t="shared" si="0"/>
        <v>0</v>
      </c>
      <c r="R12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2" s="47" t="s">
        <v>36</v>
      </c>
      <c r="T12" s="50"/>
      <c r="U12" s="17"/>
      <c r="V12" s="17"/>
      <c r="W12" s="17"/>
      <c r="X12" s="17"/>
      <c r="Y12" s="17"/>
      <c r="Z12" s="17"/>
      <c r="AA12" s="17"/>
      <c r="AB12" s="17"/>
      <c r="AC12" s="1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s="19" customFormat="1" ht="21.6" x14ac:dyDescent="0.2">
      <c r="A13" s="41">
        <v>12</v>
      </c>
      <c r="B13" s="42" t="s">
        <v>20</v>
      </c>
      <c r="C13" s="43" t="s">
        <v>21</v>
      </c>
      <c r="D13" s="66">
        <v>3076</v>
      </c>
      <c r="E13" s="71" t="s">
        <v>416</v>
      </c>
      <c r="F13" s="71" t="s">
        <v>417</v>
      </c>
      <c r="G13" s="71" t="s">
        <v>104</v>
      </c>
      <c r="H13" s="45" t="s">
        <v>409</v>
      </c>
      <c r="I13" s="46" t="s">
        <v>27</v>
      </c>
      <c r="J13" s="47">
        <v>1</v>
      </c>
      <c r="K13" s="55"/>
      <c r="L13" s="63" t="s">
        <v>415</v>
      </c>
      <c r="M13" s="13"/>
      <c r="N13" s="51">
        <v>0</v>
      </c>
      <c r="O13" s="47">
        <v>0.05</v>
      </c>
      <c r="P13" s="47"/>
      <c r="Q13" s="47">
        <f t="shared" si="0"/>
        <v>0</v>
      </c>
      <c r="R13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3" s="47" t="s">
        <v>36</v>
      </c>
      <c r="T13" s="50"/>
      <c r="U13" s="17"/>
      <c r="V13" s="17"/>
      <c r="W13" s="17"/>
      <c r="X13" s="17"/>
      <c r="Y13" s="17"/>
      <c r="Z13" s="17"/>
      <c r="AA13" s="17"/>
      <c r="AB13" s="17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8" s="19" customFormat="1" ht="21.6" x14ac:dyDescent="0.2">
      <c r="A14" s="41">
        <v>13</v>
      </c>
      <c r="B14" s="42" t="s">
        <v>20</v>
      </c>
      <c r="C14" s="43" t="s">
        <v>21</v>
      </c>
      <c r="D14" s="70"/>
      <c r="E14" s="71" t="s">
        <v>418</v>
      </c>
      <c r="F14" s="71" t="s">
        <v>419</v>
      </c>
      <c r="G14" s="71" t="s">
        <v>104</v>
      </c>
      <c r="H14" s="45" t="s">
        <v>409</v>
      </c>
      <c r="I14" s="46" t="s">
        <v>27</v>
      </c>
      <c r="J14" s="47">
        <v>1</v>
      </c>
      <c r="K14" s="55"/>
      <c r="L14" s="63" t="s">
        <v>410</v>
      </c>
      <c r="M14" s="13"/>
      <c r="N14" s="51">
        <v>0.8</v>
      </c>
      <c r="O14" s="47">
        <v>0.2</v>
      </c>
      <c r="P14" s="47"/>
      <c r="Q14" s="47">
        <f t="shared" si="0"/>
        <v>0</v>
      </c>
      <c r="R14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4" s="47" t="s">
        <v>31</v>
      </c>
      <c r="T14" s="50">
        <f>SUM(R14:R19)%</f>
        <v>0</v>
      </c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8" s="19" customFormat="1" ht="21.6" x14ac:dyDescent="0.2">
      <c r="A15" s="41">
        <v>14</v>
      </c>
      <c r="B15" s="42" t="s">
        <v>20</v>
      </c>
      <c r="C15" s="43" t="s">
        <v>21</v>
      </c>
      <c r="D15" s="70"/>
      <c r="E15" s="71" t="s">
        <v>418</v>
      </c>
      <c r="F15" s="71" t="s">
        <v>419</v>
      </c>
      <c r="G15" s="71" t="s">
        <v>104</v>
      </c>
      <c r="H15" s="45" t="s">
        <v>409</v>
      </c>
      <c r="I15" s="46" t="s">
        <v>27</v>
      </c>
      <c r="J15" s="47">
        <v>1</v>
      </c>
      <c r="K15" s="55"/>
      <c r="L15" s="63" t="s">
        <v>411</v>
      </c>
      <c r="M15" s="13"/>
      <c r="N15" s="51">
        <v>0.8</v>
      </c>
      <c r="O15" s="47">
        <v>0.2</v>
      </c>
      <c r="P15" s="47"/>
      <c r="Q15" s="47">
        <f t="shared" si="0"/>
        <v>0</v>
      </c>
      <c r="R15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5" s="47" t="s">
        <v>31</v>
      </c>
      <c r="T15" s="50"/>
      <c r="U15" s="17"/>
      <c r="V15" s="17"/>
      <c r="W15" s="17"/>
      <c r="X15" s="17"/>
      <c r="Y15" s="17"/>
      <c r="Z15" s="17"/>
      <c r="AA15" s="17"/>
      <c r="AB15" s="17"/>
      <c r="AC15" s="17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spans="1:48" s="19" customFormat="1" ht="21.6" x14ac:dyDescent="0.2">
      <c r="A16" s="41">
        <v>15</v>
      </c>
      <c r="B16" s="42" t="s">
        <v>20</v>
      </c>
      <c r="C16" s="43" t="s">
        <v>21</v>
      </c>
      <c r="D16" s="70"/>
      <c r="E16" s="71" t="s">
        <v>418</v>
      </c>
      <c r="F16" s="71" t="s">
        <v>419</v>
      </c>
      <c r="G16" s="71" t="s">
        <v>104</v>
      </c>
      <c r="H16" s="45" t="s">
        <v>409</v>
      </c>
      <c r="I16" s="46" t="s">
        <v>27</v>
      </c>
      <c r="J16" s="47">
        <v>1</v>
      </c>
      <c r="K16" s="55"/>
      <c r="L16" s="63" t="s">
        <v>412</v>
      </c>
      <c r="M16" s="13"/>
      <c r="N16" s="51">
        <v>60</v>
      </c>
      <c r="O16" s="47">
        <v>0.05</v>
      </c>
      <c r="P16" s="47"/>
      <c r="Q16" s="47">
        <f t="shared" si="0"/>
        <v>0</v>
      </c>
      <c r="R16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6" s="47" t="s">
        <v>36</v>
      </c>
      <c r="T16" s="50"/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1:48" s="19" customFormat="1" ht="21.6" x14ac:dyDescent="0.2">
      <c r="A17" s="41">
        <v>16</v>
      </c>
      <c r="B17" s="42" t="s">
        <v>20</v>
      </c>
      <c r="C17" s="43" t="s">
        <v>21</v>
      </c>
      <c r="D17" s="70"/>
      <c r="E17" s="71" t="s">
        <v>418</v>
      </c>
      <c r="F17" s="71" t="s">
        <v>419</v>
      </c>
      <c r="G17" s="71" t="s">
        <v>104</v>
      </c>
      <c r="H17" s="45" t="s">
        <v>409</v>
      </c>
      <c r="I17" s="46" t="s">
        <v>27</v>
      </c>
      <c r="J17" s="47">
        <v>1</v>
      </c>
      <c r="K17" s="55"/>
      <c r="L17" s="63" t="s">
        <v>413</v>
      </c>
      <c r="M17" s="13"/>
      <c r="N17" s="51">
        <v>0</v>
      </c>
      <c r="O17" s="47">
        <v>0.3</v>
      </c>
      <c r="P17" s="47"/>
      <c r="Q17" s="47">
        <f t="shared" si="0"/>
        <v>0</v>
      </c>
      <c r="R17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7" s="47" t="s">
        <v>36</v>
      </c>
      <c r="T17" s="50"/>
      <c r="U17" s="17"/>
      <c r="V17" s="17"/>
      <c r="W17" s="17"/>
      <c r="X17" s="17"/>
      <c r="Y17" s="17"/>
      <c r="Z17" s="17"/>
      <c r="AA17" s="17"/>
      <c r="AB17" s="17"/>
      <c r="AC17" s="17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1:48" s="19" customFormat="1" ht="21.6" x14ac:dyDescent="0.2">
      <c r="A18" s="41">
        <v>17</v>
      </c>
      <c r="B18" s="42" t="s">
        <v>20</v>
      </c>
      <c r="C18" s="43" t="s">
        <v>21</v>
      </c>
      <c r="D18" s="70"/>
      <c r="E18" s="71" t="s">
        <v>418</v>
      </c>
      <c r="F18" s="71" t="s">
        <v>419</v>
      </c>
      <c r="G18" s="71" t="s">
        <v>104</v>
      </c>
      <c r="H18" s="45" t="s">
        <v>409</v>
      </c>
      <c r="I18" s="46" t="s">
        <v>27</v>
      </c>
      <c r="J18" s="47">
        <v>1</v>
      </c>
      <c r="K18" s="55"/>
      <c r="L18" s="63" t="s">
        <v>414</v>
      </c>
      <c r="M18" s="13"/>
      <c r="N18" s="51">
        <v>0</v>
      </c>
      <c r="O18" s="47">
        <v>0.2</v>
      </c>
      <c r="P18" s="47"/>
      <c r="Q18" s="47">
        <f t="shared" si="0"/>
        <v>0</v>
      </c>
      <c r="R18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8" s="47" t="s">
        <v>36</v>
      </c>
      <c r="T18" s="50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 s="19" customFormat="1" ht="21.6" x14ac:dyDescent="0.2">
      <c r="A19" s="41">
        <v>18</v>
      </c>
      <c r="B19" s="42" t="s">
        <v>20</v>
      </c>
      <c r="C19" s="43" t="s">
        <v>21</v>
      </c>
      <c r="D19" s="70"/>
      <c r="E19" s="71" t="s">
        <v>418</v>
      </c>
      <c r="F19" s="71" t="s">
        <v>419</v>
      </c>
      <c r="G19" s="71" t="s">
        <v>104</v>
      </c>
      <c r="H19" s="45" t="s">
        <v>409</v>
      </c>
      <c r="I19" s="46" t="s">
        <v>27</v>
      </c>
      <c r="J19" s="47">
        <v>1</v>
      </c>
      <c r="K19" s="55"/>
      <c r="L19" s="63" t="s">
        <v>415</v>
      </c>
      <c r="M19" s="13"/>
      <c r="N19" s="51">
        <v>0</v>
      </c>
      <c r="O19" s="47">
        <v>0.05</v>
      </c>
      <c r="P19" s="47"/>
      <c r="Q19" s="47">
        <f t="shared" si="0"/>
        <v>0</v>
      </c>
      <c r="R19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9" s="47" t="s">
        <v>36</v>
      </c>
      <c r="T19" s="50"/>
      <c r="U19" s="17"/>
      <c r="V19" s="17"/>
      <c r="W19" s="17"/>
      <c r="X19" s="17"/>
      <c r="Y19" s="17"/>
      <c r="Z19" s="17"/>
      <c r="AA19" s="17"/>
      <c r="AB19" s="17"/>
      <c r="AC19" s="17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s="19" customFormat="1" ht="21.6" x14ac:dyDescent="0.2">
      <c r="A20" s="41">
        <v>13</v>
      </c>
      <c r="B20" s="42" t="s">
        <v>20</v>
      </c>
      <c r="C20" s="43" t="s">
        <v>21</v>
      </c>
      <c r="D20" s="70"/>
      <c r="E20" s="71" t="s">
        <v>420</v>
      </c>
      <c r="F20" s="71" t="s">
        <v>409</v>
      </c>
      <c r="G20" s="71" t="s">
        <v>104</v>
      </c>
      <c r="H20" s="45" t="s">
        <v>409</v>
      </c>
      <c r="I20" s="46" t="s">
        <v>27</v>
      </c>
      <c r="J20" s="47">
        <v>1</v>
      </c>
      <c r="K20" s="55"/>
      <c r="L20" s="63" t="s">
        <v>410</v>
      </c>
      <c r="M20" s="13"/>
      <c r="N20" s="51">
        <v>0.8</v>
      </c>
      <c r="O20" s="47">
        <v>0.2</v>
      </c>
      <c r="P20" s="47"/>
      <c r="Q20" s="47">
        <f t="shared" si="0"/>
        <v>0</v>
      </c>
      <c r="R20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0" s="47" t="s">
        <v>31</v>
      </c>
      <c r="T20" s="50">
        <f>SUM(R20:R25)%</f>
        <v>0</v>
      </c>
      <c r="U20" s="17"/>
      <c r="V20" s="17"/>
      <c r="W20" s="17"/>
      <c r="X20" s="17"/>
      <c r="Y20" s="17"/>
      <c r="Z20" s="17"/>
      <c r="AA20" s="17"/>
      <c r="AB20" s="17"/>
      <c r="AC20" s="17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s="19" customFormat="1" ht="21.6" x14ac:dyDescent="0.2">
      <c r="A21" s="41">
        <v>14</v>
      </c>
      <c r="B21" s="42" t="s">
        <v>20</v>
      </c>
      <c r="C21" s="43" t="s">
        <v>21</v>
      </c>
      <c r="D21" s="70"/>
      <c r="E21" s="71" t="s">
        <v>420</v>
      </c>
      <c r="F21" s="71" t="s">
        <v>409</v>
      </c>
      <c r="G21" s="71" t="s">
        <v>104</v>
      </c>
      <c r="H21" s="45" t="s">
        <v>409</v>
      </c>
      <c r="I21" s="46" t="s">
        <v>27</v>
      </c>
      <c r="J21" s="47">
        <v>1</v>
      </c>
      <c r="K21" s="55"/>
      <c r="L21" s="63" t="s">
        <v>411</v>
      </c>
      <c r="M21" s="13"/>
      <c r="N21" s="51">
        <v>0.8</v>
      </c>
      <c r="O21" s="47">
        <v>0.2</v>
      </c>
      <c r="P21" s="47"/>
      <c r="Q21" s="47">
        <f t="shared" si="0"/>
        <v>0</v>
      </c>
      <c r="R21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1" s="47" t="s">
        <v>31</v>
      </c>
      <c r="T21" s="50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</row>
    <row r="22" spans="1:48" s="19" customFormat="1" ht="21.6" x14ac:dyDescent="0.2">
      <c r="A22" s="41">
        <v>15</v>
      </c>
      <c r="B22" s="42" t="s">
        <v>20</v>
      </c>
      <c r="C22" s="43" t="s">
        <v>21</v>
      </c>
      <c r="D22" s="70"/>
      <c r="E22" s="71" t="s">
        <v>420</v>
      </c>
      <c r="F22" s="71" t="s">
        <v>409</v>
      </c>
      <c r="G22" s="71" t="s">
        <v>104</v>
      </c>
      <c r="H22" s="45" t="s">
        <v>409</v>
      </c>
      <c r="I22" s="46" t="s">
        <v>27</v>
      </c>
      <c r="J22" s="47">
        <v>1</v>
      </c>
      <c r="K22" s="55"/>
      <c r="L22" s="63" t="s">
        <v>412</v>
      </c>
      <c r="M22" s="13"/>
      <c r="N22" s="51">
        <v>60</v>
      </c>
      <c r="O22" s="47">
        <v>0.05</v>
      </c>
      <c r="P22" s="47"/>
      <c r="Q22" s="47">
        <f t="shared" si="0"/>
        <v>0</v>
      </c>
      <c r="R22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2" s="47" t="s">
        <v>36</v>
      </c>
      <c r="T22" s="50"/>
      <c r="U22" s="17"/>
      <c r="V22" s="17"/>
      <c r="W22" s="17"/>
      <c r="X22" s="17"/>
      <c r="Y22" s="17"/>
      <c r="Z22" s="17"/>
      <c r="AA22" s="17"/>
      <c r="AB22" s="17"/>
      <c r="AC22" s="17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</row>
    <row r="23" spans="1:48" s="19" customFormat="1" ht="21.6" x14ac:dyDescent="0.2">
      <c r="A23" s="41">
        <v>16</v>
      </c>
      <c r="B23" s="42" t="s">
        <v>20</v>
      </c>
      <c r="C23" s="43" t="s">
        <v>21</v>
      </c>
      <c r="D23" s="70"/>
      <c r="E23" s="71" t="s">
        <v>420</v>
      </c>
      <c r="F23" s="71" t="s">
        <v>409</v>
      </c>
      <c r="G23" s="71" t="s">
        <v>104</v>
      </c>
      <c r="H23" s="45" t="s">
        <v>409</v>
      </c>
      <c r="I23" s="46" t="s">
        <v>27</v>
      </c>
      <c r="J23" s="47">
        <v>1</v>
      </c>
      <c r="K23" s="55"/>
      <c r="L23" s="63" t="s">
        <v>413</v>
      </c>
      <c r="M23" s="13"/>
      <c r="N23" s="51">
        <v>0</v>
      </c>
      <c r="O23" s="47">
        <v>0.3</v>
      </c>
      <c r="P23" s="47"/>
      <c r="Q23" s="47">
        <f t="shared" si="0"/>
        <v>0</v>
      </c>
      <c r="R23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3" s="47" t="s">
        <v>36</v>
      </c>
      <c r="T23" s="50"/>
      <c r="U23" s="17"/>
      <c r="V23" s="17"/>
      <c r="W23" s="17"/>
      <c r="X23" s="17"/>
      <c r="Y23" s="17"/>
      <c r="Z23" s="17"/>
      <c r="AA23" s="17"/>
      <c r="AB23" s="17"/>
      <c r="AC23" s="17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</row>
    <row r="24" spans="1:48" s="19" customFormat="1" ht="21.6" x14ac:dyDescent="0.2">
      <c r="A24" s="41">
        <v>17</v>
      </c>
      <c r="B24" s="42" t="s">
        <v>20</v>
      </c>
      <c r="C24" s="43" t="s">
        <v>21</v>
      </c>
      <c r="D24" s="70"/>
      <c r="E24" s="71" t="s">
        <v>420</v>
      </c>
      <c r="F24" s="71" t="s">
        <v>409</v>
      </c>
      <c r="G24" s="71" t="s">
        <v>104</v>
      </c>
      <c r="H24" s="45" t="s">
        <v>409</v>
      </c>
      <c r="I24" s="46" t="s">
        <v>27</v>
      </c>
      <c r="J24" s="47">
        <v>1</v>
      </c>
      <c r="K24" s="55"/>
      <c r="L24" s="63" t="s">
        <v>414</v>
      </c>
      <c r="M24" s="13"/>
      <c r="N24" s="51">
        <v>0</v>
      </c>
      <c r="O24" s="47">
        <v>0.2</v>
      </c>
      <c r="P24" s="47"/>
      <c r="Q24" s="47">
        <f t="shared" si="0"/>
        <v>0</v>
      </c>
      <c r="R24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4" s="47" t="s">
        <v>36</v>
      </c>
      <c r="T24" s="50"/>
      <c r="U24" s="17"/>
      <c r="V24" s="17"/>
      <c r="W24" s="17"/>
      <c r="X24" s="17"/>
      <c r="Y24" s="17"/>
      <c r="Z24" s="17"/>
      <c r="AA24" s="17"/>
      <c r="AB24" s="17"/>
      <c r="AC24" s="17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</row>
    <row r="25" spans="1:48" s="19" customFormat="1" ht="21.6" x14ac:dyDescent="0.2">
      <c r="A25" s="41">
        <v>18</v>
      </c>
      <c r="B25" s="42" t="s">
        <v>20</v>
      </c>
      <c r="C25" s="43" t="s">
        <v>21</v>
      </c>
      <c r="D25" s="70"/>
      <c r="E25" s="71" t="s">
        <v>420</v>
      </c>
      <c r="F25" s="71" t="s">
        <v>409</v>
      </c>
      <c r="G25" s="71" t="s">
        <v>104</v>
      </c>
      <c r="H25" s="45" t="s">
        <v>409</v>
      </c>
      <c r="I25" s="46" t="s">
        <v>27</v>
      </c>
      <c r="J25" s="47">
        <v>1</v>
      </c>
      <c r="K25" s="55"/>
      <c r="L25" s="63" t="s">
        <v>415</v>
      </c>
      <c r="M25" s="13"/>
      <c r="N25" s="51">
        <v>0</v>
      </c>
      <c r="O25" s="47">
        <v>0.05</v>
      </c>
      <c r="P25" s="47"/>
      <c r="Q25" s="47">
        <f t="shared" si="0"/>
        <v>0</v>
      </c>
      <c r="R25" s="49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5" s="47" t="s">
        <v>36</v>
      </c>
      <c r="T25" s="50"/>
      <c r="U25" s="17"/>
      <c r="V25" s="17"/>
      <c r="W25" s="17"/>
      <c r="X25" s="17"/>
      <c r="Y25" s="17"/>
      <c r="Z25" s="17"/>
      <c r="AA25" s="17"/>
      <c r="AB25" s="17"/>
      <c r="AC25" s="17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</sheetData>
  <conditionalFormatting sqref="I1 K1:M1">
    <cfRule type="cellIs" dxfId="34" priority="2" operator="equal">
      <formula>"maintasks"</formula>
    </cfRule>
  </conditionalFormatting>
  <conditionalFormatting sqref="I2:I25 K2:M25">
    <cfRule type="cellIs" dxfId="33" priority="1" operator="equal">
      <formula>"maintasks"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328-E185-4030-83A4-3626D4D9F8BE}">
  <dimension ref="A1:AV50"/>
  <sheetViews>
    <sheetView topLeftCell="A32" workbookViewId="0">
      <selection activeCell="F55" sqref="F55"/>
    </sheetView>
  </sheetViews>
  <sheetFormatPr defaultRowHeight="14.4" x14ac:dyDescent="0.3"/>
  <cols>
    <col min="1" max="1" width="6.77734375" style="65" customWidth="1"/>
    <col min="2" max="2" width="14.44140625" style="65" bestFit="1" customWidth="1"/>
    <col min="3" max="3" width="6.77734375" style="65" customWidth="1"/>
    <col min="4" max="4" width="8.88671875" style="65"/>
    <col min="5" max="5" width="19.77734375" style="65" bestFit="1" customWidth="1"/>
    <col min="6" max="6" width="12" style="65" customWidth="1"/>
    <col min="7" max="7" width="12.44140625" style="65" customWidth="1"/>
    <col min="8" max="8" width="16.5546875" style="65" customWidth="1"/>
    <col min="9" max="9" width="14.77734375" style="65" customWidth="1"/>
    <col min="10" max="10" width="10" style="65" customWidth="1"/>
    <col min="11" max="11" width="22.77734375" style="65" customWidth="1"/>
    <col min="12" max="12" width="42.21875" style="65" customWidth="1"/>
    <col min="13" max="13" width="51.77734375" style="65" customWidth="1"/>
    <col min="14" max="14" width="14.21875" style="65" customWidth="1"/>
    <col min="15" max="15" width="7.77734375" style="65" customWidth="1"/>
    <col min="16" max="16" width="21.44140625" style="65" customWidth="1"/>
    <col min="17" max="17" width="19.109375" style="65" bestFit="1" customWidth="1"/>
    <col min="18" max="18" width="15" style="65" bestFit="1" customWidth="1"/>
    <col min="19" max="19" width="7.88671875" style="65" customWidth="1"/>
    <col min="20" max="20" width="7.77734375" style="65" customWidth="1"/>
  </cols>
  <sheetData>
    <row r="1" spans="1:48" s="40" customFormat="1" ht="22.2" x14ac:dyDescent="0.75">
      <c r="A1" s="33" t="s">
        <v>0</v>
      </c>
      <c r="B1" s="34" t="s">
        <v>1</v>
      </c>
      <c r="C1" s="34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5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5" t="s">
        <v>14</v>
      </c>
      <c r="P1" s="36" t="s">
        <v>15</v>
      </c>
      <c r="Q1" s="37" t="s">
        <v>16</v>
      </c>
      <c r="R1" s="38" t="s">
        <v>17</v>
      </c>
      <c r="S1" s="39" t="s">
        <v>18</v>
      </c>
      <c r="T1" s="35" t="s">
        <v>19</v>
      </c>
    </row>
    <row r="2" spans="1:48" s="19" customFormat="1" ht="21.6" x14ac:dyDescent="0.2">
      <c r="A2" s="41">
        <v>2070</v>
      </c>
      <c r="B2" s="42" t="s">
        <v>20</v>
      </c>
      <c r="C2" s="43" t="s">
        <v>21</v>
      </c>
      <c r="D2" s="66">
        <v>5021</v>
      </c>
      <c r="E2" s="42" t="s">
        <v>421</v>
      </c>
      <c r="F2" s="45" t="s">
        <v>303</v>
      </c>
      <c r="G2" s="42" t="s">
        <v>137</v>
      </c>
      <c r="H2" s="45" t="s">
        <v>422</v>
      </c>
      <c r="I2" s="46" t="s">
        <v>27</v>
      </c>
      <c r="J2" s="47">
        <v>0.7</v>
      </c>
      <c r="K2" s="55" t="s">
        <v>423</v>
      </c>
      <c r="L2" s="63" t="s">
        <v>424</v>
      </c>
      <c r="M2" s="13" t="s">
        <v>425</v>
      </c>
      <c r="N2" s="51" t="s">
        <v>112</v>
      </c>
      <c r="O2" s="47">
        <v>0.1</v>
      </c>
      <c r="P2" s="47"/>
      <c r="Q2" s="47">
        <f t="shared" ref="Q2:Q9" si="0">ROUND(IF(OR(N2="",P2=""),0,IF(AND(N2=0,P2=0),1,IF(S2="+",P2/N2,N2/P2))),2)</f>
        <v>0</v>
      </c>
      <c r="R2" s="49">
        <f t="shared" ref="R2:R13" si="1">IF(AND(Q2&gt;=60%,Q2&lt;100%),Q2*((O2*J2)),IF(Q2=100%,((O2*J2)*Q2)*100%,IF(Q2&gt;100%,((J2*O2)*100%)*100%,0)))*100</f>
        <v>0</v>
      </c>
      <c r="S2" s="47" t="s">
        <v>31</v>
      </c>
      <c r="T2" s="50">
        <f>SUM(R2:R8)%</f>
        <v>0</v>
      </c>
      <c r="U2" s="17"/>
      <c r="V2" s="17"/>
      <c r="W2" s="17"/>
      <c r="X2" s="17"/>
      <c r="Y2" s="17"/>
      <c r="Z2" s="17"/>
      <c r="AA2" s="17"/>
      <c r="AB2" s="17"/>
      <c r="AC2" s="17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spans="1:48" s="19" customFormat="1" ht="21.6" x14ac:dyDescent="0.2">
      <c r="A3" s="41">
        <v>2071</v>
      </c>
      <c r="B3" s="42" t="s">
        <v>20</v>
      </c>
      <c r="C3" s="43" t="s">
        <v>21</v>
      </c>
      <c r="D3" s="66">
        <v>5021</v>
      </c>
      <c r="E3" s="42" t="s">
        <v>421</v>
      </c>
      <c r="F3" s="45" t="s">
        <v>303</v>
      </c>
      <c r="G3" s="42" t="s">
        <v>137</v>
      </c>
      <c r="H3" s="45" t="s">
        <v>422</v>
      </c>
      <c r="I3" s="46" t="s">
        <v>27</v>
      </c>
      <c r="J3" s="47">
        <v>0.7</v>
      </c>
      <c r="K3" s="55" t="s">
        <v>426</v>
      </c>
      <c r="L3" s="63" t="s">
        <v>427</v>
      </c>
      <c r="M3" s="55" t="s">
        <v>428</v>
      </c>
      <c r="N3" s="51" t="s">
        <v>127</v>
      </c>
      <c r="O3" s="47">
        <v>0.2</v>
      </c>
      <c r="P3" s="52"/>
      <c r="Q3" s="47">
        <f>ROUND(IF(OR(N3="",P3=""),0,IF(AND(N3=0,P3=0),1,IF(S3="+",P3/N3,N3/P3))),2)</f>
        <v>0</v>
      </c>
      <c r="R3" s="49">
        <f t="shared" si="1"/>
        <v>0</v>
      </c>
      <c r="S3" s="47" t="s">
        <v>31</v>
      </c>
      <c r="T3" s="47"/>
      <c r="U3" s="17"/>
      <c r="V3" s="17"/>
      <c r="W3" s="17"/>
      <c r="X3" s="17"/>
      <c r="Y3" s="17"/>
      <c r="Z3" s="17"/>
      <c r="AA3" s="17"/>
      <c r="AB3" s="17"/>
      <c r="AC3" s="17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8" s="19" customFormat="1" ht="21.6" x14ac:dyDescent="0.2">
      <c r="A4" s="41">
        <v>2072</v>
      </c>
      <c r="B4" s="42" t="s">
        <v>20</v>
      </c>
      <c r="C4" s="43" t="s">
        <v>21</v>
      </c>
      <c r="D4" s="66">
        <v>5021</v>
      </c>
      <c r="E4" s="42" t="s">
        <v>421</v>
      </c>
      <c r="F4" s="45" t="s">
        <v>303</v>
      </c>
      <c r="G4" s="42" t="s">
        <v>137</v>
      </c>
      <c r="H4" s="45" t="s">
        <v>422</v>
      </c>
      <c r="I4" s="46" t="s">
        <v>27</v>
      </c>
      <c r="J4" s="47">
        <v>0.7</v>
      </c>
      <c r="K4" s="55" t="s">
        <v>429</v>
      </c>
      <c r="L4" s="63" t="s">
        <v>430</v>
      </c>
      <c r="M4" s="55" t="s">
        <v>431</v>
      </c>
      <c r="N4" s="53" t="s">
        <v>127</v>
      </c>
      <c r="O4" s="47">
        <v>0.15</v>
      </c>
      <c r="P4" s="52"/>
      <c r="Q4" s="47">
        <f t="shared" si="0"/>
        <v>0</v>
      </c>
      <c r="R4" s="49">
        <f t="shared" si="1"/>
        <v>0</v>
      </c>
      <c r="S4" s="47" t="s">
        <v>31</v>
      </c>
      <c r="T4" s="47"/>
      <c r="U4" s="17"/>
      <c r="V4" s="17"/>
      <c r="W4" s="17"/>
      <c r="X4" s="17"/>
      <c r="Y4" s="17"/>
      <c r="Z4" s="17"/>
      <c r="AA4" s="17"/>
      <c r="AB4" s="17"/>
      <c r="AC4" s="17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s="19" customFormat="1" ht="21.6" x14ac:dyDescent="0.2">
      <c r="A5" s="41">
        <v>2073</v>
      </c>
      <c r="B5" s="42" t="s">
        <v>20</v>
      </c>
      <c r="C5" s="43" t="s">
        <v>21</v>
      </c>
      <c r="D5" s="66">
        <v>5021</v>
      </c>
      <c r="E5" s="42" t="s">
        <v>421</v>
      </c>
      <c r="F5" s="45" t="s">
        <v>303</v>
      </c>
      <c r="G5" s="42" t="s">
        <v>137</v>
      </c>
      <c r="H5" s="45" t="s">
        <v>422</v>
      </c>
      <c r="I5" s="46" t="s">
        <v>27</v>
      </c>
      <c r="J5" s="47">
        <v>0.7</v>
      </c>
      <c r="K5" s="55" t="s">
        <v>432</v>
      </c>
      <c r="L5" s="63" t="s">
        <v>433</v>
      </c>
      <c r="M5" s="55" t="s">
        <v>434</v>
      </c>
      <c r="N5" s="52" t="s">
        <v>435</v>
      </c>
      <c r="O5" s="47">
        <v>0.15</v>
      </c>
      <c r="P5" s="54"/>
      <c r="Q5" s="47">
        <f t="shared" si="0"/>
        <v>0</v>
      </c>
      <c r="R5" s="49">
        <f t="shared" si="1"/>
        <v>0</v>
      </c>
      <c r="S5" s="47" t="s">
        <v>36</v>
      </c>
      <c r="T5" s="47"/>
      <c r="U5" s="17"/>
      <c r="V5" s="17"/>
      <c r="W5" s="17"/>
      <c r="X5" s="17"/>
      <c r="Y5" s="17"/>
      <c r="Z5" s="17"/>
      <c r="AA5" s="17"/>
      <c r="AB5" s="17"/>
      <c r="AC5" s="17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</row>
    <row r="6" spans="1:48" s="19" customFormat="1" ht="21.6" x14ac:dyDescent="0.2">
      <c r="A6" s="41">
        <v>2074</v>
      </c>
      <c r="B6" s="42" t="s">
        <v>20</v>
      </c>
      <c r="C6" s="43" t="s">
        <v>21</v>
      </c>
      <c r="D6" s="66">
        <v>5021</v>
      </c>
      <c r="E6" s="42" t="s">
        <v>421</v>
      </c>
      <c r="F6" s="45" t="s">
        <v>303</v>
      </c>
      <c r="G6" s="42" t="s">
        <v>137</v>
      </c>
      <c r="H6" s="45" t="s">
        <v>422</v>
      </c>
      <c r="I6" s="46" t="s">
        <v>27</v>
      </c>
      <c r="J6" s="47">
        <v>0.7</v>
      </c>
      <c r="K6" s="55" t="s">
        <v>321</v>
      </c>
      <c r="L6" s="63" t="s">
        <v>322</v>
      </c>
      <c r="M6" s="55" t="s">
        <v>436</v>
      </c>
      <c r="N6" s="55">
        <v>0</v>
      </c>
      <c r="O6" s="47">
        <v>0.1</v>
      </c>
      <c r="P6" s="56"/>
      <c r="Q6" s="47">
        <f t="shared" si="0"/>
        <v>0</v>
      </c>
      <c r="R6" s="49">
        <f t="shared" si="1"/>
        <v>0</v>
      </c>
      <c r="S6" s="47" t="s">
        <v>36</v>
      </c>
      <c r="T6" s="47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1:48" s="19" customFormat="1" ht="21.6" x14ac:dyDescent="0.2">
      <c r="A7" s="41">
        <v>2075</v>
      </c>
      <c r="B7" s="42" t="s">
        <v>20</v>
      </c>
      <c r="C7" s="43" t="s">
        <v>21</v>
      </c>
      <c r="D7" s="66">
        <v>5021</v>
      </c>
      <c r="E7" s="42" t="s">
        <v>421</v>
      </c>
      <c r="F7" s="45" t="s">
        <v>303</v>
      </c>
      <c r="G7" s="42" t="s">
        <v>137</v>
      </c>
      <c r="H7" s="45" t="s">
        <v>422</v>
      </c>
      <c r="I7" s="57" t="s">
        <v>27</v>
      </c>
      <c r="J7" s="47">
        <v>0.7</v>
      </c>
      <c r="K7" s="57" t="s">
        <v>52</v>
      </c>
      <c r="L7" s="63" t="s">
        <v>53</v>
      </c>
      <c r="M7" s="57" t="s">
        <v>54</v>
      </c>
      <c r="N7" s="59" t="s">
        <v>72</v>
      </c>
      <c r="O7" s="60">
        <v>0.2</v>
      </c>
      <c r="P7" s="56"/>
      <c r="Q7" s="60">
        <v>0</v>
      </c>
      <c r="R7" s="61">
        <v>0</v>
      </c>
      <c r="S7" s="60" t="s">
        <v>36</v>
      </c>
      <c r="T7" s="60"/>
      <c r="U7" s="17"/>
      <c r="V7" s="17"/>
      <c r="W7" s="17"/>
      <c r="X7" s="17"/>
      <c r="Y7" s="17"/>
      <c r="Z7" s="17"/>
      <c r="AA7" s="17"/>
      <c r="AB7" s="17"/>
      <c r="AC7" s="17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 s="19" customFormat="1" ht="21.6" x14ac:dyDescent="0.2">
      <c r="A8" s="41">
        <v>2076</v>
      </c>
      <c r="B8" s="42" t="s">
        <v>20</v>
      </c>
      <c r="C8" s="43" t="s">
        <v>21</v>
      </c>
      <c r="D8" s="66">
        <v>5021</v>
      </c>
      <c r="E8" s="42" t="s">
        <v>421</v>
      </c>
      <c r="F8" s="45" t="s">
        <v>303</v>
      </c>
      <c r="G8" s="42" t="s">
        <v>137</v>
      </c>
      <c r="H8" s="45" t="s">
        <v>422</v>
      </c>
      <c r="I8" s="57" t="s">
        <v>59</v>
      </c>
      <c r="J8" s="95">
        <v>0.3</v>
      </c>
      <c r="K8" s="57" t="s">
        <v>437</v>
      </c>
      <c r="L8" s="64" t="s">
        <v>438</v>
      </c>
      <c r="M8" s="57" t="s">
        <v>439</v>
      </c>
      <c r="N8" s="59" t="s">
        <v>127</v>
      </c>
      <c r="O8" s="60">
        <v>0.1</v>
      </c>
      <c r="P8" s="56"/>
      <c r="Q8" s="60">
        <f t="shared" si="0"/>
        <v>0</v>
      </c>
      <c r="R8" s="61">
        <f t="shared" si="1"/>
        <v>0</v>
      </c>
      <c r="S8" s="60" t="s">
        <v>31</v>
      </c>
      <c r="T8" s="60"/>
      <c r="U8" s="17"/>
      <c r="V8" s="17"/>
      <c r="W8" s="17"/>
      <c r="X8" s="17"/>
      <c r="Y8" s="17"/>
      <c r="Z8" s="17"/>
      <c r="AA8" s="17"/>
      <c r="AB8" s="17"/>
      <c r="AC8" s="1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</row>
    <row r="9" spans="1:48" s="19" customFormat="1" ht="21.6" x14ac:dyDescent="0.2">
      <c r="A9" s="41">
        <v>2070</v>
      </c>
      <c r="B9" s="42" t="s">
        <v>20</v>
      </c>
      <c r="C9" s="43" t="s">
        <v>21</v>
      </c>
      <c r="D9" s="66">
        <v>5676</v>
      </c>
      <c r="E9" s="42" t="s">
        <v>440</v>
      </c>
      <c r="F9" s="45" t="s">
        <v>303</v>
      </c>
      <c r="G9" s="42" t="s">
        <v>137</v>
      </c>
      <c r="H9" s="45" t="s">
        <v>422</v>
      </c>
      <c r="I9" s="46" t="s">
        <v>27</v>
      </c>
      <c r="J9" s="47">
        <v>0.7</v>
      </c>
      <c r="K9" s="55" t="s">
        <v>423</v>
      </c>
      <c r="L9" s="63" t="s">
        <v>424</v>
      </c>
      <c r="M9" s="13" t="s">
        <v>425</v>
      </c>
      <c r="N9" s="51" t="s">
        <v>112</v>
      </c>
      <c r="O9" s="47">
        <v>0.1</v>
      </c>
      <c r="P9" s="47"/>
      <c r="Q9" s="47">
        <f t="shared" si="0"/>
        <v>0</v>
      </c>
      <c r="R9" s="49">
        <f t="shared" si="1"/>
        <v>0</v>
      </c>
      <c r="S9" s="47" t="s">
        <v>31</v>
      </c>
      <c r="T9" s="50">
        <f>SUM(R9:R15)%</f>
        <v>0</v>
      </c>
      <c r="U9" s="17"/>
      <c r="V9" s="17"/>
      <c r="W9" s="17"/>
      <c r="X9" s="17"/>
      <c r="Y9" s="17"/>
      <c r="Z9" s="17"/>
      <c r="AA9" s="17"/>
      <c r="AB9" s="17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</row>
    <row r="10" spans="1:48" s="19" customFormat="1" ht="21.6" x14ac:dyDescent="0.2">
      <c r="A10" s="41">
        <v>2071</v>
      </c>
      <c r="B10" s="42" t="s">
        <v>20</v>
      </c>
      <c r="C10" s="43" t="s">
        <v>21</v>
      </c>
      <c r="D10" s="66">
        <v>5676</v>
      </c>
      <c r="E10" s="42" t="s">
        <v>440</v>
      </c>
      <c r="F10" s="45" t="s">
        <v>303</v>
      </c>
      <c r="G10" s="42" t="s">
        <v>137</v>
      </c>
      <c r="H10" s="45" t="s">
        <v>422</v>
      </c>
      <c r="I10" s="46" t="s">
        <v>27</v>
      </c>
      <c r="J10" s="47">
        <v>0.7</v>
      </c>
      <c r="K10" s="55" t="s">
        <v>426</v>
      </c>
      <c r="L10" s="63" t="s">
        <v>427</v>
      </c>
      <c r="M10" s="55" t="s">
        <v>428</v>
      </c>
      <c r="N10" s="51" t="s">
        <v>127</v>
      </c>
      <c r="O10" s="47">
        <v>0.2</v>
      </c>
      <c r="P10" s="52"/>
      <c r="Q10" s="47">
        <f>ROUND(IF(OR(N10="",P10=""),0,IF(AND(N10=0,P10=0),1,IF(S10="+",P10/N10,N10/P10))),2)</f>
        <v>0</v>
      </c>
      <c r="R10" s="49">
        <f t="shared" si="1"/>
        <v>0</v>
      </c>
      <c r="S10" s="47" t="s">
        <v>31</v>
      </c>
      <c r="T10" s="47"/>
      <c r="U10" s="17"/>
      <c r="V10" s="17"/>
      <c r="W10" s="17"/>
      <c r="X10" s="17"/>
      <c r="Y10" s="17"/>
      <c r="Z10" s="17"/>
      <c r="AA10" s="17"/>
      <c r="AB10" s="17"/>
      <c r="AC10" s="1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s="19" customFormat="1" ht="21.6" x14ac:dyDescent="0.2">
      <c r="A11" s="41">
        <v>2072</v>
      </c>
      <c r="B11" s="42" t="s">
        <v>20</v>
      </c>
      <c r="C11" s="43" t="s">
        <v>21</v>
      </c>
      <c r="D11" s="66">
        <v>5676</v>
      </c>
      <c r="E11" s="42" t="s">
        <v>440</v>
      </c>
      <c r="F11" s="45" t="s">
        <v>303</v>
      </c>
      <c r="G11" s="42" t="s">
        <v>137</v>
      </c>
      <c r="H11" s="45" t="s">
        <v>422</v>
      </c>
      <c r="I11" s="46" t="s">
        <v>27</v>
      </c>
      <c r="J11" s="47">
        <v>0.7</v>
      </c>
      <c r="K11" s="55" t="s">
        <v>429</v>
      </c>
      <c r="L11" s="63" t="s">
        <v>430</v>
      </c>
      <c r="M11" s="55" t="s">
        <v>431</v>
      </c>
      <c r="N11" s="53" t="s">
        <v>127</v>
      </c>
      <c r="O11" s="47">
        <v>0.15</v>
      </c>
      <c r="P11" s="52"/>
      <c r="Q11" s="47">
        <f t="shared" ref="Q11:Q13" si="2">ROUND(IF(OR(N11="",P11=""),0,IF(AND(N11=0,P11=0),1,IF(S11="+",P11/N11,N11/P11))),2)</f>
        <v>0</v>
      </c>
      <c r="R11" s="49">
        <f t="shared" si="1"/>
        <v>0</v>
      </c>
      <c r="S11" s="47" t="s">
        <v>31</v>
      </c>
      <c r="T11" s="47"/>
      <c r="U11" s="17"/>
      <c r="V11" s="17"/>
      <c r="W11" s="17"/>
      <c r="X11" s="17"/>
      <c r="Y11" s="17"/>
      <c r="Z11" s="17"/>
      <c r="AA11" s="17"/>
      <c r="AB11" s="17"/>
      <c r="AC11" s="17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8" s="19" customFormat="1" ht="21.6" x14ac:dyDescent="0.2">
      <c r="A12" s="41">
        <v>2073</v>
      </c>
      <c r="B12" s="42" t="s">
        <v>20</v>
      </c>
      <c r="C12" s="43" t="s">
        <v>21</v>
      </c>
      <c r="D12" s="66">
        <v>5676</v>
      </c>
      <c r="E12" s="42" t="s">
        <v>440</v>
      </c>
      <c r="F12" s="45" t="s">
        <v>303</v>
      </c>
      <c r="G12" s="42" t="s">
        <v>137</v>
      </c>
      <c r="H12" s="45" t="s">
        <v>422</v>
      </c>
      <c r="I12" s="46" t="s">
        <v>27</v>
      </c>
      <c r="J12" s="47">
        <v>0.7</v>
      </c>
      <c r="K12" s="55" t="s">
        <v>432</v>
      </c>
      <c r="L12" s="63" t="s">
        <v>433</v>
      </c>
      <c r="M12" s="55" t="s">
        <v>434</v>
      </c>
      <c r="N12" s="52" t="s">
        <v>435</v>
      </c>
      <c r="O12" s="47">
        <v>0.15</v>
      </c>
      <c r="P12" s="54"/>
      <c r="Q12" s="47">
        <f t="shared" si="2"/>
        <v>0</v>
      </c>
      <c r="R12" s="49">
        <f t="shared" si="1"/>
        <v>0</v>
      </c>
      <c r="S12" s="47" t="s">
        <v>36</v>
      </c>
      <c r="T12" s="47"/>
      <c r="U12" s="17"/>
      <c r="V12" s="17"/>
      <c r="W12" s="17"/>
      <c r="X12" s="17"/>
      <c r="Y12" s="17"/>
      <c r="Z12" s="17"/>
      <c r="AA12" s="17"/>
      <c r="AB12" s="17"/>
      <c r="AC12" s="1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s="19" customFormat="1" ht="21.6" x14ac:dyDescent="0.2">
      <c r="A13" s="41">
        <v>2074</v>
      </c>
      <c r="B13" s="42" t="s">
        <v>20</v>
      </c>
      <c r="C13" s="43" t="s">
        <v>21</v>
      </c>
      <c r="D13" s="66">
        <v>5676</v>
      </c>
      <c r="E13" s="42" t="s">
        <v>440</v>
      </c>
      <c r="F13" s="45" t="s">
        <v>303</v>
      </c>
      <c r="G13" s="42" t="s">
        <v>137</v>
      </c>
      <c r="H13" s="45" t="s">
        <v>422</v>
      </c>
      <c r="I13" s="46" t="s">
        <v>27</v>
      </c>
      <c r="J13" s="47">
        <v>0.7</v>
      </c>
      <c r="K13" s="55" t="s">
        <v>321</v>
      </c>
      <c r="L13" s="63" t="s">
        <v>322</v>
      </c>
      <c r="M13" s="55" t="s">
        <v>436</v>
      </c>
      <c r="N13" s="55">
        <v>0</v>
      </c>
      <c r="O13" s="47">
        <v>0.1</v>
      </c>
      <c r="P13" s="56"/>
      <c r="Q13" s="47">
        <f t="shared" si="2"/>
        <v>0</v>
      </c>
      <c r="R13" s="49">
        <f t="shared" si="1"/>
        <v>0</v>
      </c>
      <c r="S13" s="47" t="s">
        <v>36</v>
      </c>
      <c r="T13" s="47"/>
      <c r="U13" s="17"/>
      <c r="V13" s="17"/>
      <c r="W13" s="17"/>
      <c r="X13" s="17"/>
      <c r="Y13" s="17"/>
      <c r="Z13" s="17"/>
      <c r="AA13" s="17"/>
      <c r="AB13" s="17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8" s="19" customFormat="1" ht="21.6" x14ac:dyDescent="0.2">
      <c r="A14" s="41">
        <v>2075</v>
      </c>
      <c r="B14" s="42" t="s">
        <v>20</v>
      </c>
      <c r="C14" s="43" t="s">
        <v>21</v>
      </c>
      <c r="D14" s="66">
        <v>5676</v>
      </c>
      <c r="E14" s="42" t="s">
        <v>440</v>
      </c>
      <c r="F14" s="45" t="s">
        <v>303</v>
      </c>
      <c r="G14" s="42" t="s">
        <v>137</v>
      </c>
      <c r="H14" s="45" t="s">
        <v>422</v>
      </c>
      <c r="I14" s="57" t="s">
        <v>27</v>
      </c>
      <c r="J14" s="47">
        <v>0.7</v>
      </c>
      <c r="K14" s="57" t="s">
        <v>52</v>
      </c>
      <c r="L14" s="63" t="s">
        <v>53</v>
      </c>
      <c r="M14" s="57" t="s">
        <v>54</v>
      </c>
      <c r="N14" s="59" t="s">
        <v>72</v>
      </c>
      <c r="O14" s="60">
        <v>0.2</v>
      </c>
      <c r="P14" s="56"/>
      <c r="Q14" s="60">
        <v>0</v>
      </c>
      <c r="R14" s="61">
        <v>0</v>
      </c>
      <c r="S14" s="60" t="s">
        <v>36</v>
      </c>
      <c r="T14" s="60"/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8" s="19" customFormat="1" ht="21.6" x14ac:dyDescent="0.2">
      <c r="A15" s="41">
        <v>2076</v>
      </c>
      <c r="B15" s="42" t="s">
        <v>20</v>
      </c>
      <c r="C15" s="43" t="s">
        <v>21</v>
      </c>
      <c r="D15" s="66">
        <v>5676</v>
      </c>
      <c r="E15" s="42" t="s">
        <v>440</v>
      </c>
      <c r="F15" s="45" t="s">
        <v>303</v>
      </c>
      <c r="G15" s="42" t="s">
        <v>137</v>
      </c>
      <c r="H15" s="45" t="s">
        <v>422</v>
      </c>
      <c r="I15" s="57" t="s">
        <v>59</v>
      </c>
      <c r="J15" s="95">
        <v>0.3</v>
      </c>
      <c r="K15" s="57" t="s">
        <v>437</v>
      </c>
      <c r="L15" s="64" t="s">
        <v>438</v>
      </c>
      <c r="M15" s="57" t="s">
        <v>439</v>
      </c>
      <c r="N15" s="59" t="s">
        <v>127</v>
      </c>
      <c r="O15" s="60">
        <v>0.1</v>
      </c>
      <c r="P15" s="56"/>
      <c r="Q15" s="60">
        <f t="shared" ref="Q15:Q16" si="3">ROUND(IF(OR(N15="",P15=""),0,IF(AND(N15=0,P15=0),1,IF(S15="+",P15/N15,N15/P15))),2)</f>
        <v>0</v>
      </c>
      <c r="R15" s="61">
        <f t="shared" ref="R15:R20" si="4">IF(AND(Q15&gt;=60%,Q15&lt;100%),Q15*((O15*J15)),IF(Q15=100%,((O15*J15)*Q15)*100%,IF(Q15&gt;100%,((J15*O15)*100%)*100%,0)))*100</f>
        <v>0</v>
      </c>
      <c r="S15" s="60" t="s">
        <v>31</v>
      </c>
      <c r="T15" s="60"/>
      <c r="U15" s="17"/>
      <c r="V15" s="17"/>
      <c r="W15" s="17"/>
      <c r="X15" s="17"/>
      <c r="Y15" s="17"/>
      <c r="Z15" s="17"/>
      <c r="AA15" s="17"/>
      <c r="AB15" s="17"/>
      <c r="AC15" s="17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spans="1:48" s="19" customFormat="1" ht="21.6" x14ac:dyDescent="0.2">
      <c r="A16" s="41">
        <v>2070</v>
      </c>
      <c r="B16" s="42" t="s">
        <v>20</v>
      </c>
      <c r="C16" s="43" t="s">
        <v>21</v>
      </c>
      <c r="D16" s="66">
        <v>5988</v>
      </c>
      <c r="E16" s="42" t="s">
        <v>441</v>
      </c>
      <c r="F16" s="45" t="s">
        <v>303</v>
      </c>
      <c r="G16" s="42" t="s">
        <v>137</v>
      </c>
      <c r="H16" s="45" t="s">
        <v>422</v>
      </c>
      <c r="I16" s="46" t="s">
        <v>27</v>
      </c>
      <c r="J16" s="47">
        <v>0.7</v>
      </c>
      <c r="K16" s="55" t="s">
        <v>423</v>
      </c>
      <c r="L16" s="63" t="s">
        <v>424</v>
      </c>
      <c r="M16" s="13" t="s">
        <v>425</v>
      </c>
      <c r="N16" s="51" t="s">
        <v>112</v>
      </c>
      <c r="O16" s="47">
        <v>0.1</v>
      </c>
      <c r="P16" s="47"/>
      <c r="Q16" s="47">
        <f t="shared" si="3"/>
        <v>0</v>
      </c>
      <c r="R16" s="49">
        <f t="shared" si="4"/>
        <v>0</v>
      </c>
      <c r="S16" s="47" t="s">
        <v>31</v>
      </c>
      <c r="T16" s="50">
        <f>SUM(R16:R22)%</f>
        <v>0</v>
      </c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1:48" s="19" customFormat="1" ht="21.6" x14ac:dyDescent="0.2">
      <c r="A17" s="41">
        <v>2071</v>
      </c>
      <c r="B17" s="42" t="s">
        <v>20</v>
      </c>
      <c r="C17" s="43" t="s">
        <v>21</v>
      </c>
      <c r="D17" s="66">
        <v>5989</v>
      </c>
      <c r="E17" s="42" t="s">
        <v>441</v>
      </c>
      <c r="F17" s="45" t="s">
        <v>303</v>
      </c>
      <c r="G17" s="42" t="s">
        <v>137</v>
      </c>
      <c r="H17" s="45" t="s">
        <v>422</v>
      </c>
      <c r="I17" s="46" t="s">
        <v>27</v>
      </c>
      <c r="J17" s="47">
        <v>0.7</v>
      </c>
      <c r="K17" s="55" t="s">
        <v>426</v>
      </c>
      <c r="L17" s="63" t="s">
        <v>427</v>
      </c>
      <c r="M17" s="55" t="s">
        <v>428</v>
      </c>
      <c r="N17" s="51" t="s">
        <v>127</v>
      </c>
      <c r="O17" s="47">
        <v>0.2</v>
      </c>
      <c r="P17" s="52"/>
      <c r="Q17" s="47">
        <f>ROUND(IF(OR(N17="",P17=""),0,IF(AND(N17=0,P17=0),1,IF(S17="+",P17/N17,N17/P17))),2)</f>
        <v>0</v>
      </c>
      <c r="R17" s="49">
        <f t="shared" si="4"/>
        <v>0</v>
      </c>
      <c r="S17" s="47" t="s">
        <v>31</v>
      </c>
      <c r="T17" s="47"/>
      <c r="U17" s="17"/>
      <c r="V17" s="17"/>
      <c r="W17" s="17"/>
      <c r="X17" s="17"/>
      <c r="Y17" s="17"/>
      <c r="Z17" s="17"/>
      <c r="AA17" s="17"/>
      <c r="AB17" s="17"/>
      <c r="AC17" s="17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1:48" s="19" customFormat="1" ht="21.6" x14ac:dyDescent="0.2">
      <c r="A18" s="41">
        <v>2072</v>
      </c>
      <c r="B18" s="42" t="s">
        <v>20</v>
      </c>
      <c r="C18" s="43" t="s">
        <v>21</v>
      </c>
      <c r="D18" s="66">
        <v>5990</v>
      </c>
      <c r="E18" s="42" t="s">
        <v>441</v>
      </c>
      <c r="F18" s="45" t="s">
        <v>303</v>
      </c>
      <c r="G18" s="42" t="s">
        <v>137</v>
      </c>
      <c r="H18" s="45" t="s">
        <v>422</v>
      </c>
      <c r="I18" s="46" t="s">
        <v>27</v>
      </c>
      <c r="J18" s="47">
        <v>0.7</v>
      </c>
      <c r="K18" s="55" t="s">
        <v>429</v>
      </c>
      <c r="L18" s="63" t="s">
        <v>430</v>
      </c>
      <c r="M18" s="55" t="s">
        <v>431</v>
      </c>
      <c r="N18" s="53" t="s">
        <v>127</v>
      </c>
      <c r="O18" s="47">
        <v>0.15</v>
      </c>
      <c r="P18" s="52"/>
      <c r="Q18" s="47">
        <f t="shared" ref="Q18:Q20" si="5">ROUND(IF(OR(N18="",P18=""),0,IF(AND(N18=0,P18=0),1,IF(S18="+",P18/N18,N18/P18))),2)</f>
        <v>0</v>
      </c>
      <c r="R18" s="49">
        <f t="shared" si="4"/>
        <v>0</v>
      </c>
      <c r="S18" s="47" t="s">
        <v>31</v>
      </c>
      <c r="T18" s="4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 s="19" customFormat="1" ht="21.6" x14ac:dyDescent="0.2">
      <c r="A19" s="41">
        <v>2073</v>
      </c>
      <c r="B19" s="42" t="s">
        <v>20</v>
      </c>
      <c r="C19" s="43" t="s">
        <v>21</v>
      </c>
      <c r="D19" s="66">
        <v>5991</v>
      </c>
      <c r="E19" s="42" t="s">
        <v>441</v>
      </c>
      <c r="F19" s="45" t="s">
        <v>303</v>
      </c>
      <c r="G19" s="42" t="s">
        <v>137</v>
      </c>
      <c r="H19" s="45" t="s">
        <v>422</v>
      </c>
      <c r="I19" s="46" t="s">
        <v>27</v>
      </c>
      <c r="J19" s="47">
        <v>0.7</v>
      </c>
      <c r="K19" s="55" t="s">
        <v>432</v>
      </c>
      <c r="L19" s="63" t="s">
        <v>433</v>
      </c>
      <c r="M19" s="55" t="s">
        <v>434</v>
      </c>
      <c r="N19" s="52" t="s">
        <v>435</v>
      </c>
      <c r="O19" s="47">
        <v>0.15</v>
      </c>
      <c r="P19" s="54"/>
      <c r="Q19" s="47">
        <f t="shared" si="5"/>
        <v>0</v>
      </c>
      <c r="R19" s="49">
        <f t="shared" si="4"/>
        <v>0</v>
      </c>
      <c r="S19" s="47" t="s">
        <v>36</v>
      </c>
      <c r="T19" s="47"/>
      <c r="U19" s="17"/>
      <c r="V19" s="17"/>
      <c r="W19" s="17"/>
      <c r="X19" s="17"/>
      <c r="Y19" s="17"/>
      <c r="Z19" s="17"/>
      <c r="AA19" s="17"/>
      <c r="AB19" s="17"/>
      <c r="AC19" s="17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s="19" customFormat="1" ht="21.6" x14ac:dyDescent="0.2">
      <c r="A20" s="41">
        <v>2074</v>
      </c>
      <c r="B20" s="42" t="s">
        <v>20</v>
      </c>
      <c r="C20" s="43" t="s">
        <v>21</v>
      </c>
      <c r="D20" s="66">
        <v>5992</v>
      </c>
      <c r="E20" s="42" t="s">
        <v>441</v>
      </c>
      <c r="F20" s="45" t="s">
        <v>303</v>
      </c>
      <c r="G20" s="42" t="s">
        <v>137</v>
      </c>
      <c r="H20" s="45" t="s">
        <v>422</v>
      </c>
      <c r="I20" s="46" t="s">
        <v>27</v>
      </c>
      <c r="J20" s="47">
        <v>0.7</v>
      </c>
      <c r="K20" s="55" t="s">
        <v>321</v>
      </c>
      <c r="L20" s="63" t="s">
        <v>322</v>
      </c>
      <c r="M20" s="55" t="s">
        <v>436</v>
      </c>
      <c r="N20" s="55">
        <v>0</v>
      </c>
      <c r="O20" s="47">
        <v>0.1</v>
      </c>
      <c r="P20" s="56"/>
      <c r="Q20" s="47">
        <f t="shared" si="5"/>
        <v>0</v>
      </c>
      <c r="R20" s="49">
        <f t="shared" si="4"/>
        <v>0</v>
      </c>
      <c r="S20" s="47" t="s">
        <v>36</v>
      </c>
      <c r="T20" s="47"/>
      <c r="U20" s="17"/>
      <c r="V20" s="17"/>
      <c r="W20" s="17"/>
      <c r="X20" s="17"/>
      <c r="Y20" s="17"/>
      <c r="Z20" s="17"/>
      <c r="AA20" s="17"/>
      <c r="AB20" s="17"/>
      <c r="AC20" s="17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s="19" customFormat="1" ht="21.6" x14ac:dyDescent="0.2">
      <c r="A21" s="41">
        <v>2075</v>
      </c>
      <c r="B21" s="42" t="s">
        <v>20</v>
      </c>
      <c r="C21" s="43" t="s">
        <v>21</v>
      </c>
      <c r="D21" s="66">
        <v>5993</v>
      </c>
      <c r="E21" s="42" t="s">
        <v>441</v>
      </c>
      <c r="F21" s="45" t="s">
        <v>303</v>
      </c>
      <c r="G21" s="42" t="s">
        <v>137</v>
      </c>
      <c r="H21" s="45" t="s">
        <v>422</v>
      </c>
      <c r="I21" s="57" t="s">
        <v>27</v>
      </c>
      <c r="J21" s="47">
        <v>0.7</v>
      </c>
      <c r="K21" s="57" t="s">
        <v>52</v>
      </c>
      <c r="L21" s="63" t="s">
        <v>53</v>
      </c>
      <c r="M21" s="57" t="s">
        <v>54</v>
      </c>
      <c r="N21" s="59" t="s">
        <v>72</v>
      </c>
      <c r="O21" s="60">
        <v>0.2</v>
      </c>
      <c r="P21" s="56"/>
      <c r="Q21" s="60">
        <v>0</v>
      </c>
      <c r="R21" s="61">
        <v>0</v>
      </c>
      <c r="S21" s="60" t="s">
        <v>36</v>
      </c>
      <c r="T21" s="60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</row>
    <row r="22" spans="1:48" s="19" customFormat="1" ht="21.6" x14ac:dyDescent="0.2">
      <c r="A22" s="41">
        <v>2076</v>
      </c>
      <c r="B22" s="42" t="s">
        <v>20</v>
      </c>
      <c r="C22" s="43" t="s">
        <v>21</v>
      </c>
      <c r="D22" s="66">
        <v>5994</v>
      </c>
      <c r="E22" s="42" t="s">
        <v>441</v>
      </c>
      <c r="F22" s="45" t="s">
        <v>303</v>
      </c>
      <c r="G22" s="42" t="s">
        <v>137</v>
      </c>
      <c r="H22" s="45" t="s">
        <v>422</v>
      </c>
      <c r="I22" s="57" t="s">
        <v>59</v>
      </c>
      <c r="J22" s="95">
        <v>0.3</v>
      </c>
      <c r="K22" s="57" t="s">
        <v>437</v>
      </c>
      <c r="L22" s="64" t="s">
        <v>438</v>
      </c>
      <c r="M22" s="57" t="s">
        <v>439</v>
      </c>
      <c r="N22" s="59" t="s">
        <v>127</v>
      </c>
      <c r="O22" s="60">
        <v>0.1</v>
      </c>
      <c r="P22" s="56"/>
      <c r="Q22" s="60">
        <f t="shared" ref="Q22:Q23" si="6">ROUND(IF(OR(N22="",P22=""),0,IF(AND(N22=0,P22=0),1,IF(S22="+",P22/N22,N22/P22))),2)</f>
        <v>0</v>
      </c>
      <c r="R22" s="61">
        <f t="shared" ref="R22:R27" si="7">IF(AND(Q22&gt;=60%,Q22&lt;100%),Q22*((O22*J22)),IF(Q22=100%,((O22*J22)*Q22)*100%,IF(Q22&gt;100%,((J22*O22)*100%)*100%,0)))*100</f>
        <v>0</v>
      </c>
      <c r="S22" s="60" t="s">
        <v>31</v>
      </c>
      <c r="T22" s="60"/>
      <c r="U22" s="17"/>
      <c r="V22" s="17"/>
      <c r="W22" s="17"/>
      <c r="X22" s="17"/>
      <c r="Y22" s="17"/>
      <c r="Z22" s="17"/>
      <c r="AA22" s="17"/>
      <c r="AB22" s="17"/>
      <c r="AC22" s="17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</row>
    <row r="23" spans="1:48" s="19" customFormat="1" ht="21.6" x14ac:dyDescent="0.2">
      <c r="A23" s="41">
        <v>2070</v>
      </c>
      <c r="B23" s="42" t="s">
        <v>20</v>
      </c>
      <c r="C23" s="43" t="s">
        <v>21</v>
      </c>
      <c r="D23" s="66">
        <v>6174</v>
      </c>
      <c r="E23" s="42" t="s">
        <v>442</v>
      </c>
      <c r="F23" s="45" t="s">
        <v>303</v>
      </c>
      <c r="G23" s="42" t="s">
        <v>137</v>
      </c>
      <c r="H23" s="45" t="s">
        <v>422</v>
      </c>
      <c r="I23" s="46" t="s">
        <v>27</v>
      </c>
      <c r="J23" s="47">
        <v>0.7</v>
      </c>
      <c r="K23" s="55" t="s">
        <v>423</v>
      </c>
      <c r="L23" s="63" t="s">
        <v>424</v>
      </c>
      <c r="M23" s="13" t="s">
        <v>425</v>
      </c>
      <c r="N23" s="51" t="s">
        <v>112</v>
      </c>
      <c r="O23" s="47">
        <v>0.1</v>
      </c>
      <c r="P23" s="47"/>
      <c r="Q23" s="47">
        <f t="shared" si="6"/>
        <v>0</v>
      </c>
      <c r="R23" s="49">
        <f t="shared" si="7"/>
        <v>0</v>
      </c>
      <c r="S23" s="47" t="s">
        <v>31</v>
      </c>
      <c r="T23" s="50">
        <f>SUM(R23:R29)%</f>
        <v>0</v>
      </c>
      <c r="U23" s="17"/>
      <c r="V23" s="17"/>
      <c r="W23" s="17"/>
      <c r="X23" s="17"/>
      <c r="Y23" s="17"/>
      <c r="Z23" s="17"/>
      <c r="AA23" s="17"/>
      <c r="AB23" s="17"/>
      <c r="AC23" s="17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</row>
    <row r="24" spans="1:48" s="19" customFormat="1" ht="21.6" x14ac:dyDescent="0.2">
      <c r="A24" s="41">
        <v>2071</v>
      </c>
      <c r="B24" s="42" t="s">
        <v>20</v>
      </c>
      <c r="C24" s="43" t="s">
        <v>21</v>
      </c>
      <c r="D24" s="66">
        <v>6174</v>
      </c>
      <c r="E24" s="42" t="s">
        <v>442</v>
      </c>
      <c r="F24" s="45" t="s">
        <v>303</v>
      </c>
      <c r="G24" s="42" t="s">
        <v>137</v>
      </c>
      <c r="H24" s="45" t="s">
        <v>422</v>
      </c>
      <c r="I24" s="46" t="s">
        <v>27</v>
      </c>
      <c r="J24" s="47">
        <v>0.7</v>
      </c>
      <c r="K24" s="55" t="s">
        <v>426</v>
      </c>
      <c r="L24" s="63" t="s">
        <v>427</v>
      </c>
      <c r="M24" s="55" t="s">
        <v>428</v>
      </c>
      <c r="N24" s="51" t="s">
        <v>127</v>
      </c>
      <c r="O24" s="47">
        <v>0.2</v>
      </c>
      <c r="P24" s="52"/>
      <c r="Q24" s="47">
        <f>ROUND(IF(OR(N24="",P24=""),0,IF(AND(N24=0,P24=0),1,IF(S24="+",P24/N24,N24/P24))),2)</f>
        <v>0</v>
      </c>
      <c r="R24" s="49">
        <f t="shared" si="7"/>
        <v>0</v>
      </c>
      <c r="S24" s="47" t="s">
        <v>31</v>
      </c>
      <c r="T24" s="47"/>
      <c r="U24" s="17"/>
      <c r="V24" s="17"/>
      <c r="W24" s="17"/>
      <c r="X24" s="17"/>
      <c r="Y24" s="17"/>
      <c r="Z24" s="17"/>
      <c r="AA24" s="17"/>
      <c r="AB24" s="17"/>
      <c r="AC24" s="17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</row>
    <row r="25" spans="1:48" s="19" customFormat="1" ht="21.6" x14ac:dyDescent="0.2">
      <c r="A25" s="41">
        <v>2072</v>
      </c>
      <c r="B25" s="42" t="s">
        <v>20</v>
      </c>
      <c r="C25" s="43" t="s">
        <v>21</v>
      </c>
      <c r="D25" s="66">
        <v>6174</v>
      </c>
      <c r="E25" s="42" t="s">
        <v>442</v>
      </c>
      <c r="F25" s="45" t="s">
        <v>303</v>
      </c>
      <c r="G25" s="42" t="s">
        <v>137</v>
      </c>
      <c r="H25" s="45" t="s">
        <v>422</v>
      </c>
      <c r="I25" s="46" t="s">
        <v>27</v>
      </c>
      <c r="J25" s="47">
        <v>0.7</v>
      </c>
      <c r="K25" s="55" t="s">
        <v>429</v>
      </c>
      <c r="L25" s="63" t="s">
        <v>430</v>
      </c>
      <c r="M25" s="55" t="s">
        <v>431</v>
      </c>
      <c r="N25" s="53" t="s">
        <v>127</v>
      </c>
      <c r="O25" s="47">
        <v>0.15</v>
      </c>
      <c r="P25" s="52"/>
      <c r="Q25" s="47">
        <f t="shared" ref="Q25:Q27" si="8">ROUND(IF(OR(N25="",P25=""),0,IF(AND(N25=0,P25=0),1,IF(S25="+",P25/N25,N25/P25))),2)</f>
        <v>0</v>
      </c>
      <c r="R25" s="49">
        <f t="shared" si="7"/>
        <v>0</v>
      </c>
      <c r="S25" s="47" t="s">
        <v>31</v>
      </c>
      <c r="T25" s="47"/>
      <c r="U25" s="17"/>
      <c r="V25" s="17"/>
      <c r="W25" s="17"/>
      <c r="X25" s="17"/>
      <c r="Y25" s="17"/>
      <c r="Z25" s="17"/>
      <c r="AA25" s="17"/>
      <c r="AB25" s="17"/>
      <c r="AC25" s="17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  <row r="26" spans="1:48" s="19" customFormat="1" ht="21.6" x14ac:dyDescent="0.2">
      <c r="A26" s="41">
        <v>2073</v>
      </c>
      <c r="B26" s="42" t="s">
        <v>20</v>
      </c>
      <c r="C26" s="43" t="s">
        <v>21</v>
      </c>
      <c r="D26" s="66">
        <v>6174</v>
      </c>
      <c r="E26" s="42" t="s">
        <v>442</v>
      </c>
      <c r="F26" s="45" t="s">
        <v>303</v>
      </c>
      <c r="G26" s="42" t="s">
        <v>137</v>
      </c>
      <c r="H26" s="45" t="s">
        <v>422</v>
      </c>
      <c r="I26" s="46" t="s">
        <v>27</v>
      </c>
      <c r="J26" s="47">
        <v>0.7</v>
      </c>
      <c r="K26" s="55" t="s">
        <v>432</v>
      </c>
      <c r="L26" s="63" t="s">
        <v>433</v>
      </c>
      <c r="M26" s="55" t="s">
        <v>434</v>
      </c>
      <c r="N26" s="52" t="s">
        <v>435</v>
      </c>
      <c r="O26" s="47">
        <v>0.15</v>
      </c>
      <c r="P26" s="54"/>
      <c r="Q26" s="47">
        <f t="shared" si="8"/>
        <v>0</v>
      </c>
      <c r="R26" s="49">
        <f t="shared" si="7"/>
        <v>0</v>
      </c>
      <c r="S26" s="47" t="s">
        <v>36</v>
      </c>
      <c r="T26" s="47"/>
      <c r="U26" s="17"/>
      <c r="V26" s="17"/>
      <c r="W26" s="17"/>
      <c r="X26" s="17"/>
      <c r="Y26" s="17"/>
      <c r="Z26" s="17"/>
      <c r="AA26" s="17"/>
      <c r="AB26" s="17"/>
      <c r="AC26" s="17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</row>
    <row r="27" spans="1:48" s="19" customFormat="1" ht="21.6" x14ac:dyDescent="0.2">
      <c r="A27" s="41">
        <v>2074</v>
      </c>
      <c r="B27" s="42" t="s">
        <v>20</v>
      </c>
      <c r="C27" s="43" t="s">
        <v>21</v>
      </c>
      <c r="D27" s="66">
        <v>6174</v>
      </c>
      <c r="E27" s="42" t="s">
        <v>442</v>
      </c>
      <c r="F27" s="45" t="s">
        <v>303</v>
      </c>
      <c r="G27" s="42" t="s">
        <v>137</v>
      </c>
      <c r="H27" s="45" t="s">
        <v>422</v>
      </c>
      <c r="I27" s="46" t="s">
        <v>27</v>
      </c>
      <c r="J27" s="47">
        <v>0.7</v>
      </c>
      <c r="K27" s="55" t="s">
        <v>321</v>
      </c>
      <c r="L27" s="63" t="s">
        <v>322</v>
      </c>
      <c r="M27" s="55" t="s">
        <v>436</v>
      </c>
      <c r="N27" s="55">
        <v>0</v>
      </c>
      <c r="O27" s="47">
        <v>0.1</v>
      </c>
      <c r="P27" s="56"/>
      <c r="Q27" s="47">
        <f t="shared" si="8"/>
        <v>0</v>
      </c>
      <c r="R27" s="49">
        <f t="shared" si="7"/>
        <v>0</v>
      </c>
      <c r="S27" s="47" t="s">
        <v>36</v>
      </c>
      <c r="T27" s="47"/>
      <c r="U27" s="17"/>
      <c r="V27" s="17"/>
      <c r="W27" s="17"/>
      <c r="X27" s="17"/>
      <c r="Y27" s="17"/>
      <c r="Z27" s="17"/>
      <c r="AA27" s="17"/>
      <c r="AB27" s="17"/>
      <c r="AC27" s="17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</row>
    <row r="28" spans="1:48" s="19" customFormat="1" ht="21.6" x14ac:dyDescent="0.2">
      <c r="A28" s="41">
        <v>2075</v>
      </c>
      <c r="B28" s="42" t="s">
        <v>20</v>
      </c>
      <c r="C28" s="43" t="s">
        <v>21</v>
      </c>
      <c r="D28" s="66">
        <v>6174</v>
      </c>
      <c r="E28" s="42" t="s">
        <v>442</v>
      </c>
      <c r="F28" s="45" t="s">
        <v>303</v>
      </c>
      <c r="G28" s="42" t="s">
        <v>137</v>
      </c>
      <c r="H28" s="45" t="s">
        <v>422</v>
      </c>
      <c r="I28" s="57" t="s">
        <v>27</v>
      </c>
      <c r="J28" s="47">
        <v>0.7</v>
      </c>
      <c r="K28" s="57" t="s">
        <v>52</v>
      </c>
      <c r="L28" s="63" t="s">
        <v>53</v>
      </c>
      <c r="M28" s="57" t="s">
        <v>54</v>
      </c>
      <c r="N28" s="59" t="s">
        <v>72</v>
      </c>
      <c r="O28" s="60">
        <v>0.2</v>
      </c>
      <c r="P28" s="56"/>
      <c r="Q28" s="60">
        <v>0</v>
      </c>
      <c r="R28" s="61">
        <v>0</v>
      </c>
      <c r="S28" s="60" t="s">
        <v>36</v>
      </c>
      <c r="T28" s="60"/>
      <c r="U28" s="17"/>
      <c r="V28" s="17"/>
      <c r="W28" s="17"/>
      <c r="X28" s="17"/>
      <c r="Y28" s="17"/>
      <c r="Z28" s="17"/>
      <c r="AA28" s="17"/>
      <c r="AB28" s="17"/>
      <c r="AC28" s="17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</row>
    <row r="29" spans="1:48" s="19" customFormat="1" ht="21.6" x14ac:dyDescent="0.2">
      <c r="A29" s="41">
        <v>2076</v>
      </c>
      <c r="B29" s="42" t="s">
        <v>20</v>
      </c>
      <c r="C29" s="43" t="s">
        <v>21</v>
      </c>
      <c r="D29" s="66">
        <v>6174</v>
      </c>
      <c r="E29" s="42" t="s">
        <v>442</v>
      </c>
      <c r="F29" s="45" t="s">
        <v>303</v>
      </c>
      <c r="G29" s="42" t="s">
        <v>137</v>
      </c>
      <c r="H29" s="45" t="s">
        <v>422</v>
      </c>
      <c r="I29" s="57" t="s">
        <v>59</v>
      </c>
      <c r="J29" s="95">
        <v>0.3</v>
      </c>
      <c r="K29" s="57" t="s">
        <v>437</v>
      </c>
      <c r="L29" s="64" t="s">
        <v>438</v>
      </c>
      <c r="M29" s="57" t="s">
        <v>439</v>
      </c>
      <c r="N29" s="59" t="s">
        <v>127</v>
      </c>
      <c r="O29" s="60">
        <v>0.1</v>
      </c>
      <c r="P29" s="56"/>
      <c r="Q29" s="60">
        <f t="shared" ref="Q29:Q30" si="9">ROUND(IF(OR(N29="",P29=""),0,IF(AND(N29=0,P29=0),1,IF(S29="+",P29/N29,N29/P29))),2)</f>
        <v>0</v>
      </c>
      <c r="R29" s="61">
        <f t="shared" ref="R29:R34" si="10">IF(AND(Q29&gt;=60%,Q29&lt;100%),Q29*((O29*J29)),IF(Q29=100%,((O29*J29)*Q29)*100%,IF(Q29&gt;100%,((J29*O29)*100%)*100%,0)))*100</f>
        <v>0</v>
      </c>
      <c r="S29" s="60" t="s">
        <v>31</v>
      </c>
      <c r="T29" s="60"/>
      <c r="U29" s="17"/>
      <c r="V29" s="17"/>
      <c r="W29" s="17"/>
      <c r="X29" s="17"/>
      <c r="Y29" s="17"/>
      <c r="Z29" s="17"/>
      <c r="AA29" s="17"/>
      <c r="AB29" s="17"/>
      <c r="AC29" s="17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</row>
    <row r="30" spans="1:48" s="19" customFormat="1" ht="21.6" x14ac:dyDescent="0.2">
      <c r="A30" s="41">
        <v>2070</v>
      </c>
      <c r="B30" s="42" t="s">
        <v>20</v>
      </c>
      <c r="C30" s="43" t="s">
        <v>21</v>
      </c>
      <c r="D30" s="66">
        <v>6228</v>
      </c>
      <c r="E30" s="42" t="s">
        <v>443</v>
      </c>
      <c r="F30" s="45" t="s">
        <v>303</v>
      </c>
      <c r="G30" s="42" t="s">
        <v>137</v>
      </c>
      <c r="H30" s="45" t="s">
        <v>422</v>
      </c>
      <c r="I30" s="46" t="s">
        <v>27</v>
      </c>
      <c r="J30" s="47">
        <v>0.7</v>
      </c>
      <c r="K30" s="55" t="s">
        <v>423</v>
      </c>
      <c r="L30" s="63" t="s">
        <v>424</v>
      </c>
      <c r="M30" s="13" t="s">
        <v>425</v>
      </c>
      <c r="N30" s="51" t="s">
        <v>112</v>
      </c>
      <c r="O30" s="47">
        <v>0.1</v>
      </c>
      <c r="P30" s="47"/>
      <c r="Q30" s="47">
        <f t="shared" si="9"/>
        <v>0</v>
      </c>
      <c r="R30" s="49">
        <f t="shared" si="10"/>
        <v>0</v>
      </c>
      <c r="S30" s="47" t="s">
        <v>31</v>
      </c>
      <c r="T30" s="50">
        <f>SUM(R30:R36)%</f>
        <v>0</v>
      </c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</row>
    <row r="31" spans="1:48" s="19" customFormat="1" ht="21.6" x14ac:dyDescent="0.2">
      <c r="A31" s="41">
        <v>2071</v>
      </c>
      <c r="B31" s="42" t="s">
        <v>20</v>
      </c>
      <c r="C31" s="43" t="s">
        <v>21</v>
      </c>
      <c r="D31" s="66">
        <v>6228</v>
      </c>
      <c r="E31" s="42" t="s">
        <v>443</v>
      </c>
      <c r="F31" s="45" t="s">
        <v>303</v>
      </c>
      <c r="G31" s="42" t="s">
        <v>137</v>
      </c>
      <c r="H31" s="45" t="s">
        <v>422</v>
      </c>
      <c r="I31" s="46" t="s">
        <v>27</v>
      </c>
      <c r="J31" s="47">
        <v>0.7</v>
      </c>
      <c r="K31" s="55" t="s">
        <v>426</v>
      </c>
      <c r="L31" s="63" t="s">
        <v>427</v>
      </c>
      <c r="M31" s="55" t="s">
        <v>428</v>
      </c>
      <c r="N31" s="51" t="s">
        <v>127</v>
      </c>
      <c r="O31" s="47">
        <v>0.2</v>
      </c>
      <c r="P31" s="52"/>
      <c r="Q31" s="47">
        <f>ROUND(IF(OR(N31="",P31=""),0,IF(AND(N31=0,P31=0),1,IF(S31="+",P31/N31,N31/P31))),2)</f>
        <v>0</v>
      </c>
      <c r="R31" s="49">
        <f t="shared" si="10"/>
        <v>0</v>
      </c>
      <c r="S31" s="47" t="s">
        <v>31</v>
      </c>
      <c r="T31" s="47"/>
      <c r="U31" s="17"/>
      <c r="V31" s="17"/>
      <c r="W31" s="17"/>
      <c r="X31" s="17"/>
      <c r="Y31" s="17"/>
      <c r="Z31" s="17"/>
      <c r="AA31" s="17"/>
      <c r="AB31" s="17"/>
      <c r="AC31" s="17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</row>
    <row r="32" spans="1:48" s="19" customFormat="1" ht="21.6" x14ac:dyDescent="0.2">
      <c r="A32" s="41">
        <v>2072</v>
      </c>
      <c r="B32" s="42" t="s">
        <v>20</v>
      </c>
      <c r="C32" s="43" t="s">
        <v>21</v>
      </c>
      <c r="D32" s="66">
        <v>6228</v>
      </c>
      <c r="E32" s="42" t="s">
        <v>443</v>
      </c>
      <c r="F32" s="45" t="s">
        <v>303</v>
      </c>
      <c r="G32" s="42" t="s">
        <v>137</v>
      </c>
      <c r="H32" s="45" t="s">
        <v>422</v>
      </c>
      <c r="I32" s="46" t="s">
        <v>27</v>
      </c>
      <c r="J32" s="47">
        <v>0.7</v>
      </c>
      <c r="K32" s="55" t="s">
        <v>429</v>
      </c>
      <c r="L32" s="63" t="s">
        <v>430</v>
      </c>
      <c r="M32" s="55" t="s">
        <v>431</v>
      </c>
      <c r="N32" s="53" t="s">
        <v>127</v>
      </c>
      <c r="O32" s="47">
        <v>0.15</v>
      </c>
      <c r="P32" s="52"/>
      <c r="Q32" s="47">
        <f t="shared" ref="Q32:Q34" si="11">ROUND(IF(OR(N32="",P32=""),0,IF(AND(N32=0,P32=0),1,IF(S32="+",P32/N32,N32/P32))),2)</f>
        <v>0</v>
      </c>
      <c r="R32" s="49">
        <f t="shared" si="10"/>
        <v>0</v>
      </c>
      <c r="S32" s="47" t="s">
        <v>31</v>
      </c>
      <c r="T32" s="47"/>
      <c r="U32" s="17"/>
      <c r="V32" s="17"/>
      <c r="W32" s="17"/>
      <c r="X32" s="17"/>
      <c r="Y32" s="17"/>
      <c r="Z32" s="17"/>
      <c r="AA32" s="17"/>
      <c r="AB32" s="17"/>
      <c r="AC32" s="17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</row>
    <row r="33" spans="1:48" s="19" customFormat="1" ht="21.6" x14ac:dyDescent="0.2">
      <c r="A33" s="41">
        <v>2073</v>
      </c>
      <c r="B33" s="42" t="s">
        <v>20</v>
      </c>
      <c r="C33" s="43" t="s">
        <v>21</v>
      </c>
      <c r="D33" s="66">
        <v>6228</v>
      </c>
      <c r="E33" s="42" t="s">
        <v>443</v>
      </c>
      <c r="F33" s="45" t="s">
        <v>303</v>
      </c>
      <c r="G33" s="42" t="s">
        <v>137</v>
      </c>
      <c r="H33" s="45" t="s">
        <v>422</v>
      </c>
      <c r="I33" s="46" t="s">
        <v>27</v>
      </c>
      <c r="J33" s="47">
        <v>0.7</v>
      </c>
      <c r="K33" s="55" t="s">
        <v>432</v>
      </c>
      <c r="L33" s="63" t="s">
        <v>433</v>
      </c>
      <c r="M33" s="55" t="s">
        <v>434</v>
      </c>
      <c r="N33" s="52" t="s">
        <v>435</v>
      </c>
      <c r="O33" s="47">
        <v>0.15</v>
      </c>
      <c r="P33" s="54"/>
      <c r="Q33" s="47">
        <f t="shared" si="11"/>
        <v>0</v>
      </c>
      <c r="R33" s="49">
        <f t="shared" si="10"/>
        <v>0</v>
      </c>
      <c r="S33" s="47" t="s">
        <v>36</v>
      </c>
      <c r="T33" s="47"/>
      <c r="U33" s="17"/>
      <c r="V33" s="17"/>
      <c r="W33" s="17"/>
      <c r="X33" s="17"/>
      <c r="Y33" s="17"/>
      <c r="Z33" s="17"/>
      <c r="AA33" s="17"/>
      <c r="AB33" s="17"/>
      <c r="AC33" s="17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</row>
    <row r="34" spans="1:48" s="19" customFormat="1" ht="21.6" x14ac:dyDescent="0.2">
      <c r="A34" s="41">
        <v>2074</v>
      </c>
      <c r="B34" s="42" t="s">
        <v>20</v>
      </c>
      <c r="C34" s="43" t="s">
        <v>21</v>
      </c>
      <c r="D34" s="66">
        <v>6228</v>
      </c>
      <c r="E34" s="42" t="s">
        <v>443</v>
      </c>
      <c r="F34" s="45" t="s">
        <v>303</v>
      </c>
      <c r="G34" s="42" t="s">
        <v>137</v>
      </c>
      <c r="H34" s="45" t="s">
        <v>422</v>
      </c>
      <c r="I34" s="46" t="s">
        <v>27</v>
      </c>
      <c r="J34" s="47">
        <v>0.7</v>
      </c>
      <c r="K34" s="55" t="s">
        <v>321</v>
      </c>
      <c r="L34" s="63" t="s">
        <v>322</v>
      </c>
      <c r="M34" s="55" t="s">
        <v>436</v>
      </c>
      <c r="N34" s="55">
        <v>0</v>
      </c>
      <c r="O34" s="47">
        <v>0.1</v>
      </c>
      <c r="P34" s="56"/>
      <c r="Q34" s="47">
        <f t="shared" si="11"/>
        <v>0</v>
      </c>
      <c r="R34" s="49">
        <f t="shared" si="10"/>
        <v>0</v>
      </c>
      <c r="S34" s="47" t="s">
        <v>36</v>
      </c>
      <c r="T34" s="47"/>
      <c r="U34" s="17"/>
      <c r="V34" s="17"/>
      <c r="W34" s="17"/>
      <c r="X34" s="17"/>
      <c r="Y34" s="17"/>
      <c r="Z34" s="17"/>
      <c r="AA34" s="17"/>
      <c r="AB34" s="17"/>
      <c r="AC34" s="17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</row>
    <row r="35" spans="1:48" s="19" customFormat="1" ht="21.6" x14ac:dyDescent="0.2">
      <c r="A35" s="41">
        <v>2075</v>
      </c>
      <c r="B35" s="42" t="s">
        <v>20</v>
      </c>
      <c r="C35" s="43" t="s">
        <v>21</v>
      </c>
      <c r="D35" s="66">
        <v>6228</v>
      </c>
      <c r="E35" s="42" t="s">
        <v>443</v>
      </c>
      <c r="F35" s="45" t="s">
        <v>303</v>
      </c>
      <c r="G35" s="42" t="s">
        <v>137</v>
      </c>
      <c r="H35" s="45" t="s">
        <v>422</v>
      </c>
      <c r="I35" s="57" t="s">
        <v>27</v>
      </c>
      <c r="J35" s="47">
        <v>0.7</v>
      </c>
      <c r="K35" s="57" t="s">
        <v>52</v>
      </c>
      <c r="L35" s="63" t="s">
        <v>53</v>
      </c>
      <c r="M35" s="57" t="s">
        <v>54</v>
      </c>
      <c r="N35" s="59" t="s">
        <v>72</v>
      </c>
      <c r="O35" s="60">
        <v>0.2</v>
      </c>
      <c r="P35" s="56"/>
      <c r="Q35" s="60">
        <v>0</v>
      </c>
      <c r="R35" s="61">
        <v>0</v>
      </c>
      <c r="S35" s="60" t="s">
        <v>36</v>
      </c>
      <c r="T35" s="60"/>
      <c r="U35" s="17"/>
      <c r="V35" s="17"/>
      <c r="W35" s="17"/>
      <c r="X35" s="17"/>
      <c r="Y35" s="17"/>
      <c r="Z35" s="17"/>
      <c r="AA35" s="17"/>
      <c r="AB35" s="17"/>
      <c r="AC35" s="17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</row>
    <row r="36" spans="1:48" s="19" customFormat="1" ht="21.6" x14ac:dyDescent="0.2">
      <c r="A36" s="41">
        <v>2076</v>
      </c>
      <c r="B36" s="42" t="s">
        <v>20</v>
      </c>
      <c r="C36" s="43" t="s">
        <v>21</v>
      </c>
      <c r="D36" s="66">
        <v>6228</v>
      </c>
      <c r="E36" s="42" t="s">
        <v>443</v>
      </c>
      <c r="F36" s="45" t="s">
        <v>303</v>
      </c>
      <c r="G36" s="42" t="s">
        <v>137</v>
      </c>
      <c r="H36" s="45" t="s">
        <v>422</v>
      </c>
      <c r="I36" s="57" t="s">
        <v>59</v>
      </c>
      <c r="J36" s="95">
        <v>0.3</v>
      </c>
      <c r="K36" s="57" t="s">
        <v>437</v>
      </c>
      <c r="L36" s="64" t="s">
        <v>438</v>
      </c>
      <c r="M36" s="57" t="s">
        <v>439</v>
      </c>
      <c r="N36" s="59" t="s">
        <v>127</v>
      </c>
      <c r="O36" s="60">
        <v>0.1</v>
      </c>
      <c r="P36" s="56"/>
      <c r="Q36" s="60">
        <f t="shared" ref="Q36:Q37" si="12">ROUND(IF(OR(N36="",P36=""),0,IF(AND(N36=0,P36=0),1,IF(S36="+",P36/N36,N36/P36))),2)</f>
        <v>0</v>
      </c>
      <c r="R36" s="61">
        <f t="shared" ref="R36:R41" si="13">IF(AND(Q36&gt;=60%,Q36&lt;100%),Q36*((O36*J36)),IF(Q36=100%,((O36*J36)*Q36)*100%,IF(Q36&gt;100%,((J36*O36)*100%)*100%,0)))*100</f>
        <v>0</v>
      </c>
      <c r="S36" s="60" t="s">
        <v>31</v>
      </c>
      <c r="T36" s="60"/>
      <c r="U36" s="17"/>
      <c r="V36" s="17"/>
      <c r="W36" s="17"/>
      <c r="X36" s="17"/>
      <c r="Y36" s="17"/>
      <c r="Z36" s="17"/>
      <c r="AA36" s="17"/>
      <c r="AB36" s="17"/>
      <c r="AC36" s="17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</row>
    <row r="37" spans="1:48" s="19" customFormat="1" ht="21.6" x14ac:dyDescent="0.2">
      <c r="A37" s="41">
        <v>2070</v>
      </c>
      <c r="B37" s="42" t="s">
        <v>20</v>
      </c>
      <c r="C37" s="43" t="s">
        <v>21</v>
      </c>
      <c r="D37" s="66">
        <v>6366</v>
      </c>
      <c r="E37" s="42" t="s">
        <v>444</v>
      </c>
      <c r="F37" s="45" t="s">
        <v>303</v>
      </c>
      <c r="G37" s="42" t="s">
        <v>137</v>
      </c>
      <c r="H37" s="45" t="s">
        <v>422</v>
      </c>
      <c r="I37" s="46" t="s">
        <v>27</v>
      </c>
      <c r="J37" s="47">
        <v>0.7</v>
      </c>
      <c r="K37" s="55" t="s">
        <v>423</v>
      </c>
      <c r="L37" s="63" t="s">
        <v>424</v>
      </c>
      <c r="M37" s="13" t="s">
        <v>425</v>
      </c>
      <c r="N37" s="51" t="s">
        <v>112</v>
      </c>
      <c r="O37" s="47">
        <v>0.1</v>
      </c>
      <c r="P37" s="47"/>
      <c r="Q37" s="47">
        <f t="shared" si="12"/>
        <v>0</v>
      </c>
      <c r="R37" s="49">
        <f t="shared" si="13"/>
        <v>0</v>
      </c>
      <c r="S37" s="47" t="s">
        <v>31</v>
      </c>
      <c r="T37" s="50">
        <f>SUM(R37:R43)%</f>
        <v>0</v>
      </c>
      <c r="U37" s="17"/>
      <c r="V37" s="17"/>
      <c r="W37" s="17"/>
      <c r="X37" s="17"/>
      <c r="Y37" s="17"/>
      <c r="Z37" s="17"/>
      <c r="AA37" s="17"/>
      <c r="AB37" s="17"/>
      <c r="AC37" s="17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</row>
    <row r="38" spans="1:48" s="19" customFormat="1" ht="21.6" x14ac:dyDescent="0.2">
      <c r="A38" s="41">
        <v>2071</v>
      </c>
      <c r="B38" s="42" t="s">
        <v>20</v>
      </c>
      <c r="C38" s="43" t="s">
        <v>21</v>
      </c>
      <c r="D38" s="66">
        <v>6366</v>
      </c>
      <c r="E38" s="42" t="s">
        <v>444</v>
      </c>
      <c r="F38" s="45" t="s">
        <v>303</v>
      </c>
      <c r="G38" s="42" t="s">
        <v>137</v>
      </c>
      <c r="H38" s="45" t="s">
        <v>422</v>
      </c>
      <c r="I38" s="46" t="s">
        <v>27</v>
      </c>
      <c r="J38" s="47">
        <v>0.7</v>
      </c>
      <c r="K38" s="55" t="s">
        <v>426</v>
      </c>
      <c r="L38" s="63" t="s">
        <v>427</v>
      </c>
      <c r="M38" s="55" t="s">
        <v>428</v>
      </c>
      <c r="N38" s="51" t="s">
        <v>127</v>
      </c>
      <c r="O38" s="47">
        <v>0.2</v>
      </c>
      <c r="P38" s="52"/>
      <c r="Q38" s="47">
        <f>ROUND(IF(OR(N38="",P38=""),0,IF(AND(N38=0,P38=0),1,IF(S38="+",P38/N38,N38/P38))),2)</f>
        <v>0</v>
      </c>
      <c r="R38" s="49">
        <f t="shared" si="13"/>
        <v>0</v>
      </c>
      <c r="S38" s="47" t="s">
        <v>31</v>
      </c>
      <c r="T38" s="47"/>
      <c r="U38" s="17"/>
      <c r="V38" s="17"/>
      <c r="W38" s="17"/>
      <c r="X38" s="17"/>
      <c r="Y38" s="17"/>
      <c r="Z38" s="17"/>
      <c r="AA38" s="17"/>
      <c r="AB38" s="17"/>
      <c r="AC38" s="17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spans="1:48" s="19" customFormat="1" ht="21.6" x14ac:dyDescent="0.2">
      <c r="A39" s="41">
        <v>2072</v>
      </c>
      <c r="B39" s="42" t="s">
        <v>20</v>
      </c>
      <c r="C39" s="43" t="s">
        <v>21</v>
      </c>
      <c r="D39" s="66">
        <v>6366</v>
      </c>
      <c r="E39" s="42" t="s">
        <v>444</v>
      </c>
      <c r="F39" s="45" t="s">
        <v>303</v>
      </c>
      <c r="G39" s="42" t="s">
        <v>137</v>
      </c>
      <c r="H39" s="45" t="s">
        <v>422</v>
      </c>
      <c r="I39" s="46" t="s">
        <v>27</v>
      </c>
      <c r="J39" s="47">
        <v>0.7</v>
      </c>
      <c r="K39" s="55" t="s">
        <v>429</v>
      </c>
      <c r="L39" s="63" t="s">
        <v>430</v>
      </c>
      <c r="M39" s="55" t="s">
        <v>431</v>
      </c>
      <c r="N39" s="53" t="s">
        <v>127</v>
      </c>
      <c r="O39" s="47">
        <v>0.15</v>
      </c>
      <c r="P39" s="52"/>
      <c r="Q39" s="47">
        <f t="shared" ref="Q39:Q41" si="14">ROUND(IF(OR(N39="",P39=""),0,IF(AND(N39=0,P39=0),1,IF(S39="+",P39/N39,N39/P39))),2)</f>
        <v>0</v>
      </c>
      <c r="R39" s="49">
        <f t="shared" si="13"/>
        <v>0</v>
      </c>
      <c r="S39" s="47" t="s">
        <v>31</v>
      </c>
      <c r="T39" s="47"/>
      <c r="U39" s="17"/>
      <c r="V39" s="17"/>
      <c r="W39" s="17"/>
      <c r="X39" s="17"/>
      <c r="Y39" s="17"/>
      <c r="Z39" s="17"/>
      <c r="AA39" s="17"/>
      <c r="AB39" s="17"/>
      <c r="AC39" s="17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</row>
    <row r="40" spans="1:48" s="19" customFormat="1" ht="21.6" x14ac:dyDescent="0.2">
      <c r="A40" s="41">
        <v>2073</v>
      </c>
      <c r="B40" s="42" t="s">
        <v>20</v>
      </c>
      <c r="C40" s="43" t="s">
        <v>21</v>
      </c>
      <c r="D40" s="66">
        <v>6366</v>
      </c>
      <c r="E40" s="42" t="s">
        <v>444</v>
      </c>
      <c r="F40" s="45" t="s">
        <v>303</v>
      </c>
      <c r="G40" s="42" t="s">
        <v>137</v>
      </c>
      <c r="H40" s="45" t="s">
        <v>422</v>
      </c>
      <c r="I40" s="46" t="s">
        <v>27</v>
      </c>
      <c r="J40" s="47">
        <v>0.7</v>
      </c>
      <c r="K40" s="55" t="s">
        <v>432</v>
      </c>
      <c r="L40" s="63" t="s">
        <v>433</v>
      </c>
      <c r="M40" s="55" t="s">
        <v>434</v>
      </c>
      <c r="N40" s="52" t="s">
        <v>435</v>
      </c>
      <c r="O40" s="47">
        <v>0.15</v>
      </c>
      <c r="P40" s="54"/>
      <c r="Q40" s="47">
        <f t="shared" si="14"/>
        <v>0</v>
      </c>
      <c r="R40" s="49">
        <f t="shared" si="13"/>
        <v>0</v>
      </c>
      <c r="S40" s="47" t="s">
        <v>36</v>
      </c>
      <c r="T40" s="47"/>
      <c r="U40" s="17"/>
      <c r="V40" s="17"/>
      <c r="W40" s="17"/>
      <c r="X40" s="17"/>
      <c r="Y40" s="17"/>
      <c r="Z40" s="17"/>
      <c r="AA40" s="17"/>
      <c r="AB40" s="17"/>
      <c r="AC40" s="17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</row>
    <row r="41" spans="1:48" s="19" customFormat="1" ht="21.6" x14ac:dyDescent="0.2">
      <c r="A41" s="41">
        <v>2074</v>
      </c>
      <c r="B41" s="42" t="s">
        <v>20</v>
      </c>
      <c r="C41" s="43" t="s">
        <v>21</v>
      </c>
      <c r="D41" s="66">
        <v>6366</v>
      </c>
      <c r="E41" s="42" t="s">
        <v>444</v>
      </c>
      <c r="F41" s="45" t="s">
        <v>303</v>
      </c>
      <c r="G41" s="42" t="s">
        <v>137</v>
      </c>
      <c r="H41" s="45" t="s">
        <v>422</v>
      </c>
      <c r="I41" s="46" t="s">
        <v>27</v>
      </c>
      <c r="J41" s="47">
        <v>0.7</v>
      </c>
      <c r="K41" s="55" t="s">
        <v>321</v>
      </c>
      <c r="L41" s="63" t="s">
        <v>322</v>
      </c>
      <c r="M41" s="55" t="s">
        <v>436</v>
      </c>
      <c r="N41" s="55">
        <v>0</v>
      </c>
      <c r="O41" s="47">
        <v>0.1</v>
      </c>
      <c r="P41" s="56"/>
      <c r="Q41" s="47">
        <f t="shared" si="14"/>
        <v>0</v>
      </c>
      <c r="R41" s="49">
        <f t="shared" si="13"/>
        <v>0</v>
      </c>
      <c r="S41" s="47" t="s">
        <v>36</v>
      </c>
      <c r="T41" s="47"/>
      <c r="U41" s="17"/>
      <c r="V41" s="17"/>
      <c r="W41" s="17"/>
      <c r="X41" s="17"/>
      <c r="Y41" s="17"/>
      <c r="Z41" s="17"/>
      <c r="AA41" s="17"/>
      <c r="AB41" s="17"/>
      <c r="AC41" s="17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spans="1:48" s="19" customFormat="1" ht="21.6" x14ac:dyDescent="0.2">
      <c r="A42" s="41">
        <v>2075</v>
      </c>
      <c r="B42" s="42" t="s">
        <v>20</v>
      </c>
      <c r="C42" s="43" t="s">
        <v>21</v>
      </c>
      <c r="D42" s="66">
        <v>6366</v>
      </c>
      <c r="E42" s="42" t="s">
        <v>444</v>
      </c>
      <c r="F42" s="45" t="s">
        <v>303</v>
      </c>
      <c r="G42" s="42" t="s">
        <v>137</v>
      </c>
      <c r="H42" s="45" t="s">
        <v>422</v>
      </c>
      <c r="I42" s="57" t="s">
        <v>27</v>
      </c>
      <c r="J42" s="47">
        <v>0.7</v>
      </c>
      <c r="K42" s="57" t="s">
        <v>52</v>
      </c>
      <c r="L42" s="63" t="s">
        <v>53</v>
      </c>
      <c r="M42" s="57" t="s">
        <v>54</v>
      </c>
      <c r="N42" s="59" t="s">
        <v>72</v>
      </c>
      <c r="O42" s="60">
        <v>0.2</v>
      </c>
      <c r="P42" s="56"/>
      <c r="Q42" s="60">
        <v>0</v>
      </c>
      <c r="R42" s="61">
        <v>0</v>
      </c>
      <c r="S42" s="60" t="s">
        <v>36</v>
      </c>
      <c r="T42" s="60"/>
      <c r="U42" s="17"/>
      <c r="V42" s="17"/>
      <c r="W42" s="17"/>
      <c r="X42" s="17"/>
      <c r="Y42" s="17"/>
      <c r="Z42" s="17"/>
      <c r="AA42" s="17"/>
      <c r="AB42" s="17"/>
      <c r="AC42" s="17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</row>
    <row r="43" spans="1:48" s="19" customFormat="1" ht="21.6" x14ac:dyDescent="0.2">
      <c r="A43" s="41">
        <v>2076</v>
      </c>
      <c r="B43" s="42" t="s">
        <v>20</v>
      </c>
      <c r="C43" s="43" t="s">
        <v>21</v>
      </c>
      <c r="D43" s="66">
        <v>6366</v>
      </c>
      <c r="E43" s="42" t="s">
        <v>444</v>
      </c>
      <c r="F43" s="45" t="s">
        <v>303</v>
      </c>
      <c r="G43" s="42" t="s">
        <v>137</v>
      </c>
      <c r="H43" s="45" t="s">
        <v>422</v>
      </c>
      <c r="I43" s="57" t="s">
        <v>59</v>
      </c>
      <c r="J43" s="95">
        <v>0.3</v>
      </c>
      <c r="K43" s="57" t="s">
        <v>437</v>
      </c>
      <c r="L43" s="64" t="s">
        <v>438</v>
      </c>
      <c r="M43" s="57" t="s">
        <v>439</v>
      </c>
      <c r="N43" s="59" t="s">
        <v>127</v>
      </c>
      <c r="O43" s="60">
        <v>0.1</v>
      </c>
      <c r="P43" s="56"/>
      <c r="Q43" s="60">
        <f t="shared" ref="Q43:Q44" si="15">ROUND(IF(OR(N43="",P43=""),0,IF(AND(N43=0,P43=0),1,IF(S43="+",P43/N43,N43/P43))),2)</f>
        <v>0</v>
      </c>
      <c r="R43" s="61">
        <f t="shared" ref="R43:R48" si="16">IF(AND(Q43&gt;=60%,Q43&lt;100%),Q43*((O43*J43)),IF(Q43=100%,((O43*J43)*Q43)*100%,IF(Q43&gt;100%,((J43*O43)*100%)*100%,0)))*100</f>
        <v>0</v>
      </c>
      <c r="S43" s="60" t="s">
        <v>31</v>
      </c>
      <c r="T43" s="60"/>
      <c r="U43" s="17"/>
      <c r="V43" s="17"/>
      <c r="W43" s="17"/>
      <c r="X43" s="17"/>
      <c r="Y43" s="17"/>
      <c r="Z43" s="17"/>
      <c r="AA43" s="17"/>
      <c r="AB43" s="17"/>
      <c r="AC43" s="17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</row>
    <row r="44" spans="1:48" s="19" customFormat="1" ht="21.6" x14ac:dyDescent="0.2">
      <c r="A44" s="41">
        <v>2070</v>
      </c>
      <c r="B44" s="42" t="s">
        <v>20</v>
      </c>
      <c r="C44" s="43" t="s">
        <v>21</v>
      </c>
      <c r="D44" s="66">
        <v>6016</v>
      </c>
      <c r="E44" s="42" t="s">
        <v>445</v>
      </c>
      <c r="F44" s="45" t="s">
        <v>303</v>
      </c>
      <c r="G44" s="42" t="s">
        <v>137</v>
      </c>
      <c r="H44" s="45" t="s">
        <v>422</v>
      </c>
      <c r="I44" s="46" t="s">
        <v>27</v>
      </c>
      <c r="J44" s="47">
        <v>0.7</v>
      </c>
      <c r="K44" s="55" t="s">
        <v>423</v>
      </c>
      <c r="L44" s="63" t="s">
        <v>424</v>
      </c>
      <c r="M44" s="13" t="s">
        <v>425</v>
      </c>
      <c r="N44" s="51" t="s">
        <v>112</v>
      </c>
      <c r="O44" s="47">
        <v>0.1</v>
      </c>
      <c r="P44" s="47"/>
      <c r="Q44" s="47">
        <f t="shared" si="15"/>
        <v>0</v>
      </c>
      <c r="R44" s="49">
        <f t="shared" si="16"/>
        <v>0</v>
      </c>
      <c r="S44" s="47" t="s">
        <v>31</v>
      </c>
      <c r="T44" s="50">
        <f>SUM(R44:R50)%</f>
        <v>0</v>
      </c>
      <c r="U44" s="17"/>
      <c r="V44" s="17"/>
      <c r="W44" s="17"/>
      <c r="X44" s="17"/>
      <c r="Y44" s="17"/>
      <c r="Z44" s="17"/>
      <c r="AA44" s="17"/>
      <c r="AB44" s="17"/>
      <c r="AC44" s="17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</row>
    <row r="45" spans="1:48" s="19" customFormat="1" ht="21.6" x14ac:dyDescent="0.2">
      <c r="A45" s="41">
        <v>2071</v>
      </c>
      <c r="B45" s="42" t="s">
        <v>20</v>
      </c>
      <c r="C45" s="43" t="s">
        <v>21</v>
      </c>
      <c r="D45" s="66">
        <v>6016</v>
      </c>
      <c r="E45" s="42" t="s">
        <v>445</v>
      </c>
      <c r="F45" s="45" t="s">
        <v>303</v>
      </c>
      <c r="G45" s="42" t="s">
        <v>137</v>
      </c>
      <c r="H45" s="45" t="s">
        <v>422</v>
      </c>
      <c r="I45" s="46" t="s">
        <v>27</v>
      </c>
      <c r="J45" s="47">
        <v>0.7</v>
      </c>
      <c r="K45" s="55" t="s">
        <v>426</v>
      </c>
      <c r="L45" s="63" t="s">
        <v>427</v>
      </c>
      <c r="M45" s="55" t="s">
        <v>428</v>
      </c>
      <c r="N45" s="51" t="s">
        <v>127</v>
      </c>
      <c r="O45" s="47">
        <v>0.2</v>
      </c>
      <c r="P45" s="52"/>
      <c r="Q45" s="47">
        <f>ROUND(IF(OR(N45="",P45=""),0,IF(AND(N45=0,P45=0),1,IF(S45="+",P45/N45,N45/P45))),2)</f>
        <v>0</v>
      </c>
      <c r="R45" s="49">
        <f t="shared" si="16"/>
        <v>0</v>
      </c>
      <c r="S45" s="47" t="s">
        <v>31</v>
      </c>
      <c r="T45" s="47"/>
      <c r="U45" s="17"/>
      <c r="V45" s="17"/>
      <c r="W45" s="17"/>
      <c r="X45" s="17"/>
      <c r="Y45" s="17"/>
      <c r="Z45" s="17"/>
      <c r="AA45" s="17"/>
      <c r="AB45" s="17"/>
      <c r="AC45" s="17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</row>
    <row r="46" spans="1:48" s="19" customFormat="1" ht="21.6" x14ac:dyDescent="0.2">
      <c r="A46" s="41">
        <v>2072</v>
      </c>
      <c r="B46" s="42" t="s">
        <v>20</v>
      </c>
      <c r="C46" s="43" t="s">
        <v>21</v>
      </c>
      <c r="D46" s="66">
        <v>6016</v>
      </c>
      <c r="E46" s="42" t="s">
        <v>445</v>
      </c>
      <c r="F46" s="45" t="s">
        <v>303</v>
      </c>
      <c r="G46" s="42" t="s">
        <v>137</v>
      </c>
      <c r="H46" s="45" t="s">
        <v>422</v>
      </c>
      <c r="I46" s="46" t="s">
        <v>27</v>
      </c>
      <c r="J46" s="47">
        <v>0.7</v>
      </c>
      <c r="K46" s="55" t="s">
        <v>429</v>
      </c>
      <c r="L46" s="63" t="s">
        <v>430</v>
      </c>
      <c r="M46" s="55" t="s">
        <v>431</v>
      </c>
      <c r="N46" s="53" t="s">
        <v>127</v>
      </c>
      <c r="O46" s="47">
        <v>0.15</v>
      </c>
      <c r="P46" s="52"/>
      <c r="Q46" s="47">
        <f t="shared" ref="Q46:Q48" si="17">ROUND(IF(OR(N46="",P46=""),0,IF(AND(N46=0,P46=0),1,IF(S46="+",P46/N46,N46/P46))),2)</f>
        <v>0</v>
      </c>
      <c r="R46" s="49">
        <f t="shared" si="16"/>
        <v>0</v>
      </c>
      <c r="S46" s="47" t="s">
        <v>31</v>
      </c>
      <c r="T46" s="47"/>
      <c r="U46" s="17"/>
      <c r="V46" s="17"/>
      <c r="W46" s="17"/>
      <c r="X46" s="17"/>
      <c r="Y46" s="17"/>
      <c r="Z46" s="17"/>
      <c r="AA46" s="17"/>
      <c r="AB46" s="17"/>
      <c r="AC46" s="17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48" s="19" customFormat="1" ht="21.6" x14ac:dyDescent="0.2">
      <c r="A47" s="41">
        <v>2073</v>
      </c>
      <c r="B47" s="42" t="s">
        <v>20</v>
      </c>
      <c r="C47" s="43" t="s">
        <v>21</v>
      </c>
      <c r="D47" s="66">
        <v>6016</v>
      </c>
      <c r="E47" s="42" t="s">
        <v>445</v>
      </c>
      <c r="F47" s="45" t="s">
        <v>303</v>
      </c>
      <c r="G47" s="42" t="s">
        <v>137</v>
      </c>
      <c r="H47" s="45" t="s">
        <v>422</v>
      </c>
      <c r="I47" s="46" t="s">
        <v>27</v>
      </c>
      <c r="J47" s="47">
        <v>0.7</v>
      </c>
      <c r="K47" s="55" t="s">
        <v>432</v>
      </c>
      <c r="L47" s="63" t="s">
        <v>433</v>
      </c>
      <c r="M47" s="55" t="s">
        <v>434</v>
      </c>
      <c r="N47" s="52" t="s">
        <v>435</v>
      </c>
      <c r="O47" s="47">
        <v>0.15</v>
      </c>
      <c r="P47" s="54"/>
      <c r="Q47" s="47">
        <f t="shared" si="17"/>
        <v>0</v>
      </c>
      <c r="R47" s="49">
        <f t="shared" si="16"/>
        <v>0</v>
      </c>
      <c r="S47" s="47" t="s">
        <v>36</v>
      </c>
      <c r="T47" s="47"/>
      <c r="U47" s="17"/>
      <c r="V47" s="17"/>
      <c r="W47" s="17"/>
      <c r="X47" s="17"/>
      <c r="Y47" s="17"/>
      <c r="Z47" s="17"/>
      <c r="AA47" s="17"/>
      <c r="AB47" s="17"/>
      <c r="AC47" s="17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</row>
    <row r="48" spans="1:48" s="19" customFormat="1" ht="21.6" x14ac:dyDescent="0.2">
      <c r="A48" s="41">
        <v>2074</v>
      </c>
      <c r="B48" s="42" t="s">
        <v>20</v>
      </c>
      <c r="C48" s="43" t="s">
        <v>21</v>
      </c>
      <c r="D48" s="66">
        <v>6016</v>
      </c>
      <c r="E48" s="42" t="s">
        <v>445</v>
      </c>
      <c r="F48" s="45" t="s">
        <v>303</v>
      </c>
      <c r="G48" s="42" t="s">
        <v>137</v>
      </c>
      <c r="H48" s="45" t="s">
        <v>422</v>
      </c>
      <c r="I48" s="46" t="s">
        <v>27</v>
      </c>
      <c r="J48" s="47">
        <v>0.7</v>
      </c>
      <c r="K48" s="55" t="s">
        <v>321</v>
      </c>
      <c r="L48" s="63" t="s">
        <v>322</v>
      </c>
      <c r="M48" s="55" t="s">
        <v>436</v>
      </c>
      <c r="N48" s="55">
        <v>0</v>
      </c>
      <c r="O48" s="47">
        <v>0.1</v>
      </c>
      <c r="P48" s="56"/>
      <c r="Q48" s="47">
        <f t="shared" si="17"/>
        <v>0</v>
      </c>
      <c r="R48" s="49">
        <f t="shared" si="16"/>
        <v>0</v>
      </c>
      <c r="S48" s="47" t="s">
        <v>36</v>
      </c>
      <c r="T48" s="47"/>
      <c r="U48" s="17"/>
      <c r="V48" s="17"/>
      <c r="W48" s="17"/>
      <c r="X48" s="17"/>
      <c r="Y48" s="17"/>
      <c r="Z48" s="17"/>
      <c r="AA48" s="17"/>
      <c r="AB48" s="17"/>
      <c r="AC48" s="17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9" customFormat="1" ht="21.6" x14ac:dyDescent="0.2">
      <c r="A49" s="41">
        <v>2075</v>
      </c>
      <c r="B49" s="42" t="s">
        <v>20</v>
      </c>
      <c r="C49" s="43" t="s">
        <v>21</v>
      </c>
      <c r="D49" s="66">
        <v>6016</v>
      </c>
      <c r="E49" s="42" t="s">
        <v>445</v>
      </c>
      <c r="F49" s="45" t="s">
        <v>303</v>
      </c>
      <c r="G49" s="42" t="s">
        <v>137</v>
      </c>
      <c r="H49" s="45" t="s">
        <v>422</v>
      </c>
      <c r="I49" s="57" t="s">
        <v>27</v>
      </c>
      <c r="J49" s="47">
        <v>0.7</v>
      </c>
      <c r="K49" s="57" t="s">
        <v>52</v>
      </c>
      <c r="L49" s="63" t="s">
        <v>53</v>
      </c>
      <c r="M49" s="57" t="s">
        <v>54</v>
      </c>
      <c r="N49" s="59" t="s">
        <v>72</v>
      </c>
      <c r="O49" s="60">
        <v>0.2</v>
      </c>
      <c r="P49" s="56"/>
      <c r="Q49" s="60">
        <v>0</v>
      </c>
      <c r="R49" s="61">
        <v>0</v>
      </c>
      <c r="S49" s="60" t="s">
        <v>36</v>
      </c>
      <c r="T49" s="60"/>
      <c r="U49" s="17"/>
      <c r="V49" s="17"/>
      <c r="W49" s="17"/>
      <c r="X49" s="17"/>
      <c r="Y49" s="17"/>
      <c r="Z49" s="17"/>
      <c r="AA49" s="17"/>
      <c r="AB49" s="17"/>
      <c r="AC49" s="17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</row>
    <row r="50" spans="1:48" s="19" customFormat="1" ht="21.6" x14ac:dyDescent="0.2">
      <c r="A50" s="41">
        <v>2076</v>
      </c>
      <c r="B50" s="42" t="s">
        <v>20</v>
      </c>
      <c r="C50" s="43" t="s">
        <v>21</v>
      </c>
      <c r="D50" s="66">
        <v>6016</v>
      </c>
      <c r="E50" s="42" t="s">
        <v>445</v>
      </c>
      <c r="F50" s="45" t="s">
        <v>303</v>
      </c>
      <c r="G50" s="42" t="s">
        <v>137</v>
      </c>
      <c r="H50" s="45" t="s">
        <v>422</v>
      </c>
      <c r="I50" s="57" t="s">
        <v>59</v>
      </c>
      <c r="J50" s="95">
        <v>0.3</v>
      </c>
      <c r="K50" s="57" t="s">
        <v>437</v>
      </c>
      <c r="L50" s="64" t="s">
        <v>438</v>
      </c>
      <c r="M50" s="57" t="s">
        <v>439</v>
      </c>
      <c r="N50" s="59" t="s">
        <v>127</v>
      </c>
      <c r="O50" s="60">
        <v>0.1</v>
      </c>
      <c r="P50" s="56"/>
      <c r="Q50" s="60">
        <f t="shared" ref="Q50" si="18">ROUND(IF(OR(N50="",P50=""),0,IF(AND(N50=0,P50=0),1,IF(S50="+",P50/N50,N50/P50))),2)</f>
        <v>0</v>
      </c>
      <c r="R50" s="61">
        <f t="shared" ref="R50" si="19">IF(AND(Q50&gt;=60%,Q50&lt;100%),Q50*((O50*J50)),IF(Q50=100%,((O50*J50)*Q50)*100%,IF(Q50&gt;100%,((J50*O50)*100%)*100%,0)))*100</f>
        <v>0</v>
      </c>
      <c r="S50" s="60" t="s">
        <v>31</v>
      </c>
      <c r="T50" s="60"/>
      <c r="U50" s="17"/>
      <c r="V50" s="17"/>
      <c r="W50" s="17"/>
      <c r="X50" s="17"/>
      <c r="Y50" s="17"/>
      <c r="Z50" s="17"/>
      <c r="AA50" s="17"/>
      <c r="AB50" s="17"/>
      <c r="AC50" s="17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</sheetData>
  <autoFilter ref="A1:T8" xr:uid="{7EF4661B-8CB2-466F-8DBB-EB69CD48EE90}"/>
  <conditionalFormatting sqref="I1:I50 K1:M50">
    <cfRule type="cellIs" dxfId="8" priority="8" operator="equal">
      <formula>"maintasks"</formula>
    </cfRule>
  </conditionalFormatting>
  <conditionalFormatting sqref="J8">
    <cfRule type="cellIs" dxfId="7" priority="7" operator="equal">
      <formula>"maintasks"</formula>
    </cfRule>
  </conditionalFormatting>
  <conditionalFormatting sqref="J15">
    <cfRule type="cellIs" dxfId="6" priority="6" operator="equal">
      <formula>"maintasks"</formula>
    </cfRule>
  </conditionalFormatting>
  <conditionalFormatting sqref="J22">
    <cfRule type="cellIs" dxfId="5" priority="5" operator="equal">
      <formula>"maintasks"</formula>
    </cfRule>
  </conditionalFormatting>
  <conditionalFormatting sqref="J29">
    <cfRule type="cellIs" dxfId="4" priority="4" operator="equal">
      <formula>"maintasks"</formula>
    </cfRule>
  </conditionalFormatting>
  <conditionalFormatting sqref="J36">
    <cfRule type="cellIs" dxfId="3" priority="3" operator="equal">
      <formula>"maintasks"</formula>
    </cfRule>
  </conditionalFormatting>
  <conditionalFormatting sqref="J43">
    <cfRule type="cellIs" dxfId="2" priority="2" operator="equal">
      <formula>"maintasks"</formula>
    </cfRule>
  </conditionalFormatting>
  <conditionalFormatting sqref="J50">
    <cfRule type="cellIs" dxfId="1" priority="1" operator="equal">
      <formula>"maintasks"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1C0A-B069-49CC-B90E-BC6364CECE34}">
  <dimension ref="A1:AV109"/>
  <sheetViews>
    <sheetView topLeftCell="A40" workbookViewId="0">
      <selection activeCell="M17" sqref="M17"/>
    </sheetView>
  </sheetViews>
  <sheetFormatPr defaultRowHeight="14.4" x14ac:dyDescent="0.3"/>
  <cols>
    <col min="1" max="1" width="6.77734375" style="65" customWidth="1"/>
    <col min="2" max="2" width="14.44140625" style="65" bestFit="1" customWidth="1"/>
    <col min="3" max="3" width="6.77734375" style="65" customWidth="1"/>
    <col min="4" max="4" width="8.88671875" style="65"/>
    <col min="5" max="5" width="15.77734375" style="65" bestFit="1" customWidth="1"/>
    <col min="6" max="6" width="11.88671875" style="65" bestFit="1" customWidth="1"/>
    <col min="7" max="7" width="12.44140625" style="65" customWidth="1"/>
    <col min="8" max="8" width="18" style="65" customWidth="1"/>
    <col min="9" max="9" width="14.77734375" style="65" customWidth="1"/>
    <col min="10" max="10" width="10" style="65" customWidth="1"/>
    <col min="11" max="11" width="22.77734375" style="65" customWidth="1"/>
    <col min="12" max="12" width="42.21875" style="65" customWidth="1"/>
    <col min="13" max="13" width="51.77734375" style="65" customWidth="1"/>
    <col min="14" max="14" width="14.21875" style="65" customWidth="1"/>
    <col min="15" max="15" width="7.77734375" style="65" customWidth="1"/>
    <col min="16" max="16" width="21.44140625" style="65" customWidth="1"/>
    <col min="17" max="17" width="19.109375" style="65" bestFit="1" customWidth="1"/>
    <col min="18" max="18" width="15" style="65" bestFit="1" customWidth="1"/>
    <col min="19" max="19" width="4" style="65" bestFit="1" customWidth="1"/>
    <col min="20" max="20" width="7.77734375" style="65" customWidth="1"/>
  </cols>
  <sheetData>
    <row r="1" spans="1:48" s="40" customFormat="1" ht="22.2" x14ac:dyDescent="0.75">
      <c r="A1" s="33" t="s">
        <v>0</v>
      </c>
      <c r="B1" s="34" t="s">
        <v>1</v>
      </c>
      <c r="C1" s="34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5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5" t="s">
        <v>14</v>
      </c>
      <c r="P1" s="36" t="s">
        <v>15</v>
      </c>
      <c r="Q1" s="37" t="s">
        <v>16</v>
      </c>
      <c r="R1" s="38" t="s">
        <v>17</v>
      </c>
      <c r="S1" s="39" t="s">
        <v>18</v>
      </c>
      <c r="T1" s="35" t="s">
        <v>19</v>
      </c>
    </row>
    <row r="2" spans="1:48" s="19" customFormat="1" ht="21.6" x14ac:dyDescent="0.2">
      <c r="A2" s="41">
        <v>2070</v>
      </c>
      <c r="B2" s="42" t="s">
        <v>20</v>
      </c>
      <c r="C2" s="43" t="s">
        <v>21</v>
      </c>
      <c r="D2" s="44" t="s">
        <v>446</v>
      </c>
      <c r="E2" s="42" t="s">
        <v>447</v>
      </c>
      <c r="F2" s="42" t="s">
        <v>333</v>
      </c>
      <c r="G2" s="42" t="s">
        <v>99</v>
      </c>
      <c r="H2" s="45" t="s">
        <v>448</v>
      </c>
      <c r="I2" s="46" t="s">
        <v>27</v>
      </c>
      <c r="J2" s="47">
        <v>0.7</v>
      </c>
      <c r="K2" s="55" t="s">
        <v>66</v>
      </c>
      <c r="L2" s="63" t="s">
        <v>305</v>
      </c>
      <c r="M2" s="13" t="s">
        <v>306</v>
      </c>
      <c r="N2" s="51" t="s">
        <v>112</v>
      </c>
      <c r="O2" s="47">
        <v>0.15</v>
      </c>
      <c r="P2" s="47"/>
      <c r="Q2" s="47">
        <f t="shared" ref="Q2:Q11" si="0">ROUND(IF(OR(N2="",P2=""),0,IF(AND(N2=0,P2=0),1,IF(S2="+",P2/N2,N2/P2))),2)</f>
        <v>0</v>
      </c>
      <c r="R2" s="49">
        <f t="shared" ref="R2:R65" si="1">IF(AND(Q2&gt;=60%,Q2&lt;100%),Q2*((O2*J2)),IF(Q2=100%,((O2*J2)*Q2)*100%,IF(Q2&gt;100%,((J2*O2)*100%)*100%,0)))*100</f>
        <v>0</v>
      </c>
      <c r="S2" s="47" t="s">
        <v>31</v>
      </c>
      <c r="T2" s="50">
        <f>SUM(R2:R10)%</f>
        <v>0</v>
      </c>
      <c r="U2" s="17"/>
      <c r="V2" s="17"/>
      <c r="W2" s="17"/>
      <c r="X2" s="17"/>
      <c r="Y2" s="17"/>
      <c r="Z2" s="17"/>
      <c r="AA2" s="17"/>
      <c r="AB2" s="17"/>
      <c r="AC2" s="17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spans="1:48" s="19" customFormat="1" ht="21.6" x14ac:dyDescent="0.2">
      <c r="A3" s="41">
        <v>2071</v>
      </c>
      <c r="B3" s="42" t="s">
        <v>20</v>
      </c>
      <c r="C3" s="43" t="s">
        <v>21</v>
      </c>
      <c r="D3" s="44" t="s">
        <v>446</v>
      </c>
      <c r="E3" s="42" t="s">
        <v>447</v>
      </c>
      <c r="F3" s="42" t="s">
        <v>333</v>
      </c>
      <c r="G3" s="42" t="s">
        <v>99</v>
      </c>
      <c r="H3" s="45" t="s">
        <v>448</v>
      </c>
      <c r="I3" s="46" t="s">
        <v>27</v>
      </c>
      <c r="J3" s="47">
        <v>0.7</v>
      </c>
      <c r="K3" s="55" t="s">
        <v>307</v>
      </c>
      <c r="L3" s="63" t="s">
        <v>308</v>
      </c>
      <c r="M3" s="55" t="s">
        <v>309</v>
      </c>
      <c r="N3" s="51" t="s">
        <v>310</v>
      </c>
      <c r="O3" s="47">
        <v>0.15</v>
      </c>
      <c r="P3" s="52"/>
      <c r="Q3" s="47">
        <f>ROUND(IF(OR(N3="",P3=""),0,IF(AND(N3=0,P3=0),1,IF(S3="+",P3/N3,N3/P3))),2)</f>
        <v>0</v>
      </c>
      <c r="R3" s="49">
        <f t="shared" si="1"/>
        <v>0</v>
      </c>
      <c r="S3" s="47" t="s">
        <v>36</v>
      </c>
      <c r="T3" s="47"/>
      <c r="U3" s="17"/>
      <c r="V3" s="17"/>
      <c r="W3" s="17"/>
      <c r="X3" s="17"/>
      <c r="Y3" s="17"/>
      <c r="Z3" s="17"/>
      <c r="AA3" s="17"/>
      <c r="AB3" s="17"/>
      <c r="AC3" s="17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8" s="19" customFormat="1" ht="21.6" x14ac:dyDescent="0.2">
      <c r="A4" s="41">
        <v>2072</v>
      </c>
      <c r="B4" s="42" t="s">
        <v>20</v>
      </c>
      <c r="C4" s="43" t="s">
        <v>21</v>
      </c>
      <c r="D4" s="44" t="s">
        <v>446</v>
      </c>
      <c r="E4" s="42" t="s">
        <v>447</v>
      </c>
      <c r="F4" s="42" t="s">
        <v>333</v>
      </c>
      <c r="G4" s="42" t="s">
        <v>99</v>
      </c>
      <c r="H4" s="45" t="s">
        <v>448</v>
      </c>
      <c r="I4" s="46" t="s">
        <v>27</v>
      </c>
      <c r="J4" s="47">
        <v>0.7</v>
      </c>
      <c r="K4" s="55" t="s">
        <v>311</v>
      </c>
      <c r="L4" s="63" t="s">
        <v>312</v>
      </c>
      <c r="M4" s="55" t="s">
        <v>313</v>
      </c>
      <c r="N4" s="53">
        <v>1</v>
      </c>
      <c r="O4" s="47">
        <v>0.1</v>
      </c>
      <c r="P4" s="52"/>
      <c r="Q4" s="47">
        <f t="shared" si="0"/>
        <v>0</v>
      </c>
      <c r="R4" s="49">
        <f t="shared" si="1"/>
        <v>0</v>
      </c>
      <c r="S4" s="47" t="s">
        <v>31</v>
      </c>
      <c r="T4" s="47"/>
      <c r="U4" s="17"/>
      <c r="V4" s="17"/>
      <c r="W4" s="17"/>
      <c r="X4" s="17"/>
      <c r="Y4" s="17"/>
      <c r="Z4" s="17"/>
      <c r="AA4" s="17"/>
      <c r="AB4" s="17"/>
      <c r="AC4" s="17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s="19" customFormat="1" ht="21.6" x14ac:dyDescent="0.2">
      <c r="A5" s="41">
        <v>2073</v>
      </c>
      <c r="B5" s="42" t="s">
        <v>20</v>
      </c>
      <c r="C5" s="43" t="s">
        <v>21</v>
      </c>
      <c r="D5" s="44" t="s">
        <v>446</v>
      </c>
      <c r="E5" s="42" t="s">
        <v>447</v>
      </c>
      <c r="F5" s="42" t="s">
        <v>333</v>
      </c>
      <c r="G5" s="42" t="s">
        <v>99</v>
      </c>
      <c r="H5" s="45" t="s">
        <v>448</v>
      </c>
      <c r="I5" s="46" t="s">
        <v>27</v>
      </c>
      <c r="J5" s="47">
        <v>0.7</v>
      </c>
      <c r="K5" s="55" t="s">
        <v>145</v>
      </c>
      <c r="L5" s="63" t="s">
        <v>314</v>
      </c>
      <c r="M5" s="55" t="s">
        <v>315</v>
      </c>
      <c r="N5" s="52" t="s">
        <v>196</v>
      </c>
      <c r="O5" s="47">
        <v>0.1</v>
      </c>
      <c r="P5" s="54"/>
      <c r="Q5" s="47">
        <f t="shared" si="0"/>
        <v>0</v>
      </c>
      <c r="R5" s="49">
        <f t="shared" si="1"/>
        <v>0</v>
      </c>
      <c r="S5" s="47" t="s">
        <v>36</v>
      </c>
      <c r="T5" s="47"/>
      <c r="U5" s="17"/>
      <c r="V5" s="17"/>
      <c r="W5" s="17"/>
      <c r="X5" s="17"/>
      <c r="Y5" s="17"/>
      <c r="Z5" s="17"/>
      <c r="AA5" s="17"/>
      <c r="AB5" s="17"/>
      <c r="AC5" s="17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</row>
    <row r="6" spans="1:48" s="19" customFormat="1" ht="21.6" x14ac:dyDescent="0.2">
      <c r="A6" s="41">
        <v>2074</v>
      </c>
      <c r="B6" s="42" t="s">
        <v>20</v>
      </c>
      <c r="C6" s="43" t="s">
        <v>21</v>
      </c>
      <c r="D6" s="44" t="s">
        <v>446</v>
      </c>
      <c r="E6" s="42" t="s">
        <v>447</v>
      </c>
      <c r="F6" s="42" t="s">
        <v>333</v>
      </c>
      <c r="G6" s="42" t="s">
        <v>99</v>
      </c>
      <c r="H6" s="45" t="s">
        <v>448</v>
      </c>
      <c r="I6" s="46" t="s">
        <v>27</v>
      </c>
      <c r="J6" s="47">
        <v>0.7</v>
      </c>
      <c r="K6" s="55" t="s">
        <v>84</v>
      </c>
      <c r="L6" s="63" t="s">
        <v>316</v>
      </c>
      <c r="M6" s="55" t="s">
        <v>317</v>
      </c>
      <c r="N6" s="55" t="s">
        <v>196</v>
      </c>
      <c r="O6" s="47">
        <v>0.1</v>
      </c>
      <c r="P6" s="56"/>
      <c r="Q6" s="47">
        <f t="shared" si="0"/>
        <v>0</v>
      </c>
      <c r="R6" s="49">
        <f t="shared" si="1"/>
        <v>0</v>
      </c>
      <c r="S6" s="47" t="s">
        <v>36</v>
      </c>
      <c r="T6" s="47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1:48" s="19" customFormat="1" ht="21.6" x14ac:dyDescent="0.2">
      <c r="A7" s="41">
        <v>2075</v>
      </c>
      <c r="B7" s="42" t="s">
        <v>20</v>
      </c>
      <c r="C7" s="43" t="s">
        <v>21</v>
      </c>
      <c r="D7" s="44" t="s">
        <v>446</v>
      </c>
      <c r="E7" s="42" t="s">
        <v>447</v>
      </c>
      <c r="F7" s="42" t="s">
        <v>333</v>
      </c>
      <c r="G7" s="42" t="s">
        <v>99</v>
      </c>
      <c r="H7" s="45" t="s">
        <v>448</v>
      </c>
      <c r="I7" s="57" t="s">
        <v>27</v>
      </c>
      <c r="J7" s="47">
        <v>0.7</v>
      </c>
      <c r="K7" s="57" t="s">
        <v>318</v>
      </c>
      <c r="L7" s="64" t="s">
        <v>319</v>
      </c>
      <c r="M7" s="57" t="s">
        <v>320</v>
      </c>
      <c r="N7" s="59" t="s">
        <v>127</v>
      </c>
      <c r="O7" s="60">
        <v>0.1</v>
      </c>
      <c r="P7" s="56"/>
      <c r="Q7" s="60">
        <f t="shared" si="0"/>
        <v>0</v>
      </c>
      <c r="R7" s="61">
        <f t="shared" si="1"/>
        <v>0</v>
      </c>
      <c r="S7" s="60" t="s">
        <v>31</v>
      </c>
      <c r="T7" s="60"/>
      <c r="U7" s="17"/>
      <c r="V7" s="17"/>
      <c r="W7" s="17"/>
      <c r="X7" s="17"/>
      <c r="Y7" s="17"/>
      <c r="Z7" s="17"/>
      <c r="AA7" s="17"/>
      <c r="AB7" s="17"/>
      <c r="AC7" s="17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 s="19" customFormat="1" ht="21.6" x14ac:dyDescent="0.2">
      <c r="A8" s="41">
        <v>2076</v>
      </c>
      <c r="B8" s="42" t="s">
        <v>20</v>
      </c>
      <c r="C8" s="43" t="s">
        <v>21</v>
      </c>
      <c r="D8" s="44" t="s">
        <v>446</v>
      </c>
      <c r="E8" s="42" t="s">
        <v>447</v>
      </c>
      <c r="F8" s="42" t="s">
        <v>333</v>
      </c>
      <c r="G8" s="42" t="s">
        <v>99</v>
      </c>
      <c r="H8" s="45" t="s">
        <v>448</v>
      </c>
      <c r="I8" s="57" t="s">
        <v>27</v>
      </c>
      <c r="J8" s="47">
        <v>0.7</v>
      </c>
      <c r="K8" s="57" t="s">
        <v>321</v>
      </c>
      <c r="L8" s="64" t="s">
        <v>322</v>
      </c>
      <c r="M8" s="57" t="s">
        <v>323</v>
      </c>
      <c r="N8" s="59" t="s">
        <v>156</v>
      </c>
      <c r="O8" s="60">
        <v>0.1</v>
      </c>
      <c r="P8" s="56"/>
      <c r="Q8" s="60">
        <f t="shared" si="0"/>
        <v>0</v>
      </c>
      <c r="R8" s="61">
        <f t="shared" si="1"/>
        <v>0</v>
      </c>
      <c r="S8" s="60" t="s">
        <v>31</v>
      </c>
      <c r="T8" s="60"/>
      <c r="U8" s="17"/>
      <c r="V8" s="17"/>
      <c r="W8" s="17"/>
      <c r="X8" s="17"/>
      <c r="Y8" s="17"/>
      <c r="Z8" s="17"/>
      <c r="AA8" s="17"/>
      <c r="AB8" s="17"/>
      <c r="AC8" s="1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</row>
    <row r="9" spans="1:48" s="19" customFormat="1" ht="21.6" x14ac:dyDescent="0.2">
      <c r="A9" s="41">
        <v>2077</v>
      </c>
      <c r="B9" s="42" t="s">
        <v>20</v>
      </c>
      <c r="C9" s="43" t="s">
        <v>21</v>
      </c>
      <c r="D9" s="44" t="s">
        <v>446</v>
      </c>
      <c r="E9" s="42" t="s">
        <v>447</v>
      </c>
      <c r="F9" s="42" t="s">
        <v>333</v>
      </c>
      <c r="G9" s="42" t="s">
        <v>99</v>
      </c>
      <c r="H9" s="45" t="s">
        <v>448</v>
      </c>
      <c r="I9" s="57" t="s">
        <v>27</v>
      </c>
      <c r="J9" s="47">
        <v>0.7</v>
      </c>
      <c r="K9" s="57" t="s">
        <v>324</v>
      </c>
      <c r="L9" s="64" t="s">
        <v>325</v>
      </c>
      <c r="M9" s="25" t="s">
        <v>326</v>
      </c>
      <c r="N9" s="62" t="s">
        <v>127</v>
      </c>
      <c r="O9" s="60">
        <v>0.1</v>
      </c>
      <c r="P9" s="62"/>
      <c r="Q9" s="60">
        <f t="shared" si="0"/>
        <v>0</v>
      </c>
      <c r="R9" s="61">
        <f t="shared" si="1"/>
        <v>0</v>
      </c>
      <c r="S9" s="60" t="s">
        <v>31</v>
      </c>
      <c r="T9" s="60"/>
      <c r="U9" s="17"/>
      <c r="V9" s="17"/>
      <c r="W9" s="17"/>
      <c r="X9" s="17"/>
      <c r="Y9" s="17"/>
      <c r="Z9" s="17"/>
      <c r="AA9" s="17"/>
      <c r="AB9" s="17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</row>
    <row r="10" spans="1:48" s="19" customFormat="1" ht="21.6" x14ac:dyDescent="0.2">
      <c r="A10" s="41">
        <v>2078</v>
      </c>
      <c r="B10" s="42" t="s">
        <v>20</v>
      </c>
      <c r="C10" s="43" t="s">
        <v>21</v>
      </c>
      <c r="D10" s="44" t="s">
        <v>446</v>
      </c>
      <c r="E10" s="42" t="s">
        <v>447</v>
      </c>
      <c r="F10" s="42" t="s">
        <v>333</v>
      </c>
      <c r="G10" s="42" t="s">
        <v>99</v>
      </c>
      <c r="H10" s="45" t="s">
        <v>448</v>
      </c>
      <c r="I10" s="57" t="s">
        <v>59</v>
      </c>
      <c r="J10" s="58">
        <v>0.3</v>
      </c>
      <c r="K10" s="57" t="s">
        <v>327</v>
      </c>
      <c r="L10" s="64" t="s">
        <v>328</v>
      </c>
      <c r="M10" s="25" t="s">
        <v>329</v>
      </c>
      <c r="N10" s="62" t="s">
        <v>330</v>
      </c>
      <c r="O10" s="60">
        <v>0.1</v>
      </c>
      <c r="P10" s="62"/>
      <c r="Q10" s="60">
        <f t="shared" si="0"/>
        <v>0</v>
      </c>
      <c r="R10" s="61">
        <f t="shared" si="1"/>
        <v>0</v>
      </c>
      <c r="S10" s="60" t="s">
        <v>31</v>
      </c>
      <c r="T10" s="60"/>
      <c r="U10" s="17"/>
      <c r="V10" s="17"/>
      <c r="W10" s="17"/>
      <c r="X10" s="17"/>
      <c r="Y10" s="17"/>
      <c r="Z10" s="17"/>
      <c r="AA10" s="17"/>
      <c r="AB10" s="17"/>
      <c r="AC10" s="1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s="19" customFormat="1" ht="21.6" x14ac:dyDescent="0.2">
      <c r="A11" s="41">
        <v>2079</v>
      </c>
      <c r="B11" s="42" t="s">
        <v>20</v>
      </c>
      <c r="C11" s="43" t="s">
        <v>21</v>
      </c>
      <c r="D11" s="44" t="s">
        <v>449</v>
      </c>
      <c r="E11" s="42" t="s">
        <v>450</v>
      </c>
      <c r="F11" s="42" t="s">
        <v>333</v>
      </c>
      <c r="G11" s="42" t="s">
        <v>99</v>
      </c>
      <c r="H11" s="45" t="s">
        <v>448</v>
      </c>
      <c r="I11" s="46" t="s">
        <v>27</v>
      </c>
      <c r="J11" s="47">
        <v>0.7</v>
      </c>
      <c r="K11" s="55" t="s">
        <v>66</v>
      </c>
      <c r="L11" s="63" t="s">
        <v>305</v>
      </c>
      <c r="M11" s="13" t="s">
        <v>306</v>
      </c>
      <c r="N11" s="51" t="s">
        <v>112</v>
      </c>
      <c r="O11" s="47">
        <v>0.15</v>
      </c>
      <c r="P11" s="47"/>
      <c r="Q11" s="47">
        <f t="shared" si="0"/>
        <v>0</v>
      </c>
      <c r="R11" s="49">
        <f t="shared" si="1"/>
        <v>0</v>
      </c>
      <c r="S11" s="47" t="s">
        <v>31</v>
      </c>
      <c r="T11" s="50">
        <f>SUM(R11:R19)%</f>
        <v>0</v>
      </c>
      <c r="U11" s="17"/>
      <c r="V11" s="17"/>
      <c r="W11" s="17"/>
      <c r="X11" s="17"/>
      <c r="Y11" s="17"/>
      <c r="Z11" s="17"/>
      <c r="AA11" s="17"/>
      <c r="AB11" s="17"/>
      <c r="AC11" s="17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8" s="19" customFormat="1" ht="21.6" x14ac:dyDescent="0.2">
      <c r="A12" s="41">
        <v>2080</v>
      </c>
      <c r="B12" s="42" t="s">
        <v>20</v>
      </c>
      <c r="C12" s="43" t="s">
        <v>21</v>
      </c>
      <c r="D12" s="44" t="s">
        <v>449</v>
      </c>
      <c r="E12" s="42" t="s">
        <v>450</v>
      </c>
      <c r="F12" s="42" t="s">
        <v>333</v>
      </c>
      <c r="G12" s="42" t="s">
        <v>99</v>
      </c>
      <c r="H12" s="45" t="s">
        <v>448</v>
      </c>
      <c r="I12" s="46" t="s">
        <v>27</v>
      </c>
      <c r="J12" s="47">
        <v>0.7</v>
      </c>
      <c r="K12" s="55" t="s">
        <v>307</v>
      </c>
      <c r="L12" s="63" t="s">
        <v>308</v>
      </c>
      <c r="M12" s="55" t="s">
        <v>309</v>
      </c>
      <c r="N12" s="51" t="s">
        <v>310</v>
      </c>
      <c r="O12" s="47">
        <v>0.15</v>
      </c>
      <c r="P12" s="52"/>
      <c r="Q12" s="47">
        <f>ROUND(IF(OR(N12="",P12=""),0,IF(AND(N12=0,P12=0),1,IF(S12="+",P12/N12,N12/P12))),2)</f>
        <v>0</v>
      </c>
      <c r="R12" s="49">
        <f t="shared" si="1"/>
        <v>0</v>
      </c>
      <c r="S12" s="47" t="s">
        <v>36</v>
      </c>
      <c r="T12" s="47"/>
      <c r="U12" s="17"/>
      <c r="V12" s="17"/>
      <c r="W12" s="17"/>
      <c r="X12" s="17"/>
      <c r="Y12" s="17"/>
      <c r="Z12" s="17"/>
      <c r="AA12" s="17"/>
      <c r="AB12" s="17"/>
      <c r="AC12" s="1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s="19" customFormat="1" ht="21.6" x14ac:dyDescent="0.2">
      <c r="A13" s="41">
        <v>2081</v>
      </c>
      <c r="B13" s="42" t="s">
        <v>20</v>
      </c>
      <c r="C13" s="43" t="s">
        <v>21</v>
      </c>
      <c r="D13" s="44" t="s">
        <v>449</v>
      </c>
      <c r="E13" s="42" t="s">
        <v>450</v>
      </c>
      <c r="F13" s="42" t="s">
        <v>333</v>
      </c>
      <c r="G13" s="42" t="s">
        <v>99</v>
      </c>
      <c r="H13" s="45" t="s">
        <v>448</v>
      </c>
      <c r="I13" s="46" t="s">
        <v>27</v>
      </c>
      <c r="J13" s="47">
        <v>0.7</v>
      </c>
      <c r="K13" s="55" t="s">
        <v>311</v>
      </c>
      <c r="L13" s="63" t="s">
        <v>312</v>
      </c>
      <c r="M13" s="55" t="s">
        <v>313</v>
      </c>
      <c r="N13" s="53">
        <v>1</v>
      </c>
      <c r="O13" s="47">
        <v>0.1</v>
      </c>
      <c r="P13" s="52"/>
      <c r="Q13" s="47">
        <f t="shared" ref="Q13:Q20" si="2">ROUND(IF(OR(N13="",P13=""),0,IF(AND(N13=0,P13=0),1,IF(S13="+",P13/N13,N13/P13))),2)</f>
        <v>0</v>
      </c>
      <c r="R13" s="49">
        <f t="shared" si="1"/>
        <v>0</v>
      </c>
      <c r="S13" s="47" t="s">
        <v>31</v>
      </c>
      <c r="T13" s="47"/>
      <c r="U13" s="17"/>
      <c r="V13" s="17"/>
      <c r="W13" s="17"/>
      <c r="X13" s="17"/>
      <c r="Y13" s="17"/>
      <c r="Z13" s="17"/>
      <c r="AA13" s="17"/>
      <c r="AB13" s="17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8" s="19" customFormat="1" ht="21.6" x14ac:dyDescent="0.2">
      <c r="A14" s="41">
        <v>2082</v>
      </c>
      <c r="B14" s="42" t="s">
        <v>20</v>
      </c>
      <c r="C14" s="43" t="s">
        <v>21</v>
      </c>
      <c r="D14" s="44" t="s">
        <v>449</v>
      </c>
      <c r="E14" s="42" t="s">
        <v>450</v>
      </c>
      <c r="F14" s="42" t="s">
        <v>333</v>
      </c>
      <c r="G14" s="42" t="s">
        <v>99</v>
      </c>
      <c r="H14" s="45" t="s">
        <v>448</v>
      </c>
      <c r="I14" s="46" t="s">
        <v>27</v>
      </c>
      <c r="J14" s="47">
        <v>0.7</v>
      </c>
      <c r="K14" s="55" t="s">
        <v>145</v>
      </c>
      <c r="L14" s="63" t="s">
        <v>314</v>
      </c>
      <c r="M14" s="55" t="s">
        <v>315</v>
      </c>
      <c r="N14" s="52" t="s">
        <v>196</v>
      </c>
      <c r="O14" s="47">
        <v>0.1</v>
      </c>
      <c r="P14" s="54"/>
      <c r="Q14" s="47">
        <f t="shared" si="2"/>
        <v>0</v>
      </c>
      <c r="R14" s="49">
        <f t="shared" si="1"/>
        <v>0</v>
      </c>
      <c r="S14" s="47" t="s">
        <v>36</v>
      </c>
      <c r="T14" s="47"/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8" s="19" customFormat="1" ht="21.6" x14ac:dyDescent="0.2">
      <c r="A15" s="41">
        <v>2083</v>
      </c>
      <c r="B15" s="42" t="s">
        <v>20</v>
      </c>
      <c r="C15" s="43" t="s">
        <v>21</v>
      </c>
      <c r="D15" s="44" t="s">
        <v>449</v>
      </c>
      <c r="E15" s="42" t="s">
        <v>450</v>
      </c>
      <c r="F15" s="42" t="s">
        <v>333</v>
      </c>
      <c r="G15" s="42" t="s">
        <v>99</v>
      </c>
      <c r="H15" s="45" t="s">
        <v>448</v>
      </c>
      <c r="I15" s="46" t="s">
        <v>27</v>
      </c>
      <c r="J15" s="47">
        <v>0.7</v>
      </c>
      <c r="K15" s="55" t="s">
        <v>84</v>
      </c>
      <c r="L15" s="63" t="s">
        <v>316</v>
      </c>
      <c r="M15" s="55" t="s">
        <v>317</v>
      </c>
      <c r="N15" s="55" t="s">
        <v>196</v>
      </c>
      <c r="O15" s="47">
        <v>0.1</v>
      </c>
      <c r="P15" s="56"/>
      <c r="Q15" s="47">
        <f t="shared" si="2"/>
        <v>0</v>
      </c>
      <c r="R15" s="49">
        <f t="shared" si="1"/>
        <v>0</v>
      </c>
      <c r="S15" s="47" t="s">
        <v>36</v>
      </c>
      <c r="T15" s="47"/>
      <c r="U15" s="17"/>
      <c r="V15" s="17"/>
      <c r="W15" s="17"/>
      <c r="X15" s="17"/>
      <c r="Y15" s="17"/>
      <c r="Z15" s="17"/>
      <c r="AA15" s="17"/>
      <c r="AB15" s="17"/>
      <c r="AC15" s="17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spans="1:48" s="19" customFormat="1" ht="21.6" x14ac:dyDescent="0.2">
      <c r="A16" s="41">
        <v>2084</v>
      </c>
      <c r="B16" s="42" t="s">
        <v>20</v>
      </c>
      <c r="C16" s="43" t="s">
        <v>21</v>
      </c>
      <c r="D16" s="44" t="s">
        <v>449</v>
      </c>
      <c r="E16" s="42" t="s">
        <v>450</v>
      </c>
      <c r="F16" s="42" t="s">
        <v>333</v>
      </c>
      <c r="G16" s="42" t="s">
        <v>99</v>
      </c>
      <c r="H16" s="45" t="s">
        <v>448</v>
      </c>
      <c r="I16" s="57" t="s">
        <v>27</v>
      </c>
      <c r="J16" s="47">
        <v>0.7</v>
      </c>
      <c r="K16" s="57" t="s">
        <v>318</v>
      </c>
      <c r="L16" s="64" t="s">
        <v>319</v>
      </c>
      <c r="M16" s="57" t="s">
        <v>320</v>
      </c>
      <c r="N16" s="59" t="s">
        <v>127</v>
      </c>
      <c r="O16" s="60">
        <v>0.1</v>
      </c>
      <c r="P16" s="56"/>
      <c r="Q16" s="60">
        <f t="shared" si="2"/>
        <v>0</v>
      </c>
      <c r="R16" s="61">
        <f t="shared" si="1"/>
        <v>0</v>
      </c>
      <c r="S16" s="60" t="s">
        <v>31</v>
      </c>
      <c r="T16" s="60"/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1:48" s="19" customFormat="1" ht="21.6" x14ac:dyDescent="0.2">
      <c r="A17" s="41">
        <v>2085</v>
      </c>
      <c r="B17" s="42" t="s">
        <v>20</v>
      </c>
      <c r="C17" s="43" t="s">
        <v>21</v>
      </c>
      <c r="D17" s="44" t="s">
        <v>449</v>
      </c>
      <c r="E17" s="42" t="s">
        <v>450</v>
      </c>
      <c r="F17" s="42" t="s">
        <v>333</v>
      </c>
      <c r="G17" s="42" t="s">
        <v>99</v>
      </c>
      <c r="H17" s="45" t="s">
        <v>448</v>
      </c>
      <c r="I17" s="57" t="s">
        <v>27</v>
      </c>
      <c r="J17" s="47">
        <v>0.7</v>
      </c>
      <c r="K17" s="57" t="s">
        <v>321</v>
      </c>
      <c r="L17" s="64" t="s">
        <v>322</v>
      </c>
      <c r="M17" s="57" t="s">
        <v>323</v>
      </c>
      <c r="N17" s="59" t="s">
        <v>156</v>
      </c>
      <c r="O17" s="60">
        <v>0.1</v>
      </c>
      <c r="P17" s="56"/>
      <c r="Q17" s="60">
        <f t="shared" si="2"/>
        <v>0</v>
      </c>
      <c r="R17" s="61">
        <f t="shared" si="1"/>
        <v>0</v>
      </c>
      <c r="S17" s="60" t="s">
        <v>31</v>
      </c>
      <c r="T17" s="60"/>
      <c r="U17" s="17"/>
      <c r="V17" s="17"/>
      <c r="W17" s="17"/>
      <c r="X17" s="17"/>
      <c r="Y17" s="17"/>
      <c r="Z17" s="17"/>
      <c r="AA17" s="17"/>
      <c r="AB17" s="17"/>
      <c r="AC17" s="17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1:48" s="19" customFormat="1" ht="21.6" x14ac:dyDescent="0.2">
      <c r="A18" s="41">
        <v>2086</v>
      </c>
      <c r="B18" s="42" t="s">
        <v>20</v>
      </c>
      <c r="C18" s="43" t="s">
        <v>21</v>
      </c>
      <c r="D18" s="44" t="s">
        <v>449</v>
      </c>
      <c r="E18" s="42" t="s">
        <v>450</v>
      </c>
      <c r="F18" s="42" t="s">
        <v>333</v>
      </c>
      <c r="G18" s="42" t="s">
        <v>99</v>
      </c>
      <c r="H18" s="45" t="s">
        <v>448</v>
      </c>
      <c r="I18" s="57" t="s">
        <v>27</v>
      </c>
      <c r="J18" s="47">
        <v>0.7</v>
      </c>
      <c r="K18" s="57" t="s">
        <v>324</v>
      </c>
      <c r="L18" s="64" t="s">
        <v>325</v>
      </c>
      <c r="M18" s="25" t="s">
        <v>326</v>
      </c>
      <c r="N18" s="62" t="s">
        <v>127</v>
      </c>
      <c r="O18" s="60">
        <v>0.1</v>
      </c>
      <c r="P18" s="62"/>
      <c r="Q18" s="60">
        <f t="shared" si="2"/>
        <v>0</v>
      </c>
      <c r="R18" s="61">
        <f t="shared" si="1"/>
        <v>0</v>
      </c>
      <c r="S18" s="60" t="s">
        <v>31</v>
      </c>
      <c r="T18" s="60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 s="19" customFormat="1" ht="21.6" x14ac:dyDescent="0.2">
      <c r="A19" s="41">
        <v>2087</v>
      </c>
      <c r="B19" s="42" t="s">
        <v>20</v>
      </c>
      <c r="C19" s="43" t="s">
        <v>21</v>
      </c>
      <c r="D19" s="44" t="s">
        <v>449</v>
      </c>
      <c r="E19" s="42" t="s">
        <v>450</v>
      </c>
      <c r="F19" s="42" t="s">
        <v>333</v>
      </c>
      <c r="G19" s="42" t="s">
        <v>99</v>
      </c>
      <c r="H19" s="45" t="s">
        <v>448</v>
      </c>
      <c r="I19" s="57" t="s">
        <v>59</v>
      </c>
      <c r="J19" s="58">
        <v>0.3</v>
      </c>
      <c r="K19" s="57" t="s">
        <v>327</v>
      </c>
      <c r="L19" s="64" t="s">
        <v>328</v>
      </c>
      <c r="M19" s="25" t="s">
        <v>329</v>
      </c>
      <c r="N19" s="62" t="s">
        <v>330</v>
      </c>
      <c r="O19" s="60">
        <v>0.1</v>
      </c>
      <c r="P19" s="62"/>
      <c r="Q19" s="60">
        <f t="shared" si="2"/>
        <v>0</v>
      </c>
      <c r="R19" s="61">
        <f t="shared" si="1"/>
        <v>0</v>
      </c>
      <c r="S19" s="60" t="s">
        <v>31</v>
      </c>
      <c r="T19" s="60"/>
      <c r="U19" s="17"/>
      <c r="V19" s="17"/>
      <c r="W19" s="17"/>
      <c r="X19" s="17"/>
      <c r="Y19" s="17"/>
      <c r="Z19" s="17"/>
      <c r="AA19" s="17"/>
      <c r="AB19" s="17"/>
      <c r="AC19" s="17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s="19" customFormat="1" ht="21.6" x14ac:dyDescent="0.2">
      <c r="A20" s="41">
        <v>2088</v>
      </c>
      <c r="B20" s="42" t="s">
        <v>20</v>
      </c>
      <c r="C20" s="43" t="s">
        <v>21</v>
      </c>
      <c r="D20" s="44" t="s">
        <v>451</v>
      </c>
      <c r="E20" s="42" t="s">
        <v>452</v>
      </c>
      <c r="F20" s="42" t="s">
        <v>335</v>
      </c>
      <c r="G20" s="42" t="s">
        <v>99</v>
      </c>
      <c r="H20" s="45" t="s">
        <v>448</v>
      </c>
      <c r="I20" s="46" t="s">
        <v>27</v>
      </c>
      <c r="J20" s="47">
        <v>0.7</v>
      </c>
      <c r="K20" s="55" t="s">
        <v>66</v>
      </c>
      <c r="L20" s="63" t="s">
        <v>305</v>
      </c>
      <c r="M20" s="13" t="s">
        <v>306</v>
      </c>
      <c r="N20" s="51" t="s">
        <v>112</v>
      </c>
      <c r="O20" s="47">
        <v>0.15</v>
      </c>
      <c r="P20" s="47"/>
      <c r="Q20" s="47">
        <f t="shared" si="2"/>
        <v>0</v>
      </c>
      <c r="R20" s="49">
        <f t="shared" si="1"/>
        <v>0</v>
      </c>
      <c r="S20" s="47" t="s">
        <v>31</v>
      </c>
      <c r="T20" s="50">
        <f>SUM(R20:R28)%</f>
        <v>0</v>
      </c>
      <c r="U20" s="17"/>
      <c r="V20" s="17"/>
      <c r="W20" s="17"/>
      <c r="X20" s="17"/>
      <c r="Y20" s="17"/>
      <c r="Z20" s="17"/>
      <c r="AA20" s="17"/>
      <c r="AB20" s="17"/>
      <c r="AC20" s="17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s="19" customFormat="1" ht="21.6" x14ac:dyDescent="0.2">
      <c r="A21" s="41">
        <v>2089</v>
      </c>
      <c r="B21" s="42" t="s">
        <v>20</v>
      </c>
      <c r="C21" s="43" t="s">
        <v>21</v>
      </c>
      <c r="D21" s="44" t="s">
        <v>451</v>
      </c>
      <c r="E21" s="42" t="s">
        <v>452</v>
      </c>
      <c r="F21" s="42" t="s">
        <v>335</v>
      </c>
      <c r="G21" s="42" t="s">
        <v>99</v>
      </c>
      <c r="H21" s="45" t="s">
        <v>448</v>
      </c>
      <c r="I21" s="46" t="s">
        <v>27</v>
      </c>
      <c r="J21" s="47">
        <v>0.7</v>
      </c>
      <c r="K21" s="55" t="s">
        <v>307</v>
      </c>
      <c r="L21" s="63" t="s">
        <v>308</v>
      </c>
      <c r="M21" s="55" t="s">
        <v>309</v>
      </c>
      <c r="N21" s="51" t="s">
        <v>310</v>
      </c>
      <c r="O21" s="47">
        <v>0.15</v>
      </c>
      <c r="P21" s="52"/>
      <c r="Q21" s="47">
        <f>ROUND(IF(OR(N21="",P21=""),0,IF(AND(N21=0,P21=0),1,IF(S21="+",P21/N21,N21/P21))),2)</f>
        <v>0</v>
      </c>
      <c r="R21" s="49">
        <f t="shared" si="1"/>
        <v>0</v>
      </c>
      <c r="S21" s="47" t="s">
        <v>36</v>
      </c>
      <c r="T21" s="47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</row>
    <row r="22" spans="1:48" s="19" customFormat="1" ht="21.6" x14ac:dyDescent="0.2">
      <c r="A22" s="41">
        <v>2090</v>
      </c>
      <c r="B22" s="42" t="s">
        <v>20</v>
      </c>
      <c r="C22" s="43" t="s">
        <v>21</v>
      </c>
      <c r="D22" s="44" t="s">
        <v>451</v>
      </c>
      <c r="E22" s="42" t="s">
        <v>452</v>
      </c>
      <c r="F22" s="42" t="s">
        <v>335</v>
      </c>
      <c r="G22" s="42" t="s">
        <v>99</v>
      </c>
      <c r="H22" s="45" t="s">
        <v>448</v>
      </c>
      <c r="I22" s="46" t="s">
        <v>27</v>
      </c>
      <c r="J22" s="47">
        <v>0.7</v>
      </c>
      <c r="K22" s="55" t="s">
        <v>311</v>
      </c>
      <c r="L22" s="63" t="s">
        <v>312</v>
      </c>
      <c r="M22" s="55" t="s">
        <v>313</v>
      </c>
      <c r="N22" s="53">
        <v>1</v>
      </c>
      <c r="O22" s="47">
        <v>0.1</v>
      </c>
      <c r="P22" s="52"/>
      <c r="Q22" s="47">
        <f t="shared" ref="Q22:Q29" si="3">ROUND(IF(OR(N22="",P22=""),0,IF(AND(N22=0,P22=0),1,IF(S22="+",P22/N22,N22/P22))),2)</f>
        <v>0</v>
      </c>
      <c r="R22" s="49">
        <f t="shared" si="1"/>
        <v>0</v>
      </c>
      <c r="S22" s="47" t="s">
        <v>31</v>
      </c>
      <c r="T22" s="47"/>
      <c r="U22" s="17"/>
      <c r="V22" s="17"/>
      <c r="W22" s="17"/>
      <c r="X22" s="17"/>
      <c r="Y22" s="17"/>
      <c r="Z22" s="17"/>
      <c r="AA22" s="17"/>
      <c r="AB22" s="17"/>
      <c r="AC22" s="17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</row>
    <row r="23" spans="1:48" s="19" customFormat="1" ht="21.6" x14ac:dyDescent="0.2">
      <c r="A23" s="41">
        <v>2091</v>
      </c>
      <c r="B23" s="42" t="s">
        <v>20</v>
      </c>
      <c r="C23" s="43" t="s">
        <v>21</v>
      </c>
      <c r="D23" s="44" t="s">
        <v>451</v>
      </c>
      <c r="E23" s="42" t="s">
        <v>452</v>
      </c>
      <c r="F23" s="42" t="s">
        <v>335</v>
      </c>
      <c r="G23" s="42" t="s">
        <v>99</v>
      </c>
      <c r="H23" s="45" t="s">
        <v>448</v>
      </c>
      <c r="I23" s="46" t="s">
        <v>27</v>
      </c>
      <c r="J23" s="47">
        <v>0.7</v>
      </c>
      <c r="K23" s="55" t="s">
        <v>145</v>
      </c>
      <c r="L23" s="63" t="s">
        <v>314</v>
      </c>
      <c r="M23" s="55" t="s">
        <v>315</v>
      </c>
      <c r="N23" s="52" t="s">
        <v>196</v>
      </c>
      <c r="O23" s="47">
        <v>0.1</v>
      </c>
      <c r="P23" s="54"/>
      <c r="Q23" s="47">
        <f t="shared" si="3"/>
        <v>0</v>
      </c>
      <c r="R23" s="49">
        <f t="shared" si="1"/>
        <v>0</v>
      </c>
      <c r="S23" s="47" t="s">
        <v>36</v>
      </c>
      <c r="T23" s="47"/>
      <c r="U23" s="17"/>
      <c r="V23" s="17"/>
      <c r="W23" s="17"/>
      <c r="X23" s="17"/>
      <c r="Y23" s="17"/>
      <c r="Z23" s="17"/>
      <c r="AA23" s="17"/>
      <c r="AB23" s="17"/>
      <c r="AC23" s="17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</row>
    <row r="24" spans="1:48" s="19" customFormat="1" ht="21.6" x14ac:dyDescent="0.2">
      <c r="A24" s="41">
        <v>2092</v>
      </c>
      <c r="B24" s="42" t="s">
        <v>20</v>
      </c>
      <c r="C24" s="43" t="s">
        <v>21</v>
      </c>
      <c r="D24" s="44" t="s">
        <v>451</v>
      </c>
      <c r="E24" s="42" t="s">
        <v>452</v>
      </c>
      <c r="F24" s="42" t="s">
        <v>335</v>
      </c>
      <c r="G24" s="42" t="s">
        <v>99</v>
      </c>
      <c r="H24" s="45" t="s">
        <v>448</v>
      </c>
      <c r="I24" s="46" t="s">
        <v>27</v>
      </c>
      <c r="J24" s="47">
        <v>0.7</v>
      </c>
      <c r="K24" s="55" t="s">
        <v>84</v>
      </c>
      <c r="L24" s="63" t="s">
        <v>316</v>
      </c>
      <c r="M24" s="55" t="s">
        <v>317</v>
      </c>
      <c r="N24" s="55" t="s">
        <v>196</v>
      </c>
      <c r="O24" s="47">
        <v>0.1</v>
      </c>
      <c r="P24" s="56"/>
      <c r="Q24" s="47">
        <f t="shared" si="3"/>
        <v>0</v>
      </c>
      <c r="R24" s="49">
        <f t="shared" si="1"/>
        <v>0</v>
      </c>
      <c r="S24" s="47" t="s">
        <v>36</v>
      </c>
      <c r="T24" s="47"/>
      <c r="U24" s="17"/>
      <c r="V24" s="17"/>
      <c r="W24" s="17"/>
      <c r="X24" s="17"/>
      <c r="Y24" s="17"/>
      <c r="Z24" s="17"/>
      <c r="AA24" s="17"/>
      <c r="AB24" s="17"/>
      <c r="AC24" s="17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</row>
    <row r="25" spans="1:48" s="19" customFormat="1" ht="21.6" x14ac:dyDescent="0.2">
      <c r="A25" s="41">
        <v>2093</v>
      </c>
      <c r="B25" s="42" t="s">
        <v>20</v>
      </c>
      <c r="C25" s="43" t="s">
        <v>21</v>
      </c>
      <c r="D25" s="44" t="s">
        <v>451</v>
      </c>
      <c r="E25" s="42" t="s">
        <v>452</v>
      </c>
      <c r="F25" s="42" t="s">
        <v>335</v>
      </c>
      <c r="G25" s="42" t="s">
        <v>99</v>
      </c>
      <c r="H25" s="45" t="s">
        <v>448</v>
      </c>
      <c r="I25" s="57" t="s">
        <v>27</v>
      </c>
      <c r="J25" s="47">
        <v>0.7</v>
      </c>
      <c r="K25" s="57" t="s">
        <v>318</v>
      </c>
      <c r="L25" s="64" t="s">
        <v>319</v>
      </c>
      <c r="M25" s="57" t="s">
        <v>320</v>
      </c>
      <c r="N25" s="59" t="s">
        <v>127</v>
      </c>
      <c r="O25" s="60">
        <v>0.1</v>
      </c>
      <c r="P25" s="56"/>
      <c r="Q25" s="60">
        <f t="shared" si="3"/>
        <v>0</v>
      </c>
      <c r="R25" s="61">
        <f t="shared" si="1"/>
        <v>0</v>
      </c>
      <c r="S25" s="60" t="s">
        <v>31</v>
      </c>
      <c r="T25" s="60"/>
      <c r="U25" s="17"/>
      <c r="V25" s="17"/>
      <c r="W25" s="17"/>
      <c r="X25" s="17"/>
      <c r="Y25" s="17"/>
      <c r="Z25" s="17"/>
      <c r="AA25" s="17"/>
      <c r="AB25" s="17"/>
      <c r="AC25" s="17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  <row r="26" spans="1:48" s="19" customFormat="1" ht="21.6" x14ac:dyDescent="0.2">
      <c r="A26" s="41">
        <v>2094</v>
      </c>
      <c r="B26" s="42" t="s">
        <v>20</v>
      </c>
      <c r="C26" s="43" t="s">
        <v>21</v>
      </c>
      <c r="D26" s="44" t="s">
        <v>451</v>
      </c>
      <c r="E26" s="42" t="s">
        <v>452</v>
      </c>
      <c r="F26" s="42" t="s">
        <v>335</v>
      </c>
      <c r="G26" s="42" t="s">
        <v>99</v>
      </c>
      <c r="H26" s="45" t="s">
        <v>448</v>
      </c>
      <c r="I26" s="57" t="s">
        <v>27</v>
      </c>
      <c r="J26" s="47">
        <v>0.7</v>
      </c>
      <c r="K26" s="57" t="s">
        <v>321</v>
      </c>
      <c r="L26" s="64" t="s">
        <v>322</v>
      </c>
      <c r="M26" s="57" t="s">
        <v>323</v>
      </c>
      <c r="N26" s="59" t="s">
        <v>156</v>
      </c>
      <c r="O26" s="60">
        <v>0.1</v>
      </c>
      <c r="P26" s="56"/>
      <c r="Q26" s="60">
        <f t="shared" si="3"/>
        <v>0</v>
      </c>
      <c r="R26" s="61">
        <f t="shared" si="1"/>
        <v>0</v>
      </c>
      <c r="S26" s="60" t="s">
        <v>31</v>
      </c>
      <c r="T26" s="60"/>
      <c r="U26" s="17"/>
      <c r="V26" s="17"/>
      <c r="W26" s="17"/>
      <c r="X26" s="17"/>
      <c r="Y26" s="17"/>
      <c r="Z26" s="17"/>
      <c r="AA26" s="17"/>
      <c r="AB26" s="17"/>
      <c r="AC26" s="17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</row>
    <row r="27" spans="1:48" s="19" customFormat="1" ht="21.6" x14ac:dyDescent="0.2">
      <c r="A27" s="41">
        <v>2095</v>
      </c>
      <c r="B27" s="42" t="s">
        <v>20</v>
      </c>
      <c r="C27" s="43" t="s">
        <v>21</v>
      </c>
      <c r="D27" s="44" t="s">
        <v>451</v>
      </c>
      <c r="E27" s="42" t="s">
        <v>452</v>
      </c>
      <c r="F27" s="42" t="s">
        <v>335</v>
      </c>
      <c r="G27" s="42" t="s">
        <v>99</v>
      </c>
      <c r="H27" s="45" t="s">
        <v>448</v>
      </c>
      <c r="I27" s="57" t="s">
        <v>27</v>
      </c>
      <c r="J27" s="47">
        <v>0.7</v>
      </c>
      <c r="K27" s="57" t="s">
        <v>324</v>
      </c>
      <c r="L27" s="64" t="s">
        <v>325</v>
      </c>
      <c r="M27" s="25" t="s">
        <v>326</v>
      </c>
      <c r="N27" s="62" t="s">
        <v>127</v>
      </c>
      <c r="O27" s="60">
        <v>0.1</v>
      </c>
      <c r="P27" s="62"/>
      <c r="Q27" s="60">
        <f t="shared" si="3"/>
        <v>0</v>
      </c>
      <c r="R27" s="61">
        <f t="shared" si="1"/>
        <v>0</v>
      </c>
      <c r="S27" s="60" t="s">
        <v>31</v>
      </c>
      <c r="T27" s="60"/>
      <c r="U27" s="17"/>
      <c r="V27" s="17"/>
      <c r="W27" s="17"/>
      <c r="X27" s="17"/>
      <c r="Y27" s="17"/>
      <c r="Z27" s="17"/>
      <c r="AA27" s="17"/>
      <c r="AB27" s="17"/>
      <c r="AC27" s="17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</row>
    <row r="28" spans="1:48" s="19" customFormat="1" ht="21.6" x14ac:dyDescent="0.2">
      <c r="A28" s="41">
        <v>2096</v>
      </c>
      <c r="B28" s="42" t="s">
        <v>20</v>
      </c>
      <c r="C28" s="43" t="s">
        <v>21</v>
      </c>
      <c r="D28" s="44" t="s">
        <v>451</v>
      </c>
      <c r="E28" s="42" t="s">
        <v>452</v>
      </c>
      <c r="F28" s="42" t="s">
        <v>335</v>
      </c>
      <c r="G28" s="42" t="s">
        <v>99</v>
      </c>
      <c r="H28" s="45" t="s">
        <v>448</v>
      </c>
      <c r="I28" s="57" t="s">
        <v>59</v>
      </c>
      <c r="J28" s="58">
        <v>0.3</v>
      </c>
      <c r="K28" s="57" t="s">
        <v>327</v>
      </c>
      <c r="L28" s="64" t="s">
        <v>328</v>
      </c>
      <c r="M28" s="25" t="s">
        <v>329</v>
      </c>
      <c r="N28" s="62" t="s">
        <v>330</v>
      </c>
      <c r="O28" s="60">
        <v>0.1</v>
      </c>
      <c r="P28" s="62"/>
      <c r="Q28" s="60">
        <f t="shared" si="3"/>
        <v>0</v>
      </c>
      <c r="R28" s="61">
        <f t="shared" si="1"/>
        <v>0</v>
      </c>
      <c r="S28" s="60" t="s">
        <v>31</v>
      </c>
      <c r="T28" s="60"/>
      <c r="U28" s="17"/>
      <c r="V28" s="17"/>
      <c r="W28" s="17"/>
      <c r="X28" s="17"/>
      <c r="Y28" s="17"/>
      <c r="Z28" s="17"/>
      <c r="AA28" s="17"/>
      <c r="AB28" s="17"/>
      <c r="AC28" s="17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</row>
    <row r="29" spans="1:48" s="19" customFormat="1" ht="21.6" x14ac:dyDescent="0.2">
      <c r="A29" s="41">
        <v>2097</v>
      </c>
      <c r="B29" s="42" t="s">
        <v>20</v>
      </c>
      <c r="C29" s="43" t="s">
        <v>21</v>
      </c>
      <c r="D29" s="44" t="s">
        <v>453</v>
      </c>
      <c r="E29" s="42" t="s">
        <v>454</v>
      </c>
      <c r="F29" s="42" t="s">
        <v>333</v>
      </c>
      <c r="G29" s="42" t="s">
        <v>99</v>
      </c>
      <c r="H29" s="45" t="s">
        <v>448</v>
      </c>
      <c r="I29" s="46" t="s">
        <v>27</v>
      </c>
      <c r="J29" s="47">
        <v>0.7</v>
      </c>
      <c r="K29" s="55" t="s">
        <v>66</v>
      </c>
      <c r="L29" s="63" t="s">
        <v>305</v>
      </c>
      <c r="M29" s="13" t="s">
        <v>306</v>
      </c>
      <c r="N29" s="51" t="s">
        <v>112</v>
      </c>
      <c r="O29" s="47">
        <v>0.15</v>
      </c>
      <c r="P29" s="47"/>
      <c r="Q29" s="47">
        <f t="shared" si="3"/>
        <v>0</v>
      </c>
      <c r="R29" s="49">
        <f t="shared" si="1"/>
        <v>0</v>
      </c>
      <c r="S29" s="47" t="s">
        <v>31</v>
      </c>
      <c r="T29" s="50">
        <f>SUM(R29:R37)%</f>
        <v>0</v>
      </c>
      <c r="U29" s="17"/>
      <c r="V29" s="17"/>
      <c r="W29" s="17"/>
      <c r="X29" s="17"/>
      <c r="Y29" s="17"/>
      <c r="Z29" s="17"/>
      <c r="AA29" s="17"/>
      <c r="AB29" s="17"/>
      <c r="AC29" s="17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</row>
    <row r="30" spans="1:48" s="19" customFormat="1" ht="21.6" x14ac:dyDescent="0.2">
      <c r="A30" s="41">
        <v>2098</v>
      </c>
      <c r="B30" s="42" t="s">
        <v>20</v>
      </c>
      <c r="C30" s="43" t="s">
        <v>21</v>
      </c>
      <c r="D30" s="44" t="s">
        <v>453</v>
      </c>
      <c r="E30" s="42" t="s">
        <v>454</v>
      </c>
      <c r="F30" s="42" t="s">
        <v>333</v>
      </c>
      <c r="G30" s="42" t="s">
        <v>99</v>
      </c>
      <c r="H30" s="45" t="s">
        <v>448</v>
      </c>
      <c r="I30" s="46" t="s">
        <v>27</v>
      </c>
      <c r="J30" s="47">
        <v>0.7</v>
      </c>
      <c r="K30" s="55" t="s">
        <v>307</v>
      </c>
      <c r="L30" s="63" t="s">
        <v>308</v>
      </c>
      <c r="M30" s="55" t="s">
        <v>309</v>
      </c>
      <c r="N30" s="51" t="s">
        <v>310</v>
      </c>
      <c r="O30" s="47">
        <v>0.15</v>
      </c>
      <c r="P30" s="52"/>
      <c r="Q30" s="47">
        <f>ROUND(IF(OR(N30="",P30=""),0,IF(AND(N30=0,P30=0),1,IF(S30="+",P30/N30,N30/P30))),2)</f>
        <v>0</v>
      </c>
      <c r="R30" s="49">
        <f t="shared" si="1"/>
        <v>0</v>
      </c>
      <c r="S30" s="47" t="s">
        <v>36</v>
      </c>
      <c r="T30" s="4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</row>
    <row r="31" spans="1:48" s="19" customFormat="1" ht="21.6" x14ac:dyDescent="0.2">
      <c r="A31" s="41">
        <v>2099</v>
      </c>
      <c r="B31" s="42" t="s">
        <v>20</v>
      </c>
      <c r="C31" s="43" t="s">
        <v>21</v>
      </c>
      <c r="D31" s="44" t="s">
        <v>453</v>
      </c>
      <c r="E31" s="42" t="s">
        <v>454</v>
      </c>
      <c r="F31" s="42" t="s">
        <v>333</v>
      </c>
      <c r="G31" s="42" t="s">
        <v>99</v>
      </c>
      <c r="H31" s="45" t="s">
        <v>448</v>
      </c>
      <c r="I31" s="46" t="s">
        <v>27</v>
      </c>
      <c r="J31" s="47">
        <v>0.7</v>
      </c>
      <c r="K31" s="55" t="s">
        <v>311</v>
      </c>
      <c r="L31" s="63" t="s">
        <v>312</v>
      </c>
      <c r="M31" s="55" t="s">
        <v>313</v>
      </c>
      <c r="N31" s="53">
        <v>1</v>
      </c>
      <c r="O31" s="47">
        <v>0.1</v>
      </c>
      <c r="P31" s="52"/>
      <c r="Q31" s="47">
        <f t="shared" ref="Q31:Q38" si="4">ROUND(IF(OR(N31="",P31=""),0,IF(AND(N31=0,P31=0),1,IF(S31="+",P31/N31,N31/P31))),2)</f>
        <v>0</v>
      </c>
      <c r="R31" s="49">
        <f t="shared" si="1"/>
        <v>0</v>
      </c>
      <c r="S31" s="47" t="s">
        <v>31</v>
      </c>
      <c r="T31" s="47"/>
      <c r="U31" s="17"/>
      <c r="V31" s="17"/>
      <c r="W31" s="17"/>
      <c r="X31" s="17"/>
      <c r="Y31" s="17"/>
      <c r="Z31" s="17"/>
      <c r="AA31" s="17"/>
      <c r="AB31" s="17"/>
      <c r="AC31" s="17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</row>
    <row r="32" spans="1:48" s="19" customFormat="1" ht="21.6" x14ac:dyDescent="0.2">
      <c r="A32" s="41">
        <v>2100</v>
      </c>
      <c r="B32" s="42" t="s">
        <v>20</v>
      </c>
      <c r="C32" s="43" t="s">
        <v>21</v>
      </c>
      <c r="D32" s="44" t="s">
        <v>453</v>
      </c>
      <c r="E32" s="42" t="s">
        <v>454</v>
      </c>
      <c r="F32" s="42" t="s">
        <v>333</v>
      </c>
      <c r="G32" s="42" t="s">
        <v>99</v>
      </c>
      <c r="H32" s="45" t="s">
        <v>448</v>
      </c>
      <c r="I32" s="46" t="s">
        <v>27</v>
      </c>
      <c r="J32" s="47">
        <v>0.7</v>
      </c>
      <c r="K32" s="55" t="s">
        <v>145</v>
      </c>
      <c r="L32" s="63" t="s">
        <v>314</v>
      </c>
      <c r="M32" s="55" t="s">
        <v>315</v>
      </c>
      <c r="N32" s="52" t="s">
        <v>196</v>
      </c>
      <c r="O32" s="47">
        <v>0.1</v>
      </c>
      <c r="P32" s="54"/>
      <c r="Q32" s="47">
        <f t="shared" si="4"/>
        <v>0</v>
      </c>
      <c r="R32" s="49">
        <f t="shared" si="1"/>
        <v>0</v>
      </c>
      <c r="S32" s="47" t="s">
        <v>36</v>
      </c>
      <c r="T32" s="47"/>
      <c r="U32" s="17"/>
      <c r="V32" s="17"/>
      <c r="W32" s="17"/>
      <c r="X32" s="17"/>
      <c r="Y32" s="17"/>
      <c r="Z32" s="17"/>
      <c r="AA32" s="17"/>
      <c r="AB32" s="17"/>
      <c r="AC32" s="17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</row>
    <row r="33" spans="1:48" s="19" customFormat="1" ht="21.6" x14ac:dyDescent="0.2">
      <c r="A33" s="41">
        <v>2101</v>
      </c>
      <c r="B33" s="42" t="s">
        <v>20</v>
      </c>
      <c r="C33" s="43" t="s">
        <v>21</v>
      </c>
      <c r="D33" s="44" t="s">
        <v>453</v>
      </c>
      <c r="E33" s="42" t="s">
        <v>454</v>
      </c>
      <c r="F33" s="42" t="s">
        <v>333</v>
      </c>
      <c r="G33" s="42" t="s">
        <v>99</v>
      </c>
      <c r="H33" s="45" t="s">
        <v>448</v>
      </c>
      <c r="I33" s="46" t="s">
        <v>27</v>
      </c>
      <c r="J33" s="47">
        <v>0.7</v>
      </c>
      <c r="K33" s="55" t="s">
        <v>84</v>
      </c>
      <c r="L33" s="63" t="s">
        <v>316</v>
      </c>
      <c r="M33" s="55" t="s">
        <v>317</v>
      </c>
      <c r="N33" s="55" t="s">
        <v>196</v>
      </c>
      <c r="O33" s="47">
        <v>0.1</v>
      </c>
      <c r="P33" s="56"/>
      <c r="Q33" s="47">
        <f t="shared" si="4"/>
        <v>0</v>
      </c>
      <c r="R33" s="49">
        <f t="shared" si="1"/>
        <v>0</v>
      </c>
      <c r="S33" s="47" t="s">
        <v>36</v>
      </c>
      <c r="T33" s="47"/>
      <c r="U33" s="17"/>
      <c r="V33" s="17"/>
      <c r="W33" s="17"/>
      <c r="X33" s="17"/>
      <c r="Y33" s="17"/>
      <c r="Z33" s="17"/>
      <c r="AA33" s="17"/>
      <c r="AB33" s="17"/>
      <c r="AC33" s="17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</row>
    <row r="34" spans="1:48" s="19" customFormat="1" ht="21.6" x14ac:dyDescent="0.2">
      <c r="A34" s="41">
        <v>2102</v>
      </c>
      <c r="B34" s="42" t="s">
        <v>20</v>
      </c>
      <c r="C34" s="43" t="s">
        <v>21</v>
      </c>
      <c r="D34" s="44" t="s">
        <v>453</v>
      </c>
      <c r="E34" s="42" t="s">
        <v>454</v>
      </c>
      <c r="F34" s="42" t="s">
        <v>333</v>
      </c>
      <c r="G34" s="42" t="s">
        <v>99</v>
      </c>
      <c r="H34" s="45" t="s">
        <v>448</v>
      </c>
      <c r="I34" s="57" t="s">
        <v>27</v>
      </c>
      <c r="J34" s="47">
        <v>0.7</v>
      </c>
      <c r="K34" s="57" t="s">
        <v>318</v>
      </c>
      <c r="L34" s="64" t="s">
        <v>319</v>
      </c>
      <c r="M34" s="57" t="s">
        <v>320</v>
      </c>
      <c r="N34" s="59" t="s">
        <v>127</v>
      </c>
      <c r="O34" s="60">
        <v>0.1</v>
      </c>
      <c r="P34" s="56"/>
      <c r="Q34" s="60">
        <f t="shared" si="4"/>
        <v>0</v>
      </c>
      <c r="R34" s="61">
        <f t="shared" si="1"/>
        <v>0</v>
      </c>
      <c r="S34" s="60" t="s">
        <v>31</v>
      </c>
      <c r="T34" s="60"/>
      <c r="U34" s="17"/>
      <c r="V34" s="17"/>
      <c r="W34" s="17"/>
      <c r="X34" s="17"/>
      <c r="Y34" s="17"/>
      <c r="Z34" s="17"/>
      <c r="AA34" s="17"/>
      <c r="AB34" s="17"/>
      <c r="AC34" s="17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</row>
    <row r="35" spans="1:48" s="19" customFormat="1" ht="21.6" x14ac:dyDescent="0.2">
      <c r="A35" s="41">
        <v>2103</v>
      </c>
      <c r="B35" s="42" t="s">
        <v>20</v>
      </c>
      <c r="C35" s="43" t="s">
        <v>21</v>
      </c>
      <c r="D35" s="44" t="s">
        <v>453</v>
      </c>
      <c r="E35" s="42" t="s">
        <v>454</v>
      </c>
      <c r="F35" s="42" t="s">
        <v>333</v>
      </c>
      <c r="G35" s="42" t="s">
        <v>99</v>
      </c>
      <c r="H35" s="45" t="s">
        <v>448</v>
      </c>
      <c r="I35" s="57" t="s">
        <v>27</v>
      </c>
      <c r="J35" s="47">
        <v>0.7</v>
      </c>
      <c r="K35" s="57" t="s">
        <v>321</v>
      </c>
      <c r="L35" s="64" t="s">
        <v>322</v>
      </c>
      <c r="M35" s="57" t="s">
        <v>323</v>
      </c>
      <c r="N35" s="59" t="s">
        <v>156</v>
      </c>
      <c r="O35" s="60">
        <v>0.1</v>
      </c>
      <c r="P35" s="56"/>
      <c r="Q35" s="60">
        <f t="shared" si="4"/>
        <v>0</v>
      </c>
      <c r="R35" s="61">
        <f t="shared" si="1"/>
        <v>0</v>
      </c>
      <c r="S35" s="60" t="s">
        <v>31</v>
      </c>
      <c r="T35" s="60"/>
      <c r="U35" s="17"/>
      <c r="V35" s="17"/>
      <c r="W35" s="17"/>
      <c r="X35" s="17"/>
      <c r="Y35" s="17"/>
      <c r="Z35" s="17"/>
      <c r="AA35" s="17"/>
      <c r="AB35" s="17"/>
      <c r="AC35" s="17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</row>
    <row r="36" spans="1:48" s="19" customFormat="1" ht="21.6" x14ac:dyDescent="0.2">
      <c r="A36" s="41">
        <v>2104</v>
      </c>
      <c r="B36" s="42" t="s">
        <v>20</v>
      </c>
      <c r="C36" s="43" t="s">
        <v>21</v>
      </c>
      <c r="D36" s="44" t="s">
        <v>453</v>
      </c>
      <c r="E36" s="42" t="s">
        <v>454</v>
      </c>
      <c r="F36" s="42" t="s">
        <v>333</v>
      </c>
      <c r="G36" s="42" t="s">
        <v>99</v>
      </c>
      <c r="H36" s="45" t="s">
        <v>448</v>
      </c>
      <c r="I36" s="57" t="s">
        <v>27</v>
      </c>
      <c r="J36" s="47">
        <v>0.7</v>
      </c>
      <c r="K36" s="57" t="s">
        <v>324</v>
      </c>
      <c r="L36" s="64" t="s">
        <v>325</v>
      </c>
      <c r="M36" s="25" t="s">
        <v>326</v>
      </c>
      <c r="N36" s="62" t="s">
        <v>127</v>
      </c>
      <c r="O36" s="60">
        <v>0.1</v>
      </c>
      <c r="P36" s="62"/>
      <c r="Q36" s="60">
        <f t="shared" si="4"/>
        <v>0</v>
      </c>
      <c r="R36" s="61">
        <f t="shared" si="1"/>
        <v>0</v>
      </c>
      <c r="S36" s="60" t="s">
        <v>31</v>
      </c>
      <c r="T36" s="60"/>
      <c r="U36" s="17"/>
      <c r="V36" s="17"/>
      <c r="W36" s="17"/>
      <c r="X36" s="17"/>
      <c r="Y36" s="17"/>
      <c r="Z36" s="17"/>
      <c r="AA36" s="17"/>
      <c r="AB36" s="17"/>
      <c r="AC36" s="17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</row>
    <row r="37" spans="1:48" s="19" customFormat="1" ht="21.6" x14ac:dyDescent="0.2">
      <c r="A37" s="41">
        <v>2105</v>
      </c>
      <c r="B37" s="42" t="s">
        <v>20</v>
      </c>
      <c r="C37" s="43" t="s">
        <v>21</v>
      </c>
      <c r="D37" s="44" t="s">
        <v>453</v>
      </c>
      <c r="E37" s="42" t="s">
        <v>454</v>
      </c>
      <c r="F37" s="42" t="s">
        <v>333</v>
      </c>
      <c r="G37" s="42" t="s">
        <v>99</v>
      </c>
      <c r="H37" s="45" t="s">
        <v>448</v>
      </c>
      <c r="I37" s="57" t="s">
        <v>59</v>
      </c>
      <c r="J37" s="58">
        <v>0.3</v>
      </c>
      <c r="K37" s="57" t="s">
        <v>327</v>
      </c>
      <c r="L37" s="64" t="s">
        <v>328</v>
      </c>
      <c r="M37" s="25" t="s">
        <v>329</v>
      </c>
      <c r="N37" s="62" t="s">
        <v>330</v>
      </c>
      <c r="O37" s="60">
        <v>0.1</v>
      </c>
      <c r="P37" s="62"/>
      <c r="Q37" s="60">
        <f t="shared" si="4"/>
        <v>0</v>
      </c>
      <c r="R37" s="61">
        <f t="shared" si="1"/>
        <v>0</v>
      </c>
      <c r="S37" s="60" t="s">
        <v>31</v>
      </c>
      <c r="T37" s="60"/>
      <c r="U37" s="17"/>
      <c r="V37" s="17"/>
      <c r="W37" s="17"/>
      <c r="X37" s="17"/>
      <c r="Y37" s="17"/>
      <c r="Z37" s="17"/>
      <c r="AA37" s="17"/>
      <c r="AB37" s="17"/>
      <c r="AC37" s="17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</row>
    <row r="38" spans="1:48" s="19" customFormat="1" ht="21.6" x14ac:dyDescent="0.2">
      <c r="A38" s="41">
        <v>2106</v>
      </c>
      <c r="B38" s="42" t="s">
        <v>20</v>
      </c>
      <c r="C38" s="43" t="s">
        <v>21</v>
      </c>
      <c r="D38" s="44" t="s">
        <v>455</v>
      </c>
      <c r="E38" s="42" t="s">
        <v>456</v>
      </c>
      <c r="F38" s="42" t="s">
        <v>303</v>
      </c>
      <c r="G38" s="42" t="s">
        <v>99</v>
      </c>
      <c r="H38" s="45" t="s">
        <v>448</v>
      </c>
      <c r="I38" s="46" t="s">
        <v>27</v>
      </c>
      <c r="J38" s="47">
        <v>0.7</v>
      </c>
      <c r="K38" s="55" t="s">
        <v>66</v>
      </c>
      <c r="L38" s="63" t="s">
        <v>305</v>
      </c>
      <c r="M38" s="13" t="s">
        <v>306</v>
      </c>
      <c r="N38" s="51" t="s">
        <v>112</v>
      </c>
      <c r="O38" s="47">
        <v>0.15</v>
      </c>
      <c r="P38" s="47"/>
      <c r="Q38" s="47">
        <f t="shared" si="4"/>
        <v>0</v>
      </c>
      <c r="R38" s="49">
        <f t="shared" si="1"/>
        <v>0</v>
      </c>
      <c r="S38" s="47" t="s">
        <v>31</v>
      </c>
      <c r="T38" s="50">
        <f>SUM(R38:R46)%</f>
        <v>0</v>
      </c>
      <c r="U38" s="17"/>
      <c r="V38" s="17"/>
      <c r="W38" s="17"/>
      <c r="X38" s="17"/>
      <c r="Y38" s="17"/>
      <c r="Z38" s="17"/>
      <c r="AA38" s="17"/>
      <c r="AB38" s="17"/>
      <c r="AC38" s="17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spans="1:48" s="19" customFormat="1" ht="21.6" x14ac:dyDescent="0.2">
      <c r="A39" s="41">
        <v>2107</v>
      </c>
      <c r="B39" s="42" t="s">
        <v>20</v>
      </c>
      <c r="C39" s="43" t="s">
        <v>21</v>
      </c>
      <c r="D39" s="44" t="s">
        <v>455</v>
      </c>
      <c r="E39" s="42" t="s">
        <v>456</v>
      </c>
      <c r="F39" s="42" t="s">
        <v>303</v>
      </c>
      <c r="G39" s="42" t="s">
        <v>99</v>
      </c>
      <c r="H39" s="45" t="s">
        <v>448</v>
      </c>
      <c r="I39" s="46" t="s">
        <v>27</v>
      </c>
      <c r="J39" s="47">
        <v>0.7</v>
      </c>
      <c r="K39" s="55" t="s">
        <v>307</v>
      </c>
      <c r="L39" s="63" t="s">
        <v>308</v>
      </c>
      <c r="M39" s="55" t="s">
        <v>309</v>
      </c>
      <c r="N39" s="51" t="s">
        <v>310</v>
      </c>
      <c r="O39" s="47">
        <v>0.15</v>
      </c>
      <c r="P39" s="52"/>
      <c r="Q39" s="47">
        <f>ROUND(IF(OR(N39="",P39=""),0,IF(AND(N39=0,P39=0),1,IF(S39="+",P39/N39,N39/P39))),2)</f>
        <v>0</v>
      </c>
      <c r="R39" s="49">
        <f t="shared" si="1"/>
        <v>0</v>
      </c>
      <c r="S39" s="47" t="s">
        <v>36</v>
      </c>
      <c r="T39" s="47"/>
      <c r="U39" s="17"/>
      <c r="V39" s="17"/>
      <c r="W39" s="17"/>
      <c r="X39" s="17"/>
      <c r="Y39" s="17"/>
      <c r="Z39" s="17"/>
      <c r="AA39" s="17"/>
      <c r="AB39" s="17"/>
      <c r="AC39" s="17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</row>
    <row r="40" spans="1:48" s="19" customFormat="1" ht="21.6" x14ac:dyDescent="0.2">
      <c r="A40" s="41">
        <v>2108</v>
      </c>
      <c r="B40" s="42" t="s">
        <v>20</v>
      </c>
      <c r="C40" s="43" t="s">
        <v>21</v>
      </c>
      <c r="D40" s="44" t="s">
        <v>455</v>
      </c>
      <c r="E40" s="42" t="s">
        <v>456</v>
      </c>
      <c r="F40" s="42" t="s">
        <v>303</v>
      </c>
      <c r="G40" s="42" t="s">
        <v>99</v>
      </c>
      <c r="H40" s="45" t="s">
        <v>448</v>
      </c>
      <c r="I40" s="46" t="s">
        <v>27</v>
      </c>
      <c r="J40" s="47">
        <v>0.7</v>
      </c>
      <c r="K40" s="55" t="s">
        <v>311</v>
      </c>
      <c r="L40" s="63" t="s">
        <v>312</v>
      </c>
      <c r="M40" s="55" t="s">
        <v>313</v>
      </c>
      <c r="N40" s="53">
        <v>1</v>
      </c>
      <c r="O40" s="47">
        <v>0.1</v>
      </c>
      <c r="P40" s="52"/>
      <c r="Q40" s="47">
        <f t="shared" ref="Q40:Q47" si="5">ROUND(IF(OR(N40="",P40=""),0,IF(AND(N40=0,P40=0),1,IF(S40="+",P40/N40,N40/P40))),2)</f>
        <v>0</v>
      </c>
      <c r="R40" s="49">
        <f t="shared" si="1"/>
        <v>0</v>
      </c>
      <c r="S40" s="47" t="s">
        <v>31</v>
      </c>
      <c r="T40" s="47"/>
      <c r="U40" s="17"/>
      <c r="V40" s="17"/>
      <c r="W40" s="17"/>
      <c r="X40" s="17"/>
      <c r="Y40" s="17"/>
      <c r="Z40" s="17"/>
      <c r="AA40" s="17"/>
      <c r="AB40" s="17"/>
      <c r="AC40" s="17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</row>
    <row r="41" spans="1:48" s="19" customFormat="1" ht="21.6" x14ac:dyDescent="0.2">
      <c r="A41" s="41">
        <v>2109</v>
      </c>
      <c r="B41" s="42" t="s">
        <v>20</v>
      </c>
      <c r="C41" s="43" t="s">
        <v>21</v>
      </c>
      <c r="D41" s="44" t="s">
        <v>455</v>
      </c>
      <c r="E41" s="42" t="s">
        <v>456</v>
      </c>
      <c r="F41" s="42" t="s">
        <v>303</v>
      </c>
      <c r="G41" s="42" t="s">
        <v>99</v>
      </c>
      <c r="H41" s="45" t="s">
        <v>448</v>
      </c>
      <c r="I41" s="46" t="s">
        <v>27</v>
      </c>
      <c r="J41" s="47">
        <v>0.7</v>
      </c>
      <c r="K41" s="55" t="s">
        <v>145</v>
      </c>
      <c r="L41" s="63" t="s">
        <v>314</v>
      </c>
      <c r="M41" s="55" t="s">
        <v>315</v>
      </c>
      <c r="N41" s="52" t="s">
        <v>196</v>
      </c>
      <c r="O41" s="47">
        <v>0.1</v>
      </c>
      <c r="P41" s="54"/>
      <c r="Q41" s="47">
        <f t="shared" si="5"/>
        <v>0</v>
      </c>
      <c r="R41" s="49">
        <f t="shared" si="1"/>
        <v>0</v>
      </c>
      <c r="S41" s="47" t="s">
        <v>36</v>
      </c>
      <c r="T41" s="47"/>
      <c r="U41" s="17"/>
      <c r="V41" s="17"/>
      <c r="W41" s="17"/>
      <c r="X41" s="17"/>
      <c r="Y41" s="17"/>
      <c r="Z41" s="17"/>
      <c r="AA41" s="17"/>
      <c r="AB41" s="17"/>
      <c r="AC41" s="17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spans="1:48" s="19" customFormat="1" ht="21.6" x14ac:dyDescent="0.2">
      <c r="A42" s="41">
        <v>2110</v>
      </c>
      <c r="B42" s="42" t="s">
        <v>20</v>
      </c>
      <c r="C42" s="43" t="s">
        <v>21</v>
      </c>
      <c r="D42" s="44" t="s">
        <v>455</v>
      </c>
      <c r="E42" s="42" t="s">
        <v>456</v>
      </c>
      <c r="F42" s="42" t="s">
        <v>303</v>
      </c>
      <c r="G42" s="42" t="s">
        <v>99</v>
      </c>
      <c r="H42" s="45" t="s">
        <v>448</v>
      </c>
      <c r="I42" s="46" t="s">
        <v>27</v>
      </c>
      <c r="J42" s="47">
        <v>0.7</v>
      </c>
      <c r="K42" s="55" t="s">
        <v>84</v>
      </c>
      <c r="L42" s="63" t="s">
        <v>316</v>
      </c>
      <c r="M42" s="55" t="s">
        <v>317</v>
      </c>
      <c r="N42" s="55" t="s">
        <v>196</v>
      </c>
      <c r="O42" s="47">
        <v>0.1</v>
      </c>
      <c r="P42" s="56"/>
      <c r="Q42" s="47">
        <f t="shared" si="5"/>
        <v>0</v>
      </c>
      <c r="R42" s="49">
        <f t="shared" si="1"/>
        <v>0</v>
      </c>
      <c r="S42" s="47" t="s">
        <v>36</v>
      </c>
      <c r="T42" s="47"/>
      <c r="U42" s="17"/>
      <c r="V42" s="17"/>
      <c r="W42" s="17"/>
      <c r="X42" s="17"/>
      <c r="Y42" s="17"/>
      <c r="Z42" s="17"/>
      <c r="AA42" s="17"/>
      <c r="AB42" s="17"/>
      <c r="AC42" s="17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</row>
    <row r="43" spans="1:48" s="19" customFormat="1" ht="21.6" x14ac:dyDescent="0.2">
      <c r="A43" s="41">
        <v>2111</v>
      </c>
      <c r="B43" s="42" t="s">
        <v>20</v>
      </c>
      <c r="C43" s="43" t="s">
        <v>21</v>
      </c>
      <c r="D43" s="44" t="s">
        <v>455</v>
      </c>
      <c r="E43" s="42" t="s">
        <v>456</v>
      </c>
      <c r="F43" s="42" t="s">
        <v>303</v>
      </c>
      <c r="G43" s="42" t="s">
        <v>99</v>
      </c>
      <c r="H43" s="45" t="s">
        <v>448</v>
      </c>
      <c r="I43" s="57" t="s">
        <v>27</v>
      </c>
      <c r="J43" s="47">
        <v>0.7</v>
      </c>
      <c r="K43" s="57" t="s">
        <v>318</v>
      </c>
      <c r="L43" s="64" t="s">
        <v>319</v>
      </c>
      <c r="M43" s="57" t="s">
        <v>320</v>
      </c>
      <c r="N43" s="59" t="s">
        <v>127</v>
      </c>
      <c r="O43" s="60">
        <v>0.1</v>
      </c>
      <c r="P43" s="56"/>
      <c r="Q43" s="60">
        <f t="shared" si="5"/>
        <v>0</v>
      </c>
      <c r="R43" s="61">
        <f t="shared" si="1"/>
        <v>0</v>
      </c>
      <c r="S43" s="60" t="s">
        <v>31</v>
      </c>
      <c r="T43" s="60"/>
      <c r="U43" s="17"/>
      <c r="V43" s="17"/>
      <c r="W43" s="17"/>
      <c r="X43" s="17"/>
      <c r="Y43" s="17"/>
      <c r="Z43" s="17"/>
      <c r="AA43" s="17"/>
      <c r="AB43" s="17"/>
      <c r="AC43" s="17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</row>
    <row r="44" spans="1:48" s="19" customFormat="1" ht="21.6" x14ac:dyDescent="0.2">
      <c r="A44" s="41">
        <v>2112</v>
      </c>
      <c r="B44" s="42" t="s">
        <v>20</v>
      </c>
      <c r="C44" s="43" t="s">
        <v>21</v>
      </c>
      <c r="D44" s="44" t="s">
        <v>455</v>
      </c>
      <c r="E44" s="42" t="s">
        <v>456</v>
      </c>
      <c r="F44" s="42" t="s">
        <v>303</v>
      </c>
      <c r="G44" s="42" t="s">
        <v>99</v>
      </c>
      <c r="H44" s="45" t="s">
        <v>448</v>
      </c>
      <c r="I44" s="57" t="s">
        <v>27</v>
      </c>
      <c r="J44" s="47">
        <v>0.7</v>
      </c>
      <c r="K44" s="57" t="s">
        <v>321</v>
      </c>
      <c r="L44" s="64" t="s">
        <v>322</v>
      </c>
      <c r="M44" s="57" t="s">
        <v>323</v>
      </c>
      <c r="N44" s="59" t="s">
        <v>156</v>
      </c>
      <c r="O44" s="60">
        <v>0.1</v>
      </c>
      <c r="P44" s="56"/>
      <c r="Q44" s="60">
        <f t="shared" si="5"/>
        <v>0</v>
      </c>
      <c r="R44" s="61">
        <f t="shared" si="1"/>
        <v>0</v>
      </c>
      <c r="S44" s="60" t="s">
        <v>31</v>
      </c>
      <c r="T44" s="60"/>
      <c r="U44" s="17"/>
      <c r="V44" s="17"/>
      <c r="W44" s="17"/>
      <c r="X44" s="17"/>
      <c r="Y44" s="17"/>
      <c r="Z44" s="17"/>
      <c r="AA44" s="17"/>
      <c r="AB44" s="17"/>
      <c r="AC44" s="17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</row>
    <row r="45" spans="1:48" s="19" customFormat="1" ht="21.6" x14ac:dyDescent="0.2">
      <c r="A45" s="41">
        <v>2113</v>
      </c>
      <c r="B45" s="42" t="s">
        <v>20</v>
      </c>
      <c r="C45" s="43" t="s">
        <v>21</v>
      </c>
      <c r="D45" s="44" t="s">
        <v>455</v>
      </c>
      <c r="E45" s="42" t="s">
        <v>456</v>
      </c>
      <c r="F45" s="42" t="s">
        <v>303</v>
      </c>
      <c r="G45" s="42" t="s">
        <v>99</v>
      </c>
      <c r="H45" s="45" t="s">
        <v>448</v>
      </c>
      <c r="I45" s="57" t="s">
        <v>27</v>
      </c>
      <c r="J45" s="47">
        <v>0.7</v>
      </c>
      <c r="K45" s="57" t="s">
        <v>324</v>
      </c>
      <c r="L45" s="64" t="s">
        <v>325</v>
      </c>
      <c r="M45" s="25" t="s">
        <v>326</v>
      </c>
      <c r="N45" s="62" t="s">
        <v>127</v>
      </c>
      <c r="O45" s="60">
        <v>0.1</v>
      </c>
      <c r="P45" s="62"/>
      <c r="Q45" s="60">
        <f t="shared" si="5"/>
        <v>0</v>
      </c>
      <c r="R45" s="61">
        <f t="shared" si="1"/>
        <v>0</v>
      </c>
      <c r="S45" s="60" t="s">
        <v>31</v>
      </c>
      <c r="T45" s="60"/>
      <c r="U45" s="17"/>
      <c r="V45" s="17"/>
      <c r="W45" s="17"/>
      <c r="X45" s="17"/>
      <c r="Y45" s="17"/>
      <c r="Z45" s="17"/>
      <c r="AA45" s="17"/>
      <c r="AB45" s="17"/>
      <c r="AC45" s="17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</row>
    <row r="46" spans="1:48" s="19" customFormat="1" ht="21.6" x14ac:dyDescent="0.2">
      <c r="A46" s="41">
        <v>2114</v>
      </c>
      <c r="B46" s="42" t="s">
        <v>20</v>
      </c>
      <c r="C46" s="43" t="s">
        <v>21</v>
      </c>
      <c r="D46" s="44" t="s">
        <v>455</v>
      </c>
      <c r="E46" s="42" t="s">
        <v>456</v>
      </c>
      <c r="F46" s="42" t="s">
        <v>303</v>
      </c>
      <c r="G46" s="42" t="s">
        <v>99</v>
      </c>
      <c r="H46" s="45" t="s">
        <v>448</v>
      </c>
      <c r="I46" s="57" t="s">
        <v>59</v>
      </c>
      <c r="J46" s="58">
        <v>0.3</v>
      </c>
      <c r="K46" s="57" t="s">
        <v>327</v>
      </c>
      <c r="L46" s="64" t="s">
        <v>328</v>
      </c>
      <c r="M46" s="25" t="s">
        <v>329</v>
      </c>
      <c r="N46" s="62" t="s">
        <v>330</v>
      </c>
      <c r="O46" s="60">
        <v>0.1</v>
      </c>
      <c r="P46" s="62"/>
      <c r="Q46" s="60">
        <f t="shared" si="5"/>
        <v>0</v>
      </c>
      <c r="R46" s="61">
        <f t="shared" si="1"/>
        <v>0</v>
      </c>
      <c r="S46" s="60" t="s">
        <v>31</v>
      </c>
      <c r="T46" s="60"/>
      <c r="U46" s="17"/>
      <c r="V46" s="17"/>
      <c r="W46" s="17"/>
      <c r="X46" s="17"/>
      <c r="Y46" s="17"/>
      <c r="Z46" s="17"/>
      <c r="AA46" s="17"/>
      <c r="AB46" s="17"/>
      <c r="AC46" s="17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48" s="19" customFormat="1" ht="21.6" x14ac:dyDescent="0.2">
      <c r="A47" s="41">
        <v>2115</v>
      </c>
      <c r="B47" s="42" t="s">
        <v>20</v>
      </c>
      <c r="C47" s="43" t="s">
        <v>21</v>
      </c>
      <c r="D47" s="44" t="s">
        <v>457</v>
      </c>
      <c r="E47" s="42" t="s">
        <v>458</v>
      </c>
      <c r="F47" s="42" t="s">
        <v>303</v>
      </c>
      <c r="G47" s="42" t="s">
        <v>99</v>
      </c>
      <c r="H47" s="45" t="s">
        <v>448</v>
      </c>
      <c r="I47" s="46" t="s">
        <v>27</v>
      </c>
      <c r="J47" s="47">
        <v>0.7</v>
      </c>
      <c r="K47" s="55" t="s">
        <v>66</v>
      </c>
      <c r="L47" s="63" t="s">
        <v>305</v>
      </c>
      <c r="M47" s="13" t="s">
        <v>306</v>
      </c>
      <c r="N47" s="51" t="s">
        <v>112</v>
      </c>
      <c r="O47" s="47">
        <v>0.15</v>
      </c>
      <c r="P47" s="47"/>
      <c r="Q47" s="47">
        <f t="shared" si="5"/>
        <v>0</v>
      </c>
      <c r="R47" s="49">
        <f t="shared" si="1"/>
        <v>0</v>
      </c>
      <c r="S47" s="47" t="s">
        <v>31</v>
      </c>
      <c r="T47" s="50">
        <f>SUM(R47:R55)%</f>
        <v>0</v>
      </c>
      <c r="U47" s="17"/>
      <c r="V47" s="17"/>
      <c r="W47" s="17"/>
      <c r="X47" s="17"/>
      <c r="Y47" s="17"/>
      <c r="Z47" s="17"/>
      <c r="AA47" s="17"/>
      <c r="AB47" s="17"/>
      <c r="AC47" s="17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</row>
    <row r="48" spans="1:48" s="19" customFormat="1" ht="21.6" x14ac:dyDescent="0.2">
      <c r="A48" s="41">
        <v>2116</v>
      </c>
      <c r="B48" s="42" t="s">
        <v>20</v>
      </c>
      <c r="C48" s="43" t="s">
        <v>21</v>
      </c>
      <c r="D48" s="44" t="s">
        <v>457</v>
      </c>
      <c r="E48" s="42" t="s">
        <v>458</v>
      </c>
      <c r="F48" s="42" t="s">
        <v>303</v>
      </c>
      <c r="G48" s="42" t="s">
        <v>99</v>
      </c>
      <c r="H48" s="45" t="s">
        <v>448</v>
      </c>
      <c r="I48" s="46" t="s">
        <v>27</v>
      </c>
      <c r="J48" s="47">
        <v>0.7</v>
      </c>
      <c r="K48" s="55" t="s">
        <v>307</v>
      </c>
      <c r="L48" s="63" t="s">
        <v>308</v>
      </c>
      <c r="M48" s="55" t="s">
        <v>309</v>
      </c>
      <c r="N48" s="51" t="s">
        <v>310</v>
      </c>
      <c r="O48" s="47">
        <v>0.15</v>
      </c>
      <c r="P48" s="52"/>
      <c r="Q48" s="47">
        <f>ROUND(IF(OR(N48="",P48=""),0,IF(AND(N48=0,P48=0),1,IF(S48="+",P48/N48,N48/P48))),2)</f>
        <v>0</v>
      </c>
      <c r="R48" s="49">
        <f t="shared" si="1"/>
        <v>0</v>
      </c>
      <c r="S48" s="47" t="s">
        <v>36</v>
      </c>
      <c r="T48" s="47"/>
      <c r="U48" s="17"/>
      <c r="V48" s="17"/>
      <c r="W48" s="17"/>
      <c r="X48" s="17"/>
      <c r="Y48" s="17"/>
      <c r="Z48" s="17"/>
      <c r="AA48" s="17"/>
      <c r="AB48" s="17"/>
      <c r="AC48" s="17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9" customFormat="1" ht="21.6" x14ac:dyDescent="0.2">
      <c r="A49" s="41">
        <v>2117</v>
      </c>
      <c r="B49" s="42" t="s">
        <v>20</v>
      </c>
      <c r="C49" s="43" t="s">
        <v>21</v>
      </c>
      <c r="D49" s="44" t="s">
        <v>457</v>
      </c>
      <c r="E49" s="42" t="s">
        <v>458</v>
      </c>
      <c r="F49" s="42" t="s">
        <v>303</v>
      </c>
      <c r="G49" s="42" t="s">
        <v>99</v>
      </c>
      <c r="H49" s="45" t="s">
        <v>448</v>
      </c>
      <c r="I49" s="46" t="s">
        <v>27</v>
      </c>
      <c r="J49" s="47">
        <v>0.7</v>
      </c>
      <c r="K49" s="55" t="s">
        <v>311</v>
      </c>
      <c r="L49" s="63" t="s">
        <v>312</v>
      </c>
      <c r="M49" s="55" t="s">
        <v>313</v>
      </c>
      <c r="N49" s="53">
        <v>1</v>
      </c>
      <c r="O49" s="47">
        <v>0.1</v>
      </c>
      <c r="P49" s="52"/>
      <c r="Q49" s="47">
        <f t="shared" ref="Q49:Q56" si="6">ROUND(IF(OR(N49="",P49=""),0,IF(AND(N49=0,P49=0),1,IF(S49="+",P49/N49,N49/P49))),2)</f>
        <v>0</v>
      </c>
      <c r="R49" s="49">
        <f t="shared" si="1"/>
        <v>0</v>
      </c>
      <c r="S49" s="47" t="s">
        <v>31</v>
      </c>
      <c r="T49" s="47"/>
      <c r="U49" s="17"/>
      <c r="V49" s="17"/>
      <c r="W49" s="17"/>
      <c r="X49" s="17"/>
      <c r="Y49" s="17"/>
      <c r="Z49" s="17"/>
      <c r="AA49" s="17"/>
      <c r="AB49" s="17"/>
      <c r="AC49" s="17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</row>
    <row r="50" spans="1:48" s="19" customFormat="1" ht="21.6" x14ac:dyDescent="0.2">
      <c r="A50" s="41">
        <v>2118</v>
      </c>
      <c r="B50" s="42" t="s">
        <v>20</v>
      </c>
      <c r="C50" s="43" t="s">
        <v>21</v>
      </c>
      <c r="D50" s="44" t="s">
        <v>457</v>
      </c>
      <c r="E50" s="42" t="s">
        <v>458</v>
      </c>
      <c r="F50" s="42" t="s">
        <v>303</v>
      </c>
      <c r="G50" s="42" t="s">
        <v>99</v>
      </c>
      <c r="H50" s="45" t="s">
        <v>448</v>
      </c>
      <c r="I50" s="46" t="s">
        <v>27</v>
      </c>
      <c r="J50" s="47">
        <v>0.7</v>
      </c>
      <c r="K50" s="55" t="s">
        <v>145</v>
      </c>
      <c r="L50" s="63" t="s">
        <v>314</v>
      </c>
      <c r="M50" s="55" t="s">
        <v>315</v>
      </c>
      <c r="N50" s="52" t="s">
        <v>196</v>
      </c>
      <c r="O50" s="47">
        <v>0.1</v>
      </c>
      <c r="P50" s="54"/>
      <c r="Q50" s="47">
        <f t="shared" si="6"/>
        <v>0</v>
      </c>
      <c r="R50" s="49">
        <f t="shared" si="1"/>
        <v>0</v>
      </c>
      <c r="S50" s="47" t="s">
        <v>36</v>
      </c>
      <c r="T50" s="47"/>
      <c r="U50" s="17"/>
      <c r="V50" s="17"/>
      <c r="W50" s="17"/>
      <c r="X50" s="17"/>
      <c r="Y50" s="17"/>
      <c r="Z50" s="17"/>
      <c r="AA50" s="17"/>
      <c r="AB50" s="17"/>
      <c r="AC50" s="17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9" customFormat="1" ht="21.6" x14ac:dyDescent="0.2">
      <c r="A51" s="41">
        <v>2119</v>
      </c>
      <c r="B51" s="42" t="s">
        <v>20</v>
      </c>
      <c r="C51" s="43" t="s">
        <v>21</v>
      </c>
      <c r="D51" s="44" t="s">
        <v>457</v>
      </c>
      <c r="E51" s="42" t="s">
        <v>458</v>
      </c>
      <c r="F51" s="42" t="s">
        <v>303</v>
      </c>
      <c r="G51" s="42" t="s">
        <v>99</v>
      </c>
      <c r="H51" s="45" t="s">
        <v>448</v>
      </c>
      <c r="I51" s="46" t="s">
        <v>27</v>
      </c>
      <c r="J51" s="47">
        <v>0.7</v>
      </c>
      <c r="K51" s="55" t="s">
        <v>84</v>
      </c>
      <c r="L51" s="63" t="s">
        <v>316</v>
      </c>
      <c r="M51" s="55" t="s">
        <v>317</v>
      </c>
      <c r="N51" s="55" t="s">
        <v>196</v>
      </c>
      <c r="O51" s="47">
        <v>0.1</v>
      </c>
      <c r="P51" s="56"/>
      <c r="Q51" s="47">
        <f t="shared" si="6"/>
        <v>0</v>
      </c>
      <c r="R51" s="49">
        <f t="shared" si="1"/>
        <v>0</v>
      </c>
      <c r="S51" s="47" t="s">
        <v>36</v>
      </c>
      <c r="T51" s="47"/>
      <c r="U51" s="17"/>
      <c r="V51" s="17"/>
      <c r="W51" s="17"/>
      <c r="X51" s="17"/>
      <c r="Y51" s="17"/>
      <c r="Z51" s="17"/>
      <c r="AA51" s="17"/>
      <c r="AB51" s="17"/>
      <c r="AC51" s="17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</row>
    <row r="52" spans="1:48" s="19" customFormat="1" ht="21.6" x14ac:dyDescent="0.2">
      <c r="A52" s="41">
        <v>2120</v>
      </c>
      <c r="B52" s="42" t="s">
        <v>20</v>
      </c>
      <c r="C52" s="43" t="s">
        <v>21</v>
      </c>
      <c r="D52" s="44" t="s">
        <v>457</v>
      </c>
      <c r="E52" s="42" t="s">
        <v>458</v>
      </c>
      <c r="F52" s="42" t="s">
        <v>303</v>
      </c>
      <c r="G52" s="42" t="s">
        <v>99</v>
      </c>
      <c r="H52" s="45" t="s">
        <v>448</v>
      </c>
      <c r="I52" s="57" t="s">
        <v>27</v>
      </c>
      <c r="J52" s="47">
        <v>0.7</v>
      </c>
      <c r="K52" s="57" t="s">
        <v>318</v>
      </c>
      <c r="L52" s="64" t="s">
        <v>319</v>
      </c>
      <c r="M52" s="57" t="s">
        <v>320</v>
      </c>
      <c r="N52" s="59" t="s">
        <v>127</v>
      </c>
      <c r="O52" s="60">
        <v>0.1</v>
      </c>
      <c r="P52" s="56"/>
      <c r="Q52" s="60">
        <f t="shared" si="6"/>
        <v>0</v>
      </c>
      <c r="R52" s="61">
        <f t="shared" si="1"/>
        <v>0</v>
      </c>
      <c r="S52" s="60" t="s">
        <v>31</v>
      </c>
      <c r="T52" s="60"/>
      <c r="U52" s="17"/>
      <c r="V52" s="17"/>
      <c r="W52" s="17"/>
      <c r="X52" s="17"/>
      <c r="Y52" s="17"/>
      <c r="Z52" s="17"/>
      <c r="AA52" s="17"/>
      <c r="AB52" s="17"/>
      <c r="AC52" s="17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</row>
    <row r="53" spans="1:48" s="19" customFormat="1" ht="21.6" x14ac:dyDescent="0.2">
      <c r="A53" s="41">
        <v>2121</v>
      </c>
      <c r="B53" s="42" t="s">
        <v>20</v>
      </c>
      <c r="C53" s="43" t="s">
        <v>21</v>
      </c>
      <c r="D53" s="44" t="s">
        <v>457</v>
      </c>
      <c r="E53" s="42" t="s">
        <v>458</v>
      </c>
      <c r="F53" s="42" t="s">
        <v>303</v>
      </c>
      <c r="G53" s="42" t="s">
        <v>99</v>
      </c>
      <c r="H53" s="45" t="s">
        <v>448</v>
      </c>
      <c r="I53" s="57" t="s">
        <v>27</v>
      </c>
      <c r="J53" s="47">
        <v>0.7</v>
      </c>
      <c r="K53" s="57" t="s">
        <v>321</v>
      </c>
      <c r="L53" s="64" t="s">
        <v>322</v>
      </c>
      <c r="M53" s="57" t="s">
        <v>323</v>
      </c>
      <c r="N53" s="59" t="s">
        <v>156</v>
      </c>
      <c r="O53" s="60">
        <v>0.1</v>
      </c>
      <c r="P53" s="56"/>
      <c r="Q53" s="60">
        <f t="shared" si="6"/>
        <v>0</v>
      </c>
      <c r="R53" s="61">
        <f t="shared" si="1"/>
        <v>0</v>
      </c>
      <c r="S53" s="60" t="s">
        <v>31</v>
      </c>
      <c r="T53" s="60"/>
      <c r="U53" s="17"/>
      <c r="V53" s="17"/>
      <c r="W53" s="17"/>
      <c r="X53" s="17"/>
      <c r="Y53" s="17"/>
      <c r="Z53" s="17"/>
      <c r="AA53" s="17"/>
      <c r="AB53" s="17"/>
      <c r="AC53" s="17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</row>
    <row r="54" spans="1:48" s="19" customFormat="1" ht="21.6" x14ac:dyDescent="0.2">
      <c r="A54" s="41">
        <v>2122</v>
      </c>
      <c r="B54" s="42" t="s">
        <v>20</v>
      </c>
      <c r="C54" s="43" t="s">
        <v>21</v>
      </c>
      <c r="D54" s="44" t="s">
        <v>457</v>
      </c>
      <c r="E54" s="42" t="s">
        <v>458</v>
      </c>
      <c r="F54" s="42" t="s">
        <v>303</v>
      </c>
      <c r="G54" s="42" t="s">
        <v>99</v>
      </c>
      <c r="H54" s="45" t="s">
        <v>448</v>
      </c>
      <c r="I54" s="57" t="s">
        <v>27</v>
      </c>
      <c r="J54" s="47">
        <v>0.7</v>
      </c>
      <c r="K54" s="57" t="s">
        <v>324</v>
      </c>
      <c r="L54" s="64" t="s">
        <v>325</v>
      </c>
      <c r="M54" s="25" t="s">
        <v>326</v>
      </c>
      <c r="N54" s="62" t="s">
        <v>127</v>
      </c>
      <c r="O54" s="60">
        <v>0.1</v>
      </c>
      <c r="P54" s="62"/>
      <c r="Q54" s="60">
        <f t="shared" si="6"/>
        <v>0</v>
      </c>
      <c r="R54" s="61">
        <f t="shared" si="1"/>
        <v>0</v>
      </c>
      <c r="S54" s="60" t="s">
        <v>31</v>
      </c>
      <c r="T54" s="60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</row>
    <row r="55" spans="1:48" s="19" customFormat="1" ht="21.6" x14ac:dyDescent="0.2">
      <c r="A55" s="41">
        <v>2123</v>
      </c>
      <c r="B55" s="42" t="s">
        <v>20</v>
      </c>
      <c r="C55" s="43" t="s">
        <v>21</v>
      </c>
      <c r="D55" s="44" t="s">
        <v>457</v>
      </c>
      <c r="E55" s="42" t="s">
        <v>458</v>
      </c>
      <c r="F55" s="42" t="s">
        <v>303</v>
      </c>
      <c r="G55" s="42" t="s">
        <v>99</v>
      </c>
      <c r="H55" s="45" t="s">
        <v>448</v>
      </c>
      <c r="I55" s="57" t="s">
        <v>59</v>
      </c>
      <c r="J55" s="58">
        <v>0.3</v>
      </c>
      <c r="K55" s="57" t="s">
        <v>327</v>
      </c>
      <c r="L55" s="64" t="s">
        <v>328</v>
      </c>
      <c r="M55" s="25" t="s">
        <v>329</v>
      </c>
      <c r="N55" s="62" t="s">
        <v>330</v>
      </c>
      <c r="O55" s="60">
        <v>0.1</v>
      </c>
      <c r="P55" s="62"/>
      <c r="Q55" s="60">
        <f t="shared" si="6"/>
        <v>0</v>
      </c>
      <c r="R55" s="61">
        <f t="shared" si="1"/>
        <v>0</v>
      </c>
      <c r="S55" s="60" t="s">
        <v>31</v>
      </c>
      <c r="T55" s="60"/>
      <c r="U55" s="17"/>
      <c r="V55" s="17"/>
      <c r="W55" s="17"/>
      <c r="X55" s="17"/>
      <c r="Y55" s="17"/>
      <c r="Z55" s="17"/>
      <c r="AA55" s="17"/>
      <c r="AB55" s="17"/>
      <c r="AC55" s="17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</row>
    <row r="56" spans="1:48" s="19" customFormat="1" ht="21.6" x14ac:dyDescent="0.2">
      <c r="A56" s="41">
        <v>2124</v>
      </c>
      <c r="B56" s="42" t="s">
        <v>20</v>
      </c>
      <c r="C56" s="43" t="s">
        <v>21</v>
      </c>
      <c r="D56" s="44" t="s">
        <v>459</v>
      </c>
      <c r="E56" s="42" t="s">
        <v>444</v>
      </c>
      <c r="F56" s="42" t="s">
        <v>303</v>
      </c>
      <c r="G56" s="42" t="s">
        <v>99</v>
      </c>
      <c r="H56" s="45" t="s">
        <v>448</v>
      </c>
      <c r="I56" s="46" t="s">
        <v>27</v>
      </c>
      <c r="J56" s="47">
        <v>0.7</v>
      </c>
      <c r="K56" s="55" t="s">
        <v>66</v>
      </c>
      <c r="L56" s="63" t="s">
        <v>305</v>
      </c>
      <c r="M56" s="13" t="s">
        <v>306</v>
      </c>
      <c r="N56" s="51" t="s">
        <v>112</v>
      </c>
      <c r="O56" s="47">
        <v>0.15</v>
      </c>
      <c r="P56" s="47"/>
      <c r="Q56" s="47">
        <f t="shared" si="6"/>
        <v>0</v>
      </c>
      <c r="R56" s="49">
        <f t="shared" si="1"/>
        <v>0</v>
      </c>
      <c r="S56" s="47" t="s">
        <v>31</v>
      </c>
      <c r="T56" s="50">
        <f>SUM(R56:R64)%</f>
        <v>0</v>
      </c>
      <c r="U56" s="17"/>
      <c r="V56" s="17"/>
      <c r="W56" s="17"/>
      <c r="X56" s="17"/>
      <c r="Y56" s="17"/>
      <c r="Z56" s="17"/>
      <c r="AA56" s="17"/>
      <c r="AB56" s="17"/>
      <c r="AC56" s="17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</row>
    <row r="57" spans="1:48" s="19" customFormat="1" ht="21.6" x14ac:dyDescent="0.2">
      <c r="A57" s="41">
        <v>2125</v>
      </c>
      <c r="B57" s="42" t="s">
        <v>20</v>
      </c>
      <c r="C57" s="43" t="s">
        <v>21</v>
      </c>
      <c r="D57" s="44" t="s">
        <v>459</v>
      </c>
      <c r="E57" s="42" t="s">
        <v>444</v>
      </c>
      <c r="F57" s="42" t="s">
        <v>303</v>
      </c>
      <c r="G57" s="42" t="s">
        <v>99</v>
      </c>
      <c r="H57" s="45" t="s">
        <v>448</v>
      </c>
      <c r="I57" s="46" t="s">
        <v>27</v>
      </c>
      <c r="J57" s="47">
        <v>0.7</v>
      </c>
      <c r="K57" s="55" t="s">
        <v>307</v>
      </c>
      <c r="L57" s="63" t="s">
        <v>308</v>
      </c>
      <c r="M57" s="55" t="s">
        <v>309</v>
      </c>
      <c r="N57" s="51" t="s">
        <v>310</v>
      </c>
      <c r="O57" s="47">
        <v>0.15</v>
      </c>
      <c r="P57" s="52"/>
      <c r="Q57" s="47">
        <f>ROUND(IF(OR(N57="",P57=""),0,IF(AND(N57=0,P57=0),1,IF(S57="+",P57/N57,N57/P57))),2)</f>
        <v>0</v>
      </c>
      <c r="R57" s="49">
        <f t="shared" si="1"/>
        <v>0</v>
      </c>
      <c r="S57" s="47" t="s">
        <v>36</v>
      </c>
      <c r="T57" s="47"/>
      <c r="U57" s="17"/>
      <c r="V57" s="17"/>
      <c r="W57" s="17"/>
      <c r="X57" s="17"/>
      <c r="Y57" s="17"/>
      <c r="Z57" s="17"/>
      <c r="AA57" s="17"/>
      <c r="AB57" s="17"/>
      <c r="AC57" s="17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</row>
    <row r="58" spans="1:48" s="19" customFormat="1" ht="21.6" x14ac:dyDescent="0.2">
      <c r="A58" s="41">
        <v>2126</v>
      </c>
      <c r="B58" s="42" t="s">
        <v>20</v>
      </c>
      <c r="C58" s="43" t="s">
        <v>21</v>
      </c>
      <c r="D58" s="44" t="s">
        <v>459</v>
      </c>
      <c r="E58" s="42" t="s">
        <v>444</v>
      </c>
      <c r="F58" s="42" t="s">
        <v>303</v>
      </c>
      <c r="G58" s="42" t="s">
        <v>99</v>
      </c>
      <c r="H58" s="45" t="s">
        <v>448</v>
      </c>
      <c r="I58" s="46" t="s">
        <v>27</v>
      </c>
      <c r="J58" s="47">
        <v>0.7</v>
      </c>
      <c r="K58" s="55" t="s">
        <v>311</v>
      </c>
      <c r="L58" s="63" t="s">
        <v>312</v>
      </c>
      <c r="M58" s="55" t="s">
        <v>313</v>
      </c>
      <c r="N58" s="53">
        <v>1</v>
      </c>
      <c r="O58" s="47">
        <v>0.1</v>
      </c>
      <c r="P58" s="52"/>
      <c r="Q58" s="47">
        <f t="shared" ref="Q58:Q65" si="7">ROUND(IF(OR(N58="",P58=""),0,IF(AND(N58=0,P58=0),1,IF(S58="+",P58/N58,N58/P58))),2)</f>
        <v>0</v>
      </c>
      <c r="R58" s="49">
        <f t="shared" si="1"/>
        <v>0</v>
      </c>
      <c r="S58" s="47" t="s">
        <v>31</v>
      </c>
      <c r="T58" s="47"/>
      <c r="U58" s="17"/>
      <c r="V58" s="17"/>
      <c r="W58" s="17"/>
      <c r="X58" s="17"/>
      <c r="Y58" s="17"/>
      <c r="Z58" s="17"/>
      <c r="AA58" s="17"/>
      <c r="AB58" s="17"/>
      <c r="AC58" s="17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</row>
    <row r="59" spans="1:48" s="19" customFormat="1" ht="21.6" x14ac:dyDescent="0.2">
      <c r="A59" s="41">
        <v>2127</v>
      </c>
      <c r="B59" s="42" t="s">
        <v>20</v>
      </c>
      <c r="C59" s="43" t="s">
        <v>21</v>
      </c>
      <c r="D59" s="44" t="s">
        <v>459</v>
      </c>
      <c r="E59" s="42" t="s">
        <v>444</v>
      </c>
      <c r="F59" s="42" t="s">
        <v>303</v>
      </c>
      <c r="G59" s="42" t="s">
        <v>99</v>
      </c>
      <c r="H59" s="45" t="s">
        <v>448</v>
      </c>
      <c r="I59" s="46" t="s">
        <v>27</v>
      </c>
      <c r="J59" s="47">
        <v>0.7</v>
      </c>
      <c r="K59" s="55" t="s">
        <v>145</v>
      </c>
      <c r="L59" s="63" t="s">
        <v>314</v>
      </c>
      <c r="M59" s="55" t="s">
        <v>315</v>
      </c>
      <c r="N59" s="52" t="s">
        <v>196</v>
      </c>
      <c r="O59" s="47">
        <v>0.1</v>
      </c>
      <c r="P59" s="54"/>
      <c r="Q59" s="47">
        <f t="shared" si="7"/>
        <v>0</v>
      </c>
      <c r="R59" s="49">
        <f t="shared" si="1"/>
        <v>0</v>
      </c>
      <c r="S59" s="47" t="s">
        <v>36</v>
      </c>
      <c r="T59" s="47"/>
      <c r="U59" s="17"/>
      <c r="V59" s="17"/>
      <c r="W59" s="17"/>
      <c r="X59" s="17"/>
      <c r="Y59" s="17"/>
      <c r="Z59" s="17"/>
      <c r="AA59" s="17"/>
      <c r="AB59" s="17"/>
      <c r="AC59" s="17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</row>
    <row r="60" spans="1:48" s="19" customFormat="1" ht="21.6" x14ac:dyDescent="0.2">
      <c r="A60" s="41">
        <v>2128</v>
      </c>
      <c r="B60" s="42" t="s">
        <v>20</v>
      </c>
      <c r="C60" s="43" t="s">
        <v>21</v>
      </c>
      <c r="D60" s="44" t="s">
        <v>459</v>
      </c>
      <c r="E60" s="42" t="s">
        <v>444</v>
      </c>
      <c r="F60" s="42" t="s">
        <v>303</v>
      </c>
      <c r="G60" s="42" t="s">
        <v>99</v>
      </c>
      <c r="H60" s="45" t="s">
        <v>448</v>
      </c>
      <c r="I60" s="46" t="s">
        <v>27</v>
      </c>
      <c r="J60" s="47">
        <v>0.7</v>
      </c>
      <c r="K60" s="55" t="s">
        <v>84</v>
      </c>
      <c r="L60" s="63" t="s">
        <v>316</v>
      </c>
      <c r="M60" s="55" t="s">
        <v>317</v>
      </c>
      <c r="N60" s="55" t="s">
        <v>196</v>
      </c>
      <c r="O60" s="47">
        <v>0.1</v>
      </c>
      <c r="P60" s="56"/>
      <c r="Q60" s="47">
        <f t="shared" si="7"/>
        <v>0</v>
      </c>
      <c r="R60" s="49">
        <f t="shared" si="1"/>
        <v>0</v>
      </c>
      <c r="S60" s="47" t="s">
        <v>36</v>
      </c>
      <c r="T60" s="47"/>
      <c r="U60" s="17"/>
      <c r="V60" s="17"/>
      <c r="W60" s="17"/>
      <c r="X60" s="17"/>
      <c r="Y60" s="17"/>
      <c r="Z60" s="17"/>
      <c r="AA60" s="17"/>
      <c r="AB60" s="17"/>
      <c r="AC60" s="17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</row>
    <row r="61" spans="1:48" s="19" customFormat="1" ht="21.6" x14ac:dyDescent="0.2">
      <c r="A61" s="41">
        <v>2129</v>
      </c>
      <c r="B61" s="42" t="s">
        <v>20</v>
      </c>
      <c r="C61" s="43" t="s">
        <v>21</v>
      </c>
      <c r="D61" s="44" t="s">
        <v>459</v>
      </c>
      <c r="E61" s="42" t="s">
        <v>444</v>
      </c>
      <c r="F61" s="42" t="s">
        <v>303</v>
      </c>
      <c r="G61" s="42" t="s">
        <v>99</v>
      </c>
      <c r="H61" s="45" t="s">
        <v>448</v>
      </c>
      <c r="I61" s="57" t="s">
        <v>27</v>
      </c>
      <c r="J61" s="47">
        <v>0.7</v>
      </c>
      <c r="K61" s="57" t="s">
        <v>318</v>
      </c>
      <c r="L61" s="64" t="s">
        <v>319</v>
      </c>
      <c r="M61" s="57" t="s">
        <v>320</v>
      </c>
      <c r="N61" s="59" t="s">
        <v>127</v>
      </c>
      <c r="O61" s="60">
        <v>0.1</v>
      </c>
      <c r="P61" s="56"/>
      <c r="Q61" s="60">
        <f t="shared" si="7"/>
        <v>0</v>
      </c>
      <c r="R61" s="61">
        <f t="shared" si="1"/>
        <v>0</v>
      </c>
      <c r="S61" s="60" t="s">
        <v>31</v>
      </c>
      <c r="T61" s="60"/>
      <c r="U61" s="17"/>
      <c r="V61" s="17"/>
      <c r="W61" s="17"/>
      <c r="X61" s="17"/>
      <c r="Y61" s="17"/>
      <c r="Z61" s="17"/>
      <c r="AA61" s="17"/>
      <c r="AB61" s="17"/>
      <c r="AC61" s="17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</row>
    <row r="62" spans="1:48" s="19" customFormat="1" ht="21.6" x14ac:dyDescent="0.2">
      <c r="A62" s="41">
        <v>2130</v>
      </c>
      <c r="B62" s="42" t="s">
        <v>20</v>
      </c>
      <c r="C62" s="43" t="s">
        <v>21</v>
      </c>
      <c r="D62" s="44" t="s">
        <v>459</v>
      </c>
      <c r="E62" s="42" t="s">
        <v>444</v>
      </c>
      <c r="F62" s="42" t="s">
        <v>303</v>
      </c>
      <c r="G62" s="42" t="s">
        <v>99</v>
      </c>
      <c r="H62" s="45" t="s">
        <v>448</v>
      </c>
      <c r="I62" s="57" t="s">
        <v>27</v>
      </c>
      <c r="J62" s="47">
        <v>0.7</v>
      </c>
      <c r="K62" s="57" t="s">
        <v>321</v>
      </c>
      <c r="L62" s="64" t="s">
        <v>322</v>
      </c>
      <c r="M62" s="57" t="s">
        <v>323</v>
      </c>
      <c r="N62" s="59" t="s">
        <v>156</v>
      </c>
      <c r="O62" s="60">
        <v>0.1</v>
      </c>
      <c r="P62" s="56"/>
      <c r="Q62" s="60">
        <f t="shared" si="7"/>
        <v>0</v>
      </c>
      <c r="R62" s="61">
        <f t="shared" si="1"/>
        <v>0</v>
      </c>
      <c r="S62" s="60" t="s">
        <v>31</v>
      </c>
      <c r="T62" s="60"/>
      <c r="U62" s="17"/>
      <c r="V62" s="17"/>
      <c r="W62" s="17"/>
      <c r="X62" s="17"/>
      <c r="Y62" s="17"/>
      <c r="Z62" s="17"/>
      <c r="AA62" s="17"/>
      <c r="AB62" s="17"/>
      <c r="AC62" s="17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</row>
    <row r="63" spans="1:48" s="19" customFormat="1" ht="21.6" x14ac:dyDescent="0.2">
      <c r="A63" s="41">
        <v>2131</v>
      </c>
      <c r="B63" s="42" t="s">
        <v>20</v>
      </c>
      <c r="C63" s="43" t="s">
        <v>21</v>
      </c>
      <c r="D63" s="44" t="s">
        <v>459</v>
      </c>
      <c r="E63" s="42" t="s">
        <v>444</v>
      </c>
      <c r="F63" s="42" t="s">
        <v>303</v>
      </c>
      <c r="G63" s="42" t="s">
        <v>99</v>
      </c>
      <c r="H63" s="45" t="s">
        <v>448</v>
      </c>
      <c r="I63" s="57" t="s">
        <v>27</v>
      </c>
      <c r="J63" s="47">
        <v>0.7</v>
      </c>
      <c r="K63" s="57" t="s">
        <v>324</v>
      </c>
      <c r="L63" s="64" t="s">
        <v>325</v>
      </c>
      <c r="M63" s="25" t="s">
        <v>326</v>
      </c>
      <c r="N63" s="62" t="s">
        <v>127</v>
      </c>
      <c r="O63" s="60">
        <v>0.1</v>
      </c>
      <c r="P63" s="62"/>
      <c r="Q63" s="60">
        <f t="shared" si="7"/>
        <v>0</v>
      </c>
      <c r="R63" s="61">
        <f t="shared" si="1"/>
        <v>0</v>
      </c>
      <c r="S63" s="60" t="s">
        <v>31</v>
      </c>
      <c r="T63" s="60"/>
      <c r="U63" s="17"/>
      <c r="V63" s="17"/>
      <c r="W63" s="17"/>
      <c r="X63" s="17"/>
      <c r="Y63" s="17"/>
      <c r="Z63" s="17"/>
      <c r="AA63" s="17"/>
      <c r="AB63" s="17"/>
      <c r="AC63" s="17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</row>
    <row r="64" spans="1:48" s="19" customFormat="1" ht="21.6" x14ac:dyDescent="0.2">
      <c r="A64" s="41">
        <v>2132</v>
      </c>
      <c r="B64" s="42" t="s">
        <v>20</v>
      </c>
      <c r="C64" s="43" t="s">
        <v>21</v>
      </c>
      <c r="D64" s="44" t="s">
        <v>459</v>
      </c>
      <c r="E64" s="42" t="s">
        <v>444</v>
      </c>
      <c r="F64" s="42" t="s">
        <v>303</v>
      </c>
      <c r="G64" s="42" t="s">
        <v>99</v>
      </c>
      <c r="H64" s="45" t="s">
        <v>448</v>
      </c>
      <c r="I64" s="57" t="s">
        <v>59</v>
      </c>
      <c r="J64" s="58">
        <v>0.3</v>
      </c>
      <c r="K64" s="57" t="s">
        <v>327</v>
      </c>
      <c r="L64" s="64" t="s">
        <v>328</v>
      </c>
      <c r="M64" s="25" t="s">
        <v>329</v>
      </c>
      <c r="N64" s="62" t="s">
        <v>330</v>
      </c>
      <c r="O64" s="60">
        <v>0.1</v>
      </c>
      <c r="P64" s="62"/>
      <c r="Q64" s="60">
        <f t="shared" si="7"/>
        <v>0</v>
      </c>
      <c r="R64" s="61">
        <f t="shared" si="1"/>
        <v>0</v>
      </c>
      <c r="S64" s="60" t="s">
        <v>31</v>
      </c>
      <c r="T64" s="60"/>
      <c r="U64" s="17"/>
      <c r="V64" s="17"/>
      <c r="W64" s="17"/>
      <c r="X64" s="17"/>
      <c r="Y64" s="17"/>
      <c r="Z64" s="17"/>
      <c r="AA64" s="17"/>
      <c r="AB64" s="17"/>
      <c r="AC64" s="17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</row>
    <row r="65" spans="1:48" s="19" customFormat="1" ht="21.6" x14ac:dyDescent="0.2">
      <c r="A65" s="41">
        <v>2133</v>
      </c>
      <c r="B65" s="42" t="s">
        <v>20</v>
      </c>
      <c r="C65" s="43" t="s">
        <v>21</v>
      </c>
      <c r="D65" s="44" t="s">
        <v>460</v>
      </c>
      <c r="E65" s="42" t="s">
        <v>461</v>
      </c>
      <c r="F65" s="42" t="s">
        <v>335</v>
      </c>
      <c r="G65" s="42" t="s">
        <v>99</v>
      </c>
      <c r="H65" s="45" t="s">
        <v>448</v>
      </c>
      <c r="I65" s="46" t="s">
        <v>27</v>
      </c>
      <c r="J65" s="47">
        <v>0.7</v>
      </c>
      <c r="K65" s="55" t="s">
        <v>66</v>
      </c>
      <c r="L65" s="63" t="s">
        <v>305</v>
      </c>
      <c r="M65" s="13" t="s">
        <v>306</v>
      </c>
      <c r="N65" s="51" t="s">
        <v>112</v>
      </c>
      <c r="O65" s="47">
        <v>0.15</v>
      </c>
      <c r="P65" s="47"/>
      <c r="Q65" s="47">
        <f t="shared" si="7"/>
        <v>0</v>
      </c>
      <c r="R65" s="49">
        <f t="shared" si="1"/>
        <v>0</v>
      </c>
      <c r="S65" s="47" t="s">
        <v>31</v>
      </c>
      <c r="T65" s="50">
        <f>SUM(R65:R73)%</f>
        <v>0</v>
      </c>
      <c r="U65" s="17"/>
      <c r="V65" s="17"/>
      <c r="W65" s="17"/>
      <c r="X65" s="17"/>
      <c r="Y65" s="17"/>
      <c r="Z65" s="17"/>
      <c r="AA65" s="17"/>
      <c r="AB65" s="17"/>
      <c r="AC65" s="17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</row>
    <row r="66" spans="1:48" s="19" customFormat="1" ht="21.6" x14ac:dyDescent="0.2">
      <c r="A66" s="41">
        <v>2134</v>
      </c>
      <c r="B66" s="42" t="s">
        <v>20</v>
      </c>
      <c r="C66" s="43" t="s">
        <v>21</v>
      </c>
      <c r="D66" s="44" t="s">
        <v>460</v>
      </c>
      <c r="E66" s="42" t="s">
        <v>461</v>
      </c>
      <c r="F66" s="42" t="s">
        <v>335</v>
      </c>
      <c r="G66" s="42" t="s">
        <v>99</v>
      </c>
      <c r="H66" s="45" t="s">
        <v>448</v>
      </c>
      <c r="I66" s="46" t="s">
        <v>27</v>
      </c>
      <c r="J66" s="47">
        <v>0.7</v>
      </c>
      <c r="K66" s="55" t="s">
        <v>307</v>
      </c>
      <c r="L66" s="63" t="s">
        <v>308</v>
      </c>
      <c r="M66" s="55" t="s">
        <v>309</v>
      </c>
      <c r="N66" s="51" t="s">
        <v>310</v>
      </c>
      <c r="O66" s="47">
        <v>0.15</v>
      </c>
      <c r="P66" s="52"/>
      <c r="Q66" s="47">
        <f>ROUND(IF(OR(N66="",P66=""),0,IF(AND(N66=0,P66=0),1,IF(S66="+",P66/N66,N66/P66))),2)</f>
        <v>0</v>
      </c>
      <c r="R66" s="49">
        <f t="shared" ref="R66:R109" si="8">IF(AND(Q66&gt;=60%,Q66&lt;100%),Q66*((O66*J66)),IF(Q66=100%,((O66*J66)*Q66)*100%,IF(Q66&gt;100%,((J66*O66)*100%)*100%,0)))*100</f>
        <v>0</v>
      </c>
      <c r="S66" s="47" t="s">
        <v>36</v>
      </c>
      <c r="T66" s="47"/>
      <c r="U66" s="17"/>
      <c r="V66" s="17"/>
      <c r="W66" s="17"/>
      <c r="X66" s="17"/>
      <c r="Y66" s="17"/>
      <c r="Z66" s="17"/>
      <c r="AA66" s="17"/>
      <c r="AB66" s="17"/>
      <c r="AC66" s="17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</row>
    <row r="67" spans="1:48" s="19" customFormat="1" ht="21.6" x14ac:dyDescent="0.2">
      <c r="A67" s="41">
        <v>2135</v>
      </c>
      <c r="B67" s="42" t="s">
        <v>20</v>
      </c>
      <c r="C67" s="43" t="s">
        <v>21</v>
      </c>
      <c r="D67" s="44" t="s">
        <v>460</v>
      </c>
      <c r="E67" s="42" t="s">
        <v>461</v>
      </c>
      <c r="F67" s="42" t="s">
        <v>335</v>
      </c>
      <c r="G67" s="42" t="s">
        <v>99</v>
      </c>
      <c r="H67" s="45" t="s">
        <v>448</v>
      </c>
      <c r="I67" s="46" t="s">
        <v>27</v>
      </c>
      <c r="J67" s="47">
        <v>0.7</v>
      </c>
      <c r="K67" s="55" t="s">
        <v>311</v>
      </c>
      <c r="L67" s="63" t="s">
        <v>312</v>
      </c>
      <c r="M67" s="55" t="s">
        <v>313</v>
      </c>
      <c r="N67" s="53">
        <v>1</v>
      </c>
      <c r="O67" s="47">
        <v>0.1</v>
      </c>
      <c r="P67" s="52"/>
      <c r="Q67" s="47">
        <f t="shared" ref="Q67:Q74" si="9">ROUND(IF(OR(N67="",P67=""),0,IF(AND(N67=0,P67=0),1,IF(S67="+",P67/N67,N67/P67))),2)</f>
        <v>0</v>
      </c>
      <c r="R67" s="49">
        <f t="shared" si="8"/>
        <v>0</v>
      </c>
      <c r="S67" s="47" t="s">
        <v>31</v>
      </c>
      <c r="T67" s="47"/>
      <c r="U67" s="17"/>
      <c r="V67" s="17"/>
      <c r="W67" s="17"/>
      <c r="X67" s="17"/>
      <c r="Y67" s="17"/>
      <c r="Z67" s="17"/>
      <c r="AA67" s="17"/>
      <c r="AB67" s="17"/>
      <c r="AC67" s="17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</row>
    <row r="68" spans="1:48" s="19" customFormat="1" ht="21.6" x14ac:dyDescent="0.2">
      <c r="A68" s="41">
        <v>2136</v>
      </c>
      <c r="B68" s="42" t="s">
        <v>20</v>
      </c>
      <c r="C68" s="43" t="s">
        <v>21</v>
      </c>
      <c r="D68" s="44" t="s">
        <v>460</v>
      </c>
      <c r="E68" s="42" t="s">
        <v>461</v>
      </c>
      <c r="F68" s="42" t="s">
        <v>335</v>
      </c>
      <c r="G68" s="42" t="s">
        <v>99</v>
      </c>
      <c r="H68" s="45" t="s">
        <v>448</v>
      </c>
      <c r="I68" s="46" t="s">
        <v>27</v>
      </c>
      <c r="J68" s="47">
        <v>0.7</v>
      </c>
      <c r="K68" s="55" t="s">
        <v>145</v>
      </c>
      <c r="L68" s="63" t="s">
        <v>314</v>
      </c>
      <c r="M68" s="55" t="s">
        <v>315</v>
      </c>
      <c r="N68" s="52" t="s">
        <v>196</v>
      </c>
      <c r="O68" s="47">
        <v>0.1</v>
      </c>
      <c r="P68" s="54"/>
      <c r="Q68" s="47">
        <f t="shared" si="9"/>
        <v>0</v>
      </c>
      <c r="R68" s="49">
        <f t="shared" si="8"/>
        <v>0</v>
      </c>
      <c r="S68" s="47" t="s">
        <v>36</v>
      </c>
      <c r="T68" s="47"/>
      <c r="U68" s="17"/>
      <c r="V68" s="17"/>
      <c r="W68" s="17"/>
      <c r="X68" s="17"/>
      <c r="Y68" s="17"/>
      <c r="Z68" s="17"/>
      <c r="AA68" s="17"/>
      <c r="AB68" s="17"/>
      <c r="AC68" s="17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</row>
    <row r="69" spans="1:48" s="19" customFormat="1" ht="21.6" x14ac:dyDescent="0.2">
      <c r="A69" s="41">
        <v>2137</v>
      </c>
      <c r="B69" s="42" t="s">
        <v>20</v>
      </c>
      <c r="C69" s="43" t="s">
        <v>21</v>
      </c>
      <c r="D69" s="44" t="s">
        <v>460</v>
      </c>
      <c r="E69" s="42" t="s">
        <v>461</v>
      </c>
      <c r="F69" s="42" t="s">
        <v>335</v>
      </c>
      <c r="G69" s="42" t="s">
        <v>99</v>
      </c>
      <c r="H69" s="45" t="s">
        <v>448</v>
      </c>
      <c r="I69" s="46" t="s">
        <v>27</v>
      </c>
      <c r="J69" s="47">
        <v>0.7</v>
      </c>
      <c r="K69" s="55" t="s">
        <v>84</v>
      </c>
      <c r="L69" s="63" t="s">
        <v>316</v>
      </c>
      <c r="M69" s="55" t="s">
        <v>317</v>
      </c>
      <c r="N69" s="55" t="s">
        <v>196</v>
      </c>
      <c r="O69" s="47">
        <v>0.1</v>
      </c>
      <c r="P69" s="56"/>
      <c r="Q69" s="47">
        <f t="shared" si="9"/>
        <v>0</v>
      </c>
      <c r="R69" s="49">
        <f t="shared" si="8"/>
        <v>0</v>
      </c>
      <c r="S69" s="47" t="s">
        <v>36</v>
      </c>
      <c r="T69" s="47"/>
      <c r="U69" s="17"/>
      <c r="V69" s="17"/>
      <c r="W69" s="17"/>
      <c r="X69" s="17"/>
      <c r="Y69" s="17"/>
      <c r="Z69" s="17"/>
      <c r="AA69" s="17"/>
      <c r="AB69" s="17"/>
      <c r="AC69" s="17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</row>
    <row r="70" spans="1:48" s="19" customFormat="1" ht="21.6" x14ac:dyDescent="0.2">
      <c r="A70" s="41">
        <v>2138</v>
      </c>
      <c r="B70" s="42" t="s">
        <v>20</v>
      </c>
      <c r="C70" s="43" t="s">
        <v>21</v>
      </c>
      <c r="D70" s="44" t="s">
        <v>460</v>
      </c>
      <c r="E70" s="42" t="s">
        <v>461</v>
      </c>
      <c r="F70" s="42" t="s">
        <v>335</v>
      </c>
      <c r="G70" s="42" t="s">
        <v>99</v>
      </c>
      <c r="H70" s="45" t="s">
        <v>448</v>
      </c>
      <c r="I70" s="57" t="s">
        <v>27</v>
      </c>
      <c r="J70" s="47">
        <v>0.7</v>
      </c>
      <c r="K70" s="57" t="s">
        <v>318</v>
      </c>
      <c r="L70" s="64" t="s">
        <v>319</v>
      </c>
      <c r="M70" s="57" t="s">
        <v>320</v>
      </c>
      <c r="N70" s="59" t="s">
        <v>127</v>
      </c>
      <c r="O70" s="60">
        <v>0.1</v>
      </c>
      <c r="P70" s="56"/>
      <c r="Q70" s="60">
        <f t="shared" si="9"/>
        <v>0</v>
      </c>
      <c r="R70" s="61">
        <f t="shared" si="8"/>
        <v>0</v>
      </c>
      <c r="S70" s="60" t="s">
        <v>31</v>
      </c>
      <c r="T70" s="60"/>
      <c r="U70" s="17"/>
      <c r="V70" s="17"/>
      <c r="W70" s="17"/>
      <c r="X70" s="17"/>
      <c r="Y70" s="17"/>
      <c r="Z70" s="17"/>
      <c r="AA70" s="17"/>
      <c r="AB70" s="17"/>
      <c r="AC70" s="17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</row>
    <row r="71" spans="1:48" s="19" customFormat="1" ht="21.6" x14ac:dyDescent="0.2">
      <c r="A71" s="41">
        <v>2139</v>
      </c>
      <c r="B71" s="42" t="s">
        <v>20</v>
      </c>
      <c r="C71" s="43" t="s">
        <v>21</v>
      </c>
      <c r="D71" s="44" t="s">
        <v>460</v>
      </c>
      <c r="E71" s="42" t="s">
        <v>461</v>
      </c>
      <c r="F71" s="42" t="s">
        <v>335</v>
      </c>
      <c r="G71" s="42" t="s">
        <v>99</v>
      </c>
      <c r="H71" s="45" t="s">
        <v>448</v>
      </c>
      <c r="I71" s="57" t="s">
        <v>27</v>
      </c>
      <c r="J71" s="47">
        <v>0.7</v>
      </c>
      <c r="K71" s="57" t="s">
        <v>321</v>
      </c>
      <c r="L71" s="64" t="s">
        <v>322</v>
      </c>
      <c r="M71" s="57" t="s">
        <v>323</v>
      </c>
      <c r="N71" s="59" t="s">
        <v>156</v>
      </c>
      <c r="O71" s="60">
        <v>0.1</v>
      </c>
      <c r="P71" s="56"/>
      <c r="Q71" s="60">
        <f t="shared" si="9"/>
        <v>0</v>
      </c>
      <c r="R71" s="61">
        <f t="shared" si="8"/>
        <v>0</v>
      </c>
      <c r="S71" s="60" t="s">
        <v>31</v>
      </c>
      <c r="T71" s="60"/>
      <c r="U71" s="17"/>
      <c r="V71" s="17"/>
      <c r="W71" s="17"/>
      <c r="X71" s="17"/>
      <c r="Y71" s="17"/>
      <c r="Z71" s="17"/>
      <c r="AA71" s="17"/>
      <c r="AB71" s="17"/>
      <c r="AC71" s="17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</row>
    <row r="72" spans="1:48" s="19" customFormat="1" ht="21.6" x14ac:dyDescent="0.2">
      <c r="A72" s="41">
        <v>2140</v>
      </c>
      <c r="B72" s="42" t="s">
        <v>20</v>
      </c>
      <c r="C72" s="43" t="s">
        <v>21</v>
      </c>
      <c r="D72" s="44" t="s">
        <v>460</v>
      </c>
      <c r="E72" s="42" t="s">
        <v>461</v>
      </c>
      <c r="F72" s="42" t="s">
        <v>335</v>
      </c>
      <c r="G72" s="42" t="s">
        <v>99</v>
      </c>
      <c r="H72" s="45" t="s">
        <v>448</v>
      </c>
      <c r="I72" s="57" t="s">
        <v>27</v>
      </c>
      <c r="J72" s="47">
        <v>0.7</v>
      </c>
      <c r="K72" s="57" t="s">
        <v>324</v>
      </c>
      <c r="L72" s="64" t="s">
        <v>325</v>
      </c>
      <c r="M72" s="25" t="s">
        <v>326</v>
      </c>
      <c r="N72" s="62" t="s">
        <v>127</v>
      </c>
      <c r="O72" s="60">
        <v>0.1</v>
      </c>
      <c r="P72" s="62"/>
      <c r="Q72" s="60">
        <f t="shared" si="9"/>
        <v>0</v>
      </c>
      <c r="R72" s="61">
        <f t="shared" si="8"/>
        <v>0</v>
      </c>
      <c r="S72" s="60" t="s">
        <v>31</v>
      </c>
      <c r="T72" s="60"/>
      <c r="U72" s="17"/>
      <c r="V72" s="17"/>
      <c r="W72" s="17"/>
      <c r="X72" s="17"/>
      <c r="Y72" s="17"/>
      <c r="Z72" s="17"/>
      <c r="AA72" s="17"/>
      <c r="AB72" s="17"/>
      <c r="AC72" s="17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</row>
    <row r="73" spans="1:48" s="19" customFormat="1" ht="21.6" x14ac:dyDescent="0.2">
      <c r="A73" s="41">
        <v>2141</v>
      </c>
      <c r="B73" s="42" t="s">
        <v>20</v>
      </c>
      <c r="C73" s="43" t="s">
        <v>21</v>
      </c>
      <c r="D73" s="44" t="s">
        <v>460</v>
      </c>
      <c r="E73" s="42" t="s">
        <v>461</v>
      </c>
      <c r="F73" s="42" t="s">
        <v>335</v>
      </c>
      <c r="G73" s="42" t="s">
        <v>99</v>
      </c>
      <c r="H73" s="45" t="s">
        <v>448</v>
      </c>
      <c r="I73" s="57" t="s">
        <v>59</v>
      </c>
      <c r="J73" s="58">
        <v>0.3</v>
      </c>
      <c r="K73" s="57" t="s">
        <v>327</v>
      </c>
      <c r="L73" s="64" t="s">
        <v>328</v>
      </c>
      <c r="M73" s="25" t="s">
        <v>329</v>
      </c>
      <c r="N73" s="62" t="s">
        <v>330</v>
      </c>
      <c r="O73" s="60">
        <v>0.1</v>
      </c>
      <c r="P73" s="62"/>
      <c r="Q73" s="60">
        <f t="shared" si="9"/>
        <v>0</v>
      </c>
      <c r="R73" s="61">
        <f t="shared" si="8"/>
        <v>0</v>
      </c>
      <c r="S73" s="60" t="s">
        <v>31</v>
      </c>
      <c r="T73" s="60"/>
      <c r="U73" s="17"/>
      <c r="V73" s="17"/>
      <c r="W73" s="17"/>
      <c r="X73" s="17"/>
      <c r="Y73" s="17"/>
      <c r="Z73" s="17"/>
      <c r="AA73" s="17"/>
      <c r="AB73" s="17"/>
      <c r="AC73" s="17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</row>
    <row r="74" spans="1:48" s="19" customFormat="1" ht="21.6" x14ac:dyDescent="0.2">
      <c r="A74" s="41">
        <v>2142</v>
      </c>
      <c r="B74" s="42" t="s">
        <v>20</v>
      </c>
      <c r="C74" s="43" t="s">
        <v>21</v>
      </c>
      <c r="D74" s="44" t="s">
        <v>462</v>
      </c>
      <c r="E74" s="42" t="s">
        <v>463</v>
      </c>
      <c r="F74" s="42" t="s">
        <v>335</v>
      </c>
      <c r="G74" s="42" t="s">
        <v>99</v>
      </c>
      <c r="H74" s="45" t="s">
        <v>448</v>
      </c>
      <c r="I74" s="46" t="s">
        <v>27</v>
      </c>
      <c r="J74" s="47">
        <v>0.7</v>
      </c>
      <c r="K74" s="55" t="s">
        <v>66</v>
      </c>
      <c r="L74" s="63" t="s">
        <v>305</v>
      </c>
      <c r="M74" s="13" t="s">
        <v>306</v>
      </c>
      <c r="N74" s="51" t="s">
        <v>112</v>
      </c>
      <c r="O74" s="47">
        <v>0.15</v>
      </c>
      <c r="P74" s="47"/>
      <c r="Q74" s="47">
        <f t="shared" si="9"/>
        <v>0</v>
      </c>
      <c r="R74" s="49">
        <f t="shared" si="8"/>
        <v>0</v>
      </c>
      <c r="S74" s="47" t="s">
        <v>31</v>
      </c>
      <c r="T74" s="50">
        <f>SUM(R74:R82)%</f>
        <v>0</v>
      </c>
      <c r="U74" s="17"/>
      <c r="V74" s="17"/>
      <c r="W74" s="17"/>
      <c r="X74" s="17"/>
      <c r="Y74" s="17"/>
      <c r="Z74" s="17"/>
      <c r="AA74" s="17"/>
      <c r="AB74" s="17"/>
      <c r="AC74" s="17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</row>
    <row r="75" spans="1:48" s="19" customFormat="1" ht="21.6" x14ac:dyDescent="0.2">
      <c r="A75" s="41">
        <v>2143</v>
      </c>
      <c r="B75" s="42" t="s">
        <v>20</v>
      </c>
      <c r="C75" s="43" t="s">
        <v>21</v>
      </c>
      <c r="D75" s="44" t="s">
        <v>462</v>
      </c>
      <c r="E75" s="42" t="s">
        <v>463</v>
      </c>
      <c r="F75" s="42" t="s">
        <v>335</v>
      </c>
      <c r="G75" s="42" t="s">
        <v>99</v>
      </c>
      <c r="H75" s="45" t="s">
        <v>448</v>
      </c>
      <c r="I75" s="46" t="s">
        <v>27</v>
      </c>
      <c r="J75" s="47">
        <v>0.7</v>
      </c>
      <c r="K75" s="55" t="s">
        <v>307</v>
      </c>
      <c r="L75" s="63" t="s">
        <v>308</v>
      </c>
      <c r="M75" s="55" t="s">
        <v>309</v>
      </c>
      <c r="N75" s="51" t="s">
        <v>310</v>
      </c>
      <c r="O75" s="47">
        <v>0.15</v>
      </c>
      <c r="P75" s="52"/>
      <c r="Q75" s="47">
        <f>ROUND(IF(OR(N75="",P75=""),0,IF(AND(N75=0,P75=0),1,IF(S75="+",P75/N75,N75/P75))),2)</f>
        <v>0</v>
      </c>
      <c r="R75" s="49">
        <f t="shared" si="8"/>
        <v>0</v>
      </c>
      <c r="S75" s="47" t="s">
        <v>36</v>
      </c>
      <c r="T75" s="47"/>
      <c r="U75" s="17"/>
      <c r="V75" s="17"/>
      <c r="W75" s="17"/>
      <c r="X75" s="17"/>
      <c r="Y75" s="17"/>
      <c r="Z75" s="17"/>
      <c r="AA75" s="17"/>
      <c r="AB75" s="17"/>
      <c r="AC75" s="17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</row>
    <row r="76" spans="1:48" s="19" customFormat="1" ht="21.6" x14ac:dyDescent="0.2">
      <c r="A76" s="41">
        <v>2144</v>
      </c>
      <c r="B76" s="42" t="s">
        <v>20</v>
      </c>
      <c r="C76" s="43" t="s">
        <v>21</v>
      </c>
      <c r="D76" s="44" t="s">
        <v>462</v>
      </c>
      <c r="E76" s="42" t="s">
        <v>463</v>
      </c>
      <c r="F76" s="42" t="s">
        <v>335</v>
      </c>
      <c r="G76" s="42" t="s">
        <v>99</v>
      </c>
      <c r="H76" s="45" t="s">
        <v>448</v>
      </c>
      <c r="I76" s="46" t="s">
        <v>27</v>
      </c>
      <c r="J76" s="47">
        <v>0.7</v>
      </c>
      <c r="K76" s="55" t="s">
        <v>311</v>
      </c>
      <c r="L76" s="63" t="s">
        <v>312</v>
      </c>
      <c r="M76" s="55" t="s">
        <v>313</v>
      </c>
      <c r="N76" s="53">
        <v>1</v>
      </c>
      <c r="O76" s="47">
        <v>0.1</v>
      </c>
      <c r="P76" s="52"/>
      <c r="Q76" s="47">
        <f t="shared" ref="Q76:Q83" si="10">ROUND(IF(OR(N76="",P76=""),0,IF(AND(N76=0,P76=0),1,IF(S76="+",P76/N76,N76/P76))),2)</f>
        <v>0</v>
      </c>
      <c r="R76" s="49">
        <f t="shared" si="8"/>
        <v>0</v>
      </c>
      <c r="S76" s="47" t="s">
        <v>31</v>
      </c>
      <c r="T76" s="47"/>
      <c r="U76" s="17"/>
      <c r="V76" s="17"/>
      <c r="W76" s="17"/>
      <c r="X76" s="17"/>
      <c r="Y76" s="17"/>
      <c r="Z76" s="17"/>
      <c r="AA76" s="17"/>
      <c r="AB76" s="17"/>
      <c r="AC76" s="17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</row>
    <row r="77" spans="1:48" s="19" customFormat="1" ht="21.6" x14ac:dyDescent="0.2">
      <c r="A77" s="41">
        <v>2145</v>
      </c>
      <c r="B77" s="42" t="s">
        <v>20</v>
      </c>
      <c r="C77" s="43" t="s">
        <v>21</v>
      </c>
      <c r="D77" s="44" t="s">
        <v>462</v>
      </c>
      <c r="E77" s="42" t="s">
        <v>463</v>
      </c>
      <c r="F77" s="42" t="s">
        <v>335</v>
      </c>
      <c r="G77" s="42" t="s">
        <v>99</v>
      </c>
      <c r="H77" s="45" t="s">
        <v>448</v>
      </c>
      <c r="I77" s="46" t="s">
        <v>27</v>
      </c>
      <c r="J77" s="47">
        <v>0.7</v>
      </c>
      <c r="K77" s="55" t="s">
        <v>145</v>
      </c>
      <c r="L77" s="63" t="s">
        <v>314</v>
      </c>
      <c r="M77" s="55" t="s">
        <v>315</v>
      </c>
      <c r="N77" s="52" t="s">
        <v>196</v>
      </c>
      <c r="O77" s="47">
        <v>0.1</v>
      </c>
      <c r="P77" s="54"/>
      <c r="Q77" s="47">
        <f t="shared" si="10"/>
        <v>0</v>
      </c>
      <c r="R77" s="49">
        <f t="shared" si="8"/>
        <v>0</v>
      </c>
      <c r="S77" s="47" t="s">
        <v>36</v>
      </c>
      <c r="T77" s="47"/>
      <c r="U77" s="17"/>
      <c r="V77" s="17"/>
      <c r="W77" s="17"/>
      <c r="X77" s="17"/>
      <c r="Y77" s="17"/>
      <c r="Z77" s="17"/>
      <c r="AA77" s="17"/>
      <c r="AB77" s="17"/>
      <c r="AC77" s="17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</row>
    <row r="78" spans="1:48" s="19" customFormat="1" ht="21.6" x14ac:dyDescent="0.2">
      <c r="A78" s="41">
        <v>2146</v>
      </c>
      <c r="B78" s="42" t="s">
        <v>20</v>
      </c>
      <c r="C78" s="43" t="s">
        <v>21</v>
      </c>
      <c r="D78" s="44" t="s">
        <v>462</v>
      </c>
      <c r="E78" s="42" t="s">
        <v>463</v>
      </c>
      <c r="F78" s="42" t="s">
        <v>335</v>
      </c>
      <c r="G78" s="42" t="s">
        <v>99</v>
      </c>
      <c r="H78" s="45" t="s">
        <v>448</v>
      </c>
      <c r="I78" s="46" t="s">
        <v>27</v>
      </c>
      <c r="J78" s="47">
        <v>0.7</v>
      </c>
      <c r="K78" s="55" t="s">
        <v>84</v>
      </c>
      <c r="L78" s="63" t="s">
        <v>316</v>
      </c>
      <c r="M78" s="55" t="s">
        <v>317</v>
      </c>
      <c r="N78" s="55" t="s">
        <v>196</v>
      </c>
      <c r="O78" s="47">
        <v>0.1</v>
      </c>
      <c r="P78" s="56"/>
      <c r="Q78" s="47">
        <f t="shared" si="10"/>
        <v>0</v>
      </c>
      <c r="R78" s="49">
        <f t="shared" si="8"/>
        <v>0</v>
      </c>
      <c r="S78" s="47" t="s">
        <v>36</v>
      </c>
      <c r="T78" s="47"/>
      <c r="U78" s="17"/>
      <c r="V78" s="17"/>
      <c r="W78" s="17"/>
      <c r="X78" s="17"/>
      <c r="Y78" s="17"/>
      <c r="Z78" s="17"/>
      <c r="AA78" s="17"/>
      <c r="AB78" s="17"/>
      <c r="AC78" s="17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</row>
    <row r="79" spans="1:48" s="19" customFormat="1" ht="21.6" x14ac:dyDescent="0.2">
      <c r="A79" s="41">
        <v>2147</v>
      </c>
      <c r="B79" s="42" t="s">
        <v>20</v>
      </c>
      <c r="C79" s="43" t="s">
        <v>21</v>
      </c>
      <c r="D79" s="44" t="s">
        <v>462</v>
      </c>
      <c r="E79" s="42" t="s">
        <v>463</v>
      </c>
      <c r="F79" s="42" t="s">
        <v>335</v>
      </c>
      <c r="G79" s="42" t="s">
        <v>99</v>
      </c>
      <c r="H79" s="45" t="s">
        <v>448</v>
      </c>
      <c r="I79" s="57" t="s">
        <v>27</v>
      </c>
      <c r="J79" s="47">
        <v>0.7</v>
      </c>
      <c r="K79" s="57" t="s">
        <v>318</v>
      </c>
      <c r="L79" s="64" t="s">
        <v>319</v>
      </c>
      <c r="M79" s="57" t="s">
        <v>320</v>
      </c>
      <c r="N79" s="59" t="s">
        <v>127</v>
      </c>
      <c r="O79" s="60">
        <v>0.1</v>
      </c>
      <c r="P79" s="56"/>
      <c r="Q79" s="60">
        <f t="shared" si="10"/>
        <v>0</v>
      </c>
      <c r="R79" s="61">
        <f t="shared" si="8"/>
        <v>0</v>
      </c>
      <c r="S79" s="60" t="s">
        <v>31</v>
      </c>
      <c r="T79" s="60"/>
      <c r="U79" s="17"/>
      <c r="V79" s="17"/>
      <c r="W79" s="17"/>
      <c r="X79" s="17"/>
      <c r="Y79" s="17"/>
      <c r="Z79" s="17"/>
      <c r="AA79" s="17"/>
      <c r="AB79" s="17"/>
      <c r="AC79" s="17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</row>
    <row r="80" spans="1:48" s="19" customFormat="1" ht="21.6" x14ac:dyDescent="0.2">
      <c r="A80" s="41">
        <v>2148</v>
      </c>
      <c r="B80" s="42" t="s">
        <v>20</v>
      </c>
      <c r="C80" s="43" t="s">
        <v>21</v>
      </c>
      <c r="D80" s="44" t="s">
        <v>462</v>
      </c>
      <c r="E80" s="42" t="s">
        <v>463</v>
      </c>
      <c r="F80" s="42" t="s">
        <v>335</v>
      </c>
      <c r="G80" s="42" t="s">
        <v>99</v>
      </c>
      <c r="H80" s="45" t="s">
        <v>448</v>
      </c>
      <c r="I80" s="57" t="s">
        <v>27</v>
      </c>
      <c r="J80" s="47">
        <v>0.7</v>
      </c>
      <c r="K80" s="57" t="s">
        <v>321</v>
      </c>
      <c r="L80" s="64" t="s">
        <v>322</v>
      </c>
      <c r="M80" s="57" t="s">
        <v>323</v>
      </c>
      <c r="N80" s="59" t="s">
        <v>156</v>
      </c>
      <c r="O80" s="60">
        <v>0.1</v>
      </c>
      <c r="P80" s="56"/>
      <c r="Q80" s="60">
        <f t="shared" si="10"/>
        <v>0</v>
      </c>
      <c r="R80" s="61">
        <f t="shared" si="8"/>
        <v>0</v>
      </c>
      <c r="S80" s="60" t="s">
        <v>31</v>
      </c>
      <c r="T80" s="60"/>
      <c r="U80" s="17"/>
      <c r="V80" s="17"/>
      <c r="W80" s="17"/>
      <c r="X80" s="17"/>
      <c r="Y80" s="17"/>
      <c r="Z80" s="17"/>
      <c r="AA80" s="17"/>
      <c r="AB80" s="17"/>
      <c r="AC80" s="17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</row>
    <row r="81" spans="1:48" s="19" customFormat="1" ht="21.6" x14ac:dyDescent="0.2">
      <c r="A81" s="41">
        <v>2149</v>
      </c>
      <c r="B81" s="42" t="s">
        <v>20</v>
      </c>
      <c r="C81" s="43" t="s">
        <v>21</v>
      </c>
      <c r="D81" s="44" t="s">
        <v>462</v>
      </c>
      <c r="E81" s="42" t="s">
        <v>463</v>
      </c>
      <c r="F81" s="42" t="s">
        <v>335</v>
      </c>
      <c r="G81" s="42" t="s">
        <v>99</v>
      </c>
      <c r="H81" s="45" t="s">
        <v>448</v>
      </c>
      <c r="I81" s="57" t="s">
        <v>27</v>
      </c>
      <c r="J81" s="47">
        <v>0.7</v>
      </c>
      <c r="K81" s="57" t="s">
        <v>324</v>
      </c>
      <c r="L81" s="64" t="s">
        <v>325</v>
      </c>
      <c r="M81" s="25" t="s">
        <v>326</v>
      </c>
      <c r="N81" s="62" t="s">
        <v>127</v>
      </c>
      <c r="O81" s="60">
        <v>0.1</v>
      </c>
      <c r="P81" s="62"/>
      <c r="Q81" s="60">
        <f t="shared" si="10"/>
        <v>0</v>
      </c>
      <c r="R81" s="61">
        <f t="shared" si="8"/>
        <v>0</v>
      </c>
      <c r="S81" s="60" t="s">
        <v>31</v>
      </c>
      <c r="T81" s="60"/>
      <c r="U81" s="17"/>
      <c r="V81" s="17"/>
      <c r="W81" s="17"/>
      <c r="X81" s="17"/>
      <c r="Y81" s="17"/>
      <c r="Z81" s="17"/>
      <c r="AA81" s="17"/>
      <c r="AB81" s="17"/>
      <c r="AC81" s="17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</row>
    <row r="82" spans="1:48" s="19" customFormat="1" ht="21.6" x14ac:dyDescent="0.2">
      <c r="A82" s="41">
        <v>2150</v>
      </c>
      <c r="B82" s="42" t="s">
        <v>20</v>
      </c>
      <c r="C82" s="43" t="s">
        <v>21</v>
      </c>
      <c r="D82" s="44" t="s">
        <v>462</v>
      </c>
      <c r="E82" s="42" t="s">
        <v>463</v>
      </c>
      <c r="F82" s="42" t="s">
        <v>335</v>
      </c>
      <c r="G82" s="42" t="s">
        <v>99</v>
      </c>
      <c r="H82" s="45" t="s">
        <v>448</v>
      </c>
      <c r="I82" s="57" t="s">
        <v>59</v>
      </c>
      <c r="J82" s="58">
        <v>0.3</v>
      </c>
      <c r="K82" s="57" t="s">
        <v>327</v>
      </c>
      <c r="L82" s="64" t="s">
        <v>328</v>
      </c>
      <c r="M82" s="25" t="s">
        <v>329</v>
      </c>
      <c r="N82" s="62" t="s">
        <v>330</v>
      </c>
      <c r="O82" s="60">
        <v>0.1</v>
      </c>
      <c r="P82" s="62"/>
      <c r="Q82" s="60">
        <f t="shared" si="10"/>
        <v>0</v>
      </c>
      <c r="R82" s="61">
        <f t="shared" si="8"/>
        <v>0</v>
      </c>
      <c r="S82" s="60" t="s">
        <v>31</v>
      </c>
      <c r="T82" s="60"/>
      <c r="U82" s="17"/>
      <c r="V82" s="17"/>
      <c r="W82" s="17"/>
      <c r="X82" s="17"/>
      <c r="Y82" s="17"/>
      <c r="Z82" s="17"/>
      <c r="AA82" s="17"/>
      <c r="AB82" s="17"/>
      <c r="AC82" s="17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</row>
    <row r="83" spans="1:48" s="19" customFormat="1" ht="21.6" x14ac:dyDescent="0.2">
      <c r="A83" s="41">
        <v>2151</v>
      </c>
      <c r="B83" s="42" t="s">
        <v>20</v>
      </c>
      <c r="C83" s="43" t="s">
        <v>21</v>
      </c>
      <c r="D83" s="44" t="s">
        <v>464</v>
      </c>
      <c r="E83" s="42" t="s">
        <v>465</v>
      </c>
      <c r="F83" s="42" t="s">
        <v>335</v>
      </c>
      <c r="G83" s="42" t="s">
        <v>99</v>
      </c>
      <c r="H83" s="45" t="s">
        <v>448</v>
      </c>
      <c r="I83" s="46" t="s">
        <v>27</v>
      </c>
      <c r="J83" s="47">
        <v>0.7</v>
      </c>
      <c r="K83" s="55" t="s">
        <v>66</v>
      </c>
      <c r="L83" s="63" t="s">
        <v>305</v>
      </c>
      <c r="M83" s="13" t="s">
        <v>306</v>
      </c>
      <c r="N83" s="51" t="s">
        <v>112</v>
      </c>
      <c r="O83" s="47">
        <v>0.15</v>
      </c>
      <c r="P83" s="47"/>
      <c r="Q83" s="47">
        <f t="shared" si="10"/>
        <v>0</v>
      </c>
      <c r="R83" s="49">
        <f t="shared" si="8"/>
        <v>0</v>
      </c>
      <c r="S83" s="47" t="s">
        <v>31</v>
      </c>
      <c r="T83" s="50">
        <f>SUM(R83:R91)%</f>
        <v>0</v>
      </c>
      <c r="U83" s="17"/>
      <c r="V83" s="17"/>
      <c r="W83" s="17"/>
      <c r="X83" s="17"/>
      <c r="Y83" s="17"/>
      <c r="Z83" s="17"/>
      <c r="AA83" s="17"/>
      <c r="AB83" s="17"/>
      <c r="AC83" s="17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</row>
    <row r="84" spans="1:48" s="19" customFormat="1" ht="21.6" x14ac:dyDescent="0.2">
      <c r="A84" s="41">
        <v>2152</v>
      </c>
      <c r="B84" s="42" t="s">
        <v>20</v>
      </c>
      <c r="C84" s="43" t="s">
        <v>21</v>
      </c>
      <c r="D84" s="44" t="s">
        <v>464</v>
      </c>
      <c r="E84" s="42" t="s">
        <v>465</v>
      </c>
      <c r="F84" s="42" t="s">
        <v>335</v>
      </c>
      <c r="G84" s="42" t="s">
        <v>99</v>
      </c>
      <c r="H84" s="45" t="s">
        <v>448</v>
      </c>
      <c r="I84" s="46" t="s">
        <v>27</v>
      </c>
      <c r="J84" s="47">
        <v>0.7</v>
      </c>
      <c r="K84" s="55" t="s">
        <v>307</v>
      </c>
      <c r="L84" s="63" t="s">
        <v>308</v>
      </c>
      <c r="M84" s="55" t="s">
        <v>309</v>
      </c>
      <c r="N84" s="51" t="s">
        <v>310</v>
      </c>
      <c r="O84" s="47">
        <v>0.15</v>
      </c>
      <c r="P84" s="52"/>
      <c r="Q84" s="47">
        <f>ROUND(IF(OR(N84="",P84=""),0,IF(AND(N84=0,P84=0),1,IF(S84="+",P84/N84,N84/P84))),2)</f>
        <v>0</v>
      </c>
      <c r="R84" s="49">
        <f t="shared" si="8"/>
        <v>0</v>
      </c>
      <c r="S84" s="47" t="s">
        <v>36</v>
      </c>
      <c r="T84" s="47"/>
      <c r="U84" s="17"/>
      <c r="V84" s="17"/>
      <c r="W84" s="17"/>
      <c r="X84" s="17"/>
      <c r="Y84" s="17"/>
      <c r="Z84" s="17"/>
      <c r="AA84" s="17"/>
      <c r="AB84" s="17"/>
      <c r="AC84" s="17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</row>
    <row r="85" spans="1:48" s="19" customFormat="1" ht="21.6" x14ac:dyDescent="0.2">
      <c r="A85" s="41">
        <v>2153</v>
      </c>
      <c r="B85" s="42" t="s">
        <v>20</v>
      </c>
      <c r="C85" s="43" t="s">
        <v>21</v>
      </c>
      <c r="D85" s="44" t="s">
        <v>464</v>
      </c>
      <c r="E85" s="42" t="s">
        <v>465</v>
      </c>
      <c r="F85" s="42" t="s">
        <v>335</v>
      </c>
      <c r="G85" s="42" t="s">
        <v>99</v>
      </c>
      <c r="H85" s="45" t="s">
        <v>448</v>
      </c>
      <c r="I85" s="46" t="s">
        <v>27</v>
      </c>
      <c r="J85" s="47">
        <v>0.7</v>
      </c>
      <c r="K85" s="55" t="s">
        <v>311</v>
      </c>
      <c r="L85" s="63" t="s">
        <v>312</v>
      </c>
      <c r="M85" s="55" t="s">
        <v>313</v>
      </c>
      <c r="N85" s="53">
        <v>1</v>
      </c>
      <c r="O85" s="47">
        <v>0.1</v>
      </c>
      <c r="P85" s="52"/>
      <c r="Q85" s="47">
        <f t="shared" ref="Q85:Q92" si="11">ROUND(IF(OR(N85="",P85=""),0,IF(AND(N85=0,P85=0),1,IF(S85="+",P85/N85,N85/P85))),2)</f>
        <v>0</v>
      </c>
      <c r="R85" s="49">
        <f t="shared" si="8"/>
        <v>0</v>
      </c>
      <c r="S85" s="47" t="s">
        <v>31</v>
      </c>
      <c r="T85" s="47"/>
      <c r="U85" s="17"/>
      <c r="V85" s="17"/>
      <c r="W85" s="17"/>
      <c r="X85" s="17"/>
      <c r="Y85" s="17"/>
      <c r="Z85" s="17"/>
      <c r="AA85" s="17"/>
      <c r="AB85" s="17"/>
      <c r="AC85" s="17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</row>
    <row r="86" spans="1:48" s="19" customFormat="1" ht="21.6" x14ac:dyDescent="0.2">
      <c r="A86" s="41">
        <v>2154</v>
      </c>
      <c r="B86" s="42" t="s">
        <v>20</v>
      </c>
      <c r="C86" s="43" t="s">
        <v>21</v>
      </c>
      <c r="D86" s="44" t="s">
        <v>464</v>
      </c>
      <c r="E86" s="42" t="s">
        <v>465</v>
      </c>
      <c r="F86" s="42" t="s">
        <v>335</v>
      </c>
      <c r="G86" s="42" t="s">
        <v>99</v>
      </c>
      <c r="H86" s="45" t="s">
        <v>448</v>
      </c>
      <c r="I86" s="46" t="s">
        <v>27</v>
      </c>
      <c r="J86" s="47">
        <v>0.7</v>
      </c>
      <c r="K86" s="55" t="s">
        <v>145</v>
      </c>
      <c r="L86" s="63" t="s">
        <v>314</v>
      </c>
      <c r="M86" s="55" t="s">
        <v>315</v>
      </c>
      <c r="N86" s="52" t="s">
        <v>196</v>
      </c>
      <c r="O86" s="47">
        <v>0.1</v>
      </c>
      <c r="P86" s="54"/>
      <c r="Q86" s="47">
        <f t="shared" si="11"/>
        <v>0</v>
      </c>
      <c r="R86" s="49">
        <f t="shared" si="8"/>
        <v>0</v>
      </c>
      <c r="S86" s="47" t="s">
        <v>36</v>
      </c>
      <c r="T86" s="47"/>
      <c r="U86" s="17"/>
      <c r="V86" s="17"/>
      <c r="W86" s="17"/>
      <c r="X86" s="17"/>
      <c r="Y86" s="17"/>
      <c r="Z86" s="17"/>
      <c r="AA86" s="17"/>
      <c r="AB86" s="17"/>
      <c r="AC86" s="17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</row>
    <row r="87" spans="1:48" s="19" customFormat="1" ht="21.6" x14ac:dyDescent="0.2">
      <c r="A87" s="41">
        <v>2155</v>
      </c>
      <c r="B87" s="42" t="s">
        <v>20</v>
      </c>
      <c r="C87" s="43" t="s">
        <v>21</v>
      </c>
      <c r="D87" s="44" t="s">
        <v>464</v>
      </c>
      <c r="E87" s="42" t="s">
        <v>465</v>
      </c>
      <c r="F87" s="42" t="s">
        <v>335</v>
      </c>
      <c r="G87" s="42" t="s">
        <v>99</v>
      </c>
      <c r="H87" s="45" t="s">
        <v>448</v>
      </c>
      <c r="I87" s="46" t="s">
        <v>27</v>
      </c>
      <c r="J87" s="47">
        <v>0.7</v>
      </c>
      <c r="K87" s="55" t="s">
        <v>84</v>
      </c>
      <c r="L87" s="63" t="s">
        <v>316</v>
      </c>
      <c r="M87" s="55" t="s">
        <v>317</v>
      </c>
      <c r="N87" s="55" t="s">
        <v>196</v>
      </c>
      <c r="O87" s="47">
        <v>0.1</v>
      </c>
      <c r="P87" s="56"/>
      <c r="Q87" s="47">
        <f t="shared" si="11"/>
        <v>0</v>
      </c>
      <c r="R87" s="49">
        <f t="shared" si="8"/>
        <v>0</v>
      </c>
      <c r="S87" s="47" t="s">
        <v>36</v>
      </c>
      <c r="T87" s="47"/>
      <c r="U87" s="17"/>
      <c r="V87" s="17"/>
      <c r="W87" s="17"/>
      <c r="X87" s="17"/>
      <c r="Y87" s="17"/>
      <c r="Z87" s="17"/>
      <c r="AA87" s="17"/>
      <c r="AB87" s="17"/>
      <c r="AC87" s="17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</row>
    <row r="88" spans="1:48" s="19" customFormat="1" ht="21.6" x14ac:dyDescent="0.2">
      <c r="A88" s="41">
        <v>2156</v>
      </c>
      <c r="B88" s="42" t="s">
        <v>20</v>
      </c>
      <c r="C88" s="43" t="s">
        <v>21</v>
      </c>
      <c r="D88" s="44" t="s">
        <v>464</v>
      </c>
      <c r="E88" s="42" t="s">
        <v>465</v>
      </c>
      <c r="F88" s="42" t="s">
        <v>335</v>
      </c>
      <c r="G88" s="42" t="s">
        <v>99</v>
      </c>
      <c r="H88" s="45" t="s">
        <v>448</v>
      </c>
      <c r="I88" s="57" t="s">
        <v>27</v>
      </c>
      <c r="J88" s="47">
        <v>0.7</v>
      </c>
      <c r="K88" s="57" t="s">
        <v>318</v>
      </c>
      <c r="L88" s="64" t="s">
        <v>319</v>
      </c>
      <c r="M88" s="57" t="s">
        <v>320</v>
      </c>
      <c r="N88" s="59" t="s">
        <v>127</v>
      </c>
      <c r="O88" s="60">
        <v>0.1</v>
      </c>
      <c r="P88" s="56"/>
      <c r="Q88" s="60">
        <f t="shared" si="11"/>
        <v>0</v>
      </c>
      <c r="R88" s="61">
        <f t="shared" si="8"/>
        <v>0</v>
      </c>
      <c r="S88" s="60" t="s">
        <v>31</v>
      </c>
      <c r="T88" s="60"/>
      <c r="U88" s="17"/>
      <c r="V88" s="17"/>
      <c r="W88" s="17"/>
      <c r="X88" s="17"/>
      <c r="Y88" s="17"/>
      <c r="Z88" s="17"/>
      <c r="AA88" s="17"/>
      <c r="AB88" s="17"/>
      <c r="AC88" s="17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</row>
    <row r="89" spans="1:48" s="19" customFormat="1" ht="21.6" x14ac:dyDescent="0.2">
      <c r="A89" s="41">
        <v>2157</v>
      </c>
      <c r="B89" s="42" t="s">
        <v>20</v>
      </c>
      <c r="C89" s="43" t="s">
        <v>21</v>
      </c>
      <c r="D89" s="44" t="s">
        <v>464</v>
      </c>
      <c r="E89" s="42" t="s">
        <v>465</v>
      </c>
      <c r="F89" s="42" t="s">
        <v>335</v>
      </c>
      <c r="G89" s="42" t="s">
        <v>99</v>
      </c>
      <c r="H89" s="45" t="s">
        <v>448</v>
      </c>
      <c r="I89" s="57" t="s">
        <v>27</v>
      </c>
      <c r="J89" s="47">
        <v>0.7</v>
      </c>
      <c r="K89" s="57" t="s">
        <v>321</v>
      </c>
      <c r="L89" s="64" t="s">
        <v>322</v>
      </c>
      <c r="M89" s="57" t="s">
        <v>323</v>
      </c>
      <c r="N89" s="59" t="s">
        <v>156</v>
      </c>
      <c r="O89" s="60">
        <v>0.1</v>
      </c>
      <c r="P89" s="56"/>
      <c r="Q89" s="60">
        <f t="shared" si="11"/>
        <v>0</v>
      </c>
      <c r="R89" s="61">
        <f t="shared" si="8"/>
        <v>0</v>
      </c>
      <c r="S89" s="60" t="s">
        <v>31</v>
      </c>
      <c r="T89" s="60"/>
      <c r="U89" s="17"/>
      <c r="V89" s="17"/>
      <c r="W89" s="17"/>
      <c r="X89" s="17"/>
      <c r="Y89" s="17"/>
      <c r="Z89" s="17"/>
      <c r="AA89" s="17"/>
      <c r="AB89" s="17"/>
      <c r="AC89" s="17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</row>
    <row r="90" spans="1:48" s="19" customFormat="1" ht="21.6" x14ac:dyDescent="0.2">
      <c r="A90" s="41">
        <v>2158</v>
      </c>
      <c r="B90" s="42" t="s">
        <v>20</v>
      </c>
      <c r="C90" s="43" t="s">
        <v>21</v>
      </c>
      <c r="D90" s="44" t="s">
        <v>464</v>
      </c>
      <c r="E90" s="42" t="s">
        <v>465</v>
      </c>
      <c r="F90" s="42" t="s">
        <v>335</v>
      </c>
      <c r="G90" s="42" t="s">
        <v>99</v>
      </c>
      <c r="H90" s="45" t="s">
        <v>448</v>
      </c>
      <c r="I90" s="57" t="s">
        <v>27</v>
      </c>
      <c r="J90" s="47">
        <v>0.7</v>
      </c>
      <c r="K90" s="57" t="s">
        <v>324</v>
      </c>
      <c r="L90" s="64" t="s">
        <v>325</v>
      </c>
      <c r="M90" s="25" t="s">
        <v>326</v>
      </c>
      <c r="N90" s="62" t="s">
        <v>127</v>
      </c>
      <c r="O90" s="60">
        <v>0.1</v>
      </c>
      <c r="P90" s="62"/>
      <c r="Q90" s="60">
        <f t="shared" si="11"/>
        <v>0</v>
      </c>
      <c r="R90" s="61">
        <f t="shared" si="8"/>
        <v>0</v>
      </c>
      <c r="S90" s="60" t="s">
        <v>31</v>
      </c>
      <c r="T90" s="60"/>
      <c r="U90" s="17"/>
      <c r="V90" s="17"/>
      <c r="W90" s="17"/>
      <c r="X90" s="17"/>
      <c r="Y90" s="17"/>
      <c r="Z90" s="17"/>
      <c r="AA90" s="17"/>
      <c r="AB90" s="17"/>
      <c r="AC90" s="17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</row>
    <row r="91" spans="1:48" s="19" customFormat="1" ht="21.6" x14ac:dyDescent="0.2">
      <c r="A91" s="41">
        <v>2159</v>
      </c>
      <c r="B91" s="42" t="s">
        <v>20</v>
      </c>
      <c r="C91" s="43" t="s">
        <v>21</v>
      </c>
      <c r="D91" s="44" t="s">
        <v>464</v>
      </c>
      <c r="E91" s="42" t="s">
        <v>465</v>
      </c>
      <c r="F91" s="42" t="s">
        <v>335</v>
      </c>
      <c r="G91" s="42" t="s">
        <v>99</v>
      </c>
      <c r="H91" s="45" t="s">
        <v>448</v>
      </c>
      <c r="I91" s="57" t="s">
        <v>59</v>
      </c>
      <c r="J91" s="58">
        <v>0.3</v>
      </c>
      <c r="K91" s="57" t="s">
        <v>327</v>
      </c>
      <c r="L91" s="64" t="s">
        <v>328</v>
      </c>
      <c r="M91" s="25" t="s">
        <v>329</v>
      </c>
      <c r="N91" s="62" t="s">
        <v>330</v>
      </c>
      <c r="O91" s="60">
        <v>0.1</v>
      </c>
      <c r="P91" s="62"/>
      <c r="Q91" s="60">
        <f t="shared" si="11"/>
        <v>0</v>
      </c>
      <c r="R91" s="61">
        <f t="shared" si="8"/>
        <v>0</v>
      </c>
      <c r="S91" s="60" t="s">
        <v>31</v>
      </c>
      <c r="T91" s="60"/>
      <c r="U91" s="17"/>
      <c r="V91" s="17"/>
      <c r="W91" s="17"/>
      <c r="X91" s="17"/>
      <c r="Y91" s="17"/>
      <c r="Z91" s="17"/>
      <c r="AA91" s="17"/>
      <c r="AB91" s="17"/>
      <c r="AC91" s="17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</row>
    <row r="92" spans="1:48" s="19" customFormat="1" ht="21.6" x14ac:dyDescent="0.2">
      <c r="A92" s="41">
        <v>2160</v>
      </c>
      <c r="B92" s="42" t="s">
        <v>20</v>
      </c>
      <c r="C92" s="43" t="s">
        <v>21</v>
      </c>
      <c r="D92" s="44" t="s">
        <v>466</v>
      </c>
      <c r="E92" s="42" t="s">
        <v>467</v>
      </c>
      <c r="F92" s="42" t="s">
        <v>303</v>
      </c>
      <c r="G92" s="42" t="s">
        <v>99</v>
      </c>
      <c r="H92" s="45" t="s">
        <v>448</v>
      </c>
      <c r="I92" s="46" t="s">
        <v>27</v>
      </c>
      <c r="J92" s="47">
        <v>0.7</v>
      </c>
      <c r="K92" s="55" t="s">
        <v>66</v>
      </c>
      <c r="L92" s="63" t="s">
        <v>305</v>
      </c>
      <c r="M92" s="13" t="s">
        <v>306</v>
      </c>
      <c r="N92" s="51" t="s">
        <v>112</v>
      </c>
      <c r="O92" s="47">
        <v>0.15</v>
      </c>
      <c r="P92" s="47"/>
      <c r="Q92" s="47">
        <f t="shared" si="11"/>
        <v>0</v>
      </c>
      <c r="R92" s="49">
        <f t="shared" si="8"/>
        <v>0</v>
      </c>
      <c r="S92" s="47" t="s">
        <v>31</v>
      </c>
      <c r="T92" s="50">
        <f>SUM(R92:R100)%</f>
        <v>0</v>
      </c>
      <c r="U92" s="17"/>
      <c r="V92" s="17"/>
      <c r="W92" s="17"/>
      <c r="X92" s="17"/>
      <c r="Y92" s="17"/>
      <c r="Z92" s="17"/>
      <c r="AA92" s="17"/>
      <c r="AB92" s="17"/>
      <c r="AC92" s="17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</row>
    <row r="93" spans="1:48" s="19" customFormat="1" ht="21.6" x14ac:dyDescent="0.2">
      <c r="A93" s="41">
        <v>2161</v>
      </c>
      <c r="B93" s="42" t="s">
        <v>20</v>
      </c>
      <c r="C93" s="43" t="s">
        <v>21</v>
      </c>
      <c r="D93" s="44" t="s">
        <v>466</v>
      </c>
      <c r="E93" s="42" t="s">
        <v>467</v>
      </c>
      <c r="F93" s="42" t="s">
        <v>303</v>
      </c>
      <c r="G93" s="42" t="s">
        <v>99</v>
      </c>
      <c r="H93" s="45" t="s">
        <v>448</v>
      </c>
      <c r="I93" s="46" t="s">
        <v>27</v>
      </c>
      <c r="J93" s="47">
        <v>0.7</v>
      </c>
      <c r="K93" s="55" t="s">
        <v>307</v>
      </c>
      <c r="L93" s="63" t="s">
        <v>308</v>
      </c>
      <c r="M93" s="55" t="s">
        <v>309</v>
      </c>
      <c r="N93" s="51" t="s">
        <v>310</v>
      </c>
      <c r="O93" s="47">
        <v>0.15</v>
      </c>
      <c r="P93" s="52"/>
      <c r="Q93" s="47">
        <f>ROUND(IF(OR(N93="",P93=""),0,IF(AND(N93=0,P93=0),1,IF(S93="+",P93/N93,N93/P93))),2)</f>
        <v>0</v>
      </c>
      <c r="R93" s="49">
        <f t="shared" si="8"/>
        <v>0</v>
      </c>
      <c r="S93" s="47" t="s">
        <v>36</v>
      </c>
      <c r="T93" s="47"/>
      <c r="U93" s="17"/>
      <c r="V93" s="17"/>
      <c r="W93" s="17"/>
      <c r="X93" s="17"/>
      <c r="Y93" s="17"/>
      <c r="Z93" s="17"/>
      <c r="AA93" s="17"/>
      <c r="AB93" s="17"/>
      <c r="AC93" s="17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</row>
    <row r="94" spans="1:48" s="19" customFormat="1" ht="21.6" x14ac:dyDescent="0.2">
      <c r="A94" s="41">
        <v>2162</v>
      </c>
      <c r="B94" s="42" t="s">
        <v>20</v>
      </c>
      <c r="C94" s="43" t="s">
        <v>21</v>
      </c>
      <c r="D94" s="44" t="s">
        <v>466</v>
      </c>
      <c r="E94" s="42" t="s">
        <v>467</v>
      </c>
      <c r="F94" s="42" t="s">
        <v>303</v>
      </c>
      <c r="G94" s="42" t="s">
        <v>99</v>
      </c>
      <c r="H94" s="45" t="s">
        <v>448</v>
      </c>
      <c r="I94" s="46" t="s">
        <v>27</v>
      </c>
      <c r="J94" s="47">
        <v>0.7</v>
      </c>
      <c r="K94" s="55" t="s">
        <v>311</v>
      </c>
      <c r="L94" s="63" t="s">
        <v>312</v>
      </c>
      <c r="M94" s="55" t="s">
        <v>313</v>
      </c>
      <c r="N94" s="53">
        <v>1</v>
      </c>
      <c r="O94" s="47">
        <v>0.1</v>
      </c>
      <c r="P94" s="52"/>
      <c r="Q94" s="47">
        <f t="shared" ref="Q94:Q101" si="12">ROUND(IF(OR(N94="",P94=""),0,IF(AND(N94=0,P94=0),1,IF(S94="+",P94/N94,N94/P94))),2)</f>
        <v>0</v>
      </c>
      <c r="R94" s="49">
        <f t="shared" si="8"/>
        <v>0</v>
      </c>
      <c r="S94" s="47" t="s">
        <v>31</v>
      </c>
      <c r="T94" s="47"/>
      <c r="U94" s="17"/>
      <c r="V94" s="17"/>
      <c r="W94" s="17"/>
      <c r="X94" s="17"/>
      <c r="Y94" s="17"/>
      <c r="Z94" s="17"/>
      <c r="AA94" s="17"/>
      <c r="AB94" s="17"/>
      <c r="AC94" s="17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</row>
    <row r="95" spans="1:48" s="19" customFormat="1" ht="21.6" x14ac:dyDescent="0.2">
      <c r="A95" s="41">
        <v>2163</v>
      </c>
      <c r="B95" s="42" t="s">
        <v>20</v>
      </c>
      <c r="C95" s="43" t="s">
        <v>21</v>
      </c>
      <c r="D95" s="44" t="s">
        <v>466</v>
      </c>
      <c r="E95" s="42" t="s">
        <v>467</v>
      </c>
      <c r="F95" s="42" t="s">
        <v>303</v>
      </c>
      <c r="G95" s="42" t="s">
        <v>99</v>
      </c>
      <c r="H95" s="45" t="s">
        <v>448</v>
      </c>
      <c r="I95" s="46" t="s">
        <v>27</v>
      </c>
      <c r="J95" s="47">
        <v>0.7</v>
      </c>
      <c r="K95" s="55" t="s">
        <v>145</v>
      </c>
      <c r="L95" s="63" t="s">
        <v>314</v>
      </c>
      <c r="M95" s="55" t="s">
        <v>315</v>
      </c>
      <c r="N95" s="52" t="s">
        <v>196</v>
      </c>
      <c r="O95" s="47">
        <v>0.1</v>
      </c>
      <c r="P95" s="54"/>
      <c r="Q95" s="47">
        <f t="shared" si="12"/>
        <v>0</v>
      </c>
      <c r="R95" s="49">
        <f t="shared" si="8"/>
        <v>0</v>
      </c>
      <c r="S95" s="47" t="s">
        <v>36</v>
      </c>
      <c r="T95" s="47"/>
      <c r="U95" s="17"/>
      <c r="V95" s="17"/>
      <c r="W95" s="17"/>
      <c r="X95" s="17"/>
      <c r="Y95" s="17"/>
      <c r="Z95" s="17"/>
      <c r="AA95" s="17"/>
      <c r="AB95" s="17"/>
      <c r="AC95" s="17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</row>
    <row r="96" spans="1:48" s="19" customFormat="1" ht="21.6" x14ac:dyDescent="0.2">
      <c r="A96" s="41">
        <v>2164</v>
      </c>
      <c r="B96" s="42" t="s">
        <v>20</v>
      </c>
      <c r="C96" s="43" t="s">
        <v>21</v>
      </c>
      <c r="D96" s="44" t="s">
        <v>466</v>
      </c>
      <c r="E96" s="42" t="s">
        <v>467</v>
      </c>
      <c r="F96" s="42" t="s">
        <v>303</v>
      </c>
      <c r="G96" s="42" t="s">
        <v>99</v>
      </c>
      <c r="H96" s="45" t="s">
        <v>448</v>
      </c>
      <c r="I96" s="46" t="s">
        <v>27</v>
      </c>
      <c r="J96" s="47">
        <v>0.7</v>
      </c>
      <c r="K96" s="55" t="s">
        <v>84</v>
      </c>
      <c r="L96" s="63" t="s">
        <v>316</v>
      </c>
      <c r="M96" s="55" t="s">
        <v>317</v>
      </c>
      <c r="N96" s="55" t="s">
        <v>196</v>
      </c>
      <c r="O96" s="47">
        <v>0.1</v>
      </c>
      <c r="P96" s="56"/>
      <c r="Q96" s="47">
        <f t="shared" si="12"/>
        <v>0</v>
      </c>
      <c r="R96" s="49">
        <f t="shared" si="8"/>
        <v>0</v>
      </c>
      <c r="S96" s="47" t="s">
        <v>36</v>
      </c>
      <c r="T96" s="47"/>
      <c r="U96" s="17"/>
      <c r="V96" s="17"/>
      <c r="W96" s="17"/>
      <c r="X96" s="17"/>
      <c r="Y96" s="17"/>
      <c r="Z96" s="17"/>
      <c r="AA96" s="17"/>
      <c r="AB96" s="17"/>
      <c r="AC96" s="17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</row>
    <row r="97" spans="1:48" s="19" customFormat="1" ht="21.6" x14ac:dyDescent="0.2">
      <c r="A97" s="41">
        <v>2165</v>
      </c>
      <c r="B97" s="42" t="s">
        <v>20</v>
      </c>
      <c r="C97" s="43" t="s">
        <v>21</v>
      </c>
      <c r="D97" s="44" t="s">
        <v>466</v>
      </c>
      <c r="E97" s="42" t="s">
        <v>467</v>
      </c>
      <c r="F97" s="42" t="s">
        <v>303</v>
      </c>
      <c r="G97" s="42" t="s">
        <v>99</v>
      </c>
      <c r="H97" s="45" t="s">
        <v>448</v>
      </c>
      <c r="I97" s="57" t="s">
        <v>27</v>
      </c>
      <c r="J97" s="47">
        <v>0.7</v>
      </c>
      <c r="K97" s="57" t="s">
        <v>318</v>
      </c>
      <c r="L97" s="64" t="s">
        <v>319</v>
      </c>
      <c r="M97" s="57" t="s">
        <v>320</v>
      </c>
      <c r="N97" s="59" t="s">
        <v>127</v>
      </c>
      <c r="O97" s="60">
        <v>0.1</v>
      </c>
      <c r="P97" s="56"/>
      <c r="Q97" s="60">
        <f t="shared" si="12"/>
        <v>0</v>
      </c>
      <c r="R97" s="61">
        <f t="shared" si="8"/>
        <v>0</v>
      </c>
      <c r="S97" s="60" t="s">
        <v>31</v>
      </c>
      <c r="T97" s="60"/>
      <c r="U97" s="17"/>
      <c r="V97" s="17"/>
      <c r="W97" s="17"/>
      <c r="X97" s="17"/>
      <c r="Y97" s="17"/>
      <c r="Z97" s="17"/>
      <c r="AA97" s="17"/>
      <c r="AB97" s="17"/>
      <c r="AC97" s="17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</row>
    <row r="98" spans="1:48" s="19" customFormat="1" ht="21.6" x14ac:dyDescent="0.2">
      <c r="A98" s="41">
        <v>2166</v>
      </c>
      <c r="B98" s="42" t="s">
        <v>20</v>
      </c>
      <c r="C98" s="43" t="s">
        <v>21</v>
      </c>
      <c r="D98" s="44" t="s">
        <v>466</v>
      </c>
      <c r="E98" s="42" t="s">
        <v>467</v>
      </c>
      <c r="F98" s="42" t="s">
        <v>303</v>
      </c>
      <c r="G98" s="42" t="s">
        <v>99</v>
      </c>
      <c r="H98" s="45" t="s">
        <v>448</v>
      </c>
      <c r="I98" s="57" t="s">
        <v>27</v>
      </c>
      <c r="J98" s="47">
        <v>0.7</v>
      </c>
      <c r="K98" s="57" t="s">
        <v>321</v>
      </c>
      <c r="L98" s="64" t="s">
        <v>322</v>
      </c>
      <c r="M98" s="57" t="s">
        <v>323</v>
      </c>
      <c r="N98" s="59" t="s">
        <v>156</v>
      </c>
      <c r="O98" s="60">
        <v>0.1</v>
      </c>
      <c r="P98" s="56"/>
      <c r="Q98" s="60">
        <f t="shared" si="12"/>
        <v>0</v>
      </c>
      <c r="R98" s="61">
        <f t="shared" si="8"/>
        <v>0</v>
      </c>
      <c r="S98" s="60" t="s">
        <v>31</v>
      </c>
      <c r="T98" s="60"/>
      <c r="U98" s="17"/>
      <c r="V98" s="17"/>
      <c r="W98" s="17"/>
      <c r="X98" s="17"/>
      <c r="Y98" s="17"/>
      <c r="Z98" s="17"/>
      <c r="AA98" s="17"/>
      <c r="AB98" s="17"/>
      <c r="AC98" s="17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</row>
    <row r="99" spans="1:48" s="19" customFormat="1" ht="21.6" x14ac:dyDescent="0.2">
      <c r="A99" s="41">
        <v>2167</v>
      </c>
      <c r="B99" s="42" t="s">
        <v>20</v>
      </c>
      <c r="C99" s="43" t="s">
        <v>21</v>
      </c>
      <c r="D99" s="44" t="s">
        <v>466</v>
      </c>
      <c r="E99" s="42" t="s">
        <v>467</v>
      </c>
      <c r="F99" s="42" t="s">
        <v>303</v>
      </c>
      <c r="G99" s="42" t="s">
        <v>99</v>
      </c>
      <c r="H99" s="45" t="s">
        <v>448</v>
      </c>
      <c r="I99" s="57" t="s">
        <v>27</v>
      </c>
      <c r="J99" s="47">
        <v>0.7</v>
      </c>
      <c r="K99" s="57" t="s">
        <v>324</v>
      </c>
      <c r="L99" s="64" t="s">
        <v>325</v>
      </c>
      <c r="M99" s="25" t="s">
        <v>326</v>
      </c>
      <c r="N99" s="62" t="s">
        <v>127</v>
      </c>
      <c r="O99" s="60">
        <v>0.1</v>
      </c>
      <c r="P99" s="62"/>
      <c r="Q99" s="60">
        <f t="shared" si="12"/>
        <v>0</v>
      </c>
      <c r="R99" s="61">
        <f t="shared" si="8"/>
        <v>0</v>
      </c>
      <c r="S99" s="60" t="s">
        <v>31</v>
      </c>
      <c r="T99" s="60"/>
      <c r="U99" s="17"/>
      <c r="V99" s="17"/>
      <c r="W99" s="17"/>
      <c r="X99" s="17"/>
      <c r="Y99" s="17"/>
      <c r="Z99" s="17"/>
      <c r="AA99" s="17"/>
      <c r="AB99" s="17"/>
      <c r="AC99" s="17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</row>
    <row r="100" spans="1:48" s="19" customFormat="1" ht="21.6" x14ac:dyDescent="0.2">
      <c r="A100" s="41">
        <v>2168</v>
      </c>
      <c r="B100" s="42" t="s">
        <v>20</v>
      </c>
      <c r="C100" s="43" t="s">
        <v>21</v>
      </c>
      <c r="D100" s="44" t="s">
        <v>466</v>
      </c>
      <c r="E100" s="42" t="s">
        <v>467</v>
      </c>
      <c r="F100" s="42" t="s">
        <v>303</v>
      </c>
      <c r="G100" s="42" t="s">
        <v>99</v>
      </c>
      <c r="H100" s="45" t="s">
        <v>448</v>
      </c>
      <c r="I100" s="57" t="s">
        <v>59</v>
      </c>
      <c r="J100" s="58">
        <v>0.3</v>
      </c>
      <c r="K100" s="57" t="s">
        <v>327</v>
      </c>
      <c r="L100" s="64" t="s">
        <v>328</v>
      </c>
      <c r="M100" s="25" t="s">
        <v>329</v>
      </c>
      <c r="N100" s="62" t="s">
        <v>330</v>
      </c>
      <c r="O100" s="60">
        <v>0.1</v>
      </c>
      <c r="P100" s="62"/>
      <c r="Q100" s="60">
        <f t="shared" si="12"/>
        <v>0</v>
      </c>
      <c r="R100" s="61">
        <f t="shared" si="8"/>
        <v>0</v>
      </c>
      <c r="S100" s="60" t="s">
        <v>31</v>
      </c>
      <c r="T100" s="60"/>
      <c r="U100" s="17"/>
      <c r="V100" s="17"/>
      <c r="W100" s="17"/>
      <c r="X100" s="17"/>
      <c r="Y100" s="17"/>
      <c r="Z100" s="17"/>
      <c r="AA100" s="17"/>
      <c r="AB100" s="17"/>
      <c r="AC100" s="17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</row>
    <row r="101" spans="1:48" s="19" customFormat="1" ht="21.6" x14ac:dyDescent="0.2">
      <c r="A101" s="41">
        <v>2169</v>
      </c>
      <c r="B101" s="42" t="s">
        <v>20</v>
      </c>
      <c r="C101" s="43" t="s">
        <v>21</v>
      </c>
      <c r="D101" s="44" t="s">
        <v>468</v>
      </c>
      <c r="E101" s="42" t="s">
        <v>469</v>
      </c>
      <c r="F101" s="42" t="s">
        <v>303</v>
      </c>
      <c r="G101" s="42" t="s">
        <v>99</v>
      </c>
      <c r="H101" s="45" t="s">
        <v>448</v>
      </c>
      <c r="I101" s="46" t="s">
        <v>27</v>
      </c>
      <c r="J101" s="47">
        <v>0.7</v>
      </c>
      <c r="K101" s="55" t="s">
        <v>66</v>
      </c>
      <c r="L101" s="63" t="s">
        <v>305</v>
      </c>
      <c r="M101" s="13" t="s">
        <v>306</v>
      </c>
      <c r="N101" s="51" t="s">
        <v>112</v>
      </c>
      <c r="O101" s="47">
        <v>0.15</v>
      </c>
      <c r="P101" s="47"/>
      <c r="Q101" s="47">
        <f t="shared" si="12"/>
        <v>0</v>
      </c>
      <c r="R101" s="49">
        <f t="shared" si="8"/>
        <v>0</v>
      </c>
      <c r="S101" s="47" t="s">
        <v>31</v>
      </c>
      <c r="T101" s="50">
        <f>SUM(R101:R109)%</f>
        <v>0</v>
      </c>
      <c r="U101" s="17"/>
      <c r="V101" s="17"/>
      <c r="W101" s="17"/>
      <c r="X101" s="17"/>
      <c r="Y101" s="17"/>
      <c r="Z101" s="17"/>
      <c r="AA101" s="17"/>
      <c r="AB101" s="17"/>
      <c r="AC101" s="17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</row>
    <row r="102" spans="1:48" s="19" customFormat="1" ht="21.6" x14ac:dyDescent="0.2">
      <c r="A102" s="41">
        <v>2170</v>
      </c>
      <c r="B102" s="42" t="s">
        <v>20</v>
      </c>
      <c r="C102" s="43" t="s">
        <v>21</v>
      </c>
      <c r="D102" s="44" t="s">
        <v>468</v>
      </c>
      <c r="E102" s="42" t="s">
        <v>469</v>
      </c>
      <c r="F102" s="42" t="s">
        <v>303</v>
      </c>
      <c r="G102" s="42" t="s">
        <v>99</v>
      </c>
      <c r="H102" s="45" t="s">
        <v>448</v>
      </c>
      <c r="I102" s="46" t="s">
        <v>27</v>
      </c>
      <c r="J102" s="47">
        <v>0.7</v>
      </c>
      <c r="K102" s="55" t="s">
        <v>307</v>
      </c>
      <c r="L102" s="63" t="s">
        <v>308</v>
      </c>
      <c r="M102" s="55" t="s">
        <v>309</v>
      </c>
      <c r="N102" s="51" t="s">
        <v>310</v>
      </c>
      <c r="O102" s="47">
        <v>0.15</v>
      </c>
      <c r="P102" s="52"/>
      <c r="Q102" s="47">
        <f>ROUND(IF(OR(N102="",P102=""),0,IF(AND(N102=0,P102=0),1,IF(S102="+",P102/N102,N102/P102))),2)</f>
        <v>0</v>
      </c>
      <c r="R102" s="49">
        <f t="shared" si="8"/>
        <v>0</v>
      </c>
      <c r="S102" s="47" t="s">
        <v>36</v>
      </c>
      <c r="T102" s="47"/>
      <c r="U102" s="17"/>
      <c r="V102" s="17"/>
      <c r="W102" s="17"/>
      <c r="X102" s="17"/>
      <c r="Y102" s="17"/>
      <c r="Z102" s="17"/>
      <c r="AA102" s="17"/>
      <c r="AB102" s="17"/>
      <c r="AC102" s="17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</row>
    <row r="103" spans="1:48" s="19" customFormat="1" ht="21.6" x14ac:dyDescent="0.2">
      <c r="A103" s="41">
        <v>2171</v>
      </c>
      <c r="B103" s="42" t="s">
        <v>20</v>
      </c>
      <c r="C103" s="43" t="s">
        <v>21</v>
      </c>
      <c r="D103" s="44" t="s">
        <v>468</v>
      </c>
      <c r="E103" s="42" t="s">
        <v>469</v>
      </c>
      <c r="F103" s="42" t="s">
        <v>303</v>
      </c>
      <c r="G103" s="42" t="s">
        <v>99</v>
      </c>
      <c r="H103" s="45" t="s">
        <v>448</v>
      </c>
      <c r="I103" s="46" t="s">
        <v>27</v>
      </c>
      <c r="J103" s="47">
        <v>0.7</v>
      </c>
      <c r="K103" s="55" t="s">
        <v>311</v>
      </c>
      <c r="L103" s="63" t="s">
        <v>312</v>
      </c>
      <c r="M103" s="55" t="s">
        <v>313</v>
      </c>
      <c r="N103" s="53">
        <v>1</v>
      </c>
      <c r="O103" s="47">
        <v>0.1</v>
      </c>
      <c r="P103" s="52"/>
      <c r="Q103" s="47">
        <f t="shared" ref="Q103:Q109" si="13">ROUND(IF(OR(N103="",P103=""),0,IF(AND(N103=0,P103=0),1,IF(S103="+",P103/N103,N103/P103))),2)</f>
        <v>0</v>
      </c>
      <c r="R103" s="49">
        <f t="shared" si="8"/>
        <v>0</v>
      </c>
      <c r="S103" s="47" t="s">
        <v>31</v>
      </c>
      <c r="T103" s="47"/>
      <c r="U103" s="17"/>
      <c r="V103" s="17"/>
      <c r="W103" s="17"/>
      <c r="X103" s="17"/>
      <c r="Y103" s="17"/>
      <c r="Z103" s="17"/>
      <c r="AA103" s="17"/>
      <c r="AB103" s="17"/>
      <c r="AC103" s="17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</row>
    <row r="104" spans="1:48" s="19" customFormat="1" ht="21.6" x14ac:dyDescent="0.2">
      <c r="A104" s="41">
        <v>2172</v>
      </c>
      <c r="B104" s="42" t="s">
        <v>20</v>
      </c>
      <c r="C104" s="43" t="s">
        <v>21</v>
      </c>
      <c r="D104" s="44" t="s">
        <v>468</v>
      </c>
      <c r="E104" s="42" t="s">
        <v>469</v>
      </c>
      <c r="F104" s="42" t="s">
        <v>303</v>
      </c>
      <c r="G104" s="42" t="s">
        <v>99</v>
      </c>
      <c r="H104" s="45" t="s">
        <v>448</v>
      </c>
      <c r="I104" s="46" t="s">
        <v>27</v>
      </c>
      <c r="J104" s="47">
        <v>0.7</v>
      </c>
      <c r="K104" s="55" t="s">
        <v>145</v>
      </c>
      <c r="L104" s="63" t="s">
        <v>314</v>
      </c>
      <c r="M104" s="55" t="s">
        <v>315</v>
      </c>
      <c r="N104" s="52" t="s">
        <v>196</v>
      </c>
      <c r="O104" s="47">
        <v>0.1</v>
      </c>
      <c r="P104" s="54"/>
      <c r="Q104" s="47">
        <f t="shared" si="13"/>
        <v>0</v>
      </c>
      <c r="R104" s="49">
        <f t="shared" si="8"/>
        <v>0</v>
      </c>
      <c r="S104" s="47" t="s">
        <v>36</v>
      </c>
      <c r="T104" s="47"/>
      <c r="U104" s="17"/>
      <c r="V104" s="17"/>
      <c r="W104" s="17"/>
      <c r="X104" s="17"/>
      <c r="Y104" s="17"/>
      <c r="Z104" s="17"/>
      <c r="AA104" s="17"/>
      <c r="AB104" s="17"/>
      <c r="AC104" s="17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</row>
    <row r="105" spans="1:48" s="19" customFormat="1" ht="21.6" x14ac:dyDescent="0.2">
      <c r="A105" s="41">
        <v>2173</v>
      </c>
      <c r="B105" s="42" t="s">
        <v>20</v>
      </c>
      <c r="C105" s="43" t="s">
        <v>21</v>
      </c>
      <c r="D105" s="44" t="s">
        <v>468</v>
      </c>
      <c r="E105" s="42" t="s">
        <v>469</v>
      </c>
      <c r="F105" s="42" t="s">
        <v>303</v>
      </c>
      <c r="G105" s="42" t="s">
        <v>99</v>
      </c>
      <c r="H105" s="45" t="s">
        <v>448</v>
      </c>
      <c r="I105" s="46" t="s">
        <v>27</v>
      </c>
      <c r="J105" s="47">
        <v>0.7</v>
      </c>
      <c r="K105" s="55" t="s">
        <v>84</v>
      </c>
      <c r="L105" s="63" t="s">
        <v>316</v>
      </c>
      <c r="M105" s="55" t="s">
        <v>317</v>
      </c>
      <c r="N105" s="55" t="s">
        <v>196</v>
      </c>
      <c r="O105" s="47">
        <v>0.1</v>
      </c>
      <c r="P105" s="56"/>
      <c r="Q105" s="47">
        <f t="shared" si="13"/>
        <v>0</v>
      </c>
      <c r="R105" s="49">
        <f t="shared" si="8"/>
        <v>0</v>
      </c>
      <c r="S105" s="47" t="s">
        <v>36</v>
      </c>
      <c r="T105" s="47"/>
      <c r="U105" s="17"/>
      <c r="V105" s="17"/>
      <c r="W105" s="17"/>
      <c r="X105" s="17"/>
      <c r="Y105" s="17"/>
      <c r="Z105" s="17"/>
      <c r="AA105" s="17"/>
      <c r="AB105" s="17"/>
      <c r="AC105" s="17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</row>
    <row r="106" spans="1:48" s="19" customFormat="1" ht="21.6" x14ac:dyDescent="0.2">
      <c r="A106" s="41">
        <v>2174</v>
      </c>
      <c r="B106" s="42" t="s">
        <v>20</v>
      </c>
      <c r="C106" s="43" t="s">
        <v>21</v>
      </c>
      <c r="D106" s="44" t="s">
        <v>468</v>
      </c>
      <c r="E106" s="42" t="s">
        <v>469</v>
      </c>
      <c r="F106" s="42" t="s">
        <v>303</v>
      </c>
      <c r="G106" s="42" t="s">
        <v>99</v>
      </c>
      <c r="H106" s="45" t="s">
        <v>448</v>
      </c>
      <c r="I106" s="57" t="s">
        <v>27</v>
      </c>
      <c r="J106" s="47">
        <v>0.7</v>
      </c>
      <c r="K106" s="57" t="s">
        <v>318</v>
      </c>
      <c r="L106" s="64" t="s">
        <v>319</v>
      </c>
      <c r="M106" s="57" t="s">
        <v>320</v>
      </c>
      <c r="N106" s="59" t="s">
        <v>127</v>
      </c>
      <c r="O106" s="60">
        <v>0.1</v>
      </c>
      <c r="P106" s="56"/>
      <c r="Q106" s="60">
        <f t="shared" si="13"/>
        <v>0</v>
      </c>
      <c r="R106" s="61">
        <f t="shared" si="8"/>
        <v>0</v>
      </c>
      <c r="S106" s="60" t="s">
        <v>31</v>
      </c>
      <c r="T106" s="60"/>
      <c r="U106" s="17"/>
      <c r="V106" s="17"/>
      <c r="W106" s="17"/>
      <c r="X106" s="17"/>
      <c r="Y106" s="17"/>
      <c r="Z106" s="17"/>
      <c r="AA106" s="17"/>
      <c r="AB106" s="17"/>
      <c r="AC106" s="17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</row>
    <row r="107" spans="1:48" s="19" customFormat="1" ht="21.6" x14ac:dyDescent="0.2">
      <c r="A107" s="41">
        <v>2175</v>
      </c>
      <c r="B107" s="42" t="s">
        <v>20</v>
      </c>
      <c r="C107" s="43" t="s">
        <v>21</v>
      </c>
      <c r="D107" s="44" t="s">
        <v>468</v>
      </c>
      <c r="E107" s="42" t="s">
        <v>469</v>
      </c>
      <c r="F107" s="42" t="s">
        <v>303</v>
      </c>
      <c r="G107" s="42" t="s">
        <v>99</v>
      </c>
      <c r="H107" s="45" t="s">
        <v>448</v>
      </c>
      <c r="I107" s="57" t="s">
        <v>27</v>
      </c>
      <c r="J107" s="47">
        <v>0.7</v>
      </c>
      <c r="K107" s="57" t="s">
        <v>321</v>
      </c>
      <c r="L107" s="64" t="s">
        <v>322</v>
      </c>
      <c r="M107" s="57" t="s">
        <v>323</v>
      </c>
      <c r="N107" s="59" t="s">
        <v>156</v>
      </c>
      <c r="O107" s="60">
        <v>0.1</v>
      </c>
      <c r="P107" s="56"/>
      <c r="Q107" s="60">
        <f t="shared" si="13"/>
        <v>0</v>
      </c>
      <c r="R107" s="61">
        <f t="shared" si="8"/>
        <v>0</v>
      </c>
      <c r="S107" s="60" t="s">
        <v>31</v>
      </c>
      <c r="T107" s="60"/>
      <c r="U107" s="17"/>
      <c r="V107" s="17"/>
      <c r="W107" s="17"/>
      <c r="X107" s="17"/>
      <c r="Y107" s="17"/>
      <c r="Z107" s="17"/>
      <c r="AA107" s="17"/>
      <c r="AB107" s="17"/>
      <c r="AC107" s="17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</row>
    <row r="108" spans="1:48" s="19" customFormat="1" ht="21.6" x14ac:dyDescent="0.2">
      <c r="A108" s="41">
        <v>2176</v>
      </c>
      <c r="B108" s="42" t="s">
        <v>20</v>
      </c>
      <c r="C108" s="43" t="s">
        <v>21</v>
      </c>
      <c r="D108" s="44" t="s">
        <v>468</v>
      </c>
      <c r="E108" s="42" t="s">
        <v>469</v>
      </c>
      <c r="F108" s="42" t="s">
        <v>303</v>
      </c>
      <c r="G108" s="42" t="s">
        <v>99</v>
      </c>
      <c r="H108" s="45" t="s">
        <v>448</v>
      </c>
      <c r="I108" s="57" t="s">
        <v>27</v>
      </c>
      <c r="J108" s="47">
        <v>0.7</v>
      </c>
      <c r="K108" s="57" t="s">
        <v>324</v>
      </c>
      <c r="L108" s="64" t="s">
        <v>325</v>
      </c>
      <c r="M108" s="25" t="s">
        <v>326</v>
      </c>
      <c r="N108" s="62" t="s">
        <v>127</v>
      </c>
      <c r="O108" s="60">
        <v>0.1</v>
      </c>
      <c r="P108" s="62"/>
      <c r="Q108" s="60">
        <f t="shared" si="13"/>
        <v>0</v>
      </c>
      <c r="R108" s="61">
        <f t="shared" si="8"/>
        <v>0</v>
      </c>
      <c r="S108" s="60" t="s">
        <v>31</v>
      </c>
      <c r="T108" s="60"/>
      <c r="U108" s="17"/>
      <c r="V108" s="17"/>
      <c r="W108" s="17"/>
      <c r="X108" s="17"/>
      <c r="Y108" s="17"/>
      <c r="Z108" s="17"/>
      <c r="AA108" s="17"/>
      <c r="AB108" s="17"/>
      <c r="AC108" s="17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</row>
    <row r="109" spans="1:48" s="19" customFormat="1" ht="21.6" x14ac:dyDescent="0.2">
      <c r="A109" s="41">
        <v>2177</v>
      </c>
      <c r="B109" s="42" t="s">
        <v>20</v>
      </c>
      <c r="C109" s="43" t="s">
        <v>21</v>
      </c>
      <c r="D109" s="44" t="s">
        <v>468</v>
      </c>
      <c r="E109" s="42" t="s">
        <v>469</v>
      </c>
      <c r="F109" s="42" t="s">
        <v>303</v>
      </c>
      <c r="G109" s="42" t="s">
        <v>99</v>
      </c>
      <c r="H109" s="45" t="s">
        <v>448</v>
      </c>
      <c r="I109" s="57" t="s">
        <v>59</v>
      </c>
      <c r="J109" s="58">
        <v>0.3</v>
      </c>
      <c r="K109" s="57" t="s">
        <v>327</v>
      </c>
      <c r="L109" s="64" t="s">
        <v>328</v>
      </c>
      <c r="M109" s="25" t="s">
        <v>329</v>
      </c>
      <c r="N109" s="62" t="s">
        <v>330</v>
      </c>
      <c r="O109" s="60">
        <v>0.1</v>
      </c>
      <c r="P109" s="62"/>
      <c r="Q109" s="60">
        <f t="shared" si="13"/>
        <v>0</v>
      </c>
      <c r="R109" s="61">
        <f t="shared" si="8"/>
        <v>0</v>
      </c>
      <c r="S109" s="60" t="s">
        <v>31</v>
      </c>
      <c r="T109" s="60"/>
      <c r="U109" s="17"/>
      <c r="V109" s="17"/>
      <c r="W109" s="17"/>
      <c r="X109" s="17"/>
      <c r="Y109" s="17"/>
      <c r="Z109" s="17"/>
      <c r="AA109" s="17"/>
      <c r="AB109" s="17"/>
      <c r="AC109" s="17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</row>
  </sheetData>
  <autoFilter ref="A1:T10" xr:uid="{7EF4661B-8CB2-466F-8DBB-EB69CD48EE90}"/>
  <conditionalFormatting sqref="I1:I109 K1:M109">
    <cfRule type="cellIs" dxfId="0" priority="1" operator="equal">
      <formula>"maintasks"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روسای فنی</vt:lpstr>
      <vt:lpstr>واحد برنامه ریزی نت</vt:lpstr>
      <vt:lpstr>برق و ابزاردقیق</vt:lpstr>
      <vt:lpstr>واحد تاسیسات</vt:lpstr>
      <vt:lpstr>طراحی مهندسی</vt:lpstr>
      <vt:lpstr>فلزکاری تراشکاری</vt:lpstr>
      <vt:lpstr>واحد ماشین آلات</vt:lpstr>
      <vt:lpstr>واحد مکانیک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Kalantari, Ali Asghar</cp:lastModifiedBy>
  <dcterms:created xsi:type="dcterms:W3CDTF">2015-06-05T18:17:20Z</dcterms:created>
  <dcterms:modified xsi:type="dcterms:W3CDTF">2025-06-29T08:37:16Z</dcterms:modified>
</cp:coreProperties>
</file>