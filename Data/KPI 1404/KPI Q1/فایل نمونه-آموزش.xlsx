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دکستاپ\kpi پرسنل فصل بهار\"/>
    </mc:Choice>
  </mc:AlternateContent>
  <xr:revisionPtr revIDLastSave="0" documentId="13_ncr:1_{10A40EC7-139A-4C37-B8E7-776EECF72DEE}" xr6:coauthVersionLast="47" xr6:coauthVersionMax="47" xr10:uidLastSave="{00000000-0000-0000-0000-000000000000}"/>
  <bookViews>
    <workbookView xWindow="28680" yWindow="-120" windowWidth="29040" windowHeight="15840" xr2:uid="{BD38DE6A-3E43-40C4-9B39-34F45D7F133B}"/>
  </bookViews>
  <sheets>
    <sheet name="Sheet1" sheetId="3" r:id="rId1"/>
    <sheet name="Sheet2" sheetId="1" r:id="rId2"/>
  </sheets>
  <definedNames>
    <definedName name="_xlnm._FilterDatabase" localSheetId="0" hidden="1">Sheet1!$A$1:$T$12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3" l="1"/>
  <c r="Q2" i="3"/>
  <c r="Q10" i="3"/>
  <c r="R10" i="3" s="1"/>
  <c r="Q9" i="3"/>
  <c r="R9" i="3" s="1"/>
  <c r="Q6" i="3"/>
  <c r="R6" i="3" s="1"/>
  <c r="Q3" i="3"/>
  <c r="R3" i="3" s="1"/>
  <c r="Q12" i="3"/>
  <c r="R12" i="3" s="1"/>
  <c r="Q11" i="3"/>
  <c r="R11" i="3" s="1"/>
  <c r="Q8" i="3"/>
  <c r="R8" i="3" s="1"/>
  <c r="Q7" i="3"/>
  <c r="R7" i="3" s="1"/>
  <c r="Q5" i="3"/>
  <c r="R5" i="3" s="1"/>
  <c r="Q4" i="3"/>
  <c r="R4" i="3" s="1"/>
  <c r="Q3" i="1"/>
  <c r="R3" i="1" s="1"/>
  <c r="Q12" i="1"/>
  <c r="R12" i="1" s="1"/>
  <c r="Q11" i="1"/>
  <c r="R11" i="1" s="1"/>
  <c r="Q9" i="1"/>
  <c r="R9" i="1" s="1"/>
  <c r="Q8" i="1"/>
  <c r="R8" i="1" s="1"/>
  <c r="Q7" i="1"/>
  <c r="R7" i="1" s="1"/>
  <c r="Q6" i="1"/>
  <c r="R6" i="1" s="1"/>
  <c r="Q5" i="1"/>
  <c r="R5" i="1" s="1"/>
  <c r="Q4" i="1"/>
  <c r="R4" i="1" s="1"/>
  <c r="Q2" i="1"/>
  <c r="R2" i="1" s="1"/>
  <c r="T2" i="3" l="1"/>
  <c r="T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Gheysari, Aseyeh</author>
  </authors>
  <commentList>
    <comment ref="P6" authorId="0" shapeId="0" xr:uid="{0B6D8313-4E98-468A-AD41-10D31CCF715A}">
      <text>
        <r>
          <rPr>
            <b/>
            <sz val="9"/>
            <color indexed="81"/>
            <rFont val="Tahoma"/>
            <family val="2"/>
          </rPr>
          <t>Gheysari, Aseyeh:</t>
        </r>
        <r>
          <rPr>
            <sz val="9"/>
            <color indexed="81"/>
            <rFont val="Tahoma"/>
            <family val="2"/>
          </rPr>
          <t xml:space="preserve">
8332 نفر ساعت آموزش داشته ایم</t>
        </r>
      </text>
    </comment>
    <comment ref="P7" authorId="0" shapeId="0" xr:uid="{9B7BDB54-7D66-4B28-8A5B-49B9E1FE1CAE}">
      <text>
        <r>
          <rPr>
            <b/>
            <sz val="9"/>
            <color indexed="81"/>
            <rFont val="Tahoma"/>
            <family val="2"/>
          </rPr>
          <t>Gheysari, Aseyeh:</t>
        </r>
        <r>
          <rPr>
            <sz val="9"/>
            <color indexed="81"/>
            <rFont val="Tahoma"/>
            <family val="2"/>
          </rPr>
          <t xml:space="preserve">
kpi تمام رئسا و مسیولان و کارشناسان تخته توزیع گردیده است و جمع اوری شده است</t>
        </r>
      </text>
    </comment>
    <comment ref="P8" authorId="0" shapeId="0" xr:uid="{0AAE3621-086D-4BE6-AADF-10B3FA5E8B17}">
      <text>
        <r>
          <rPr>
            <b/>
            <sz val="9"/>
            <color indexed="81"/>
            <rFont val="Tahoma"/>
            <family val="2"/>
          </rPr>
          <t>Gheysari, Aseyeh:</t>
        </r>
        <r>
          <rPr>
            <sz val="9"/>
            <color indexed="81"/>
            <rFont val="Tahoma"/>
            <family val="2"/>
          </rPr>
          <t xml:space="preserve">
42 فایل دریافتی ارسال گردیده است</t>
        </r>
      </text>
    </comment>
  </commentList>
</comments>
</file>

<file path=xl/sharedStrings.xml><?xml version="1.0" encoding="utf-8"?>
<sst xmlns="http://schemas.openxmlformats.org/spreadsheetml/2006/main" count="222" uniqueCount="71">
  <si>
    <t>+</t>
  </si>
  <si>
    <t>reports</t>
  </si>
  <si>
    <t>Projects</t>
  </si>
  <si>
    <t>تخته فشرده</t>
  </si>
  <si>
    <t>Automation of HR's processes</t>
  </si>
  <si>
    <t>Compilation of HR regulations</t>
  </si>
  <si>
    <t>Performance Review Completion Rate</t>
  </si>
  <si>
    <t>Dep. Target Setting : Q1-1404</t>
  </si>
  <si>
    <t>Individual Development</t>
  </si>
  <si>
    <t>MainTasks</t>
  </si>
  <si>
    <t>-</t>
  </si>
  <si>
    <t>Employee Turnover Rate</t>
  </si>
  <si>
    <t>Recruitment ( non Mngrs)</t>
  </si>
  <si>
    <t>Overtime Vs Production</t>
  </si>
  <si>
    <t>Sum</t>
  </si>
  <si>
    <t>type</t>
  </si>
  <si>
    <t>Score Achievement</t>
  </si>
  <si>
    <t>Percentage Achievement</t>
  </si>
  <si>
    <t>KPI Achievement</t>
  </si>
  <si>
    <t>KPI weight</t>
  </si>
  <si>
    <t>target</t>
  </si>
  <si>
    <t>kpi INFO</t>
  </si>
  <si>
    <t>KPI Fa</t>
  </si>
  <si>
    <t>KPI En</t>
  </si>
  <si>
    <t>obj weight</t>
  </si>
  <si>
    <t>دسته بندی</t>
  </si>
  <si>
    <t>دپارتمان</t>
  </si>
  <si>
    <t>مدیر مستقیم</t>
  </si>
  <si>
    <t>عنوان شغلی</t>
  </si>
  <si>
    <t>نام و نام خانوادگی</t>
  </si>
  <si>
    <t>کد پرسنلی</t>
  </si>
  <si>
    <t>فصل</t>
  </si>
  <si>
    <t>نام شرکت</t>
  </si>
  <si>
    <t>ردیف</t>
  </si>
  <si>
    <t xml:space="preserve"> </t>
  </si>
  <si>
    <t>Q1</t>
  </si>
  <si>
    <t>علی اصغر کلانتری</t>
  </si>
  <si>
    <t>5546</t>
  </si>
  <si>
    <t>Repair Completion Rate</t>
  </si>
  <si>
    <t>MTTR Performance</t>
  </si>
  <si>
    <t>PM Compliance Rate</t>
  </si>
  <si>
    <t>MTBF Improvement</t>
  </si>
  <si>
    <t>Breakdown Reduction</t>
  </si>
  <si>
    <t>Rework Rate</t>
  </si>
  <si>
    <t>Spare Parts Utilization</t>
  </si>
  <si>
    <t>Maintenance Cost Reduction</t>
  </si>
  <si>
    <t>رعایت نکات ایمنی در تعمیرات (بدون حادثه یا شبه‌حادثه)</t>
  </si>
  <si>
    <t>Participation Rate</t>
  </si>
  <si>
    <t xml:space="preserve">	تکمیل چک‌لیست‌های تعمیرات و ثبت صحیح گزارشات </t>
  </si>
  <si>
    <t xml:space="preserve">نرخ مشارکت در جلسات و ارائه پیشنهادات بهبود </t>
  </si>
  <si>
    <t xml:space="preserve">	کاهش هزینه‌های نگهداری و تعمیرات </t>
  </si>
  <si>
    <t xml:space="preserve">بهینه‌سازی مصرف قطعات یدکی </t>
  </si>
  <si>
    <t xml:space="preserve">درصد کاهش تعمیرات تکراری (Rework Rate) </t>
  </si>
  <si>
    <t xml:space="preserve">کاهش خرابی‌های اضطراری </t>
  </si>
  <si>
    <t xml:space="preserve">افزایش فاصله بین خرابی‌ها (MTBF) </t>
  </si>
  <si>
    <t xml:space="preserve">درصد اجرای تعمیرات پیشگیرانه (PM Compliance) </t>
  </si>
  <si>
    <t xml:space="preserve">نرخ تکمیل تعمیرات در موعد مقرر </t>
  </si>
  <si>
    <t xml:space="preserve">میانگین زمان تعمیر (MTTR) نسبت به استاندارد </t>
  </si>
  <si>
    <t>Repair Completion Rate=(Number of Repairs Completed on Schedule-PM)/(Total Planned Repairs-PM)*100</t>
  </si>
  <si>
    <t>PM Compliance Rate=Number of PMs Completed/Total Planned PMs*100</t>
  </si>
  <si>
    <t>MTTR Performance=(Current MTTR-Previous Month MTTR)/Previous Month MTTR*100</t>
  </si>
  <si>
    <t>MTBF Improvement=(Current MTBF-Previous Month MTBF)/Previous Month MTBF*100</t>
  </si>
  <si>
    <t>Breakdown Reduction=(Emergency Breakdowns This Month-Emergency Breakdowns Last Month)/Emergency Breakdowns Last Month</t>
  </si>
  <si>
    <t>Rework Rate=Number of Repeat Repairs/(Total Repairs)*100</t>
  </si>
  <si>
    <t>Spare Parts Utilization=Number of Used Spare Parts from Inventory/Total Purchased Spare Parts*100</t>
  </si>
  <si>
    <t>Maintenance Cost Reduction=(Previous Month Maintenance Cost-Current Month Maintenance Cost)/Previous Month Maintenance Cost</t>
  </si>
  <si>
    <t>Participation Rate=Number of Suggestions Given/Total Number of Meetings*100</t>
  </si>
  <si>
    <t>رئیس برنامه ریزی نگهداری و تعمیرات</t>
  </si>
  <si>
    <t>هادی کرد</t>
  </si>
  <si>
    <t>فنی و مهندسی</t>
  </si>
  <si>
    <t>ستون بالا پر نگردد.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</si>
</sst>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0"/>
      <name val="Times New Roman"/>
      <family val="1"/>
    </font>
    <font>
      <b/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color theme="1"/>
      <name val="B Nazanin"/>
      <charset val="178"/>
    </font>
    <font>
      <sz val="8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E7FD"/>
        <bgColor rgb="FFD9E7F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6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9" fontId="2" fillId="3" borderId="1" xfId="0" applyNumberFormat="1" applyFont="1" applyFill="1" applyBorder="1" applyAlignment="1">
      <alignment horizontal="center" vertical="center"/>
    </xf>
    <xf numFmtId="1" fontId="2" fillId="3" borderId="1" xfId="2" applyNumberFormat="1" applyFont="1" applyFill="1" applyBorder="1" applyAlignment="1">
      <alignment horizontal="center" vertical="center"/>
    </xf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9" fontId="2" fillId="4" borderId="1" xfId="1" applyFont="1" applyFill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9" fontId="5" fillId="5" borderId="1" xfId="1" applyFont="1" applyFill="1" applyBorder="1" applyAlignment="1">
      <alignment horizontal="center" vertical="center"/>
    </xf>
    <xf numFmtId="9" fontId="6" fillId="6" borderId="1" xfId="1" applyFont="1" applyFill="1" applyBorder="1" applyAlignment="1">
      <alignment vertical="center"/>
    </xf>
    <xf numFmtId="1" fontId="6" fillId="6" borderId="1" xfId="1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1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10" fontId="3" fillId="3" borderId="0" xfId="0" applyNumberFormat="1" applyFont="1" applyFill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1" fontId="9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9" fontId="9" fillId="5" borderId="1" xfId="1" applyFont="1" applyFill="1" applyBorder="1" applyAlignment="1">
      <alignment horizontal="center" vertical="center" wrapText="1"/>
    </xf>
    <xf numFmtId="9" fontId="10" fillId="6" borderId="1" xfId="1" applyFont="1" applyFill="1" applyBorder="1" applyAlignment="1">
      <alignment horizontal="center" vertical="center" wrapText="1"/>
    </xf>
    <xf numFmtId="1" fontId="10" fillId="6" borderId="1" xfId="1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9" fontId="12" fillId="3" borderId="1" xfId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" fontId="12" fillId="3" borderId="1" xfId="1" applyNumberFormat="1" applyFont="1" applyFill="1" applyBorder="1" applyAlignment="1">
      <alignment horizontal="center" vertical="center" wrapText="1"/>
    </xf>
    <xf numFmtId="9" fontId="12" fillId="4" borderId="1" xfId="1" applyFont="1" applyFill="1" applyBorder="1" applyAlignment="1">
      <alignment horizontal="center" vertical="center" wrapText="1"/>
    </xf>
    <xf numFmtId="9" fontId="12" fillId="3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9" fontId="12" fillId="0" borderId="1" xfId="1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9" fontId="11" fillId="0" borderId="1" xfId="1" applyFont="1" applyBorder="1" applyAlignment="1">
      <alignment horizontal="center" vertical="center" wrapText="1"/>
    </xf>
    <xf numFmtId="1" fontId="11" fillId="0" borderId="1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9" fontId="12" fillId="0" borderId="1" xfId="1" applyFont="1" applyFill="1" applyBorder="1" applyAlignment="1">
      <alignment horizontal="center" vertical="center" wrapText="1"/>
    </xf>
    <xf numFmtId="1" fontId="12" fillId="0" borderId="1" xfId="1" applyNumberFormat="1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9" fontId="11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Percent 2" xfId="2" xr:uid="{6AE1D523-B7EE-4EA2-9B03-B6EDB101A8FB}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ACD4-275F-4C9A-974B-AFD888C0C24A}">
  <dimension ref="A1:AV13"/>
  <sheetViews>
    <sheetView tabSelected="1" topLeftCell="K1" zoomScale="130" zoomScaleNormal="130" workbookViewId="0">
      <selection activeCell="P12" sqref="P12"/>
    </sheetView>
  </sheetViews>
  <sheetFormatPr defaultRowHeight="14.4" x14ac:dyDescent="0.3"/>
  <cols>
    <col min="1" max="1" width="6.77734375" customWidth="1"/>
    <col min="2" max="2" width="14.44140625" bestFit="1" customWidth="1"/>
    <col min="3" max="3" width="6.77734375" customWidth="1"/>
    <col min="5" max="5" width="19.77734375" bestFit="1" customWidth="1"/>
    <col min="6" max="6" width="13.5546875" customWidth="1"/>
    <col min="7" max="7" width="12.44140625" customWidth="1"/>
    <col min="8" max="8" width="11.77734375" customWidth="1"/>
    <col min="9" max="9" width="14.77734375" customWidth="1"/>
    <col min="10" max="10" width="9" customWidth="1"/>
    <col min="11" max="11" width="22.77734375" customWidth="1"/>
    <col min="12" max="12" width="42.21875" customWidth="1"/>
    <col min="13" max="13" width="51.77734375" customWidth="1"/>
    <col min="14" max="14" width="14.21875" customWidth="1"/>
    <col min="15" max="15" width="8.88671875" bestFit="1" customWidth="1"/>
    <col min="16" max="16" width="21.44140625" customWidth="1"/>
    <col min="17" max="17" width="17.6640625" bestFit="1" customWidth="1"/>
    <col min="18" max="18" width="13.77734375" bestFit="1" customWidth="1"/>
    <col min="19" max="19" width="3.88671875" bestFit="1" customWidth="1"/>
    <col min="20" max="20" width="7.77734375" customWidth="1"/>
  </cols>
  <sheetData>
    <row r="1" spans="1:48" ht="23.4" customHeight="1" x14ac:dyDescent="0.3">
      <c r="A1" s="38" t="s">
        <v>33</v>
      </c>
      <c r="B1" s="39" t="s">
        <v>32</v>
      </c>
      <c r="C1" s="39" t="s">
        <v>31</v>
      </c>
      <c r="D1" s="38" t="s">
        <v>30</v>
      </c>
      <c r="E1" s="39" t="s">
        <v>29</v>
      </c>
      <c r="F1" s="39" t="s">
        <v>28</v>
      </c>
      <c r="G1" s="39" t="s">
        <v>27</v>
      </c>
      <c r="H1" s="39" t="s">
        <v>26</v>
      </c>
      <c r="I1" s="39" t="s">
        <v>25</v>
      </c>
      <c r="J1" s="40" t="s">
        <v>24</v>
      </c>
      <c r="K1" s="39" t="s">
        <v>23</v>
      </c>
      <c r="L1" s="39" t="s">
        <v>22</v>
      </c>
      <c r="M1" s="39" t="s">
        <v>21</v>
      </c>
      <c r="N1" s="39" t="s">
        <v>20</v>
      </c>
      <c r="O1" s="40" t="s">
        <v>19</v>
      </c>
      <c r="P1" s="39" t="s">
        <v>18</v>
      </c>
      <c r="Q1" s="41" t="s">
        <v>17</v>
      </c>
      <c r="R1" s="42" t="s">
        <v>16</v>
      </c>
      <c r="S1" s="43" t="s">
        <v>15</v>
      </c>
      <c r="T1" s="40" t="s">
        <v>14</v>
      </c>
    </row>
    <row r="2" spans="1:48" s="13" customFormat="1" ht="25.2" x14ac:dyDescent="0.2">
      <c r="A2" s="44">
        <v>2070</v>
      </c>
      <c r="B2" s="45" t="s">
        <v>3</v>
      </c>
      <c r="C2" s="46" t="s">
        <v>35</v>
      </c>
      <c r="D2" s="45" t="s">
        <v>37</v>
      </c>
      <c r="E2" s="63" t="s">
        <v>36</v>
      </c>
      <c r="F2" s="63" t="s">
        <v>67</v>
      </c>
      <c r="G2" s="63" t="s">
        <v>68</v>
      </c>
      <c r="H2" s="63" t="s">
        <v>69</v>
      </c>
      <c r="I2" s="47" t="s">
        <v>9</v>
      </c>
      <c r="J2" s="48">
        <v>0.3</v>
      </c>
      <c r="K2" s="49" t="s">
        <v>38</v>
      </c>
      <c r="L2" s="61" t="s">
        <v>56</v>
      </c>
      <c r="M2" s="49" t="s">
        <v>58</v>
      </c>
      <c r="N2" s="48">
        <v>0.95</v>
      </c>
      <c r="O2" s="48">
        <v>0.15</v>
      </c>
      <c r="P2" s="48">
        <v>0.95</v>
      </c>
      <c r="Q2" s="48">
        <f>ROUND(IF(OR(N2="",P2=""),0,IF(AND(N2=0,P2=0),1,IF(S2="+",P2/N2,N2/P2))),2)</f>
        <v>1</v>
      </c>
      <c r="R2" s="50">
        <f>IF(AND(Q2&gt;=60%,Q2&lt;100%),Q2*((O2*J2)),IF(Q2=100%,((O2*J2)*Q2)*100%,IF(Q2&gt;100%,((J2*O2)*100%)*100%,0)))*100</f>
        <v>4.5</v>
      </c>
      <c r="S2" s="48" t="s">
        <v>0</v>
      </c>
      <c r="T2" s="51">
        <f>SUM(R2:R12)%</f>
        <v>0.19</v>
      </c>
      <c r="U2" s="12"/>
      <c r="V2" s="12"/>
      <c r="W2" s="12"/>
      <c r="X2" s="12"/>
      <c r="Y2" s="12"/>
      <c r="Z2" s="12"/>
      <c r="AA2" s="12"/>
      <c r="AB2" s="12"/>
      <c r="AC2" s="12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</row>
    <row r="3" spans="1:48" s="13" customFormat="1" ht="25.2" x14ac:dyDescent="0.2">
      <c r="A3" s="44">
        <v>2071</v>
      </c>
      <c r="B3" s="45" t="s">
        <v>3</v>
      </c>
      <c r="C3" s="46" t="s">
        <v>35</v>
      </c>
      <c r="D3" s="45" t="s">
        <v>37</v>
      </c>
      <c r="E3" s="63" t="s">
        <v>36</v>
      </c>
      <c r="F3" s="63" t="s">
        <v>67</v>
      </c>
      <c r="G3" s="63" t="s">
        <v>68</v>
      </c>
      <c r="H3" s="63" t="s">
        <v>69</v>
      </c>
      <c r="I3" s="47" t="s">
        <v>9</v>
      </c>
      <c r="J3" s="48">
        <v>0.3</v>
      </c>
      <c r="K3" s="49" t="s">
        <v>39</v>
      </c>
      <c r="L3" s="61" t="s">
        <v>57</v>
      </c>
      <c r="M3" s="49" t="s">
        <v>60</v>
      </c>
      <c r="N3" s="50">
        <v>12</v>
      </c>
      <c r="O3" s="48">
        <v>0.1</v>
      </c>
      <c r="P3" s="52">
        <v>0.12</v>
      </c>
      <c r="Q3" s="48">
        <f>ROUND(IF(OR(N3="",P3=""),0,IF(AND(N3=0,P3=0),1,IF(S3="+",P3/N3,N3/P3))),2)</f>
        <v>100</v>
      </c>
      <c r="R3" s="50">
        <f>IF(AND(Q3&gt;=60%,Q3&lt;100%),Q3*((O3*J3)),IF(Q3=100%,((O3*J3)*Q3)*100%,IF(Q3&gt;100%,((J3*O3)*100%)*100%,0)))*100</f>
        <v>3</v>
      </c>
      <c r="S3" s="48" t="s">
        <v>10</v>
      </c>
      <c r="T3" s="48"/>
      <c r="U3" s="12"/>
      <c r="V3" s="12"/>
      <c r="W3" s="12"/>
      <c r="X3" s="12"/>
      <c r="Y3" s="12"/>
      <c r="Z3" s="12"/>
      <c r="AA3" s="12"/>
      <c r="AB3" s="12"/>
      <c r="AC3" s="12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</row>
    <row r="4" spans="1:48" s="13" customFormat="1" ht="25.2" x14ac:dyDescent="0.2">
      <c r="A4" s="44">
        <v>2072</v>
      </c>
      <c r="B4" s="45" t="s">
        <v>3</v>
      </c>
      <c r="C4" s="46" t="s">
        <v>35</v>
      </c>
      <c r="D4" s="45" t="s">
        <v>37</v>
      </c>
      <c r="E4" s="63" t="s">
        <v>36</v>
      </c>
      <c r="F4" s="63" t="s">
        <v>67</v>
      </c>
      <c r="G4" s="63" t="s">
        <v>68</v>
      </c>
      <c r="H4" s="63" t="s">
        <v>69</v>
      </c>
      <c r="I4" s="47" t="s">
        <v>9</v>
      </c>
      <c r="J4" s="48">
        <v>0.3</v>
      </c>
      <c r="K4" s="49" t="s">
        <v>40</v>
      </c>
      <c r="L4" s="61" t="s">
        <v>55</v>
      </c>
      <c r="M4" s="49" t="s">
        <v>59</v>
      </c>
      <c r="N4" s="48">
        <v>1</v>
      </c>
      <c r="O4" s="48">
        <v>0.05</v>
      </c>
      <c r="P4" s="52">
        <v>1</v>
      </c>
      <c r="Q4" s="48">
        <f t="shared" ref="Q4:Q12" si="0">ROUND(IF(OR(N4="",P4=""),0,IF(AND(N4=0,P4=0),1,IF(S4="+",P4/N4,N4/P4))),2)</f>
        <v>1</v>
      </c>
      <c r="R4" s="50">
        <f>IF(AND(Q4&gt;=60%,Q4&lt;100%),Q4*((O4*J4)),IF(Q4=100%,((O4*J4)*Q4)*100%,IF(Q4&gt;100%,((J4*O4)*100%)*100%,0)))*100</f>
        <v>1.5</v>
      </c>
      <c r="S4" s="48" t="s">
        <v>0</v>
      </c>
      <c r="T4" s="48"/>
      <c r="U4" s="12"/>
      <c r="V4" s="12"/>
      <c r="W4" s="12"/>
      <c r="X4" s="12"/>
      <c r="Y4" s="12"/>
      <c r="Z4" s="12"/>
      <c r="AA4" s="12"/>
      <c r="AB4" s="12"/>
      <c r="AC4" s="12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</row>
    <row r="5" spans="1:48" s="13" customFormat="1" ht="25.2" x14ac:dyDescent="0.2">
      <c r="A5" s="44">
        <v>2073</v>
      </c>
      <c r="B5" s="45" t="s">
        <v>3</v>
      </c>
      <c r="C5" s="46" t="s">
        <v>35</v>
      </c>
      <c r="D5" s="45" t="s">
        <v>37</v>
      </c>
      <c r="E5" s="63" t="s">
        <v>36</v>
      </c>
      <c r="F5" s="63" t="s">
        <v>67</v>
      </c>
      <c r="G5" s="63" t="s">
        <v>68</v>
      </c>
      <c r="H5" s="63" t="s">
        <v>69</v>
      </c>
      <c r="I5" s="47" t="s">
        <v>9</v>
      </c>
      <c r="J5" s="48">
        <v>0.3</v>
      </c>
      <c r="K5" s="49" t="s">
        <v>41</v>
      </c>
      <c r="L5" s="61" t="s">
        <v>54</v>
      </c>
      <c r="M5" s="49" t="s">
        <v>61</v>
      </c>
      <c r="N5" s="50">
        <v>100</v>
      </c>
      <c r="O5" s="48">
        <v>0.15</v>
      </c>
      <c r="P5" s="64">
        <v>1</v>
      </c>
      <c r="Q5" s="48">
        <f t="shared" si="0"/>
        <v>0.01</v>
      </c>
      <c r="R5" s="50">
        <f>IF(AND(Q5&gt;=60%,Q5&lt;100%),Q5*((O5*J5)),IF(Q5=100%,((O5*J5)*Q5)*100%,IF(Q5&gt;100%,((J5*O5)*100%)*100%,0)))*100</f>
        <v>0</v>
      </c>
      <c r="S5" s="48" t="s">
        <v>0</v>
      </c>
      <c r="T5" s="48"/>
      <c r="U5" s="12"/>
      <c r="V5" s="12"/>
      <c r="W5" s="12"/>
      <c r="X5" s="12"/>
      <c r="Y5" s="12"/>
      <c r="Z5" s="12"/>
      <c r="AA5" s="12"/>
      <c r="AB5" s="12"/>
      <c r="AC5" s="12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</row>
    <row r="6" spans="1:48" s="13" customFormat="1" ht="25.2" x14ac:dyDescent="0.2">
      <c r="A6" s="44">
        <v>2074</v>
      </c>
      <c r="B6" s="45" t="s">
        <v>3</v>
      </c>
      <c r="C6" s="46" t="s">
        <v>35</v>
      </c>
      <c r="D6" s="45" t="s">
        <v>37</v>
      </c>
      <c r="E6" s="63" t="s">
        <v>36</v>
      </c>
      <c r="F6" s="63" t="s">
        <v>67</v>
      </c>
      <c r="G6" s="63" t="s">
        <v>68</v>
      </c>
      <c r="H6" s="63" t="s">
        <v>69</v>
      </c>
      <c r="I6" s="47" t="s">
        <v>9</v>
      </c>
      <c r="J6" s="48">
        <v>0.3</v>
      </c>
      <c r="K6" s="49" t="s">
        <v>42</v>
      </c>
      <c r="L6" s="61" t="s">
        <v>53</v>
      </c>
      <c r="M6" s="49" t="s">
        <v>62</v>
      </c>
      <c r="N6" s="48">
        <v>0.1</v>
      </c>
      <c r="O6" s="48">
        <v>0.1</v>
      </c>
      <c r="P6" s="54">
        <v>0.1</v>
      </c>
      <c r="Q6" s="48">
        <f>ROUND(IF(OR(N6="",P6=""),0,IF(AND(N6=0,P6=0),1,IF(S6="+",P6/N6,N6/P6))),2)</f>
        <v>1</v>
      </c>
      <c r="R6" s="50">
        <f t="shared" ref="R6:R12" si="1">IF(AND(Q6&gt;=60%,Q6&lt;100%),Q6*((O6*J6)),IF(Q6=100%,((O6*J6)*Q6)*100%,IF(Q6&gt;100%,((J6*O6)*100%)*100%,0)))*100</f>
        <v>3</v>
      </c>
      <c r="S6" s="48" t="s">
        <v>10</v>
      </c>
      <c r="T6" s="48"/>
      <c r="U6" s="12"/>
      <c r="V6" s="12"/>
      <c r="W6" s="12"/>
      <c r="X6" s="12"/>
      <c r="Y6" s="12"/>
      <c r="Z6" s="12"/>
      <c r="AA6" s="12"/>
      <c r="AB6" s="12"/>
      <c r="AC6" s="12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</row>
    <row r="7" spans="1:48" s="13" customFormat="1" ht="25.2" x14ac:dyDescent="0.2">
      <c r="A7" s="44">
        <v>2075</v>
      </c>
      <c r="B7" s="45" t="s">
        <v>3</v>
      </c>
      <c r="C7" s="46" t="s">
        <v>35</v>
      </c>
      <c r="D7" s="45" t="s">
        <v>37</v>
      </c>
      <c r="E7" s="63" t="s">
        <v>36</v>
      </c>
      <c r="F7" s="63" t="s">
        <v>67</v>
      </c>
      <c r="G7" s="63" t="s">
        <v>68</v>
      </c>
      <c r="H7" s="63" t="s">
        <v>69</v>
      </c>
      <c r="I7" s="47" t="s">
        <v>9</v>
      </c>
      <c r="J7" s="54">
        <v>0.3</v>
      </c>
      <c r="K7" s="53" t="s">
        <v>43</v>
      </c>
      <c r="L7" s="62" t="s">
        <v>52</v>
      </c>
      <c r="M7" s="53" t="s">
        <v>63</v>
      </c>
      <c r="N7" s="54">
        <v>0.05</v>
      </c>
      <c r="O7" s="56">
        <v>0.05</v>
      </c>
      <c r="P7" s="54">
        <v>0.05</v>
      </c>
      <c r="Q7" s="56">
        <f t="shared" si="0"/>
        <v>1</v>
      </c>
      <c r="R7" s="57">
        <f t="shared" si="1"/>
        <v>1.5</v>
      </c>
      <c r="S7" s="56" t="s">
        <v>10</v>
      </c>
      <c r="T7" s="56"/>
      <c r="U7" s="12"/>
      <c r="V7" s="12"/>
      <c r="W7" s="12"/>
      <c r="X7" s="12"/>
      <c r="Y7" s="12"/>
      <c r="Z7" s="12"/>
      <c r="AA7" s="12"/>
      <c r="AB7" s="12"/>
      <c r="AC7" s="12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</row>
    <row r="8" spans="1:48" s="13" customFormat="1" ht="25.2" x14ac:dyDescent="0.2">
      <c r="A8" s="44">
        <v>2076</v>
      </c>
      <c r="B8" s="45" t="s">
        <v>3</v>
      </c>
      <c r="C8" s="46" t="s">
        <v>35</v>
      </c>
      <c r="D8" s="45" t="s">
        <v>37</v>
      </c>
      <c r="E8" s="63" t="s">
        <v>36</v>
      </c>
      <c r="F8" s="63" t="s">
        <v>67</v>
      </c>
      <c r="G8" s="63" t="s">
        <v>68</v>
      </c>
      <c r="H8" s="63" t="s">
        <v>69</v>
      </c>
      <c r="I8" s="53" t="s">
        <v>2</v>
      </c>
      <c r="J8" s="54">
        <v>0.15</v>
      </c>
      <c r="K8" s="53" t="s">
        <v>44</v>
      </c>
      <c r="L8" s="62" t="s">
        <v>51</v>
      </c>
      <c r="M8" s="53" t="s">
        <v>64</v>
      </c>
      <c r="N8" s="54">
        <v>0.7</v>
      </c>
      <c r="O8" s="56">
        <v>0.1</v>
      </c>
      <c r="P8" s="54">
        <v>0.7</v>
      </c>
      <c r="Q8" s="56">
        <f t="shared" si="0"/>
        <v>1</v>
      </c>
      <c r="R8" s="57">
        <f t="shared" si="1"/>
        <v>1.5</v>
      </c>
      <c r="S8" s="56" t="s">
        <v>0</v>
      </c>
      <c r="T8" s="56"/>
      <c r="U8" s="12"/>
      <c r="V8" s="12"/>
      <c r="W8" s="12"/>
      <c r="X8" s="12"/>
      <c r="Y8" s="12"/>
      <c r="Z8" s="12"/>
      <c r="AA8" s="12"/>
      <c r="AB8" s="12"/>
      <c r="AC8" s="12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</row>
    <row r="9" spans="1:48" s="13" customFormat="1" ht="25.2" x14ac:dyDescent="0.2">
      <c r="A9" s="44">
        <v>2077</v>
      </c>
      <c r="B9" s="45" t="s">
        <v>3</v>
      </c>
      <c r="C9" s="46" t="s">
        <v>35</v>
      </c>
      <c r="D9" s="45" t="s">
        <v>37</v>
      </c>
      <c r="E9" s="63" t="s">
        <v>36</v>
      </c>
      <c r="F9" s="63" t="s">
        <v>67</v>
      </c>
      <c r="G9" s="63" t="s">
        <v>68</v>
      </c>
      <c r="H9" s="63" t="s">
        <v>69</v>
      </c>
      <c r="I9" s="53" t="s">
        <v>2</v>
      </c>
      <c r="J9" s="54">
        <v>0.15</v>
      </c>
      <c r="K9" s="53" t="s">
        <v>45</v>
      </c>
      <c r="L9" s="62" t="s">
        <v>50</v>
      </c>
      <c r="M9" s="53" t="s">
        <v>65</v>
      </c>
      <c r="N9" s="50">
        <v>1000</v>
      </c>
      <c r="O9" s="56">
        <v>0.05</v>
      </c>
      <c r="P9" s="58">
        <v>1000</v>
      </c>
      <c r="Q9" s="56">
        <f>ROUND(IF(OR(N9="",P9=""),0,IF(AND(N9=0,P9=0),1,IF(S9="+",P9/N9,N9/P9))),2)</f>
        <v>1</v>
      </c>
      <c r="R9" s="57">
        <f t="shared" si="1"/>
        <v>0.75</v>
      </c>
      <c r="S9" s="56" t="s">
        <v>10</v>
      </c>
      <c r="T9" s="56"/>
      <c r="U9" s="12"/>
      <c r="V9" s="12"/>
      <c r="W9" s="12"/>
      <c r="X9" s="12"/>
      <c r="Y9" s="12"/>
      <c r="Z9" s="12"/>
      <c r="AA9" s="12"/>
      <c r="AB9" s="12"/>
      <c r="AC9" s="12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</row>
    <row r="10" spans="1:48" s="13" customFormat="1" ht="25.2" x14ac:dyDescent="0.2">
      <c r="A10" s="44">
        <v>2078</v>
      </c>
      <c r="B10" s="45" t="s">
        <v>3</v>
      </c>
      <c r="C10" s="46" t="s">
        <v>35</v>
      </c>
      <c r="D10" s="45" t="s">
        <v>37</v>
      </c>
      <c r="E10" s="63" t="s">
        <v>36</v>
      </c>
      <c r="F10" s="63" t="s">
        <v>67</v>
      </c>
      <c r="G10" s="63" t="s">
        <v>68</v>
      </c>
      <c r="H10" s="63" t="s">
        <v>69</v>
      </c>
      <c r="I10" s="53" t="s">
        <v>9</v>
      </c>
      <c r="J10" s="54">
        <v>0.05</v>
      </c>
      <c r="K10" s="53"/>
      <c r="L10" s="62" t="s">
        <v>46</v>
      </c>
      <c r="M10" s="53"/>
      <c r="N10" s="60">
        <v>0</v>
      </c>
      <c r="O10" s="56">
        <v>0.05</v>
      </c>
      <c r="P10" s="58">
        <v>0</v>
      </c>
      <c r="Q10" s="56">
        <f>ROUND(IF(OR(N10="",P10=""),0,IF(AND(N10=0,P10=0),1,IF(S10="+",P10/N10,N10/P10))),2)</f>
        <v>1</v>
      </c>
      <c r="R10" s="57">
        <f t="shared" si="1"/>
        <v>0.25000000000000006</v>
      </c>
      <c r="S10" s="56" t="s">
        <v>0</v>
      </c>
      <c r="T10" s="56"/>
      <c r="U10" s="12"/>
      <c r="V10" s="12"/>
      <c r="W10" s="12"/>
      <c r="X10" s="12"/>
      <c r="Y10" s="12"/>
      <c r="Z10" s="12"/>
      <c r="AA10" s="12"/>
      <c r="AB10" s="12"/>
      <c r="AC10" s="12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</row>
    <row r="11" spans="1:48" s="13" customFormat="1" ht="25.2" x14ac:dyDescent="0.2">
      <c r="A11" s="44">
        <v>2079</v>
      </c>
      <c r="B11" s="45" t="s">
        <v>3</v>
      </c>
      <c r="C11" s="46" t="s">
        <v>35</v>
      </c>
      <c r="D11" s="45" t="s">
        <v>37</v>
      </c>
      <c r="E11" s="63" t="s">
        <v>36</v>
      </c>
      <c r="F11" s="63" t="s">
        <v>67</v>
      </c>
      <c r="G11" s="63" t="s">
        <v>68</v>
      </c>
      <c r="H11" s="63" t="s">
        <v>69</v>
      </c>
      <c r="I11" s="53" t="s">
        <v>9</v>
      </c>
      <c r="J11" s="54">
        <v>0.15</v>
      </c>
      <c r="K11" s="53"/>
      <c r="L11" s="62" t="s">
        <v>48</v>
      </c>
      <c r="M11" s="53"/>
      <c r="N11" s="54">
        <v>1</v>
      </c>
      <c r="O11" s="56">
        <v>0.15</v>
      </c>
      <c r="P11" s="54">
        <v>1</v>
      </c>
      <c r="Q11" s="56">
        <f t="shared" si="0"/>
        <v>1</v>
      </c>
      <c r="R11" s="57">
        <f t="shared" si="1"/>
        <v>2.25</v>
      </c>
      <c r="S11" s="56" t="s">
        <v>0</v>
      </c>
      <c r="T11" s="56"/>
      <c r="U11" s="12"/>
      <c r="V11" s="12"/>
      <c r="W11" s="12"/>
      <c r="X11" s="12"/>
      <c r="Y11" s="12"/>
      <c r="Z11" s="12"/>
      <c r="AA11" s="12"/>
      <c r="AB11" s="12"/>
      <c r="AC11" s="12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</row>
    <row r="12" spans="1:48" s="13" customFormat="1" ht="25.2" x14ac:dyDescent="0.2">
      <c r="A12" s="44">
        <v>2080</v>
      </c>
      <c r="B12" s="45" t="s">
        <v>3</v>
      </c>
      <c r="C12" s="46" t="s">
        <v>35</v>
      </c>
      <c r="D12" s="45" t="s">
        <v>37</v>
      </c>
      <c r="E12" s="63" t="s">
        <v>36</v>
      </c>
      <c r="F12" s="63" t="s">
        <v>67</v>
      </c>
      <c r="G12" s="63" t="s">
        <v>68</v>
      </c>
      <c r="H12" s="63" t="s">
        <v>69</v>
      </c>
      <c r="I12" s="53" t="s">
        <v>2</v>
      </c>
      <c r="J12" s="54">
        <v>0.15</v>
      </c>
      <c r="K12" s="53" t="s">
        <v>47</v>
      </c>
      <c r="L12" s="62" t="s">
        <v>49</v>
      </c>
      <c r="M12" s="53" t="s">
        <v>66</v>
      </c>
      <c r="N12" s="60">
        <v>1</v>
      </c>
      <c r="O12" s="56">
        <v>0.05</v>
      </c>
      <c r="P12" s="55">
        <v>1</v>
      </c>
      <c r="Q12" s="56">
        <f t="shared" si="0"/>
        <v>1</v>
      </c>
      <c r="R12" s="57">
        <f t="shared" si="1"/>
        <v>0.75</v>
      </c>
      <c r="S12" s="56" t="s">
        <v>0</v>
      </c>
      <c r="T12" s="59"/>
      <c r="U12" s="12"/>
      <c r="V12" s="12"/>
      <c r="W12" s="12"/>
      <c r="X12" s="12"/>
      <c r="Y12" s="12"/>
      <c r="Z12" s="12"/>
      <c r="AA12" s="12"/>
      <c r="AB12" s="12"/>
      <c r="AC12" s="12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</row>
    <row r="13" spans="1:48" x14ac:dyDescent="0.3">
      <c r="P13" s="65" t="s">
        <v>70</v>
      </c>
    </row>
  </sheetData>
  <autoFilter ref="A1:T12" xr:uid="{EF69ACD4-275F-4C9A-974B-AFD888C0C24A}"/>
  <phoneticPr fontId="2" type="noConversion"/>
  <conditionalFormatting sqref="I1:I12 K1:M12">
    <cfRule type="cellIs" dxfId="1" priority="1" operator="equal">
      <formula>"maintasks"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661B-8CB2-466F-8DBB-EB69CD48EE90}">
  <dimension ref="A1:AV22"/>
  <sheetViews>
    <sheetView topLeftCell="B1" workbookViewId="0">
      <selection activeCell="K3" sqref="K3:K12"/>
    </sheetView>
  </sheetViews>
  <sheetFormatPr defaultRowHeight="14.4" x14ac:dyDescent="0.3"/>
  <cols>
    <col min="1" max="1" width="6.77734375" customWidth="1"/>
    <col min="2" max="2" width="14.44140625" bestFit="1" customWidth="1"/>
    <col min="3" max="3" width="6.77734375" customWidth="1"/>
    <col min="5" max="5" width="19.77734375" bestFit="1" customWidth="1"/>
    <col min="6" max="6" width="13.5546875" customWidth="1"/>
    <col min="7" max="7" width="12.44140625" customWidth="1"/>
    <col min="8" max="8" width="11.77734375" customWidth="1"/>
    <col min="9" max="9" width="14.77734375" customWidth="1"/>
    <col min="10" max="10" width="6.77734375" customWidth="1"/>
    <col min="11" max="11" width="22.77734375" customWidth="1"/>
    <col min="12" max="12" width="42.21875" customWidth="1"/>
    <col min="13" max="13" width="51.77734375" customWidth="1"/>
    <col min="14" max="14" width="14.21875" customWidth="1"/>
    <col min="15" max="15" width="7.77734375" customWidth="1"/>
    <col min="16" max="16" width="21.44140625" customWidth="1"/>
    <col min="17" max="20" width="7.77734375" customWidth="1"/>
    <col min="30" max="46" width="9.21875"/>
  </cols>
  <sheetData>
    <row r="1" spans="1:48" x14ac:dyDescent="0.3">
      <c r="A1" s="23" t="s">
        <v>33</v>
      </c>
      <c r="B1" s="24" t="s">
        <v>32</v>
      </c>
      <c r="C1" s="24" t="s">
        <v>31</v>
      </c>
      <c r="D1" s="23" t="s">
        <v>30</v>
      </c>
      <c r="E1" s="24" t="s">
        <v>29</v>
      </c>
      <c r="F1" s="24" t="s">
        <v>28</v>
      </c>
      <c r="G1" s="24" t="s">
        <v>27</v>
      </c>
      <c r="H1" s="24" t="s">
        <v>26</v>
      </c>
      <c r="I1" s="24" t="s">
        <v>25</v>
      </c>
      <c r="J1" s="25" t="s">
        <v>24</v>
      </c>
      <c r="K1" s="24" t="s">
        <v>23</v>
      </c>
      <c r="L1" s="24" t="s">
        <v>22</v>
      </c>
      <c r="M1" s="26" t="s">
        <v>21</v>
      </c>
      <c r="N1" s="24" t="s">
        <v>20</v>
      </c>
      <c r="O1" s="27" t="s">
        <v>19</v>
      </c>
      <c r="P1" s="24" t="s">
        <v>18</v>
      </c>
      <c r="Q1" s="28" t="s">
        <v>17</v>
      </c>
      <c r="R1" s="29" t="s">
        <v>16</v>
      </c>
      <c r="S1" s="30" t="s">
        <v>15</v>
      </c>
      <c r="T1" s="27" t="s">
        <v>14</v>
      </c>
    </row>
    <row r="2" spans="1:48" s="13" customFormat="1" ht="10.199999999999999" x14ac:dyDescent="0.2">
      <c r="A2" s="31">
        <v>2070</v>
      </c>
      <c r="B2" s="5" t="s">
        <v>3</v>
      </c>
      <c r="C2" s="32" t="s">
        <v>35</v>
      </c>
      <c r="D2" s="5"/>
      <c r="E2" s="5"/>
      <c r="F2" s="5"/>
      <c r="G2" s="5"/>
      <c r="H2" s="5"/>
      <c r="I2" s="14" t="s">
        <v>9</v>
      </c>
      <c r="J2" s="15">
        <v>0.8</v>
      </c>
      <c r="K2" s="9"/>
      <c r="L2" s="8"/>
      <c r="M2" s="33"/>
      <c r="N2" s="16"/>
      <c r="O2" s="15">
        <v>0.1</v>
      </c>
      <c r="P2" s="15"/>
      <c r="Q2" s="15">
        <f t="shared" ref="Q2:Q12" si="0">ROUND(IF(OR(N2="",P2=""),0,IF(AND(N2=0,P2=0),1,IF(S2="+",P2/N2,N2/P2))),2)</f>
        <v>0</v>
      </c>
      <c r="R2" s="18">
        <f t="shared" ref="R2:R12" si="1">IF(AND(Q2&gt;=60%,Q2&lt;100%),Q2*((O2*J2)),IF(Q2=100%,((O2*J2)*Q2)*100%,IF(Q2&gt;100%,((J2*O2)*100%)*100%,0)))*100</f>
        <v>0</v>
      </c>
      <c r="S2" s="15" t="s">
        <v>10</v>
      </c>
      <c r="T2" s="19">
        <f>SUM(R2:R12)%</f>
        <v>0</v>
      </c>
      <c r="U2" s="12"/>
      <c r="V2" s="12"/>
      <c r="W2" s="12"/>
      <c r="X2" s="12"/>
      <c r="Y2" s="12"/>
      <c r="Z2" s="12"/>
      <c r="AA2" s="12"/>
      <c r="AB2" s="12"/>
      <c r="AC2" s="12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</row>
    <row r="3" spans="1:48" s="13" customFormat="1" ht="10.199999999999999" x14ac:dyDescent="0.2">
      <c r="A3" s="31">
        <v>2071</v>
      </c>
      <c r="B3" s="5" t="s">
        <v>3</v>
      </c>
      <c r="C3" s="32" t="s">
        <v>35</v>
      </c>
      <c r="D3" s="5"/>
      <c r="E3" s="5"/>
      <c r="F3" s="5"/>
      <c r="G3" s="5"/>
      <c r="H3" s="5"/>
      <c r="I3" s="14" t="s">
        <v>9</v>
      </c>
      <c r="J3" s="15">
        <v>0.8</v>
      </c>
      <c r="K3" s="9" t="s">
        <v>13</v>
      </c>
      <c r="L3" s="8"/>
      <c r="M3" s="8"/>
      <c r="N3" s="16"/>
      <c r="O3" s="15">
        <v>0.2</v>
      </c>
      <c r="P3" s="10"/>
      <c r="Q3" s="15">
        <f>ROUND(IF(OR(N3="",P3=""),0,IF(AND(N3=0,P3=0),1,IF(S3="+",P3/N3,N3/P3))),2)</f>
        <v>0</v>
      </c>
      <c r="R3" s="18">
        <f t="shared" si="1"/>
        <v>0</v>
      </c>
      <c r="S3" s="15" t="s">
        <v>10</v>
      </c>
      <c r="T3" s="15"/>
      <c r="U3" s="12"/>
      <c r="V3" s="12"/>
      <c r="W3" s="12"/>
      <c r="X3" s="12"/>
      <c r="Y3" s="12"/>
      <c r="Z3" s="12"/>
      <c r="AA3" s="12"/>
      <c r="AB3" s="12"/>
      <c r="AC3" s="12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</row>
    <row r="4" spans="1:48" s="13" customFormat="1" ht="10.199999999999999" x14ac:dyDescent="0.2">
      <c r="A4" s="31">
        <v>2072</v>
      </c>
      <c r="B4" s="5" t="s">
        <v>3</v>
      </c>
      <c r="C4" s="32" t="s">
        <v>35</v>
      </c>
      <c r="D4" s="5"/>
      <c r="E4" s="5"/>
      <c r="F4" s="5"/>
      <c r="G4" s="5"/>
      <c r="H4" s="5"/>
      <c r="I4" s="14" t="s">
        <v>9</v>
      </c>
      <c r="J4" s="15">
        <v>0.8</v>
      </c>
      <c r="K4" s="9" t="s">
        <v>12</v>
      </c>
      <c r="L4" s="8"/>
      <c r="M4" s="8"/>
      <c r="N4" s="11"/>
      <c r="O4" s="15">
        <v>0.2</v>
      </c>
      <c r="P4" s="10"/>
      <c r="Q4" s="15">
        <f t="shared" si="0"/>
        <v>0</v>
      </c>
      <c r="R4" s="18">
        <f t="shared" si="1"/>
        <v>0</v>
      </c>
      <c r="S4" s="15" t="s">
        <v>0</v>
      </c>
      <c r="T4" s="15"/>
      <c r="U4" s="12"/>
      <c r="V4" s="12"/>
      <c r="W4" s="12"/>
      <c r="X4" s="12"/>
      <c r="Y4" s="12"/>
      <c r="Z4" s="12"/>
      <c r="AA4" s="12"/>
      <c r="AB4" s="12"/>
      <c r="AC4" s="12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</row>
    <row r="5" spans="1:48" s="13" customFormat="1" ht="10.199999999999999" x14ac:dyDescent="0.2">
      <c r="A5" s="31">
        <v>2073</v>
      </c>
      <c r="B5" s="5" t="s">
        <v>3</v>
      </c>
      <c r="C5" s="32" t="s">
        <v>35</v>
      </c>
      <c r="D5" s="5"/>
      <c r="E5" s="5"/>
      <c r="F5" s="5"/>
      <c r="G5" s="5"/>
      <c r="H5" s="5"/>
      <c r="I5" s="14" t="s">
        <v>9</v>
      </c>
      <c r="J5" s="15">
        <v>0.8</v>
      </c>
      <c r="K5" s="9" t="s">
        <v>11</v>
      </c>
      <c r="L5" s="8"/>
      <c r="M5" s="8"/>
      <c r="N5" s="10"/>
      <c r="O5" s="15">
        <v>0.1</v>
      </c>
      <c r="P5" s="35"/>
      <c r="Q5" s="15">
        <f t="shared" si="0"/>
        <v>0</v>
      </c>
      <c r="R5" s="18">
        <f t="shared" si="1"/>
        <v>0</v>
      </c>
      <c r="S5" s="15" t="s">
        <v>10</v>
      </c>
      <c r="T5" s="15"/>
      <c r="U5" s="12"/>
      <c r="V5" s="12"/>
      <c r="W5" s="12"/>
      <c r="X5" s="12"/>
      <c r="Y5" s="12"/>
      <c r="Z5" s="12"/>
      <c r="AA5" s="12"/>
      <c r="AB5" s="12"/>
      <c r="AC5" s="12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</row>
    <row r="6" spans="1:48" s="13" customFormat="1" ht="10.199999999999999" x14ac:dyDescent="0.2">
      <c r="A6" s="31">
        <v>2074</v>
      </c>
      <c r="B6" s="5" t="s">
        <v>3</v>
      </c>
      <c r="C6" s="32" t="s">
        <v>35</v>
      </c>
      <c r="D6" s="5"/>
      <c r="E6" s="5"/>
      <c r="F6" s="5"/>
      <c r="G6" s="5"/>
      <c r="H6" s="5"/>
      <c r="I6" s="14" t="s">
        <v>9</v>
      </c>
      <c r="J6" s="15">
        <v>0.8</v>
      </c>
      <c r="K6" s="9" t="s">
        <v>8</v>
      </c>
      <c r="L6" s="8"/>
      <c r="M6" s="8"/>
      <c r="N6" s="7"/>
      <c r="O6" s="15">
        <v>0.15</v>
      </c>
      <c r="P6" s="36"/>
      <c r="Q6" s="15">
        <f t="shared" si="0"/>
        <v>0</v>
      </c>
      <c r="R6" s="18">
        <f t="shared" si="1"/>
        <v>0</v>
      </c>
      <c r="S6" s="15" t="s">
        <v>0</v>
      </c>
      <c r="T6" s="15"/>
      <c r="U6" s="12"/>
      <c r="V6" s="12"/>
      <c r="W6" s="12"/>
      <c r="X6" s="12"/>
      <c r="Y6" s="12"/>
      <c r="Z6" s="12"/>
      <c r="AA6" s="12"/>
      <c r="AB6" s="12"/>
      <c r="AC6" s="12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</row>
    <row r="7" spans="1:48" s="13" customFormat="1" ht="10.199999999999999" x14ac:dyDescent="0.2">
      <c r="A7" s="31">
        <v>2075</v>
      </c>
      <c r="B7" s="5" t="s">
        <v>3</v>
      </c>
      <c r="C7" s="32" t="s">
        <v>35</v>
      </c>
      <c r="D7" s="5"/>
      <c r="E7" s="5"/>
      <c r="F7" s="5"/>
      <c r="G7" s="5"/>
      <c r="H7" s="5"/>
      <c r="I7" s="4" t="s">
        <v>2</v>
      </c>
      <c r="J7" s="17">
        <v>0.2</v>
      </c>
      <c r="K7" s="3" t="s">
        <v>7</v>
      </c>
      <c r="L7" s="2"/>
      <c r="M7" s="2"/>
      <c r="N7" s="6"/>
      <c r="O7" s="20">
        <v>0.4</v>
      </c>
      <c r="P7" s="36"/>
      <c r="Q7" s="20">
        <f t="shared" si="0"/>
        <v>0</v>
      </c>
      <c r="R7" s="21">
        <f t="shared" si="1"/>
        <v>0</v>
      </c>
      <c r="S7" s="20" t="s">
        <v>0</v>
      </c>
      <c r="T7" s="20"/>
      <c r="U7" s="12"/>
      <c r="V7" s="12"/>
      <c r="W7" s="12"/>
      <c r="X7" s="12"/>
      <c r="Y7" s="12"/>
      <c r="Z7" s="12"/>
      <c r="AA7" s="12"/>
      <c r="AB7" s="12"/>
      <c r="AC7" s="12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</row>
    <row r="8" spans="1:48" s="13" customFormat="1" ht="10.199999999999999" x14ac:dyDescent="0.2">
      <c r="A8" s="31">
        <v>2076</v>
      </c>
      <c r="B8" s="5" t="s">
        <v>3</v>
      </c>
      <c r="C8" s="32" t="s">
        <v>35</v>
      </c>
      <c r="D8" s="5"/>
      <c r="E8" s="5"/>
      <c r="F8" s="5"/>
      <c r="G8" s="5"/>
      <c r="H8" s="5"/>
      <c r="I8" s="4" t="s">
        <v>2</v>
      </c>
      <c r="J8" s="17">
        <v>0.2</v>
      </c>
      <c r="K8" s="3" t="s">
        <v>6</v>
      </c>
      <c r="L8" s="2"/>
      <c r="M8" s="2"/>
      <c r="N8" s="6"/>
      <c r="O8" s="20">
        <v>0.15</v>
      </c>
      <c r="P8" s="36"/>
      <c r="Q8" s="20">
        <f t="shared" si="0"/>
        <v>0</v>
      </c>
      <c r="R8" s="21">
        <f t="shared" si="1"/>
        <v>0</v>
      </c>
      <c r="S8" s="20" t="s">
        <v>0</v>
      </c>
      <c r="T8" s="20"/>
      <c r="U8" s="12"/>
      <c r="V8" s="12"/>
      <c r="W8" s="12"/>
      <c r="X8" s="12"/>
      <c r="Y8" s="12"/>
      <c r="Z8" s="12"/>
      <c r="AA8" s="12"/>
      <c r="AB8" s="12"/>
      <c r="AC8" s="12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</row>
    <row r="9" spans="1:48" s="13" customFormat="1" ht="10.199999999999999" x14ac:dyDescent="0.2">
      <c r="A9" s="31">
        <v>2077</v>
      </c>
      <c r="B9" s="5" t="s">
        <v>3</v>
      </c>
      <c r="C9" s="32" t="s">
        <v>35</v>
      </c>
      <c r="D9" s="5"/>
      <c r="E9" s="5"/>
      <c r="F9" s="5"/>
      <c r="G9" s="5"/>
      <c r="H9" s="5"/>
      <c r="I9" s="4" t="s">
        <v>2</v>
      </c>
      <c r="J9" s="17">
        <v>0.2</v>
      </c>
      <c r="K9" s="3" t="s">
        <v>5</v>
      </c>
      <c r="L9" s="2"/>
      <c r="M9" s="34"/>
      <c r="N9" s="1"/>
      <c r="O9" s="20">
        <v>0.15</v>
      </c>
      <c r="P9" s="1"/>
      <c r="Q9" s="20">
        <f t="shared" si="0"/>
        <v>0</v>
      </c>
      <c r="R9" s="21">
        <f t="shared" si="1"/>
        <v>0</v>
      </c>
      <c r="S9" s="20" t="s">
        <v>0</v>
      </c>
      <c r="T9" s="20"/>
      <c r="U9" s="12"/>
      <c r="V9" s="12"/>
      <c r="W9" s="12"/>
      <c r="X9" s="12"/>
      <c r="Y9" s="12"/>
      <c r="Z9" s="12"/>
      <c r="AA9" s="12"/>
      <c r="AB9" s="12"/>
      <c r="AC9" s="12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</row>
    <row r="10" spans="1:48" s="13" customFormat="1" ht="10.199999999999999" x14ac:dyDescent="0.2">
      <c r="A10" s="31">
        <v>2078</v>
      </c>
      <c r="B10" s="5" t="s">
        <v>3</v>
      </c>
      <c r="C10" s="32" t="s">
        <v>35</v>
      </c>
      <c r="D10" s="5"/>
      <c r="E10" s="5"/>
      <c r="F10" s="5"/>
      <c r="G10" s="5"/>
      <c r="H10" s="5"/>
      <c r="I10" s="4" t="s">
        <v>2</v>
      </c>
      <c r="J10" s="17"/>
      <c r="K10" s="3"/>
      <c r="L10" s="2"/>
      <c r="M10" s="34"/>
      <c r="N10" s="1"/>
      <c r="O10" s="20"/>
      <c r="P10" s="1"/>
      <c r="Q10" s="20"/>
      <c r="R10" s="21"/>
      <c r="S10" s="20"/>
      <c r="T10" s="20"/>
      <c r="U10" s="12"/>
      <c r="V10" s="12"/>
      <c r="W10" s="12"/>
      <c r="X10" s="12"/>
      <c r="Y10" s="12"/>
      <c r="Z10" s="12"/>
      <c r="AA10" s="12"/>
      <c r="AB10" s="12"/>
      <c r="AC10" s="12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</row>
    <row r="11" spans="1:48" s="13" customFormat="1" ht="10.199999999999999" x14ac:dyDescent="0.2">
      <c r="A11" s="31">
        <v>2079</v>
      </c>
      <c r="B11" s="5" t="s">
        <v>3</v>
      </c>
      <c r="C11" s="32" t="s">
        <v>35</v>
      </c>
      <c r="D11" s="5"/>
      <c r="E11" s="5"/>
      <c r="F11" s="5"/>
      <c r="G11" s="5"/>
      <c r="H11" s="5"/>
      <c r="I11" s="4" t="s">
        <v>2</v>
      </c>
      <c r="J11" s="17">
        <v>0.2</v>
      </c>
      <c r="K11" s="3" t="s">
        <v>4</v>
      </c>
      <c r="L11" s="2"/>
      <c r="M11" s="2"/>
      <c r="N11" s="1"/>
      <c r="O11" s="20">
        <v>0.1</v>
      </c>
      <c r="P11" s="1"/>
      <c r="Q11" s="20">
        <f t="shared" si="0"/>
        <v>0</v>
      </c>
      <c r="R11" s="21">
        <f t="shared" si="1"/>
        <v>0</v>
      </c>
      <c r="S11" s="20" t="s">
        <v>0</v>
      </c>
      <c r="T11" s="20"/>
      <c r="U11" s="12"/>
      <c r="V11" s="12"/>
      <c r="W11" s="12"/>
      <c r="X11" s="12"/>
      <c r="Y11" s="12"/>
      <c r="Z11" s="12"/>
      <c r="AA11" s="12"/>
      <c r="AB11" s="12"/>
      <c r="AC11" s="12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</row>
    <row r="12" spans="1:48" s="13" customFormat="1" ht="10.199999999999999" x14ac:dyDescent="0.2">
      <c r="A12" s="31">
        <v>2080</v>
      </c>
      <c r="B12" s="5" t="s">
        <v>3</v>
      </c>
      <c r="C12" s="32" t="s">
        <v>35</v>
      </c>
      <c r="D12" s="5"/>
      <c r="E12" s="5"/>
      <c r="F12" s="5"/>
      <c r="G12" s="5"/>
      <c r="H12" s="5"/>
      <c r="I12" s="4" t="s">
        <v>2</v>
      </c>
      <c r="J12" s="17">
        <v>0.2</v>
      </c>
      <c r="K12" s="3" t="s">
        <v>1</v>
      </c>
      <c r="L12" s="2"/>
      <c r="M12" s="34"/>
      <c r="N12" s="6"/>
      <c r="O12" s="20">
        <v>0.2</v>
      </c>
      <c r="P12" s="6"/>
      <c r="Q12" s="20">
        <f t="shared" si="0"/>
        <v>0</v>
      </c>
      <c r="R12" s="21">
        <f t="shared" si="1"/>
        <v>0</v>
      </c>
      <c r="S12" s="20" t="s">
        <v>0</v>
      </c>
      <c r="T12" s="22"/>
      <c r="U12" s="12"/>
      <c r="V12" s="12"/>
      <c r="W12" s="12"/>
      <c r="X12" s="12"/>
      <c r="Y12" s="12"/>
      <c r="Z12" s="12"/>
      <c r="AA12" s="12"/>
      <c r="AB12" s="12"/>
      <c r="AC12" s="12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</row>
    <row r="13" spans="1:48" x14ac:dyDescent="0.3"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</row>
    <row r="14" spans="1:48" x14ac:dyDescent="0.3"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</row>
    <row r="15" spans="1:48" x14ac:dyDescent="0.3"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</row>
    <row r="22" spans="13:13" x14ac:dyDescent="0.3">
      <c r="M22" t="s">
        <v>34</v>
      </c>
    </row>
  </sheetData>
  <phoneticPr fontId="2" type="noConversion"/>
  <conditionalFormatting sqref="I1:I12 K1:M12">
    <cfRule type="cellIs" dxfId="0" priority="2" operator="equal">
      <formula>"maintasks"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Hamideh Jafarian</dc:creator>
  <cp:lastModifiedBy>Kalantari, Ali Asghar</cp:lastModifiedBy>
  <dcterms:created xsi:type="dcterms:W3CDTF">2025-03-10T06:26:40Z</dcterms:created>
  <dcterms:modified xsi:type="dcterms:W3CDTF">2025-04-21T07:30:14Z</dcterms:modified>
</cp:coreProperties>
</file>