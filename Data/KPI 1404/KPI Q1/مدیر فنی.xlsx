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5B485A2C-59A4-4322-A54A-88FF1714D658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روسای فنی" sheetId="3" r:id="rId1"/>
    <sheet name="Sheet1" sheetId="7" state="hidden" r:id="rId2"/>
  </sheets>
  <definedNames>
    <definedName name="_xlnm._FilterDatabase" localSheetId="0" hidden="1">'روسای فنی'!$A$1:$T$11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  <c r="R8" i="3" s="1"/>
  <c r="Q10" i="3"/>
  <c r="R10" i="3" s="1"/>
  <c r="Q11" i="3" l="1"/>
  <c r="R11" i="3" s="1"/>
  <c r="Q9" i="3"/>
  <c r="R9" i="3" s="1"/>
  <c r="Q6" i="3"/>
  <c r="R6" i="3" s="1"/>
  <c r="Q3" i="3"/>
  <c r="R3" i="3" s="1"/>
  <c r="Q2" i="3"/>
  <c r="R2" i="3" s="1"/>
  <c r="Q7" i="3"/>
  <c r="R7" i="3" s="1"/>
  <c r="Q5" i="3"/>
  <c r="R5" i="3" s="1"/>
  <c r="Q4" i="3"/>
  <c r="R4" i="3" s="1"/>
  <c r="T2" i="3" l="1"/>
</calcChain>
</file>

<file path=xl/sharedStrings.xml><?xml version="1.0" encoding="utf-8"?>
<sst xmlns="http://schemas.openxmlformats.org/spreadsheetml/2006/main" count="228" uniqueCount="85">
  <si>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</si>
  <si>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</si>
  <si>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</si>
  <si>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</si>
  <si>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</si>
  <si>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</si>
  <si>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</si>
  <si>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</si>
  <si>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</si>
  <si>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</si>
  <si>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</si>
  <si>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</si>
  <si>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</si>
  <si>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</si>
  <si>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</si>
  <si>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</si>
  <si>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</si>
  <si>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</si>
  <si>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</si>
  <si>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</si>
  <si>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</si>
  <si>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</si>
  <si>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</si>
  <si>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</si>
  <si>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</si>
  <si>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</si>
  <si>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هادی کرد</t>
  </si>
  <si>
    <t>فنی و مهندسی</t>
  </si>
  <si>
    <t>توضیح</t>
  </si>
  <si>
    <t>≥ 95%</t>
  </si>
  <si>
    <t>≥ 98%</t>
  </si>
  <si>
    <t>Target</t>
  </si>
  <si>
    <t>Type</t>
  </si>
  <si>
    <t>فرمول پیشنهادی</t>
  </si>
  <si>
    <t>Weight</t>
  </si>
  <si>
    <t>Category</t>
  </si>
  <si>
    <t>Technical Downtime Reduction Rate</t>
  </si>
  <si>
    <t>درصد کاهش زمان توقفات فنی خطوط تولید</t>
  </si>
  <si>
    <t>میزان بهبود زمان توقفات ناشی از مشکلات فنی در خطوط تولید</t>
  </si>
  <si>
    <t>≥ 15% کاهش سالانه</t>
  </si>
  <si>
    <t>(زمان توقف سال گذشته - زمان توقف امسال) ÷ زمان توقف سال گذشته × 100</t>
  </si>
  <si>
    <t>Corrective to Total Repairs Ratio</t>
  </si>
  <si>
    <t>نرخ تعمیرات درخواستی به تعمیرات کل خطوط تولید</t>
  </si>
  <si>
    <t>سنجش میزان سهم تعمیرات اضطراری در مقابل سایر تعمیرات</t>
  </si>
  <si>
    <t>≤ 20%</t>
  </si>
  <si>
    <t>تعداد تعمیرات اضطراری ÷ تعداد کل تعمیرات خطوط × 100</t>
  </si>
  <si>
    <t>Emergency Work Reduction Rate</t>
  </si>
  <si>
    <t>کاهش درصد کارهای اضطراری در خطوط</t>
  </si>
  <si>
    <t>کاهش میزان تعمیرات واکنشی نسبت به برنامه‌ریزی‌شده‌ها</t>
  </si>
  <si>
    <t>≥ 10% کاهش سالانه</t>
  </si>
  <si>
    <t>(درصد اضطراری سال قبل - درصد اضطراری امسال) ÷ درصد سال قبل × 100</t>
  </si>
  <si>
    <t>Preventive Maintenance Increase Rate</t>
  </si>
  <si>
    <t>افزایش درصد کارهای پیشگیرانه</t>
  </si>
  <si>
    <t>نشان‌دهنده تمایل به کاهش کارهای واکنشی و افزایش کارهای PM</t>
  </si>
  <si>
    <t>≥ 80%</t>
  </si>
  <si>
    <t>تعداد PM انجام‌شده ÷ کل فعالیت‌های نگهداری × 100</t>
  </si>
  <si>
    <t>Maintenance Cost per Unit Product</t>
  </si>
  <si>
    <t>کاهش هزینه نگهداری به ازای واحد محصول تولیدی</t>
  </si>
  <si>
    <t>بهره‌وری هزینه‌ای در نگهداری نسبت به تولید واقعی</t>
  </si>
  <si>
    <t>سالانه کاهش یابد</t>
  </si>
  <si>
    <t>هزینه کل تعمیرات ÷ تعداد کل محصول تولیدی</t>
  </si>
  <si>
    <t>Availability Improvement in OEE</t>
  </si>
  <si>
    <t>بهبود Availability در OEE با کاهش Failures</t>
  </si>
  <si>
    <t>تأثیر بهبود نگهداری بر زمان در دسترس بودن تجهیزات</t>
  </si>
  <si>
    <t>(زمان عملیاتی - زمان توقف فنی) ÷ زمان برنامه‌ریزی‌شده × 100</t>
  </si>
  <si>
    <t>MTBF Maximization</t>
  </si>
  <si>
    <t>به حداکثر رساندن MTBF</t>
  </si>
  <si>
    <t>افزایش زمان میان دو خرابی برای کاهش توقف‌ها</t>
  </si>
  <si>
    <t>سالانه افزایش یابد</t>
  </si>
  <si>
    <t>زمان کارکرد بین دو خرابی ÷ تعداد خرابی‌ها</t>
  </si>
  <si>
    <t>MTTR Minimization</t>
  </si>
  <si>
    <t>به حداقل رساندن MTTR</t>
  </si>
  <si>
    <t>کاهش میانگین زمان لازم برای رفع خرابی‌ها</t>
  </si>
  <si>
    <t>مجموع زمان تعمیر ÷ تعداد خرابی‌ها</t>
  </si>
  <si>
    <t>PM Plan Fulfillment Rate</t>
  </si>
  <si>
    <t>درصد تحقق اجرای نت برنامه‌ریزی‌شده</t>
  </si>
  <si>
    <t>بررسی میزان اجرای کامل برنامه تعمیرات دوره‌ای</t>
  </si>
  <si>
    <t>تعداد PM اجراشده ÷ تعداد PM برنامه‌ریزی‌شده × 100</t>
  </si>
  <si>
    <t>Work Order Completion Rate</t>
  </si>
  <si>
    <t>درصد انجام دستورکارها به صادرشده</t>
  </si>
  <si>
    <t>میزان موفقیت در انجام و بستن WOها نسبت به تعداد صادرشده</t>
  </si>
  <si>
    <t>WO انجام‌شده ÷ WO صادرشده × 100</t>
  </si>
  <si>
    <t>مدیر فنی</t>
  </si>
  <si>
    <t>اسماعیل کریمی</t>
  </si>
  <si>
    <t>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</si>
</sst>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9" fontId="6" fillId="6" borderId="1" xfId="1" applyFont="1" applyFill="1" applyBorder="1" applyAlignment="1">
      <alignment horizontal="center" vertical="center" wrapText="1"/>
    </xf>
    <xf numFmtId="1" fontId="6" fillId="6" borderId="1" xfId="1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8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8" fillId="3" borderId="1" xfId="1" applyNumberFormat="1" applyFont="1" applyFill="1" applyBorder="1" applyAlignment="1">
      <alignment horizontal="center" vertical="center" wrapText="1"/>
    </xf>
    <xf numFmtId="9" fontId="8" fillId="4" borderId="1" xfId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CD4-275F-4C9A-974B-AFD888C0C24A}">
  <dimension ref="A1:AV11"/>
  <sheetViews>
    <sheetView tabSelected="1" zoomScale="130" zoomScaleNormal="13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8" sqref="E18"/>
    </sheetView>
  </sheetViews>
  <sheetFormatPr defaultRowHeight="14.4" x14ac:dyDescent="0.3"/>
  <cols>
    <col min="1" max="1" width="6.77734375" customWidth="1"/>
    <col min="2" max="2" width="14.44140625" bestFit="1" customWidth="1"/>
    <col min="3" max="3" width="6.77734375" customWidth="1"/>
    <col min="5" max="5" width="19.77734375" bestFit="1" customWidth="1"/>
    <col min="6" max="6" width="13.5546875" customWidth="1"/>
    <col min="7" max="7" width="12.44140625" customWidth="1"/>
    <col min="8" max="8" width="11.77734375" customWidth="1"/>
    <col min="9" max="9" width="14.77734375" customWidth="1"/>
    <col min="10" max="10" width="9" customWidth="1"/>
    <col min="11" max="11" width="22.77734375" customWidth="1"/>
    <col min="12" max="12" width="42.21875" customWidth="1"/>
    <col min="13" max="13" width="51.77734375" customWidth="1"/>
    <col min="14" max="14" width="14.21875" customWidth="1"/>
    <col min="15" max="15" width="8.88671875" bestFit="1" customWidth="1"/>
    <col min="16" max="16" width="21.44140625" customWidth="1"/>
    <col min="17" max="17" width="17.6640625" bestFit="1" customWidth="1"/>
    <col min="18" max="18" width="13.77734375" bestFit="1" customWidth="1"/>
    <col min="19" max="19" width="3.88671875" bestFit="1" customWidth="1"/>
    <col min="20" max="20" width="7.77734375" customWidth="1"/>
  </cols>
  <sheetData>
    <row r="1" spans="1:48" ht="23.4" customHeight="1" x14ac:dyDescent="0.3">
      <c r="A1" s="4" t="s">
        <v>24</v>
      </c>
      <c r="B1" s="5" t="s">
        <v>23</v>
      </c>
      <c r="C1" s="5" t="s">
        <v>22</v>
      </c>
      <c r="D1" s="4" t="s">
        <v>21</v>
      </c>
      <c r="E1" s="5" t="s">
        <v>20</v>
      </c>
      <c r="F1" s="5" t="s">
        <v>19</v>
      </c>
      <c r="G1" s="5" t="s">
        <v>18</v>
      </c>
      <c r="H1" s="5" t="s">
        <v>17</v>
      </c>
      <c r="I1" s="5" t="s">
        <v>16</v>
      </c>
      <c r="J1" s="6" t="s">
        <v>15</v>
      </c>
      <c r="K1" s="5" t="s">
        <v>14</v>
      </c>
      <c r="L1" s="5" t="s">
        <v>13</v>
      </c>
      <c r="M1" s="5" t="s">
        <v>12</v>
      </c>
      <c r="N1" s="5" t="s">
        <v>11</v>
      </c>
      <c r="O1" s="6" t="s">
        <v>10</v>
      </c>
      <c r="P1" s="5" t="s">
        <v>9</v>
      </c>
      <c r="Q1" s="7" t="s">
        <v>8</v>
      </c>
      <c r="R1" s="8" t="s">
        <v>7</v>
      </c>
      <c r="S1" s="9" t="s">
        <v>6</v>
      </c>
      <c r="T1" s="6" t="s">
        <v>5</v>
      </c>
    </row>
    <row r="2" spans="1:48" s="2" customFormat="1" ht="12.6" x14ac:dyDescent="0.2">
      <c r="A2" s="10">
        <v>2070</v>
      </c>
      <c r="B2" s="11" t="s">
        <v>2</v>
      </c>
      <c r="C2" s="12" t="s">
        <v>25</v>
      </c>
      <c r="D2" s="11" t="s">
        <v>84</v>
      </c>
      <c r="E2" s="30" t="s">
        <v>26</v>
      </c>
      <c r="F2" s="30" t="s">
        <v>82</v>
      </c>
      <c r="G2" s="30" t="s">
        <v>83</v>
      </c>
      <c r="H2" s="30" t="s">
        <v>27</v>
      </c>
      <c r="I2" s="13" t="s">
        <v>3</v>
      </c>
      <c r="J2" s="14">
        <v>0.7</v>
      </c>
      <c r="K2" s="15" t="s">
        <v>36</v>
      </c>
      <c r="L2" s="28" t="s">
        <v>37</v>
      </c>
      <c r="M2" s="15" t="s">
        <v>38</v>
      </c>
      <c r="N2" s="14" t="s">
        <v>39</v>
      </c>
      <c r="O2" s="14">
        <v>0.1</v>
      </c>
      <c r="P2" s="14"/>
      <c r="Q2" s="14">
        <f>ROUND(IF(OR(N2="",P2=""),0,IF(AND(N2=0,P2=0),1,IF(S2="+",P2/N2,N2/P2))),2)</f>
        <v>0</v>
      </c>
      <c r="R2" s="16">
        <f>IF(AND(Q2&gt;=60%,Q2&lt;100%),Q2*((O2*J2)),IF(Q2=100%,((O2*J2)*Q2)*100%,IF(Q2&gt;100%,((J2*O2)*100%)*100%,0)))*100</f>
        <v>0</v>
      </c>
      <c r="S2" s="14" t="s">
        <v>0</v>
      </c>
      <c r="T2" s="17">
        <f>SUM(R2:R11)%</f>
        <v>0</v>
      </c>
      <c r="U2" s="1"/>
      <c r="V2" s="1"/>
      <c r="W2" s="1"/>
      <c r="X2" s="1"/>
      <c r="Y2" s="1"/>
      <c r="Z2" s="1"/>
      <c r="AA2" s="1"/>
      <c r="AB2" s="1"/>
      <c r="AC2" s="1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s="2" customFormat="1" ht="12.6" x14ac:dyDescent="0.2">
      <c r="A3" s="10">
        <v>2071</v>
      </c>
      <c r="B3" s="11" t="s">
        <v>2</v>
      </c>
      <c r="C3" s="12" t="s">
        <v>25</v>
      </c>
      <c r="D3" s="11" t="s">
        <v>84</v>
      </c>
      <c r="E3" s="30" t="s">
        <v>26</v>
      </c>
      <c r="F3" s="30" t="s">
        <v>82</v>
      </c>
      <c r="G3" s="30" t="s">
        <v>83</v>
      </c>
      <c r="H3" s="30" t="s">
        <v>27</v>
      </c>
      <c r="I3" s="13" t="s">
        <v>3</v>
      </c>
      <c r="J3" s="14">
        <v>0.7</v>
      </c>
      <c r="K3" s="15" t="s">
        <v>41</v>
      </c>
      <c r="L3" s="28" t="s">
        <v>42</v>
      </c>
      <c r="M3" s="15" t="s">
        <v>43</v>
      </c>
      <c r="N3" s="14" t="s">
        <v>44</v>
      </c>
      <c r="O3" s="14">
        <v>0.1</v>
      </c>
      <c r="P3" s="18"/>
      <c r="Q3" s="14">
        <f>ROUND(IF(OR(N3="",P3=""),0,IF(AND(N3=0,P3=0),1,IF(S3="+",P3/N3,N3/P3))),2)</f>
        <v>0</v>
      </c>
      <c r="R3" s="16">
        <f>IF(AND(Q3&gt;=60%,Q3&lt;100%),Q3*((O3*J3)),IF(Q3=100%,((O3*J3)*Q3)*100%,IF(Q3&gt;100%,((J3*O3)*100%)*100%,0)))*100</f>
        <v>0</v>
      </c>
      <c r="S3" s="14" t="s">
        <v>4</v>
      </c>
      <c r="T3" s="14"/>
      <c r="U3" s="1"/>
      <c r="V3" s="1"/>
      <c r="W3" s="1"/>
      <c r="X3" s="1"/>
      <c r="Y3" s="1"/>
      <c r="Z3" s="1"/>
      <c r="AA3" s="1"/>
      <c r="AB3" s="1"/>
      <c r="AC3" s="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s="2" customFormat="1" ht="12.6" x14ac:dyDescent="0.2">
      <c r="A4" s="10">
        <v>2072</v>
      </c>
      <c r="B4" s="11" t="s">
        <v>2</v>
      </c>
      <c r="C4" s="12" t="s">
        <v>25</v>
      </c>
      <c r="D4" s="11" t="s">
        <v>84</v>
      </c>
      <c r="E4" s="30" t="s">
        <v>26</v>
      </c>
      <c r="F4" s="30" t="s">
        <v>82</v>
      </c>
      <c r="G4" s="30" t="s">
        <v>83</v>
      </c>
      <c r="H4" s="30" t="s">
        <v>27</v>
      </c>
      <c r="I4" s="13" t="s">
        <v>3</v>
      </c>
      <c r="J4" s="14">
        <v>0.7</v>
      </c>
      <c r="K4" s="15" t="s">
        <v>46</v>
      </c>
      <c r="L4" s="28" t="s">
        <v>47</v>
      </c>
      <c r="M4" s="15" t="s">
        <v>48</v>
      </c>
      <c r="N4" s="14" t="s">
        <v>49</v>
      </c>
      <c r="O4" s="14">
        <v>0.15</v>
      </c>
      <c r="P4" s="18"/>
      <c r="Q4" s="14">
        <f t="shared" ref="Q4:Q7" si="0">ROUND(IF(OR(N4="",P4=""),0,IF(AND(N4=0,P4=0),1,IF(S4="+",P4/N4,N4/P4))),2)</f>
        <v>0</v>
      </c>
      <c r="R4" s="16">
        <f>IF(AND(Q4&gt;=60%,Q4&lt;100%),Q4*((O4*J4)),IF(Q4=100%,((O4*J4)*Q4)*100%,IF(Q4&gt;100%,((J4*O4)*100%)*100%,0)))*100</f>
        <v>0</v>
      </c>
      <c r="S4" s="14" t="s">
        <v>0</v>
      </c>
      <c r="T4" s="14"/>
      <c r="U4" s="1"/>
      <c r="V4" s="1"/>
      <c r="W4" s="1"/>
      <c r="X4" s="1"/>
      <c r="Y4" s="1"/>
      <c r="Z4" s="1"/>
      <c r="AA4" s="1"/>
      <c r="AB4" s="1"/>
      <c r="AC4" s="1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" customFormat="1" ht="20.399999999999999" x14ac:dyDescent="0.2">
      <c r="A5" s="10">
        <v>2073</v>
      </c>
      <c r="B5" s="11" t="s">
        <v>2</v>
      </c>
      <c r="C5" s="12" t="s">
        <v>25</v>
      </c>
      <c r="D5" s="11" t="s">
        <v>84</v>
      </c>
      <c r="E5" s="30" t="s">
        <v>26</v>
      </c>
      <c r="F5" s="30" t="s">
        <v>82</v>
      </c>
      <c r="G5" s="30" t="s">
        <v>83</v>
      </c>
      <c r="H5" s="30" t="s">
        <v>27</v>
      </c>
      <c r="I5" s="13" t="s">
        <v>3</v>
      </c>
      <c r="J5" s="14">
        <v>0.7</v>
      </c>
      <c r="K5" s="15" t="s">
        <v>51</v>
      </c>
      <c r="L5" s="28" t="s">
        <v>52</v>
      </c>
      <c r="M5" s="15" t="s">
        <v>53</v>
      </c>
      <c r="N5" s="14" t="s">
        <v>54</v>
      </c>
      <c r="O5" s="14">
        <v>0.1</v>
      </c>
      <c r="P5" s="19"/>
      <c r="Q5" s="14">
        <f t="shared" si="0"/>
        <v>0</v>
      </c>
      <c r="R5" s="16">
        <f>IF(AND(Q5&gt;=60%,Q5&lt;100%),Q5*((O5*J5)),IF(Q5=100%,((O5*J5)*Q5)*100%,IF(Q5&gt;100%,((J5*O5)*100%)*100%,0)))*100</f>
        <v>0</v>
      </c>
      <c r="S5" s="14" t="s">
        <v>0</v>
      </c>
      <c r="T5" s="14"/>
      <c r="U5" s="1"/>
      <c r="V5" s="1"/>
      <c r="W5" s="1"/>
      <c r="X5" s="1"/>
      <c r="Y5" s="1"/>
      <c r="Z5" s="1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s="2" customFormat="1" ht="12.6" x14ac:dyDescent="0.2">
      <c r="A6" s="10">
        <v>2074</v>
      </c>
      <c r="B6" s="11" t="s">
        <v>2</v>
      </c>
      <c r="C6" s="12" t="s">
        <v>25</v>
      </c>
      <c r="D6" s="11" t="s">
        <v>84</v>
      </c>
      <c r="E6" s="30" t="s">
        <v>26</v>
      </c>
      <c r="F6" s="30" t="s">
        <v>82</v>
      </c>
      <c r="G6" s="30" t="s">
        <v>83</v>
      </c>
      <c r="H6" s="30" t="s">
        <v>27</v>
      </c>
      <c r="I6" s="13" t="s">
        <v>3</v>
      </c>
      <c r="J6" s="14">
        <v>0.7</v>
      </c>
      <c r="K6" s="15" t="s">
        <v>56</v>
      </c>
      <c r="L6" s="29" t="s">
        <v>57</v>
      </c>
      <c r="M6" s="15" t="s">
        <v>58</v>
      </c>
      <c r="N6" s="26" t="s">
        <v>59</v>
      </c>
      <c r="O6" s="14">
        <v>0.1</v>
      </c>
      <c r="P6" s="20"/>
      <c r="Q6" s="14">
        <f>ROUND(IF(OR(N6="",P6=""),0,IF(AND(N6=0,P6=0),1,IF(S6="+",P6/N6,N6/P6))),2)</f>
        <v>0</v>
      </c>
      <c r="R6" s="16">
        <f t="shared" ref="R6:R11" si="1">IF(AND(Q6&gt;=60%,Q6&lt;100%),Q6*((O6*J6)),IF(Q6=100%,((O6*J6)*Q6)*100%,IF(Q6&gt;100%,((J6*O6)*100%)*100%,0)))*100</f>
        <v>0</v>
      </c>
      <c r="S6" s="14" t="s">
        <v>4</v>
      </c>
      <c r="T6" s="14"/>
      <c r="U6" s="1"/>
      <c r="V6" s="1"/>
      <c r="W6" s="1"/>
      <c r="X6" s="1"/>
      <c r="Y6" s="1"/>
      <c r="Z6" s="1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2" customFormat="1" ht="12.6" x14ac:dyDescent="0.2">
      <c r="A7" s="10">
        <v>2075</v>
      </c>
      <c r="B7" s="11" t="s">
        <v>2</v>
      </c>
      <c r="C7" s="12" t="s">
        <v>25</v>
      </c>
      <c r="D7" s="11" t="s">
        <v>84</v>
      </c>
      <c r="E7" s="30" t="s">
        <v>26</v>
      </c>
      <c r="F7" s="30" t="s">
        <v>82</v>
      </c>
      <c r="G7" s="30" t="s">
        <v>83</v>
      </c>
      <c r="H7" s="30" t="s">
        <v>27</v>
      </c>
      <c r="I7" s="13" t="s">
        <v>1</v>
      </c>
      <c r="J7" s="14">
        <v>0.3</v>
      </c>
      <c r="K7" s="21" t="s">
        <v>61</v>
      </c>
      <c r="L7" s="29" t="s">
        <v>62</v>
      </c>
      <c r="M7" s="21" t="s">
        <v>63</v>
      </c>
      <c r="N7" s="22" t="s">
        <v>29</v>
      </c>
      <c r="O7" s="23">
        <v>0.1</v>
      </c>
      <c r="P7" s="20"/>
      <c r="Q7" s="23">
        <f t="shared" si="0"/>
        <v>0</v>
      </c>
      <c r="R7" s="24">
        <f t="shared" si="1"/>
        <v>0</v>
      </c>
      <c r="S7" s="23" t="s">
        <v>0</v>
      </c>
      <c r="T7" s="23"/>
      <c r="U7" s="1"/>
      <c r="V7" s="1"/>
      <c r="W7" s="1"/>
      <c r="X7" s="1"/>
      <c r="Y7" s="1"/>
      <c r="Z7" s="1"/>
      <c r="AA7" s="1"/>
      <c r="AB7" s="1"/>
      <c r="AC7" s="1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2" customFormat="1" ht="12.6" x14ac:dyDescent="0.2">
      <c r="A8" s="10">
        <v>2076</v>
      </c>
      <c r="B8" s="11" t="s">
        <v>2</v>
      </c>
      <c r="C8" s="12" t="s">
        <v>25</v>
      </c>
      <c r="D8" s="11" t="s">
        <v>84</v>
      </c>
      <c r="E8" s="30" t="s">
        <v>26</v>
      </c>
      <c r="F8" s="30" t="s">
        <v>82</v>
      </c>
      <c r="G8" s="30" t="s">
        <v>83</v>
      </c>
      <c r="H8" s="30" t="s">
        <v>27</v>
      </c>
      <c r="I8" s="21" t="s">
        <v>1</v>
      </c>
      <c r="J8" s="22">
        <v>0.3</v>
      </c>
      <c r="K8" s="21" t="s">
        <v>65</v>
      </c>
      <c r="L8" s="28" t="s">
        <v>66</v>
      </c>
      <c r="M8" s="21" t="s">
        <v>67</v>
      </c>
      <c r="N8" s="22" t="s">
        <v>68</v>
      </c>
      <c r="O8" s="23">
        <v>0.1</v>
      </c>
      <c r="P8" s="22"/>
      <c r="Q8" s="23">
        <f t="shared" ref="Q8" si="2">ROUND(IF(OR(N8="",P8=""),0,IF(AND(N8=0,P8=0),1,IF(S8="+",P8/N8,N8/P8))),2)</f>
        <v>0</v>
      </c>
      <c r="R8" s="24">
        <f t="shared" ref="R8" si="3">IF(AND(Q8&gt;=60%,Q8&lt;100%),Q8*((O8*J8)),IF(Q8=100%,((O8*J8)*Q8)*100%,IF(Q8&gt;100%,((J8*O8)*100%)*100%,0)))*100</f>
        <v>0</v>
      </c>
      <c r="S8" s="23" t="s">
        <v>0</v>
      </c>
      <c r="T8" s="23"/>
      <c r="U8" s="1"/>
      <c r="V8" s="1"/>
      <c r="W8" s="1"/>
      <c r="X8" s="1"/>
      <c r="Y8" s="1"/>
      <c r="Z8" s="1"/>
      <c r="AA8" s="1"/>
      <c r="AB8" s="1"/>
      <c r="AC8" s="1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s="2" customFormat="1" ht="12.6" x14ac:dyDescent="0.2">
      <c r="A9" s="10">
        <v>2077</v>
      </c>
      <c r="B9" s="11" t="s">
        <v>2</v>
      </c>
      <c r="C9" s="12" t="s">
        <v>25</v>
      </c>
      <c r="D9" s="11" t="s">
        <v>84</v>
      </c>
      <c r="E9" s="30" t="s">
        <v>26</v>
      </c>
      <c r="F9" s="30" t="s">
        <v>82</v>
      </c>
      <c r="G9" s="30" t="s">
        <v>83</v>
      </c>
      <c r="H9" s="30" t="s">
        <v>27</v>
      </c>
      <c r="I9" s="21" t="s">
        <v>1</v>
      </c>
      <c r="J9" s="22">
        <v>0.3</v>
      </c>
      <c r="K9" s="21" t="s">
        <v>70</v>
      </c>
      <c r="L9" s="29" t="s">
        <v>71</v>
      </c>
      <c r="M9" s="21" t="s">
        <v>72</v>
      </c>
      <c r="N9" s="22" t="s">
        <v>59</v>
      </c>
      <c r="O9" s="23">
        <v>0.1</v>
      </c>
      <c r="P9" s="25"/>
      <c r="Q9" s="23">
        <f>ROUND(IF(OR(N9="",P9=""),0,IF(AND(N9=0,P9=0),1,IF(S9="+",P9/N9,N9/P9))),2)</f>
        <v>0</v>
      </c>
      <c r="R9" s="24">
        <f t="shared" si="1"/>
        <v>0</v>
      </c>
      <c r="S9" s="23" t="s">
        <v>4</v>
      </c>
      <c r="T9" s="23"/>
      <c r="U9" s="1"/>
      <c r="V9" s="1"/>
      <c r="W9" s="1"/>
      <c r="X9" s="1"/>
      <c r="Y9" s="1"/>
      <c r="Z9" s="1"/>
      <c r="AA9" s="1"/>
      <c r="AB9" s="1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s="2" customFormat="1" ht="12.6" x14ac:dyDescent="0.2">
      <c r="A10" s="10">
        <v>2077</v>
      </c>
      <c r="B10" s="11" t="s">
        <v>2</v>
      </c>
      <c r="C10" s="12" t="s">
        <v>25</v>
      </c>
      <c r="D10" s="11" t="s">
        <v>84</v>
      </c>
      <c r="E10" s="30" t="s">
        <v>26</v>
      </c>
      <c r="F10" s="30" t="s">
        <v>82</v>
      </c>
      <c r="G10" s="30" t="s">
        <v>83</v>
      </c>
      <c r="H10" s="30" t="s">
        <v>27</v>
      </c>
      <c r="I10" s="21" t="s">
        <v>3</v>
      </c>
      <c r="J10" s="22">
        <v>0.7</v>
      </c>
      <c r="K10" s="21" t="s">
        <v>74</v>
      </c>
      <c r="L10" s="29" t="s">
        <v>75</v>
      </c>
      <c r="M10" s="21" t="s">
        <v>76</v>
      </c>
      <c r="N10" s="22" t="s">
        <v>29</v>
      </c>
      <c r="O10" s="23">
        <v>0.1</v>
      </c>
      <c r="P10" s="25"/>
      <c r="Q10" s="23">
        <f>ROUND(IF(OR(N10="",P10=""),0,IF(AND(N10=0,P10=0),1,IF(S10="+",P10/N10,N10/P10))),2)</f>
        <v>0</v>
      </c>
      <c r="R10" s="24">
        <f t="shared" ref="R10" si="4">IF(AND(Q10&gt;=60%,Q10&lt;100%),Q10*((O10*J10)),IF(Q10=100%,((O10*J10)*Q10)*100%,IF(Q10&gt;100%,((J10*O10)*100%)*100%,0)))*100</f>
        <v>0</v>
      </c>
      <c r="S10" s="23" t="s">
        <v>0</v>
      </c>
      <c r="T10" s="23"/>
      <c r="U10" s="1"/>
      <c r="V10" s="1"/>
      <c r="W10" s="1"/>
      <c r="X10" s="1"/>
      <c r="Y10" s="1"/>
      <c r="Z10" s="1"/>
      <c r="AA10" s="1"/>
      <c r="AB10" s="1"/>
      <c r="AC10" s="1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s="2" customFormat="1" ht="12.6" x14ac:dyDescent="0.2">
      <c r="A11" s="10">
        <v>2078</v>
      </c>
      <c r="B11" s="11" t="s">
        <v>2</v>
      </c>
      <c r="C11" s="12" t="s">
        <v>25</v>
      </c>
      <c r="D11" s="11" t="s">
        <v>84</v>
      </c>
      <c r="E11" s="30" t="s">
        <v>26</v>
      </c>
      <c r="F11" s="30" t="s">
        <v>82</v>
      </c>
      <c r="G11" s="30" t="s">
        <v>83</v>
      </c>
      <c r="H11" s="30" t="s">
        <v>27</v>
      </c>
      <c r="I11" s="21" t="s">
        <v>3</v>
      </c>
      <c r="J11" s="14">
        <v>0.7</v>
      </c>
      <c r="K11" s="21" t="s">
        <v>78</v>
      </c>
      <c r="L11" s="29" t="s">
        <v>79</v>
      </c>
      <c r="M11" s="21" t="s">
        <v>80</v>
      </c>
      <c r="N11" s="27" t="s">
        <v>30</v>
      </c>
      <c r="O11" s="23">
        <v>0.1</v>
      </c>
      <c r="P11" s="25"/>
      <c r="Q11" s="23">
        <f>ROUND(IF(OR(N11="",P11=""),0,IF(AND(N11=0,P11=0),1,IF(S11="+",P11/N11,N11/P11))),2)</f>
        <v>0</v>
      </c>
      <c r="R11" s="24">
        <f t="shared" si="1"/>
        <v>0</v>
      </c>
      <c r="S11" s="23" t="s">
        <v>0</v>
      </c>
      <c r="T11" s="23"/>
      <c r="U11" s="1"/>
      <c r="V11" s="1"/>
      <c r="W11" s="1"/>
      <c r="X11" s="1"/>
      <c r="Y11" s="1"/>
      <c r="Z11" s="1"/>
      <c r="AA11" s="1"/>
      <c r="AB11" s="1"/>
      <c r="AC11" s="1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</sheetData>
  <autoFilter ref="A1:T11" xr:uid="{EF69ACD4-275F-4C9A-974B-AFD888C0C24A}"/>
  <phoneticPr fontId="2" type="noConversion"/>
  <conditionalFormatting sqref="I1:I11 K1:M11">
    <cfRule type="cellIs" dxfId="0" priority="1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DF11-104F-4806-B830-D28F2A7BC2A0}">
  <dimension ref="A1:H11"/>
  <sheetViews>
    <sheetView workbookViewId="0">
      <selection activeCell="E2" sqref="E2:E11"/>
    </sheetView>
  </sheetViews>
  <sheetFormatPr defaultRowHeight="14.4" x14ac:dyDescent="0.3"/>
  <cols>
    <col min="1" max="1" width="34.88671875" style="33" bestFit="1" customWidth="1"/>
    <col min="2" max="2" width="37.109375" style="33" bestFit="1" customWidth="1"/>
    <col min="3" max="3" width="46" style="33" bestFit="1" customWidth="1"/>
    <col min="4" max="4" width="15.5546875" style="33" bestFit="1" customWidth="1"/>
    <col min="5" max="5" width="5.109375" style="33" bestFit="1" customWidth="1"/>
    <col min="6" max="6" width="38" style="31" bestFit="1" customWidth="1"/>
    <col min="7" max="7" width="7.21875" style="33" bestFit="1" customWidth="1"/>
    <col min="8" max="8" width="9.88671875" style="33" bestFit="1" customWidth="1"/>
  </cols>
  <sheetData>
    <row r="1" spans="1:8" x14ac:dyDescent="0.3">
      <c r="A1" s="33" t="s">
        <v>14</v>
      </c>
      <c r="B1" s="33" t="s">
        <v>13</v>
      </c>
      <c r="C1" s="33" t="s">
        <v>28</v>
      </c>
      <c r="D1" s="33" t="s">
        <v>31</v>
      </c>
      <c r="E1" s="33" t="s">
        <v>32</v>
      </c>
      <c r="F1" s="31" t="s">
        <v>33</v>
      </c>
      <c r="G1" s="33" t="s">
        <v>34</v>
      </c>
      <c r="H1" s="33" t="s">
        <v>35</v>
      </c>
    </row>
    <row r="2" spans="1:8" ht="43.2" x14ac:dyDescent="0.3">
      <c r="A2" s="33" t="s">
        <v>36</v>
      </c>
      <c r="B2" s="33" t="s">
        <v>37</v>
      </c>
      <c r="C2" s="33" t="s">
        <v>38</v>
      </c>
      <c r="D2" s="33" t="s">
        <v>39</v>
      </c>
      <c r="E2" s="33" t="s">
        <v>0</v>
      </c>
      <c r="F2" s="31" t="s">
        <v>40</v>
      </c>
      <c r="G2" s="32">
        <v>0.1</v>
      </c>
      <c r="H2" s="33" t="s">
        <v>3</v>
      </c>
    </row>
    <row r="3" spans="1:8" ht="43.2" x14ac:dyDescent="0.3">
      <c r="A3" s="33" t="s">
        <v>41</v>
      </c>
      <c r="B3" s="33" t="s">
        <v>42</v>
      </c>
      <c r="C3" s="33" t="s">
        <v>43</v>
      </c>
      <c r="D3" s="33" t="s">
        <v>44</v>
      </c>
      <c r="E3" s="33" t="s">
        <v>4</v>
      </c>
      <c r="F3" s="31" t="s">
        <v>45</v>
      </c>
      <c r="G3" s="32">
        <v>0.1</v>
      </c>
      <c r="H3" s="33" t="s">
        <v>3</v>
      </c>
    </row>
    <row r="4" spans="1:8" ht="43.2" x14ac:dyDescent="0.3">
      <c r="A4" s="33" t="s">
        <v>46</v>
      </c>
      <c r="B4" s="33" t="s">
        <v>47</v>
      </c>
      <c r="C4" s="33" t="s">
        <v>48</v>
      </c>
      <c r="D4" s="33" t="s">
        <v>49</v>
      </c>
      <c r="E4" s="33" t="s">
        <v>0</v>
      </c>
      <c r="F4" s="31" t="s">
        <v>50</v>
      </c>
      <c r="G4" s="32">
        <v>0.1</v>
      </c>
      <c r="H4" s="33" t="s">
        <v>3</v>
      </c>
    </row>
    <row r="5" spans="1:8" ht="28.8" x14ac:dyDescent="0.3">
      <c r="A5" s="33" t="s">
        <v>51</v>
      </c>
      <c r="B5" s="33" t="s">
        <v>52</v>
      </c>
      <c r="C5" s="33" t="s">
        <v>53</v>
      </c>
      <c r="D5" s="33" t="s">
        <v>54</v>
      </c>
      <c r="E5" s="33" t="s">
        <v>0</v>
      </c>
      <c r="F5" s="31" t="s">
        <v>55</v>
      </c>
      <c r="G5" s="32">
        <v>0.1</v>
      </c>
      <c r="H5" s="33" t="s">
        <v>3</v>
      </c>
    </row>
    <row r="6" spans="1:8" ht="28.8" x14ac:dyDescent="0.3">
      <c r="A6" s="33" t="s">
        <v>56</v>
      </c>
      <c r="B6" s="33" t="s">
        <v>57</v>
      </c>
      <c r="C6" s="33" t="s">
        <v>58</v>
      </c>
      <c r="D6" s="33" t="s">
        <v>59</v>
      </c>
      <c r="E6" s="33" t="s">
        <v>4</v>
      </c>
      <c r="F6" s="31" t="s">
        <v>60</v>
      </c>
      <c r="G6" s="32">
        <v>0.1</v>
      </c>
      <c r="H6" s="33" t="s">
        <v>3</v>
      </c>
    </row>
    <row r="7" spans="1:8" ht="43.2" x14ac:dyDescent="0.3">
      <c r="A7" s="33" t="s">
        <v>61</v>
      </c>
      <c r="B7" s="33" t="s">
        <v>62</v>
      </c>
      <c r="C7" s="33" t="s">
        <v>63</v>
      </c>
      <c r="D7" s="33" t="s">
        <v>29</v>
      </c>
      <c r="E7" s="33" t="s">
        <v>0</v>
      </c>
      <c r="F7" s="31" t="s">
        <v>64</v>
      </c>
      <c r="G7" s="32">
        <v>0.1</v>
      </c>
      <c r="H7" s="33" t="s">
        <v>1</v>
      </c>
    </row>
    <row r="8" spans="1:8" ht="28.8" x14ac:dyDescent="0.3">
      <c r="A8" s="33" t="s">
        <v>65</v>
      </c>
      <c r="B8" s="33" t="s">
        <v>66</v>
      </c>
      <c r="C8" s="33" t="s">
        <v>67</v>
      </c>
      <c r="D8" s="33" t="s">
        <v>68</v>
      </c>
      <c r="E8" s="33" t="s">
        <v>0</v>
      </c>
      <c r="F8" s="31" t="s">
        <v>69</v>
      </c>
      <c r="G8" s="32">
        <v>0.1</v>
      </c>
      <c r="H8" s="33" t="s">
        <v>1</v>
      </c>
    </row>
    <row r="9" spans="1:8" ht="28.8" x14ac:dyDescent="0.3">
      <c r="A9" s="33" t="s">
        <v>70</v>
      </c>
      <c r="B9" s="33" t="s">
        <v>71</v>
      </c>
      <c r="C9" s="33" t="s">
        <v>72</v>
      </c>
      <c r="D9" s="33" t="s">
        <v>59</v>
      </c>
      <c r="E9" s="33" t="s">
        <v>4</v>
      </c>
      <c r="F9" s="31" t="s">
        <v>73</v>
      </c>
      <c r="G9" s="32">
        <v>0.1</v>
      </c>
      <c r="H9" s="33" t="s">
        <v>1</v>
      </c>
    </row>
    <row r="10" spans="1:8" ht="28.8" x14ac:dyDescent="0.3">
      <c r="A10" s="33" t="s">
        <v>74</v>
      </c>
      <c r="B10" s="33" t="s">
        <v>75</v>
      </c>
      <c r="C10" s="33" t="s">
        <v>76</v>
      </c>
      <c r="D10" s="33" t="s">
        <v>29</v>
      </c>
      <c r="E10" s="33" t="s">
        <v>0</v>
      </c>
      <c r="F10" s="31" t="s">
        <v>77</v>
      </c>
      <c r="G10" s="32">
        <v>0.1</v>
      </c>
      <c r="H10" s="33" t="s">
        <v>3</v>
      </c>
    </row>
    <row r="11" spans="1:8" ht="28.8" x14ac:dyDescent="0.3">
      <c r="A11" s="33" t="s">
        <v>78</v>
      </c>
      <c r="B11" s="33" t="s">
        <v>79</v>
      </c>
      <c r="C11" s="33" t="s">
        <v>80</v>
      </c>
      <c r="D11" s="33" t="s">
        <v>30</v>
      </c>
      <c r="E11" s="33" t="s">
        <v>0</v>
      </c>
      <c r="F11" s="31" t="s">
        <v>81</v>
      </c>
      <c r="G11" s="32">
        <v>0.1</v>
      </c>
      <c r="H11" s="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روسای فنی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2025-04-30T13:21:55Z</dcterms:modified>
</cp:coreProperties>
</file>