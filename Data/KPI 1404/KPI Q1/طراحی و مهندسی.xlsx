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E7A4A65B-0733-48EE-A615-A85D474AD6B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طراحی مهندس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R15" i="1" s="1"/>
  <c r="Q14" i="1"/>
  <c r="R14" i="1" s="1"/>
  <c r="Q13" i="1"/>
  <c r="R13" i="1" s="1"/>
  <c r="R12" i="1"/>
  <c r="Q12" i="1"/>
  <c r="Q11" i="1"/>
  <c r="R11" i="1" s="1"/>
  <c r="Q10" i="1"/>
  <c r="R10" i="1" s="1"/>
  <c r="Q9" i="1"/>
  <c r="R9" i="1" s="1"/>
  <c r="T9" i="1" s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2" i="1"/>
  <c r="R2" i="1" s="1"/>
  <c r="T2" i="1" l="1"/>
</calcChain>
</file>

<file path=xl/sharedStrings.xml><?xml version="1.0" encoding="utf-8"?>
<sst xmlns="http://schemas.openxmlformats.org/spreadsheetml/2006/main" count="192" uniqueCount="60">
  <si>
    <t>+</t>
  </si>
  <si>
    <t>Projects</t>
  </si>
  <si>
    <t>تخته فشرده</t>
  </si>
  <si>
    <t>MainTasks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</si>
  <si>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</si>
  <si>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</si>
  <si>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</si>
  <si>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</si>
  <si>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</si>
  <si>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</si>
  <si>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</si>
  <si>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</si>
  <si>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</si>
  <si>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</si>
  <si>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</si>
  <si>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</si>
  <si>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</si>
  <si>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</si>
  <si>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</si>
  <si>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</si>
  <si>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</si>
  <si>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</si>
  <si>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</si>
  <si>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</si>
  <si>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 xml:space="preserve"> </t>
  </si>
  <si>
    <t>Q1</t>
  </si>
  <si>
    <t>3651</t>
  </si>
  <si>
    <t>رضا آیتی نیا</t>
  </si>
  <si>
    <t>کارشناس طراحی و مهندسی</t>
  </si>
  <si>
    <t>جواد فرج اللهی</t>
  </si>
  <si>
    <t>فنی و مهندسی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</si>
  <si>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</si>
  <si>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</si>
  <si>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</si>
  <si>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≥ 95%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</si>
  <si>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</si>
  <si>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</si>
  <si>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</si>
  <si>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≥ 98%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</si>
  <si>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</si>
  <si>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</si>
  <si>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</si>
  <si>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≤ 3 days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</si>
  <si>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</si>
  <si>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</si>
  <si>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</si>
  <si>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</si>
  <si>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</si>
  <si>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</si>
  <si>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≥ 90%</t>
  </si>
  <si>
    <t>Project Completion Rate</t>
  </si>
  <si>
    <t>نرخ تکمیل پروژه‌های مهندسی</t>
  </si>
  <si>
    <t>درصد پروژه‌هایی که طبق برنامه تحویل شده‌اند</t>
  </si>
  <si>
    <t>Innovation &amp; Cooperation</t>
  </si>
  <si>
    <t>Innovation Index</t>
  </si>
  <si>
    <t>شاخص نوآوری</t>
  </si>
  <si>
    <t>تعداد جلسات یا تعاملات ثبت‌شده با سایر واحدها (PM، تولید، انبار...)</t>
  </si>
  <si>
    <t>≥ 2 per quarter</t>
  </si>
  <si>
    <t>-</t>
  </si>
  <si>
    <t>یعقوب بدوی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</si>
</sst>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9" fontId="2" fillId="3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9" fontId="2" fillId="4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/>
    </xf>
    <xf numFmtId="0" fontId="5" fillId="5" borderId="1" xfId="0" applyFont="1" applyFill="1" applyBorder="1" applyAlignment="1">
      <alignment horizontal="right" vertical="center"/>
    </xf>
    <xf numFmtId="9" fontId="5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vertical="center"/>
    </xf>
    <xf numFmtId="1" fontId="6" fillId="6" borderId="1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 wrapText="1"/>
    </xf>
    <xf numFmtId="10" fontId="3" fillId="3" borderId="0" xfId="0" applyNumberFormat="1" applyFont="1" applyFill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9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right" vertical="center"/>
    </xf>
    <xf numFmtId="1" fontId="2" fillId="2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3">
    <cellStyle name="Normal" xfId="0" builtinId="0"/>
    <cellStyle name="Percent" xfId="1" builtinId="5"/>
    <cellStyle name="Percent 2" xfId="2" xr:uid="{00000000-0005-0000-0000-000002000000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8"/>
  <sheetViews>
    <sheetView tabSelected="1" zoomScale="130" zoomScaleNormal="130" workbookViewId="0">
      <selection activeCell="F24" sqref="F24"/>
    </sheetView>
  </sheetViews>
  <sheetFormatPr defaultRowHeight="14.4" x14ac:dyDescent="0.3"/>
  <cols>
    <col min="1" max="1" width="6.88671875" customWidth="1"/>
    <col min="2" max="2" width="14.44140625" bestFit="1" customWidth="1"/>
    <col min="3" max="3" width="6.88671875" customWidth="1"/>
    <col min="5" max="5" width="19.6640625" bestFit="1" customWidth="1"/>
    <col min="6" max="6" width="17.21875" style="36" customWidth="1"/>
    <col min="7" max="7" width="12.44140625" customWidth="1"/>
    <col min="8" max="8" width="11.6640625" customWidth="1"/>
    <col min="9" max="9" width="16.33203125" customWidth="1"/>
    <col min="10" max="10" width="6.88671875" customWidth="1"/>
    <col min="11" max="11" width="22.88671875" style="37" customWidth="1"/>
    <col min="12" max="12" width="42.33203125" customWidth="1"/>
    <col min="13" max="13" width="51.6640625" customWidth="1"/>
    <col min="14" max="14" width="14.109375" customWidth="1"/>
    <col min="15" max="15" width="7.6640625" customWidth="1"/>
    <col min="16" max="16" width="21.44140625" customWidth="1"/>
    <col min="17" max="20" width="7.6640625" customWidth="1"/>
  </cols>
  <sheetData>
    <row r="1" spans="1:48" x14ac:dyDescent="0.3">
      <c r="A1" s="14" t="s">
        <v>23</v>
      </c>
      <c r="B1" s="15" t="s">
        <v>22</v>
      </c>
      <c r="C1" s="15" t="s">
        <v>21</v>
      </c>
      <c r="D1" s="14" t="s">
        <v>20</v>
      </c>
      <c r="E1" s="15" t="s">
        <v>19</v>
      </c>
      <c r="F1" s="34" t="s">
        <v>18</v>
      </c>
      <c r="G1" s="15" t="s">
        <v>17</v>
      </c>
      <c r="H1" s="15" t="s">
        <v>16</v>
      </c>
      <c r="I1" s="15" t="s">
        <v>15</v>
      </c>
      <c r="J1" s="16" t="s">
        <v>14</v>
      </c>
      <c r="K1" s="15" t="s">
        <v>13</v>
      </c>
      <c r="L1" s="15" t="s">
        <v>12</v>
      </c>
      <c r="M1" s="17" t="s">
        <v>11</v>
      </c>
      <c r="N1" s="15" t="s">
        <v>10</v>
      </c>
      <c r="O1" s="18" t="s">
        <v>9</v>
      </c>
      <c r="P1" s="15" t="s">
        <v>8</v>
      </c>
      <c r="Q1" s="19" t="s">
        <v>7</v>
      </c>
      <c r="R1" s="20" t="s">
        <v>6</v>
      </c>
      <c r="S1" s="21" t="s">
        <v>5</v>
      </c>
      <c r="T1" s="18" t="s">
        <v>4</v>
      </c>
    </row>
    <row r="2" spans="1:48" s="7" customFormat="1" ht="10.199999999999999" x14ac:dyDescent="0.2">
      <c r="A2" s="22">
        <v>1</v>
      </c>
      <c r="B2" s="3" t="s">
        <v>2</v>
      </c>
      <c r="C2" s="23" t="s">
        <v>25</v>
      </c>
      <c r="D2" s="7">
        <v>3651</v>
      </c>
      <c r="E2" s="3" t="s">
        <v>27</v>
      </c>
      <c r="F2" s="35" t="s">
        <v>28</v>
      </c>
      <c r="G2" s="3" t="s">
        <v>29</v>
      </c>
      <c r="H2" s="3" t="s">
        <v>30</v>
      </c>
      <c r="I2" s="8" t="s">
        <v>3</v>
      </c>
      <c r="J2" s="9">
        <v>0.7</v>
      </c>
      <c r="K2" s="32" t="s">
        <v>31</v>
      </c>
      <c r="L2" s="32" t="s">
        <v>32</v>
      </c>
      <c r="M2" s="24" t="s">
        <v>33</v>
      </c>
      <c r="N2" s="5" t="s">
        <v>34</v>
      </c>
      <c r="O2" s="9">
        <v>0.15</v>
      </c>
      <c r="P2" s="9"/>
      <c r="Q2" s="9">
        <f t="shared" ref="Q2:Q8" si="0">ROUND(IF(OR(N2="",P2=""),0,IF(AND(N2=0,P2=0),1,IF(S2="+",P2/N2,N2/P2))),2)</f>
        <v>0</v>
      </c>
      <c r="R2" s="10">
        <f t="shared" ref="R2:R8" si="1">IF(AND(Q2&gt;=60%,Q2&lt;100%),Q2*((O2*J2)),IF(Q2=100%,((O2*J2)*Q2)*100%,IF(Q2&gt;100%,((J2*O2)*100%)*100%,0)))*100</f>
        <v>0</v>
      </c>
      <c r="S2" s="9" t="s">
        <v>0</v>
      </c>
      <c r="T2" s="11">
        <f>SUM(R2:R8)%</f>
        <v>0</v>
      </c>
      <c r="U2" s="6"/>
      <c r="V2" s="6"/>
      <c r="W2" s="6"/>
      <c r="X2" s="6"/>
      <c r="Y2" s="6"/>
      <c r="Z2" s="6"/>
      <c r="AA2" s="6"/>
      <c r="AB2" s="6"/>
      <c r="AC2" s="6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</row>
    <row r="3" spans="1:48" s="7" customFormat="1" ht="10.199999999999999" x14ac:dyDescent="0.2">
      <c r="A3" s="22">
        <v>2</v>
      </c>
      <c r="B3" s="3" t="s">
        <v>2</v>
      </c>
      <c r="C3" s="23" t="s">
        <v>25</v>
      </c>
      <c r="D3" s="3" t="s">
        <v>26</v>
      </c>
      <c r="E3" s="3" t="s">
        <v>27</v>
      </c>
      <c r="F3" s="35" t="s">
        <v>28</v>
      </c>
      <c r="G3" s="3" t="s">
        <v>29</v>
      </c>
      <c r="H3" s="3" t="s">
        <v>30</v>
      </c>
      <c r="I3" s="8" t="s">
        <v>3</v>
      </c>
      <c r="J3" s="9">
        <v>0.7</v>
      </c>
      <c r="K3" s="32" t="s">
        <v>35</v>
      </c>
      <c r="L3" s="32" t="s">
        <v>36</v>
      </c>
      <c r="M3" s="4" t="s">
        <v>37</v>
      </c>
      <c r="N3" s="5" t="s">
        <v>38</v>
      </c>
      <c r="O3" s="9">
        <v>0.15</v>
      </c>
      <c r="P3" s="5"/>
      <c r="Q3" s="9">
        <f t="shared" si="0"/>
        <v>0</v>
      </c>
      <c r="R3" s="10">
        <f t="shared" si="1"/>
        <v>0</v>
      </c>
      <c r="S3" s="9" t="s">
        <v>0</v>
      </c>
      <c r="T3" s="9"/>
      <c r="U3" s="6"/>
      <c r="V3" s="6"/>
      <c r="W3" s="6"/>
      <c r="X3" s="6"/>
      <c r="Y3" s="6"/>
      <c r="Z3" s="6"/>
      <c r="AA3" s="6"/>
      <c r="AB3" s="6"/>
      <c r="AC3" s="6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</row>
    <row r="4" spans="1:48" s="7" customFormat="1" ht="10.199999999999999" x14ac:dyDescent="0.2">
      <c r="A4" s="22">
        <v>3</v>
      </c>
      <c r="B4" s="3" t="s">
        <v>2</v>
      </c>
      <c r="C4" s="23" t="s">
        <v>25</v>
      </c>
      <c r="D4" s="7">
        <v>3651</v>
      </c>
      <c r="E4" s="3" t="s">
        <v>27</v>
      </c>
      <c r="F4" s="35" t="s">
        <v>28</v>
      </c>
      <c r="G4" s="3" t="s">
        <v>29</v>
      </c>
      <c r="H4" s="3" t="s">
        <v>30</v>
      </c>
      <c r="I4" s="2" t="s">
        <v>3</v>
      </c>
      <c r="J4" s="29">
        <v>0.7</v>
      </c>
      <c r="K4" s="8" t="s">
        <v>39</v>
      </c>
      <c r="L4" s="8" t="s">
        <v>40</v>
      </c>
      <c r="M4" s="30" t="s">
        <v>41</v>
      </c>
      <c r="N4" s="28" t="s">
        <v>42</v>
      </c>
      <c r="O4" s="29">
        <v>0.1</v>
      </c>
      <c r="P4" s="28"/>
      <c r="Q4" s="29">
        <f t="shared" si="0"/>
        <v>0</v>
      </c>
      <c r="R4" s="31">
        <f t="shared" si="1"/>
        <v>0</v>
      </c>
      <c r="S4" s="29" t="s">
        <v>58</v>
      </c>
      <c r="T4" s="29"/>
      <c r="U4" s="6"/>
      <c r="V4" s="6"/>
      <c r="W4" s="6"/>
      <c r="X4" s="6"/>
      <c r="Y4" s="6"/>
      <c r="Z4" s="6"/>
      <c r="AA4" s="6"/>
      <c r="AB4" s="6"/>
      <c r="AC4" s="6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</row>
    <row r="5" spans="1:48" s="7" customFormat="1" ht="10.199999999999999" x14ac:dyDescent="0.2">
      <c r="A5" s="22">
        <v>4</v>
      </c>
      <c r="B5" s="3" t="s">
        <v>2</v>
      </c>
      <c r="C5" s="23" t="s">
        <v>25</v>
      </c>
      <c r="D5" s="3" t="s">
        <v>26</v>
      </c>
      <c r="E5" s="3" t="s">
        <v>27</v>
      </c>
      <c r="F5" s="35" t="s">
        <v>28</v>
      </c>
      <c r="G5" s="3" t="s">
        <v>29</v>
      </c>
      <c r="H5" s="3" t="s">
        <v>30</v>
      </c>
      <c r="I5" s="8" t="s">
        <v>3</v>
      </c>
      <c r="J5" s="9">
        <v>0.7</v>
      </c>
      <c r="K5" s="32" t="s">
        <v>43</v>
      </c>
      <c r="L5" s="32" t="s">
        <v>44</v>
      </c>
      <c r="M5" s="4" t="s">
        <v>45</v>
      </c>
      <c r="N5" s="5" t="s">
        <v>38</v>
      </c>
      <c r="O5" s="9">
        <v>0.1</v>
      </c>
      <c r="P5" s="25"/>
      <c r="Q5" s="9">
        <f t="shared" si="0"/>
        <v>0</v>
      </c>
      <c r="R5" s="10">
        <f t="shared" si="1"/>
        <v>0</v>
      </c>
      <c r="S5" s="9" t="s">
        <v>0</v>
      </c>
      <c r="T5" s="9"/>
      <c r="U5" s="6"/>
      <c r="V5" s="6"/>
      <c r="W5" s="6"/>
      <c r="X5" s="6"/>
      <c r="Y5" s="6"/>
      <c r="Z5" s="6"/>
      <c r="AA5" s="6"/>
      <c r="AB5" s="6"/>
      <c r="AC5" s="6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</row>
    <row r="6" spans="1:48" s="7" customFormat="1" ht="10.199999999999999" x14ac:dyDescent="0.2">
      <c r="A6" s="22">
        <v>5</v>
      </c>
      <c r="B6" s="3" t="s">
        <v>2</v>
      </c>
      <c r="C6" s="23" t="s">
        <v>25</v>
      </c>
      <c r="D6" s="7">
        <v>3651</v>
      </c>
      <c r="E6" s="3" t="s">
        <v>27</v>
      </c>
      <c r="F6" s="35" t="s">
        <v>28</v>
      </c>
      <c r="G6" s="3" t="s">
        <v>29</v>
      </c>
      <c r="H6" s="3" t="s">
        <v>30</v>
      </c>
      <c r="I6" s="8" t="s">
        <v>3</v>
      </c>
      <c r="J6" s="9">
        <v>0.7</v>
      </c>
      <c r="K6" s="32" t="s">
        <v>46</v>
      </c>
      <c r="L6" s="32" t="s">
        <v>47</v>
      </c>
      <c r="M6" s="4" t="s">
        <v>48</v>
      </c>
      <c r="N6" s="5" t="s">
        <v>49</v>
      </c>
      <c r="O6" s="9">
        <v>0.1</v>
      </c>
      <c r="P6" s="26"/>
      <c r="Q6" s="9">
        <f t="shared" si="0"/>
        <v>0</v>
      </c>
      <c r="R6" s="10">
        <f t="shared" si="1"/>
        <v>0</v>
      </c>
      <c r="S6" s="9" t="s">
        <v>0</v>
      </c>
      <c r="T6" s="9"/>
      <c r="U6" s="6"/>
      <c r="V6" s="6"/>
      <c r="W6" s="6"/>
      <c r="X6" s="6"/>
      <c r="Y6" s="6"/>
      <c r="Z6" s="6"/>
      <c r="AA6" s="6"/>
      <c r="AB6" s="6"/>
      <c r="AC6" s="6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</row>
    <row r="7" spans="1:48" s="7" customFormat="1" ht="10.199999999999999" x14ac:dyDescent="0.2">
      <c r="A7" s="22">
        <v>6</v>
      </c>
      <c r="B7" s="3" t="s">
        <v>2</v>
      </c>
      <c r="C7" s="23" t="s">
        <v>25</v>
      </c>
      <c r="D7" s="3" t="s">
        <v>26</v>
      </c>
      <c r="E7" s="3" t="s">
        <v>27</v>
      </c>
      <c r="F7" s="35" t="s">
        <v>28</v>
      </c>
      <c r="G7" s="3" t="s">
        <v>29</v>
      </c>
      <c r="H7" s="3" t="s">
        <v>30</v>
      </c>
      <c r="I7" s="2" t="s">
        <v>1</v>
      </c>
      <c r="J7" s="29">
        <v>0.2</v>
      </c>
      <c r="K7" s="2" t="s">
        <v>50</v>
      </c>
      <c r="L7" s="2" t="s">
        <v>51</v>
      </c>
      <c r="M7" s="1" t="s">
        <v>52</v>
      </c>
      <c r="N7" s="28" t="s">
        <v>34</v>
      </c>
      <c r="O7" s="12">
        <v>0.2</v>
      </c>
      <c r="P7" s="26"/>
      <c r="Q7" s="12">
        <f t="shared" si="0"/>
        <v>0</v>
      </c>
      <c r="R7" s="13">
        <f t="shared" si="1"/>
        <v>0</v>
      </c>
      <c r="S7" s="9" t="s">
        <v>0</v>
      </c>
      <c r="T7" s="12"/>
      <c r="U7" s="6"/>
      <c r="V7" s="6"/>
      <c r="W7" s="6"/>
      <c r="X7" s="6"/>
      <c r="Y7" s="6"/>
      <c r="Z7" s="6"/>
      <c r="AA7" s="6"/>
      <c r="AB7" s="6"/>
      <c r="AC7" s="6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</row>
    <row r="8" spans="1:48" s="7" customFormat="1" ht="10.199999999999999" x14ac:dyDescent="0.2">
      <c r="A8" s="22">
        <v>7</v>
      </c>
      <c r="B8" s="3" t="s">
        <v>2</v>
      </c>
      <c r="C8" s="23" t="s">
        <v>25</v>
      </c>
      <c r="D8" s="3">
        <v>3651</v>
      </c>
      <c r="E8" s="3" t="s">
        <v>27</v>
      </c>
      <c r="F8" s="35" t="s">
        <v>28</v>
      </c>
      <c r="G8" s="3" t="s">
        <v>29</v>
      </c>
      <c r="H8" s="3" t="s">
        <v>30</v>
      </c>
      <c r="I8" s="8" t="s">
        <v>53</v>
      </c>
      <c r="J8" s="9">
        <v>0.1</v>
      </c>
      <c r="K8" s="32" t="s">
        <v>54</v>
      </c>
      <c r="L8" s="32" t="s">
        <v>55</v>
      </c>
      <c r="M8" s="32" t="s">
        <v>56</v>
      </c>
      <c r="N8" s="5" t="s">
        <v>57</v>
      </c>
      <c r="O8" s="33">
        <v>0.2</v>
      </c>
      <c r="P8" s="32"/>
      <c r="Q8" s="32">
        <f t="shared" si="0"/>
        <v>0</v>
      </c>
      <c r="R8" s="32">
        <f t="shared" si="1"/>
        <v>0</v>
      </c>
      <c r="S8" s="32" t="s">
        <v>0</v>
      </c>
      <c r="T8" s="32"/>
      <c r="U8" s="6"/>
      <c r="V8" s="6"/>
      <c r="W8" s="6"/>
      <c r="X8" s="6"/>
      <c r="Y8" s="6"/>
      <c r="Z8" s="6"/>
      <c r="AA8" s="6"/>
      <c r="AB8" s="6"/>
      <c r="AC8" s="6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</row>
    <row r="9" spans="1:48" s="7" customFormat="1" ht="10.199999999999999" x14ac:dyDescent="0.2">
      <c r="A9" s="22">
        <v>1</v>
      </c>
      <c r="B9" s="3" t="s">
        <v>2</v>
      </c>
      <c r="C9" s="23" t="s">
        <v>25</v>
      </c>
      <c r="D9" s="3">
        <v>6363</v>
      </c>
      <c r="E9" s="3" t="s">
        <v>59</v>
      </c>
      <c r="F9" s="35" t="s">
        <v>28</v>
      </c>
      <c r="G9" s="3" t="s">
        <v>29</v>
      </c>
      <c r="H9" s="3" t="s">
        <v>30</v>
      </c>
      <c r="I9" s="8" t="s">
        <v>3</v>
      </c>
      <c r="J9" s="9">
        <v>0.7</v>
      </c>
      <c r="K9" s="32" t="s">
        <v>31</v>
      </c>
      <c r="L9" s="32" t="s">
        <v>32</v>
      </c>
      <c r="M9" s="24" t="s">
        <v>33</v>
      </c>
      <c r="N9" s="5" t="s">
        <v>34</v>
      </c>
      <c r="O9" s="9">
        <v>0.15</v>
      </c>
      <c r="P9" s="9"/>
      <c r="Q9" s="9">
        <f t="shared" ref="Q9:Q15" si="2">ROUND(IF(OR(N9="",P9=""),0,IF(AND(N9=0,P9=0),1,IF(S9="+",P9/N9,N9/P9))),2)</f>
        <v>0</v>
      </c>
      <c r="R9" s="10">
        <f t="shared" ref="R9:R15" si="3">IF(AND(Q9&gt;=60%,Q9&lt;100%),Q9*((O9*J9)),IF(Q9=100%,((O9*J9)*Q9)*100%,IF(Q9&gt;100%,((J9*O9)*100%)*100%,0)))*100</f>
        <v>0</v>
      </c>
      <c r="S9" s="9" t="s">
        <v>0</v>
      </c>
      <c r="T9" s="11">
        <f>SUM(R9:R15)%</f>
        <v>0</v>
      </c>
      <c r="U9" s="6"/>
      <c r="V9" s="6"/>
      <c r="W9" s="6"/>
      <c r="X9" s="6"/>
      <c r="Y9" s="6"/>
      <c r="Z9" s="6"/>
      <c r="AA9" s="6"/>
      <c r="AB9" s="6"/>
      <c r="AC9" s="6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</row>
    <row r="10" spans="1:48" s="7" customFormat="1" ht="10.199999999999999" x14ac:dyDescent="0.2">
      <c r="A10" s="22">
        <v>2</v>
      </c>
      <c r="B10" s="3" t="s">
        <v>2</v>
      </c>
      <c r="C10" s="23" t="s">
        <v>25</v>
      </c>
      <c r="D10" s="3">
        <v>6363</v>
      </c>
      <c r="E10" s="3" t="s">
        <v>59</v>
      </c>
      <c r="F10" s="35" t="s">
        <v>28</v>
      </c>
      <c r="G10" s="3" t="s">
        <v>29</v>
      </c>
      <c r="H10" s="3" t="s">
        <v>30</v>
      </c>
      <c r="I10" s="8" t="s">
        <v>3</v>
      </c>
      <c r="J10" s="9">
        <v>0.7</v>
      </c>
      <c r="K10" s="32" t="s">
        <v>35</v>
      </c>
      <c r="L10" s="32" t="s">
        <v>36</v>
      </c>
      <c r="M10" s="4" t="s">
        <v>37</v>
      </c>
      <c r="N10" s="5" t="s">
        <v>38</v>
      </c>
      <c r="O10" s="9">
        <v>0.15</v>
      </c>
      <c r="P10" s="5"/>
      <c r="Q10" s="9">
        <f t="shared" si="2"/>
        <v>0</v>
      </c>
      <c r="R10" s="10">
        <f t="shared" si="3"/>
        <v>0</v>
      </c>
      <c r="S10" s="9" t="s">
        <v>0</v>
      </c>
      <c r="T10" s="9"/>
      <c r="U10" s="6"/>
      <c r="V10" s="6"/>
      <c r="W10" s="6"/>
      <c r="X10" s="6"/>
      <c r="Y10" s="6"/>
      <c r="Z10" s="6"/>
      <c r="AA10" s="6"/>
      <c r="AB10" s="6"/>
      <c r="AC10" s="6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</row>
    <row r="11" spans="1:48" s="7" customFormat="1" ht="10.199999999999999" x14ac:dyDescent="0.2">
      <c r="A11" s="22">
        <v>3</v>
      </c>
      <c r="B11" s="3" t="s">
        <v>2</v>
      </c>
      <c r="C11" s="23" t="s">
        <v>25</v>
      </c>
      <c r="D11" s="3">
        <v>6363</v>
      </c>
      <c r="E11" s="3" t="s">
        <v>59</v>
      </c>
      <c r="F11" s="35" t="s">
        <v>28</v>
      </c>
      <c r="G11" s="3" t="s">
        <v>29</v>
      </c>
      <c r="H11" s="3" t="s">
        <v>30</v>
      </c>
      <c r="I11" s="2" t="s">
        <v>3</v>
      </c>
      <c r="J11" s="29">
        <v>0.7</v>
      </c>
      <c r="K11" s="8" t="s">
        <v>39</v>
      </c>
      <c r="L11" s="8" t="s">
        <v>40</v>
      </c>
      <c r="M11" s="30" t="s">
        <v>41</v>
      </c>
      <c r="N11" s="28" t="s">
        <v>42</v>
      </c>
      <c r="O11" s="29">
        <v>0.1</v>
      </c>
      <c r="P11" s="28"/>
      <c r="Q11" s="29">
        <f t="shared" si="2"/>
        <v>0</v>
      </c>
      <c r="R11" s="31">
        <f t="shared" si="3"/>
        <v>0</v>
      </c>
      <c r="S11" s="29" t="s">
        <v>58</v>
      </c>
      <c r="T11" s="29"/>
      <c r="U11" s="6"/>
      <c r="V11" s="6"/>
      <c r="W11" s="6"/>
      <c r="X11" s="6"/>
      <c r="Y11" s="6"/>
      <c r="Z11" s="6"/>
      <c r="AA11" s="6"/>
      <c r="AB11" s="6"/>
      <c r="AC11" s="6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</row>
    <row r="12" spans="1:48" s="7" customFormat="1" ht="10.199999999999999" x14ac:dyDescent="0.2">
      <c r="A12" s="22">
        <v>4</v>
      </c>
      <c r="B12" s="3" t="s">
        <v>2</v>
      </c>
      <c r="C12" s="23" t="s">
        <v>25</v>
      </c>
      <c r="D12" s="3">
        <v>6363</v>
      </c>
      <c r="E12" s="3" t="s">
        <v>59</v>
      </c>
      <c r="F12" s="35" t="s">
        <v>28</v>
      </c>
      <c r="G12" s="3" t="s">
        <v>29</v>
      </c>
      <c r="H12" s="3" t="s">
        <v>30</v>
      </c>
      <c r="I12" s="8" t="s">
        <v>3</v>
      </c>
      <c r="J12" s="9">
        <v>0.7</v>
      </c>
      <c r="K12" s="32" t="s">
        <v>43</v>
      </c>
      <c r="L12" s="32" t="s">
        <v>44</v>
      </c>
      <c r="M12" s="4" t="s">
        <v>45</v>
      </c>
      <c r="N12" s="5" t="s">
        <v>38</v>
      </c>
      <c r="O12" s="9">
        <v>0.1</v>
      </c>
      <c r="P12" s="25"/>
      <c r="Q12" s="9">
        <f t="shared" si="2"/>
        <v>0</v>
      </c>
      <c r="R12" s="10">
        <f t="shared" si="3"/>
        <v>0</v>
      </c>
      <c r="S12" s="9" t="s">
        <v>0</v>
      </c>
      <c r="T12" s="9"/>
      <c r="U12" s="6"/>
      <c r="V12" s="6"/>
      <c r="W12" s="6"/>
      <c r="X12" s="6"/>
      <c r="Y12" s="6"/>
      <c r="Z12" s="6"/>
      <c r="AA12" s="6"/>
      <c r="AB12" s="6"/>
      <c r="AC12" s="6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</row>
    <row r="13" spans="1:48" s="7" customFormat="1" ht="10.199999999999999" x14ac:dyDescent="0.2">
      <c r="A13" s="22">
        <v>5</v>
      </c>
      <c r="B13" s="3" t="s">
        <v>2</v>
      </c>
      <c r="C13" s="23" t="s">
        <v>25</v>
      </c>
      <c r="D13" s="3">
        <v>6363</v>
      </c>
      <c r="E13" s="3" t="s">
        <v>59</v>
      </c>
      <c r="F13" s="35" t="s">
        <v>28</v>
      </c>
      <c r="G13" s="3" t="s">
        <v>29</v>
      </c>
      <c r="H13" s="3" t="s">
        <v>30</v>
      </c>
      <c r="I13" s="8" t="s">
        <v>3</v>
      </c>
      <c r="J13" s="9">
        <v>0.7</v>
      </c>
      <c r="K13" s="32" t="s">
        <v>46</v>
      </c>
      <c r="L13" s="32" t="s">
        <v>47</v>
      </c>
      <c r="M13" s="4" t="s">
        <v>48</v>
      </c>
      <c r="N13" s="5" t="s">
        <v>49</v>
      </c>
      <c r="O13" s="9">
        <v>0.1</v>
      </c>
      <c r="P13" s="26"/>
      <c r="Q13" s="9">
        <f t="shared" si="2"/>
        <v>0</v>
      </c>
      <c r="R13" s="10">
        <f t="shared" si="3"/>
        <v>0</v>
      </c>
      <c r="S13" s="9" t="s">
        <v>0</v>
      </c>
      <c r="T13" s="9"/>
      <c r="U13" s="6"/>
      <c r="V13" s="6"/>
      <c r="W13" s="6"/>
      <c r="X13" s="6"/>
      <c r="Y13" s="6"/>
      <c r="Z13" s="6"/>
      <c r="AA13" s="6"/>
      <c r="AB13" s="6"/>
      <c r="AC13" s="6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</row>
    <row r="14" spans="1:48" s="7" customFormat="1" ht="10.199999999999999" x14ac:dyDescent="0.2">
      <c r="A14" s="22">
        <v>6</v>
      </c>
      <c r="B14" s="3" t="s">
        <v>2</v>
      </c>
      <c r="C14" s="23" t="s">
        <v>25</v>
      </c>
      <c r="D14" s="3">
        <v>6363</v>
      </c>
      <c r="E14" s="3" t="s">
        <v>59</v>
      </c>
      <c r="F14" s="35" t="s">
        <v>28</v>
      </c>
      <c r="G14" s="3" t="s">
        <v>29</v>
      </c>
      <c r="H14" s="3" t="s">
        <v>30</v>
      </c>
      <c r="I14" s="2" t="s">
        <v>1</v>
      </c>
      <c r="J14" s="29">
        <v>0.2</v>
      </c>
      <c r="K14" s="2" t="s">
        <v>50</v>
      </c>
      <c r="L14" s="2" t="s">
        <v>51</v>
      </c>
      <c r="M14" s="1" t="s">
        <v>52</v>
      </c>
      <c r="N14" s="28" t="s">
        <v>34</v>
      </c>
      <c r="O14" s="12">
        <v>0.2</v>
      </c>
      <c r="P14" s="26"/>
      <c r="Q14" s="12">
        <f t="shared" si="2"/>
        <v>0</v>
      </c>
      <c r="R14" s="13">
        <f t="shared" si="3"/>
        <v>0</v>
      </c>
      <c r="S14" s="9" t="s">
        <v>0</v>
      </c>
      <c r="T14" s="12"/>
      <c r="U14" s="6"/>
      <c r="V14" s="6"/>
      <c r="W14" s="6"/>
      <c r="X14" s="6"/>
      <c r="Y14" s="6"/>
      <c r="Z14" s="6"/>
      <c r="AA14" s="6"/>
      <c r="AB14" s="6"/>
      <c r="AC14" s="6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</row>
    <row r="15" spans="1:48" s="7" customFormat="1" ht="10.199999999999999" x14ac:dyDescent="0.2">
      <c r="A15" s="22">
        <v>7</v>
      </c>
      <c r="B15" s="3" t="s">
        <v>2</v>
      </c>
      <c r="C15" s="23" t="s">
        <v>25</v>
      </c>
      <c r="D15" s="3">
        <v>6363</v>
      </c>
      <c r="E15" s="3" t="s">
        <v>59</v>
      </c>
      <c r="F15" s="35" t="s">
        <v>28</v>
      </c>
      <c r="G15" s="3" t="s">
        <v>29</v>
      </c>
      <c r="H15" s="3" t="s">
        <v>30</v>
      </c>
      <c r="I15" s="8" t="s">
        <v>53</v>
      </c>
      <c r="J15" s="9">
        <v>0.1</v>
      </c>
      <c r="K15" s="32" t="s">
        <v>54</v>
      </c>
      <c r="L15" s="32" t="s">
        <v>55</v>
      </c>
      <c r="M15" s="32" t="s">
        <v>56</v>
      </c>
      <c r="N15" s="5" t="s">
        <v>57</v>
      </c>
      <c r="O15" s="33">
        <v>0.2</v>
      </c>
      <c r="P15" s="32"/>
      <c r="Q15" s="32">
        <f t="shared" si="2"/>
        <v>0</v>
      </c>
      <c r="R15" s="32">
        <f t="shared" si="3"/>
        <v>0</v>
      </c>
      <c r="S15" s="32" t="s">
        <v>0</v>
      </c>
      <c r="T15" s="32"/>
      <c r="U15" s="6"/>
      <c r="V15" s="6"/>
      <c r="W15" s="6"/>
      <c r="X15" s="6"/>
      <c r="Y15" s="6"/>
      <c r="Z15" s="6"/>
      <c r="AA15" s="6"/>
      <c r="AB15" s="6"/>
      <c r="AC15" s="6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</row>
    <row r="18" spans="13:13" x14ac:dyDescent="0.3">
      <c r="M18" t="s">
        <v>24</v>
      </c>
    </row>
  </sheetData>
  <phoneticPr fontId="2" type="noConversion"/>
  <conditionalFormatting sqref="P8:T8 I1:I15 K1:M15 P15:T15">
    <cfRule type="cellIs" dxfId="0" priority="2" operator="equal">
      <formula>"maintasks"</formula>
    </cfRule>
  </conditionalFormatting>
  <pageMargins left="0.7" right="0.7" top="0.75" bottom="0.75" header="0.3" footer="0.3"/>
  <ignoredErrors>
    <ignoredError sqref="D3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طراحی مهندسی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2025-04-22T05:46:54Z</dcterms:modified>
</cp:coreProperties>
</file>