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دکستاپ\kpi پرسنل فصل بهار\"/>
    </mc:Choice>
  </mc:AlternateContent>
  <xr:revisionPtr revIDLastSave="0" documentId="13_ncr:1_{4A4B284A-AE82-4A94-ACA6-EB9AE0AD73B4}" xr6:coauthVersionLast="47" xr6:coauthVersionMax="47" xr10:uidLastSave="{00000000-0000-0000-0000-000000000000}"/>
  <bookViews>
    <workbookView xWindow="28680" yWindow="-120" windowWidth="29040" windowHeight="15840" xr2:uid="{BD38DE6A-3E43-40C4-9B39-34F45D7F133B}"/>
  </bookViews>
  <sheets>
    <sheet name="واحد ماشین آلات" sheetId="1" r:id="rId1"/>
    <sheet name="ماشین آلات" sheetId="6" r:id="rId2"/>
  </sheets>
  <definedNames>
    <definedName name="_xlnm._FilterDatabase" localSheetId="0" hidden="1">'واحد ماشین آلات'!$A$1:$T$8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0" i="1" l="1"/>
  <c r="R50" i="1" s="1"/>
  <c r="Q48" i="1"/>
  <c r="R48" i="1" s="1"/>
  <c r="Q47" i="1"/>
  <c r="R47" i="1" s="1"/>
  <c r="Q46" i="1"/>
  <c r="R46" i="1" s="1"/>
  <c r="Q45" i="1"/>
  <c r="R45" i="1" s="1"/>
  <c r="Q44" i="1"/>
  <c r="R44" i="1" s="1"/>
  <c r="T44" i="1" s="1"/>
  <c r="R43" i="1"/>
  <c r="Q43" i="1"/>
  <c r="Q41" i="1"/>
  <c r="R41" i="1" s="1"/>
  <c r="R40" i="1"/>
  <c r="Q40" i="1"/>
  <c r="Q39" i="1"/>
  <c r="R39" i="1" s="1"/>
  <c r="R38" i="1"/>
  <c r="Q38" i="1"/>
  <c r="Q37" i="1"/>
  <c r="R37" i="1" s="1"/>
  <c r="T37" i="1" s="1"/>
  <c r="Q36" i="1"/>
  <c r="R36" i="1" s="1"/>
  <c r="Q34" i="1"/>
  <c r="R34" i="1" s="1"/>
  <c r="Q33" i="1"/>
  <c r="R33" i="1" s="1"/>
  <c r="Q32" i="1"/>
  <c r="R32" i="1" s="1"/>
  <c r="Q31" i="1"/>
  <c r="R31" i="1" s="1"/>
  <c r="Q30" i="1"/>
  <c r="R30" i="1" s="1"/>
  <c r="T30" i="1" s="1"/>
  <c r="Q29" i="1"/>
  <c r="R29" i="1" s="1"/>
  <c r="Q27" i="1"/>
  <c r="R27" i="1" s="1"/>
  <c r="Q26" i="1"/>
  <c r="R26" i="1" s="1"/>
  <c r="Q25" i="1"/>
  <c r="R25" i="1" s="1"/>
  <c r="Q24" i="1"/>
  <c r="R24" i="1" s="1"/>
  <c r="Q23" i="1"/>
  <c r="R23" i="1" s="1"/>
  <c r="T23" i="1" s="1"/>
  <c r="Q22" i="1"/>
  <c r="R22" i="1" s="1"/>
  <c r="R20" i="1"/>
  <c r="Q20" i="1"/>
  <c r="Q19" i="1"/>
  <c r="R19" i="1" s="1"/>
  <c r="Q18" i="1"/>
  <c r="R18" i="1" s="1"/>
  <c r="Q17" i="1"/>
  <c r="R17" i="1" s="1"/>
  <c r="R16" i="1"/>
  <c r="Q16" i="1"/>
  <c r="Q15" i="1"/>
  <c r="R15" i="1" s="1"/>
  <c r="Q13" i="1"/>
  <c r="R13" i="1" s="1"/>
  <c r="Q12" i="1"/>
  <c r="R12" i="1" s="1"/>
  <c r="Q11" i="1"/>
  <c r="R11" i="1" s="1"/>
  <c r="Q10" i="1"/>
  <c r="R10" i="1" s="1"/>
  <c r="Q9" i="1"/>
  <c r="R9" i="1" s="1"/>
  <c r="T9" i="1" s="1"/>
  <c r="Q3" i="1"/>
  <c r="R3" i="1" s="1"/>
  <c r="Q8" i="1"/>
  <c r="R8" i="1" s="1"/>
  <c r="Q6" i="1"/>
  <c r="R6" i="1" s="1"/>
  <c r="Q5" i="1"/>
  <c r="R5" i="1" s="1"/>
  <c r="Q4" i="1"/>
  <c r="R4" i="1" s="1"/>
  <c r="Q2" i="1"/>
  <c r="R2" i="1" s="1"/>
  <c r="T16" i="1" l="1"/>
  <c r="T2" i="1"/>
</calcChain>
</file>

<file path=xl/sharedStrings.xml><?xml version="1.0" encoding="utf-8"?>
<sst xmlns="http://schemas.openxmlformats.org/spreadsheetml/2006/main" count="658" uniqueCount="78">
  <si>
    <t>+</t>
  </si>
  <si>
    <t>Projects</t>
  </si>
  <si>
    <t>تخته فشرده</t>
  </si>
  <si>
    <t>MainTasks</t>
  </si>
  <si>
    <t>-</t>
  </si>
  <si>
    <t>Sum</t>
  </si>
  <si>
    <t>type</t>
  </si>
  <si>
    <t>Score Achievement</t>
  </si>
  <si>
    <t>Percentage Achievement</t>
  </si>
  <si>
    <t>KPI Achievement</t>
  </si>
  <si>
    <t>KPI weight</t>
  </si>
  <si>
    <t>target</t>
  </si>
  <si>
    <t>kpi INFO</t>
  </si>
  <si>
    <t>KPI Fa</t>
  </si>
  <si>
    <t>KPI En</t>
  </si>
  <si>
    <t>obj weight</t>
  </si>
  <si>
    <t>دسته بندی</t>
  </si>
  <si>
    <t>دپارتمان</t>
  </si>
  <si>
    <t>مدیر مستقیم</t>
  </si>
  <si>
    <t>عنوان شغلی</t>
  </si>
  <si>
    <t>نام و نام خانوادگی</t>
  </si>
  <si>
    <t>کد پرسنلی</t>
  </si>
  <si>
    <t>فصل</t>
  </si>
  <si>
    <t>نام شرکت</t>
  </si>
  <si>
    <t>ردیف</t>
  </si>
  <si>
    <t>Q1</t>
  </si>
  <si>
    <t>≥ 95%</t>
  </si>
  <si>
    <t>≥ 90%</t>
  </si>
  <si>
    <t>توضیح</t>
  </si>
  <si>
    <t>Target</t>
  </si>
  <si>
    <t>Type</t>
  </si>
  <si>
    <t>KPI Weight (%)</t>
  </si>
  <si>
    <t>Safety Compliance</t>
  </si>
  <si>
    <t>رعایت نکات ایمنی</t>
  </si>
  <si>
    <t>فرمول محاسبه (Percentage Achievement)</t>
  </si>
  <si>
    <t>فني و مهندسي-ماشین آلات</t>
  </si>
  <si>
    <t>رضا زلقی</t>
  </si>
  <si>
    <t>دسته‌بندی</t>
  </si>
  <si>
    <t>Work Order Completion Rate</t>
  </si>
  <si>
    <t>نرخ تکمیل دستور کار</t>
  </si>
  <si>
    <t>درصد دستورکارهایی که طبق زمان‌بندی و با کیفیت انجام شده‌اند</t>
  </si>
  <si>
    <t>(تعداد دستورکار تکمیل‌شده / کل دستورکارها) × 100</t>
  </si>
  <si>
    <t>Repair Quality Score</t>
  </si>
  <si>
    <t>کیفیت تعمیرات</t>
  </si>
  <si>
    <t>ارزیابی کیفیت تعمیرات براساس دفعات برگشت و رضایت سرپرست</t>
  </si>
  <si>
    <t>امتیاز ارزیابی کیفی/100 × 100</t>
  </si>
  <si>
    <t>Reporting Accuracy</t>
  </si>
  <si>
    <t>دقت گزارش‌نویسی</t>
  </si>
  <si>
    <t>دقت در گزارش‌دهی تعمیرات، ثبت قطعات، زمان اجرا و شفافیت توضیحات</t>
  </si>
  <si>
    <t>(گزارشات بدون اشکال / کل گزارشات) × 100</t>
  </si>
  <si>
    <t>Downtime Response Time</t>
  </si>
  <si>
    <t>زمان واکنش به خرابی</t>
  </si>
  <si>
    <t>مدت زمانی که از اعلام خرابی تا شروع اقدام فنی می‌گذرد</t>
  </si>
  <si>
    <t>≤ 15 دقیقه</t>
  </si>
  <si>
    <t>(میانگین زمان پاسخ / هدف زمان پاسخ) × 100</t>
  </si>
  <si>
    <t>رعایت دستورالعمل‌های ایمنی حین تعمیرات</t>
  </si>
  <si>
    <t>بدون تخلف ایمنی</t>
  </si>
  <si>
    <t>اگر تخلف = 0 → 100%، در غیر این صورت → 0%</t>
  </si>
  <si>
    <t>Tool Management Efficiency</t>
  </si>
  <si>
    <t>نگهداری و استفاده صحیح از ابزار</t>
  </si>
  <si>
    <t>وضعیت ابزارهای تحویلی از نظر سالم بودن، گم نشدن و استفاده صحیح</t>
  </si>
  <si>
    <t>(ابزار سالم / کل ابزار بررسی‌شده) × 100</t>
  </si>
  <si>
    <t>Preventive Task Participation</t>
  </si>
  <si>
    <t>مشارکت در PM</t>
  </si>
  <si>
    <t>حضور و همکاری در اجرای برنامه‌های تعمیرات پیشگیرانه</t>
  </si>
  <si>
    <t>(تعداد مشارکت‌ها / برنامه‌های PM مورد انتظار) × 100</t>
  </si>
  <si>
    <t>MTTR (Mean Time to Repair)</t>
  </si>
  <si>
    <t>MTTR (میانگین زمان تعمیر)</t>
  </si>
  <si>
    <t>میانگین زمان تعمیر ماشین‌آلات پس از خرابی.</t>
  </si>
  <si>
    <t>نزولی</t>
  </si>
  <si>
    <t>سید سعید هاشمی نیا</t>
  </si>
  <si>
    <t>تکنسین</t>
  </si>
  <si>
    <t>سید مسعود پالیزیان</t>
  </si>
  <si>
    <t>مهراب مهرآرا</t>
  </si>
  <si>
    <t>یزدان منصوری نیا</t>
  </si>
  <si>
    <t>سید محمدرضا فاضلی اصل</t>
  </si>
  <si>
    <t>مهدی عبدالخانی</t>
  </si>
  <si>
    <t>علی کیان فر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</si>
</sst>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8"/>
      <color theme="0"/>
      <name val="Times New Roman"/>
      <family val="1"/>
    </font>
    <font>
      <b/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name val="Times New Roman"/>
      <family val="1"/>
    </font>
    <font>
      <sz val="8"/>
      <color theme="1"/>
      <name val="B Nazanin"/>
      <charset val="178"/>
    </font>
    <font>
      <sz val="8"/>
      <name val="B Nazanin"/>
      <charset val="178"/>
    </font>
    <font>
      <sz val="14"/>
      <name val="B Nazanin"/>
      <charset val="178"/>
    </font>
    <font>
      <b/>
      <sz val="8"/>
      <color theme="0"/>
      <name val="B Titr"/>
      <charset val="178"/>
    </font>
    <font>
      <sz val="11"/>
      <color theme="1"/>
      <name val="B Titr"/>
      <charset val="17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9E7FD"/>
        <bgColor rgb="FFD9E7F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0" applyFont="1"/>
    <xf numFmtId="0" fontId="3" fillId="2" borderId="0" xfId="0" applyFont="1" applyFill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1" fontId="12" fillId="5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3" fillId="0" borderId="0" xfId="0" applyFont="1"/>
    <xf numFmtId="49" fontId="10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9" fontId="8" fillId="3" borderId="1" xfId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1" applyNumberFormat="1" applyFont="1" applyFill="1" applyBorder="1" applyAlignment="1">
      <alignment horizontal="center" vertical="center"/>
    </xf>
    <xf numFmtId="9" fontId="8" fillId="4" borderId="1" xfId="1" applyFont="1" applyFill="1" applyBorder="1" applyAlignment="1">
      <alignment horizontal="center" vertical="center"/>
    </xf>
    <xf numFmtId="9" fontId="8" fillId="3" borderId="1" xfId="0" applyNumberFormat="1" applyFont="1" applyFill="1" applyBorder="1" applyAlignment="1">
      <alignment horizontal="center" vertical="center"/>
    </xf>
    <xf numFmtId="1" fontId="8" fillId="3" borderId="1" xfId="2" applyNumberFormat="1" applyFont="1" applyFill="1" applyBorder="1" applyAlignment="1">
      <alignment horizontal="center" vertical="center"/>
    </xf>
    <xf numFmtId="10" fontId="7" fillId="3" borderId="0" xfId="0" applyNumberFormat="1" applyFont="1" applyFill="1" applyAlignment="1">
      <alignment horizontal="center" vertical="center"/>
    </xf>
    <xf numFmtId="0" fontId="8" fillId="0" borderId="1" xfId="1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9" fontId="7" fillId="0" borderId="1" xfId="1" applyFont="1" applyBorder="1" applyAlignment="1">
      <alignment horizontal="center" vertical="center"/>
    </xf>
    <xf numFmtId="1" fontId="7" fillId="0" borderId="1" xfId="1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9" fontId="5" fillId="5" borderId="1" xfId="1" applyFont="1" applyFill="1" applyBorder="1" applyAlignment="1">
      <alignment horizontal="center" vertical="center"/>
    </xf>
    <xf numFmtId="9" fontId="6" fillId="6" borderId="1" xfId="1" applyFont="1" applyFill="1" applyBorder="1" applyAlignment="1">
      <alignment horizontal="center" vertical="center"/>
    </xf>
    <xf numFmtId="1" fontId="6" fillId="6" borderId="1" xfId="1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8" fillId="2" borderId="1" xfId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</cellXfs>
  <cellStyles count="3">
    <cellStyle name="Normal" xfId="0" builtinId="0"/>
    <cellStyle name="Percent" xfId="1" builtinId="5"/>
    <cellStyle name="Percent 2" xfId="2" xr:uid="{6AE1D523-B7EE-4EA2-9B03-B6EDB101A8FB}"/>
  </cellStyles>
  <dxfs count="8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4661B-8CB2-466F-8DBB-EB69CD48EE90}">
  <dimension ref="A1:AV50"/>
  <sheetViews>
    <sheetView tabSelected="1" topLeftCell="A32" workbookViewId="0">
      <selection activeCell="F55" sqref="F55"/>
    </sheetView>
  </sheetViews>
  <sheetFormatPr defaultRowHeight="14.4" x14ac:dyDescent="0.3"/>
  <cols>
    <col min="1" max="1" width="6.77734375" style="35" customWidth="1"/>
    <col min="2" max="2" width="14.44140625" style="35" bestFit="1" customWidth="1"/>
    <col min="3" max="3" width="6.77734375" style="35" customWidth="1"/>
    <col min="4" max="4" width="8.88671875" style="35"/>
    <col min="5" max="5" width="19.77734375" style="35" bestFit="1" customWidth="1"/>
    <col min="6" max="6" width="12" style="35" customWidth="1"/>
    <col min="7" max="7" width="12.44140625" style="35" customWidth="1"/>
    <col min="8" max="8" width="16.5546875" style="35" customWidth="1"/>
    <col min="9" max="9" width="14.77734375" style="35" customWidth="1"/>
    <col min="10" max="10" width="10" style="35" customWidth="1"/>
    <col min="11" max="11" width="22.77734375" style="35" customWidth="1"/>
    <col min="12" max="12" width="42.21875" style="35" customWidth="1"/>
    <col min="13" max="13" width="51.77734375" style="35" customWidth="1"/>
    <col min="14" max="14" width="14.21875" style="35" customWidth="1"/>
    <col min="15" max="15" width="7.77734375" style="35" customWidth="1"/>
    <col min="16" max="16" width="21.44140625" style="35" customWidth="1"/>
    <col min="17" max="17" width="19.109375" style="35" bestFit="1" customWidth="1"/>
    <col min="18" max="18" width="15" style="35" bestFit="1" customWidth="1"/>
    <col min="19" max="19" width="7.88671875" style="35" customWidth="1"/>
    <col min="20" max="20" width="7.77734375" style="35" customWidth="1"/>
    <col min="30" max="46" width="9.21875"/>
  </cols>
  <sheetData>
    <row r="1" spans="1:48" s="12" customFormat="1" ht="22.2" x14ac:dyDescent="0.75">
      <c r="A1" s="10" t="s">
        <v>24</v>
      </c>
      <c r="B1" s="11" t="s">
        <v>23</v>
      </c>
      <c r="C1" s="11" t="s">
        <v>22</v>
      </c>
      <c r="D1" s="10" t="s">
        <v>21</v>
      </c>
      <c r="E1" s="11" t="s">
        <v>20</v>
      </c>
      <c r="F1" s="11" t="s">
        <v>19</v>
      </c>
      <c r="G1" s="11" t="s">
        <v>18</v>
      </c>
      <c r="H1" s="11" t="s">
        <v>17</v>
      </c>
      <c r="I1" s="11" t="s">
        <v>16</v>
      </c>
      <c r="J1" s="31" t="s">
        <v>15</v>
      </c>
      <c r="K1" s="30" t="s">
        <v>14</v>
      </c>
      <c r="L1" s="30" t="s">
        <v>13</v>
      </c>
      <c r="M1" s="30" t="s">
        <v>12</v>
      </c>
      <c r="N1" s="30" t="s">
        <v>11</v>
      </c>
      <c r="O1" s="31" t="s">
        <v>10</v>
      </c>
      <c r="P1" s="30" t="s">
        <v>9</v>
      </c>
      <c r="Q1" s="32" t="s">
        <v>8</v>
      </c>
      <c r="R1" s="33" t="s">
        <v>7</v>
      </c>
      <c r="S1" s="34" t="s">
        <v>6</v>
      </c>
      <c r="T1" s="31" t="s">
        <v>5</v>
      </c>
    </row>
    <row r="2" spans="1:48" s="2" customFormat="1" ht="21.6" x14ac:dyDescent="0.2">
      <c r="A2" s="3">
        <v>2070</v>
      </c>
      <c r="B2" s="13" t="s">
        <v>2</v>
      </c>
      <c r="C2" s="4" t="s">
        <v>25</v>
      </c>
      <c r="D2" s="37">
        <v>5021</v>
      </c>
      <c r="E2" s="13" t="s">
        <v>70</v>
      </c>
      <c r="F2" s="7" t="s">
        <v>71</v>
      </c>
      <c r="G2" s="13" t="s">
        <v>36</v>
      </c>
      <c r="H2" s="7" t="s">
        <v>35</v>
      </c>
      <c r="I2" s="14" t="s">
        <v>3</v>
      </c>
      <c r="J2" s="15">
        <v>0.7</v>
      </c>
      <c r="K2" s="19" t="s">
        <v>38</v>
      </c>
      <c r="L2" s="17" t="s">
        <v>39</v>
      </c>
      <c r="M2" s="6" t="s">
        <v>40</v>
      </c>
      <c r="N2" s="20" t="s">
        <v>26</v>
      </c>
      <c r="O2" s="15">
        <v>0.1</v>
      </c>
      <c r="P2" s="15"/>
      <c r="Q2" s="15">
        <f t="shared" ref="Q2:Q8" si="0">ROUND(IF(OR(N2="",P2=""),0,IF(AND(N2=0,P2=0),1,IF(S2="+",P2/N2,N2/P2))),2)</f>
        <v>0</v>
      </c>
      <c r="R2" s="21">
        <f t="shared" ref="R2:R8" si="1">IF(AND(Q2&gt;=60%,Q2&lt;100%),Q2*((O2*J2)),IF(Q2=100%,((O2*J2)*Q2)*100%,IF(Q2&gt;100%,((J2*O2)*100%)*100%,0)))*100</f>
        <v>0</v>
      </c>
      <c r="S2" s="15" t="s">
        <v>0</v>
      </c>
      <c r="T2" s="22">
        <f>SUM(R2:R8)%</f>
        <v>0</v>
      </c>
      <c r="U2" s="1"/>
      <c r="V2" s="1"/>
      <c r="W2" s="1"/>
      <c r="X2" s="1"/>
      <c r="Y2" s="1"/>
      <c r="Z2" s="1"/>
      <c r="AA2" s="1"/>
      <c r="AB2" s="1"/>
      <c r="AC2" s="1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</row>
    <row r="3" spans="1:48" s="2" customFormat="1" ht="21.6" x14ac:dyDescent="0.2">
      <c r="A3" s="3">
        <v>2071</v>
      </c>
      <c r="B3" s="13" t="s">
        <v>2</v>
      </c>
      <c r="C3" s="4" t="s">
        <v>25</v>
      </c>
      <c r="D3" s="37">
        <v>5021</v>
      </c>
      <c r="E3" s="13" t="s">
        <v>70</v>
      </c>
      <c r="F3" s="7" t="s">
        <v>71</v>
      </c>
      <c r="G3" s="13" t="s">
        <v>36</v>
      </c>
      <c r="H3" s="7" t="s">
        <v>35</v>
      </c>
      <c r="I3" s="14" t="s">
        <v>3</v>
      </c>
      <c r="J3" s="15">
        <v>0.7</v>
      </c>
      <c r="K3" s="19" t="s">
        <v>42</v>
      </c>
      <c r="L3" s="17" t="s">
        <v>43</v>
      </c>
      <c r="M3" s="19" t="s">
        <v>44</v>
      </c>
      <c r="N3" s="20" t="s">
        <v>27</v>
      </c>
      <c r="O3" s="15">
        <v>0.2</v>
      </c>
      <c r="P3" s="23"/>
      <c r="Q3" s="15">
        <f>ROUND(IF(OR(N3="",P3=""),0,IF(AND(N3=0,P3=0),1,IF(S3="+",P3/N3,N3/P3))),2)</f>
        <v>0</v>
      </c>
      <c r="R3" s="21">
        <f t="shared" si="1"/>
        <v>0</v>
      </c>
      <c r="S3" s="15" t="s">
        <v>0</v>
      </c>
      <c r="T3" s="15"/>
      <c r="U3" s="1"/>
      <c r="V3" s="1"/>
      <c r="W3" s="1"/>
      <c r="X3" s="1"/>
      <c r="Y3" s="1"/>
      <c r="Z3" s="1"/>
      <c r="AA3" s="1"/>
      <c r="AB3" s="1"/>
      <c r="AC3" s="1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</row>
    <row r="4" spans="1:48" s="2" customFormat="1" ht="21.6" x14ac:dyDescent="0.2">
      <c r="A4" s="3">
        <v>2072</v>
      </c>
      <c r="B4" s="13" t="s">
        <v>2</v>
      </c>
      <c r="C4" s="4" t="s">
        <v>25</v>
      </c>
      <c r="D4" s="37">
        <v>5021</v>
      </c>
      <c r="E4" s="13" t="s">
        <v>70</v>
      </c>
      <c r="F4" s="7" t="s">
        <v>71</v>
      </c>
      <c r="G4" s="13" t="s">
        <v>36</v>
      </c>
      <c r="H4" s="7" t="s">
        <v>35</v>
      </c>
      <c r="I4" s="14" t="s">
        <v>3</v>
      </c>
      <c r="J4" s="15">
        <v>0.7</v>
      </c>
      <c r="K4" s="19" t="s">
        <v>46</v>
      </c>
      <c r="L4" s="17" t="s">
        <v>47</v>
      </c>
      <c r="M4" s="19" t="s">
        <v>48</v>
      </c>
      <c r="N4" s="24" t="s">
        <v>27</v>
      </c>
      <c r="O4" s="15">
        <v>0.15</v>
      </c>
      <c r="P4" s="23"/>
      <c r="Q4" s="15">
        <f t="shared" si="0"/>
        <v>0</v>
      </c>
      <c r="R4" s="21">
        <f t="shared" si="1"/>
        <v>0</v>
      </c>
      <c r="S4" s="15" t="s">
        <v>0</v>
      </c>
      <c r="T4" s="15"/>
      <c r="U4" s="1"/>
      <c r="V4" s="1"/>
      <c r="W4" s="1"/>
      <c r="X4" s="1"/>
      <c r="Y4" s="1"/>
      <c r="Z4" s="1"/>
      <c r="AA4" s="1"/>
      <c r="AB4" s="1"/>
      <c r="AC4" s="1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</row>
    <row r="5" spans="1:48" s="2" customFormat="1" ht="21.6" x14ac:dyDescent="0.2">
      <c r="A5" s="3">
        <v>2073</v>
      </c>
      <c r="B5" s="13" t="s">
        <v>2</v>
      </c>
      <c r="C5" s="4" t="s">
        <v>25</v>
      </c>
      <c r="D5" s="37">
        <v>5021</v>
      </c>
      <c r="E5" s="13" t="s">
        <v>70</v>
      </c>
      <c r="F5" s="7" t="s">
        <v>71</v>
      </c>
      <c r="G5" s="13" t="s">
        <v>36</v>
      </c>
      <c r="H5" s="7" t="s">
        <v>35</v>
      </c>
      <c r="I5" s="14" t="s">
        <v>3</v>
      </c>
      <c r="J5" s="15">
        <v>0.7</v>
      </c>
      <c r="K5" s="19" t="s">
        <v>50</v>
      </c>
      <c r="L5" s="17" t="s">
        <v>51</v>
      </c>
      <c r="M5" s="19" t="s">
        <v>52</v>
      </c>
      <c r="N5" s="23" t="s">
        <v>53</v>
      </c>
      <c r="O5" s="15">
        <v>0.15</v>
      </c>
      <c r="P5" s="25"/>
      <c r="Q5" s="15">
        <f t="shared" si="0"/>
        <v>0</v>
      </c>
      <c r="R5" s="21">
        <f t="shared" si="1"/>
        <v>0</v>
      </c>
      <c r="S5" s="15" t="s">
        <v>4</v>
      </c>
      <c r="T5" s="15"/>
      <c r="U5" s="1"/>
      <c r="V5" s="1"/>
      <c r="W5" s="1"/>
      <c r="X5" s="1"/>
      <c r="Y5" s="1"/>
      <c r="Z5" s="1"/>
      <c r="AA5" s="1"/>
      <c r="AB5" s="1"/>
      <c r="AC5" s="1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</row>
    <row r="6" spans="1:48" s="2" customFormat="1" ht="21.6" x14ac:dyDescent="0.2">
      <c r="A6" s="3">
        <v>2074</v>
      </c>
      <c r="B6" s="13" t="s">
        <v>2</v>
      </c>
      <c r="C6" s="4" t="s">
        <v>25</v>
      </c>
      <c r="D6" s="37">
        <v>5021</v>
      </c>
      <c r="E6" s="13" t="s">
        <v>70</v>
      </c>
      <c r="F6" s="7" t="s">
        <v>71</v>
      </c>
      <c r="G6" s="13" t="s">
        <v>36</v>
      </c>
      <c r="H6" s="7" t="s">
        <v>35</v>
      </c>
      <c r="I6" s="14" t="s">
        <v>3</v>
      </c>
      <c r="J6" s="15">
        <v>0.7</v>
      </c>
      <c r="K6" s="19" t="s">
        <v>32</v>
      </c>
      <c r="L6" s="17" t="s">
        <v>33</v>
      </c>
      <c r="M6" s="19" t="s">
        <v>55</v>
      </c>
      <c r="N6" s="19">
        <v>0</v>
      </c>
      <c r="O6" s="15">
        <v>0.1</v>
      </c>
      <c r="P6" s="26"/>
      <c r="Q6" s="15">
        <f t="shared" si="0"/>
        <v>0</v>
      </c>
      <c r="R6" s="21">
        <f t="shared" si="1"/>
        <v>0</v>
      </c>
      <c r="S6" s="15" t="s">
        <v>4</v>
      </c>
      <c r="T6" s="15"/>
      <c r="U6" s="1"/>
      <c r="V6" s="1"/>
      <c r="W6" s="1"/>
      <c r="X6" s="1"/>
      <c r="Y6" s="1"/>
      <c r="Z6" s="1"/>
      <c r="AA6" s="1"/>
      <c r="AB6" s="1"/>
      <c r="AC6" s="1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</row>
    <row r="7" spans="1:48" s="2" customFormat="1" ht="21.6" x14ac:dyDescent="0.2">
      <c r="A7" s="3">
        <v>2075</v>
      </c>
      <c r="B7" s="13" t="s">
        <v>2</v>
      </c>
      <c r="C7" s="4" t="s">
        <v>25</v>
      </c>
      <c r="D7" s="37">
        <v>5021</v>
      </c>
      <c r="E7" s="13" t="s">
        <v>70</v>
      </c>
      <c r="F7" s="7" t="s">
        <v>71</v>
      </c>
      <c r="G7" s="13" t="s">
        <v>36</v>
      </c>
      <c r="H7" s="7" t="s">
        <v>35</v>
      </c>
      <c r="I7" s="16" t="s">
        <v>3</v>
      </c>
      <c r="J7" s="15">
        <v>0.7</v>
      </c>
      <c r="K7" s="16" t="s">
        <v>66</v>
      </c>
      <c r="L7" s="17" t="s">
        <v>67</v>
      </c>
      <c r="M7" s="16" t="s">
        <v>68</v>
      </c>
      <c r="N7" s="27" t="s">
        <v>69</v>
      </c>
      <c r="O7" s="28">
        <v>0.2</v>
      </c>
      <c r="P7" s="26"/>
      <c r="Q7" s="28">
        <v>0</v>
      </c>
      <c r="R7" s="29">
        <v>0</v>
      </c>
      <c r="S7" s="28" t="s">
        <v>4</v>
      </c>
      <c r="T7" s="28"/>
      <c r="U7" s="1"/>
      <c r="V7" s="1"/>
      <c r="W7" s="1"/>
      <c r="X7" s="1"/>
      <c r="Y7" s="1"/>
      <c r="Z7" s="1"/>
      <c r="AA7" s="1"/>
      <c r="AB7" s="1"/>
      <c r="AC7" s="1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</row>
    <row r="8" spans="1:48" s="2" customFormat="1" ht="21.6" x14ac:dyDescent="0.2">
      <c r="A8" s="3">
        <v>2076</v>
      </c>
      <c r="B8" s="13" t="s">
        <v>2</v>
      </c>
      <c r="C8" s="4" t="s">
        <v>25</v>
      </c>
      <c r="D8" s="37">
        <v>5021</v>
      </c>
      <c r="E8" s="13" t="s">
        <v>70</v>
      </c>
      <c r="F8" s="7" t="s">
        <v>71</v>
      </c>
      <c r="G8" s="13" t="s">
        <v>36</v>
      </c>
      <c r="H8" s="7" t="s">
        <v>35</v>
      </c>
      <c r="I8" s="16" t="s">
        <v>1</v>
      </c>
      <c r="J8" s="36">
        <v>0.3</v>
      </c>
      <c r="K8" s="16" t="s">
        <v>62</v>
      </c>
      <c r="L8" s="18" t="s">
        <v>63</v>
      </c>
      <c r="M8" s="16" t="s">
        <v>64</v>
      </c>
      <c r="N8" s="27" t="s">
        <v>27</v>
      </c>
      <c r="O8" s="28">
        <v>0.1</v>
      </c>
      <c r="P8" s="26"/>
      <c r="Q8" s="28">
        <f t="shared" si="0"/>
        <v>0</v>
      </c>
      <c r="R8" s="29">
        <f t="shared" si="1"/>
        <v>0</v>
      </c>
      <c r="S8" s="28" t="s">
        <v>0</v>
      </c>
      <c r="T8" s="28"/>
      <c r="U8" s="1"/>
      <c r="V8" s="1"/>
      <c r="W8" s="1"/>
      <c r="X8" s="1"/>
      <c r="Y8" s="1"/>
      <c r="Z8" s="1"/>
      <c r="AA8" s="1"/>
      <c r="AB8" s="1"/>
      <c r="AC8" s="1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</row>
    <row r="9" spans="1:48" s="2" customFormat="1" ht="21.6" x14ac:dyDescent="0.2">
      <c r="A9" s="3">
        <v>2070</v>
      </c>
      <c r="B9" s="13" t="s">
        <v>2</v>
      </c>
      <c r="C9" s="4" t="s">
        <v>25</v>
      </c>
      <c r="D9" s="37">
        <v>5676</v>
      </c>
      <c r="E9" s="13" t="s">
        <v>72</v>
      </c>
      <c r="F9" s="7" t="s">
        <v>71</v>
      </c>
      <c r="G9" s="13" t="s">
        <v>36</v>
      </c>
      <c r="H9" s="7" t="s">
        <v>35</v>
      </c>
      <c r="I9" s="14" t="s">
        <v>3</v>
      </c>
      <c r="J9" s="15">
        <v>0.7</v>
      </c>
      <c r="K9" s="19" t="s">
        <v>38</v>
      </c>
      <c r="L9" s="17" t="s">
        <v>39</v>
      </c>
      <c r="M9" s="6" t="s">
        <v>40</v>
      </c>
      <c r="N9" s="20" t="s">
        <v>26</v>
      </c>
      <c r="O9" s="15">
        <v>0.1</v>
      </c>
      <c r="P9" s="15"/>
      <c r="Q9" s="15">
        <f t="shared" ref="Q9:Q15" si="2">ROUND(IF(OR(N9="",P9=""),0,IF(AND(N9=0,P9=0),1,IF(S9="+",P9/N9,N9/P9))),2)</f>
        <v>0</v>
      </c>
      <c r="R9" s="21">
        <f t="shared" ref="R9:R15" si="3">IF(AND(Q9&gt;=60%,Q9&lt;100%),Q9*((O9*J9)),IF(Q9=100%,((O9*J9)*Q9)*100%,IF(Q9&gt;100%,((J9*O9)*100%)*100%,0)))*100</f>
        <v>0</v>
      </c>
      <c r="S9" s="15" t="s">
        <v>0</v>
      </c>
      <c r="T9" s="22">
        <f>SUM(R9:R15)%</f>
        <v>0</v>
      </c>
      <c r="U9" s="1"/>
      <c r="V9" s="1"/>
      <c r="W9" s="1"/>
      <c r="X9" s="1"/>
      <c r="Y9" s="1"/>
      <c r="Z9" s="1"/>
      <c r="AA9" s="1"/>
      <c r="AB9" s="1"/>
      <c r="AC9" s="1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</row>
    <row r="10" spans="1:48" s="2" customFormat="1" ht="21.6" x14ac:dyDescent="0.2">
      <c r="A10" s="3">
        <v>2071</v>
      </c>
      <c r="B10" s="13" t="s">
        <v>2</v>
      </c>
      <c r="C10" s="4" t="s">
        <v>25</v>
      </c>
      <c r="D10" s="37">
        <v>5676</v>
      </c>
      <c r="E10" s="13" t="s">
        <v>72</v>
      </c>
      <c r="F10" s="7" t="s">
        <v>71</v>
      </c>
      <c r="G10" s="13" t="s">
        <v>36</v>
      </c>
      <c r="H10" s="7" t="s">
        <v>35</v>
      </c>
      <c r="I10" s="14" t="s">
        <v>3</v>
      </c>
      <c r="J10" s="15">
        <v>0.7</v>
      </c>
      <c r="K10" s="19" t="s">
        <v>42</v>
      </c>
      <c r="L10" s="17" t="s">
        <v>43</v>
      </c>
      <c r="M10" s="19" t="s">
        <v>44</v>
      </c>
      <c r="N10" s="20" t="s">
        <v>27</v>
      </c>
      <c r="O10" s="15">
        <v>0.2</v>
      </c>
      <c r="P10" s="23"/>
      <c r="Q10" s="15">
        <f>ROUND(IF(OR(N10="",P10=""),0,IF(AND(N10=0,P10=0),1,IF(S10="+",P10/N10,N10/P10))),2)</f>
        <v>0</v>
      </c>
      <c r="R10" s="21">
        <f t="shared" si="3"/>
        <v>0</v>
      </c>
      <c r="S10" s="15" t="s">
        <v>0</v>
      </c>
      <c r="T10" s="15"/>
      <c r="U10" s="1"/>
      <c r="V10" s="1"/>
      <c r="W10" s="1"/>
      <c r="X10" s="1"/>
      <c r="Y10" s="1"/>
      <c r="Z10" s="1"/>
      <c r="AA10" s="1"/>
      <c r="AB10" s="1"/>
      <c r="AC10" s="1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spans="1:48" s="2" customFormat="1" ht="21.6" x14ac:dyDescent="0.2">
      <c r="A11" s="3">
        <v>2072</v>
      </c>
      <c r="B11" s="13" t="s">
        <v>2</v>
      </c>
      <c r="C11" s="4" t="s">
        <v>25</v>
      </c>
      <c r="D11" s="37">
        <v>5676</v>
      </c>
      <c r="E11" s="13" t="s">
        <v>72</v>
      </c>
      <c r="F11" s="7" t="s">
        <v>71</v>
      </c>
      <c r="G11" s="13" t="s">
        <v>36</v>
      </c>
      <c r="H11" s="7" t="s">
        <v>35</v>
      </c>
      <c r="I11" s="14" t="s">
        <v>3</v>
      </c>
      <c r="J11" s="15">
        <v>0.7</v>
      </c>
      <c r="K11" s="19" t="s">
        <v>46</v>
      </c>
      <c r="L11" s="17" t="s">
        <v>47</v>
      </c>
      <c r="M11" s="19" t="s">
        <v>48</v>
      </c>
      <c r="N11" s="24" t="s">
        <v>27</v>
      </c>
      <c r="O11" s="15">
        <v>0.15</v>
      </c>
      <c r="P11" s="23"/>
      <c r="Q11" s="15">
        <f t="shared" ref="Q11:Q15" si="4">ROUND(IF(OR(N11="",P11=""),0,IF(AND(N11=0,P11=0),1,IF(S11="+",P11/N11,N11/P11))),2)</f>
        <v>0</v>
      </c>
      <c r="R11" s="21">
        <f t="shared" si="3"/>
        <v>0</v>
      </c>
      <c r="S11" s="15" t="s">
        <v>0</v>
      </c>
      <c r="T11" s="15"/>
      <c r="U11" s="1"/>
      <c r="V11" s="1"/>
      <c r="W11" s="1"/>
      <c r="X11" s="1"/>
      <c r="Y11" s="1"/>
      <c r="Z11" s="1"/>
      <c r="AA11" s="1"/>
      <c r="AB11" s="1"/>
      <c r="AC11" s="1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</row>
    <row r="12" spans="1:48" s="2" customFormat="1" ht="21.6" x14ac:dyDescent="0.2">
      <c r="A12" s="3">
        <v>2073</v>
      </c>
      <c r="B12" s="13" t="s">
        <v>2</v>
      </c>
      <c r="C12" s="4" t="s">
        <v>25</v>
      </c>
      <c r="D12" s="37">
        <v>5676</v>
      </c>
      <c r="E12" s="13" t="s">
        <v>72</v>
      </c>
      <c r="F12" s="7" t="s">
        <v>71</v>
      </c>
      <c r="G12" s="13" t="s">
        <v>36</v>
      </c>
      <c r="H12" s="7" t="s">
        <v>35</v>
      </c>
      <c r="I12" s="14" t="s">
        <v>3</v>
      </c>
      <c r="J12" s="15">
        <v>0.7</v>
      </c>
      <c r="K12" s="19" t="s">
        <v>50</v>
      </c>
      <c r="L12" s="17" t="s">
        <v>51</v>
      </c>
      <c r="M12" s="19" t="s">
        <v>52</v>
      </c>
      <c r="N12" s="23" t="s">
        <v>53</v>
      </c>
      <c r="O12" s="15">
        <v>0.15</v>
      </c>
      <c r="P12" s="25"/>
      <c r="Q12" s="15">
        <f t="shared" si="4"/>
        <v>0</v>
      </c>
      <c r="R12" s="21">
        <f t="shared" si="3"/>
        <v>0</v>
      </c>
      <c r="S12" s="15" t="s">
        <v>4</v>
      </c>
      <c r="T12" s="15"/>
      <c r="U12" s="1"/>
      <c r="V12" s="1"/>
      <c r="W12" s="1"/>
      <c r="X12" s="1"/>
      <c r="Y12" s="1"/>
      <c r="Z12" s="1"/>
      <c r="AA12" s="1"/>
      <c r="AB12" s="1"/>
      <c r="AC12" s="1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</row>
    <row r="13" spans="1:48" s="2" customFormat="1" ht="21.6" x14ac:dyDescent="0.2">
      <c r="A13" s="3">
        <v>2074</v>
      </c>
      <c r="B13" s="13" t="s">
        <v>2</v>
      </c>
      <c r="C13" s="4" t="s">
        <v>25</v>
      </c>
      <c r="D13" s="37">
        <v>5676</v>
      </c>
      <c r="E13" s="13" t="s">
        <v>72</v>
      </c>
      <c r="F13" s="7" t="s">
        <v>71</v>
      </c>
      <c r="G13" s="13" t="s">
        <v>36</v>
      </c>
      <c r="H13" s="7" t="s">
        <v>35</v>
      </c>
      <c r="I13" s="14" t="s">
        <v>3</v>
      </c>
      <c r="J13" s="15">
        <v>0.7</v>
      </c>
      <c r="K13" s="19" t="s">
        <v>32</v>
      </c>
      <c r="L13" s="17" t="s">
        <v>33</v>
      </c>
      <c r="M13" s="19" t="s">
        <v>55</v>
      </c>
      <c r="N13" s="19">
        <v>0</v>
      </c>
      <c r="O13" s="15">
        <v>0.1</v>
      </c>
      <c r="P13" s="26"/>
      <c r="Q13" s="15">
        <f t="shared" si="4"/>
        <v>0</v>
      </c>
      <c r="R13" s="21">
        <f t="shared" si="3"/>
        <v>0</v>
      </c>
      <c r="S13" s="15" t="s">
        <v>4</v>
      </c>
      <c r="T13" s="15"/>
      <c r="U13" s="1"/>
      <c r="V13" s="1"/>
      <c r="W13" s="1"/>
      <c r="X13" s="1"/>
      <c r="Y13" s="1"/>
      <c r="Z13" s="1"/>
      <c r="AA13" s="1"/>
      <c r="AB13" s="1"/>
      <c r="AC13" s="1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</row>
    <row r="14" spans="1:48" s="2" customFormat="1" ht="21.6" x14ac:dyDescent="0.2">
      <c r="A14" s="3">
        <v>2075</v>
      </c>
      <c r="B14" s="13" t="s">
        <v>2</v>
      </c>
      <c r="C14" s="4" t="s">
        <v>25</v>
      </c>
      <c r="D14" s="37">
        <v>5676</v>
      </c>
      <c r="E14" s="13" t="s">
        <v>72</v>
      </c>
      <c r="F14" s="7" t="s">
        <v>71</v>
      </c>
      <c r="G14" s="13" t="s">
        <v>36</v>
      </c>
      <c r="H14" s="7" t="s">
        <v>35</v>
      </c>
      <c r="I14" s="16" t="s">
        <v>3</v>
      </c>
      <c r="J14" s="15">
        <v>0.7</v>
      </c>
      <c r="K14" s="16" t="s">
        <v>66</v>
      </c>
      <c r="L14" s="17" t="s">
        <v>67</v>
      </c>
      <c r="M14" s="16" t="s">
        <v>68</v>
      </c>
      <c r="N14" s="27" t="s">
        <v>69</v>
      </c>
      <c r="O14" s="28">
        <v>0.2</v>
      </c>
      <c r="P14" s="26"/>
      <c r="Q14" s="28">
        <v>0</v>
      </c>
      <c r="R14" s="29">
        <v>0</v>
      </c>
      <c r="S14" s="28" t="s">
        <v>4</v>
      </c>
      <c r="T14" s="28"/>
      <c r="U14" s="1"/>
      <c r="V14" s="1"/>
      <c r="W14" s="1"/>
      <c r="X14" s="1"/>
      <c r="Y14" s="1"/>
      <c r="Z14" s="1"/>
      <c r="AA14" s="1"/>
      <c r="AB14" s="1"/>
      <c r="AC14" s="1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</row>
    <row r="15" spans="1:48" s="2" customFormat="1" ht="21.6" x14ac:dyDescent="0.2">
      <c r="A15" s="3">
        <v>2076</v>
      </c>
      <c r="B15" s="13" t="s">
        <v>2</v>
      </c>
      <c r="C15" s="4" t="s">
        <v>25</v>
      </c>
      <c r="D15" s="37">
        <v>5676</v>
      </c>
      <c r="E15" s="13" t="s">
        <v>72</v>
      </c>
      <c r="F15" s="7" t="s">
        <v>71</v>
      </c>
      <c r="G15" s="13" t="s">
        <v>36</v>
      </c>
      <c r="H15" s="7" t="s">
        <v>35</v>
      </c>
      <c r="I15" s="16" t="s">
        <v>1</v>
      </c>
      <c r="J15" s="36">
        <v>0.3</v>
      </c>
      <c r="K15" s="16" t="s">
        <v>62</v>
      </c>
      <c r="L15" s="18" t="s">
        <v>63</v>
      </c>
      <c r="M15" s="16" t="s">
        <v>64</v>
      </c>
      <c r="N15" s="27" t="s">
        <v>27</v>
      </c>
      <c r="O15" s="28">
        <v>0.1</v>
      </c>
      <c r="P15" s="26"/>
      <c r="Q15" s="28">
        <f t="shared" ref="Q15:Q16" si="5">ROUND(IF(OR(N15="",P15=""),0,IF(AND(N15=0,P15=0),1,IF(S15="+",P15/N15,N15/P15))),2)</f>
        <v>0</v>
      </c>
      <c r="R15" s="29">
        <f t="shared" ref="R15:R20" si="6">IF(AND(Q15&gt;=60%,Q15&lt;100%),Q15*((O15*J15)),IF(Q15=100%,((O15*J15)*Q15)*100%,IF(Q15&gt;100%,((J15*O15)*100%)*100%,0)))*100</f>
        <v>0</v>
      </c>
      <c r="S15" s="28" t="s">
        <v>0</v>
      </c>
      <c r="T15" s="28"/>
      <c r="U15" s="1"/>
      <c r="V15" s="1"/>
      <c r="W15" s="1"/>
      <c r="X15" s="1"/>
      <c r="Y15" s="1"/>
      <c r="Z15" s="1"/>
      <c r="AA15" s="1"/>
      <c r="AB15" s="1"/>
      <c r="AC15" s="1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</row>
    <row r="16" spans="1:48" s="2" customFormat="1" ht="21.6" x14ac:dyDescent="0.2">
      <c r="A16" s="3">
        <v>2070</v>
      </c>
      <c r="B16" s="13" t="s">
        <v>2</v>
      </c>
      <c r="C16" s="4" t="s">
        <v>25</v>
      </c>
      <c r="D16" s="37">
        <v>5988</v>
      </c>
      <c r="E16" s="13" t="s">
        <v>73</v>
      </c>
      <c r="F16" s="7" t="s">
        <v>71</v>
      </c>
      <c r="G16" s="13" t="s">
        <v>36</v>
      </c>
      <c r="H16" s="7" t="s">
        <v>35</v>
      </c>
      <c r="I16" s="14" t="s">
        <v>3</v>
      </c>
      <c r="J16" s="15">
        <v>0.7</v>
      </c>
      <c r="K16" s="19" t="s">
        <v>38</v>
      </c>
      <c r="L16" s="17" t="s">
        <v>39</v>
      </c>
      <c r="M16" s="6" t="s">
        <v>40</v>
      </c>
      <c r="N16" s="20" t="s">
        <v>26</v>
      </c>
      <c r="O16" s="15">
        <v>0.1</v>
      </c>
      <c r="P16" s="15"/>
      <c r="Q16" s="15">
        <f t="shared" si="5"/>
        <v>0</v>
      </c>
      <c r="R16" s="21">
        <f t="shared" si="6"/>
        <v>0</v>
      </c>
      <c r="S16" s="15" t="s">
        <v>0</v>
      </c>
      <c r="T16" s="22">
        <f>SUM(R16:R22)%</f>
        <v>0</v>
      </c>
      <c r="U16" s="1"/>
      <c r="V16" s="1"/>
      <c r="W16" s="1"/>
      <c r="X16" s="1"/>
      <c r="Y16" s="1"/>
      <c r="Z16" s="1"/>
      <c r="AA16" s="1"/>
      <c r="AB16" s="1"/>
      <c r="AC16" s="1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s="2" customFormat="1" ht="21.6" x14ac:dyDescent="0.2">
      <c r="A17" s="3">
        <v>2071</v>
      </c>
      <c r="B17" s="13" t="s">
        <v>2</v>
      </c>
      <c r="C17" s="4" t="s">
        <v>25</v>
      </c>
      <c r="D17" s="37">
        <v>5989</v>
      </c>
      <c r="E17" s="13" t="s">
        <v>73</v>
      </c>
      <c r="F17" s="7" t="s">
        <v>71</v>
      </c>
      <c r="G17" s="13" t="s">
        <v>36</v>
      </c>
      <c r="H17" s="7" t="s">
        <v>35</v>
      </c>
      <c r="I17" s="14" t="s">
        <v>3</v>
      </c>
      <c r="J17" s="15">
        <v>0.7</v>
      </c>
      <c r="K17" s="19" t="s">
        <v>42</v>
      </c>
      <c r="L17" s="17" t="s">
        <v>43</v>
      </c>
      <c r="M17" s="19" t="s">
        <v>44</v>
      </c>
      <c r="N17" s="20" t="s">
        <v>27</v>
      </c>
      <c r="O17" s="15">
        <v>0.2</v>
      </c>
      <c r="P17" s="23"/>
      <c r="Q17" s="15">
        <f>ROUND(IF(OR(N17="",P17=""),0,IF(AND(N17=0,P17=0),1,IF(S17="+",P17/N17,N17/P17))),2)</f>
        <v>0</v>
      </c>
      <c r="R17" s="21">
        <f t="shared" si="6"/>
        <v>0</v>
      </c>
      <c r="S17" s="15" t="s">
        <v>0</v>
      </c>
      <c r="T17" s="15"/>
      <c r="U17" s="1"/>
      <c r="V17" s="1"/>
      <c r="W17" s="1"/>
      <c r="X17" s="1"/>
      <c r="Y17" s="1"/>
      <c r="Z17" s="1"/>
      <c r="AA17" s="1"/>
      <c r="AB17" s="1"/>
      <c r="AC17" s="1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s="2" customFormat="1" ht="21.6" x14ac:dyDescent="0.2">
      <c r="A18" s="3">
        <v>2072</v>
      </c>
      <c r="B18" s="13" t="s">
        <v>2</v>
      </c>
      <c r="C18" s="4" t="s">
        <v>25</v>
      </c>
      <c r="D18" s="37">
        <v>5990</v>
      </c>
      <c r="E18" s="13" t="s">
        <v>73</v>
      </c>
      <c r="F18" s="7" t="s">
        <v>71</v>
      </c>
      <c r="G18" s="13" t="s">
        <v>36</v>
      </c>
      <c r="H18" s="7" t="s">
        <v>35</v>
      </c>
      <c r="I18" s="14" t="s">
        <v>3</v>
      </c>
      <c r="J18" s="15">
        <v>0.7</v>
      </c>
      <c r="K18" s="19" t="s">
        <v>46</v>
      </c>
      <c r="L18" s="17" t="s">
        <v>47</v>
      </c>
      <c r="M18" s="19" t="s">
        <v>48</v>
      </c>
      <c r="N18" s="24" t="s">
        <v>27</v>
      </c>
      <c r="O18" s="15">
        <v>0.15</v>
      </c>
      <c r="P18" s="23"/>
      <c r="Q18" s="15">
        <f t="shared" ref="Q18:Q22" si="7">ROUND(IF(OR(N18="",P18=""),0,IF(AND(N18=0,P18=0),1,IF(S18="+",P18/N18,N18/P18))),2)</f>
        <v>0</v>
      </c>
      <c r="R18" s="21">
        <f t="shared" si="6"/>
        <v>0</v>
      </c>
      <c r="S18" s="15" t="s">
        <v>0</v>
      </c>
      <c r="T18" s="15"/>
      <c r="U18" s="1"/>
      <c r="V18" s="1"/>
      <c r="W18" s="1"/>
      <c r="X18" s="1"/>
      <c r="Y18" s="1"/>
      <c r="Z18" s="1"/>
      <c r="AA18" s="1"/>
      <c r="AB18" s="1"/>
      <c r="AC18" s="1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s="2" customFormat="1" ht="21.6" x14ac:dyDescent="0.2">
      <c r="A19" s="3">
        <v>2073</v>
      </c>
      <c r="B19" s="13" t="s">
        <v>2</v>
      </c>
      <c r="C19" s="4" t="s">
        <v>25</v>
      </c>
      <c r="D19" s="37">
        <v>5991</v>
      </c>
      <c r="E19" s="13" t="s">
        <v>73</v>
      </c>
      <c r="F19" s="7" t="s">
        <v>71</v>
      </c>
      <c r="G19" s="13" t="s">
        <v>36</v>
      </c>
      <c r="H19" s="7" t="s">
        <v>35</v>
      </c>
      <c r="I19" s="14" t="s">
        <v>3</v>
      </c>
      <c r="J19" s="15">
        <v>0.7</v>
      </c>
      <c r="K19" s="19" t="s">
        <v>50</v>
      </c>
      <c r="L19" s="17" t="s">
        <v>51</v>
      </c>
      <c r="M19" s="19" t="s">
        <v>52</v>
      </c>
      <c r="N19" s="23" t="s">
        <v>53</v>
      </c>
      <c r="O19" s="15">
        <v>0.15</v>
      </c>
      <c r="P19" s="25"/>
      <c r="Q19" s="15">
        <f t="shared" si="7"/>
        <v>0</v>
      </c>
      <c r="R19" s="21">
        <f t="shared" si="6"/>
        <v>0</v>
      </c>
      <c r="S19" s="15" t="s">
        <v>4</v>
      </c>
      <c r="T19" s="15"/>
      <c r="U19" s="1"/>
      <c r="V19" s="1"/>
      <c r="W19" s="1"/>
      <c r="X19" s="1"/>
      <c r="Y19" s="1"/>
      <c r="Z19" s="1"/>
      <c r="AA19" s="1"/>
      <c r="AB19" s="1"/>
      <c r="AC19" s="1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 spans="1:48" s="2" customFormat="1" ht="21.6" x14ac:dyDescent="0.2">
      <c r="A20" s="3">
        <v>2074</v>
      </c>
      <c r="B20" s="13" t="s">
        <v>2</v>
      </c>
      <c r="C20" s="4" t="s">
        <v>25</v>
      </c>
      <c r="D20" s="37">
        <v>5992</v>
      </c>
      <c r="E20" s="13" t="s">
        <v>73</v>
      </c>
      <c r="F20" s="7" t="s">
        <v>71</v>
      </c>
      <c r="G20" s="13" t="s">
        <v>36</v>
      </c>
      <c r="H20" s="7" t="s">
        <v>35</v>
      </c>
      <c r="I20" s="14" t="s">
        <v>3</v>
      </c>
      <c r="J20" s="15">
        <v>0.7</v>
      </c>
      <c r="K20" s="19" t="s">
        <v>32</v>
      </c>
      <c r="L20" s="17" t="s">
        <v>33</v>
      </c>
      <c r="M20" s="19" t="s">
        <v>55</v>
      </c>
      <c r="N20" s="19">
        <v>0</v>
      </c>
      <c r="O20" s="15">
        <v>0.1</v>
      </c>
      <c r="P20" s="26"/>
      <c r="Q20" s="15">
        <f t="shared" si="7"/>
        <v>0</v>
      </c>
      <c r="R20" s="21">
        <f t="shared" si="6"/>
        <v>0</v>
      </c>
      <c r="S20" s="15" t="s">
        <v>4</v>
      </c>
      <c r="T20" s="15"/>
      <c r="U20" s="1"/>
      <c r="V20" s="1"/>
      <c r="W20" s="1"/>
      <c r="X20" s="1"/>
      <c r="Y20" s="1"/>
      <c r="Z20" s="1"/>
      <c r="AA20" s="1"/>
      <c r="AB20" s="1"/>
      <c r="AC20" s="1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</row>
    <row r="21" spans="1:48" s="2" customFormat="1" ht="21.6" x14ac:dyDescent="0.2">
      <c r="A21" s="3">
        <v>2075</v>
      </c>
      <c r="B21" s="13" t="s">
        <v>2</v>
      </c>
      <c r="C21" s="4" t="s">
        <v>25</v>
      </c>
      <c r="D21" s="37">
        <v>5993</v>
      </c>
      <c r="E21" s="13" t="s">
        <v>73</v>
      </c>
      <c r="F21" s="7" t="s">
        <v>71</v>
      </c>
      <c r="G21" s="13" t="s">
        <v>36</v>
      </c>
      <c r="H21" s="7" t="s">
        <v>35</v>
      </c>
      <c r="I21" s="16" t="s">
        <v>3</v>
      </c>
      <c r="J21" s="15">
        <v>0.7</v>
      </c>
      <c r="K21" s="16" t="s">
        <v>66</v>
      </c>
      <c r="L21" s="17" t="s">
        <v>67</v>
      </c>
      <c r="M21" s="16" t="s">
        <v>68</v>
      </c>
      <c r="N21" s="27" t="s">
        <v>69</v>
      </c>
      <c r="O21" s="28">
        <v>0.2</v>
      </c>
      <c r="P21" s="26"/>
      <c r="Q21" s="28">
        <v>0</v>
      </c>
      <c r="R21" s="29">
        <v>0</v>
      </c>
      <c r="S21" s="28" t="s">
        <v>4</v>
      </c>
      <c r="T21" s="28"/>
      <c r="U21" s="1"/>
      <c r="V21" s="1"/>
      <c r="W21" s="1"/>
      <c r="X21" s="1"/>
      <c r="Y21" s="1"/>
      <c r="Z21" s="1"/>
      <c r="AA21" s="1"/>
      <c r="AB21" s="1"/>
      <c r="AC21" s="1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</row>
    <row r="22" spans="1:48" s="2" customFormat="1" ht="21.6" x14ac:dyDescent="0.2">
      <c r="A22" s="3">
        <v>2076</v>
      </c>
      <c r="B22" s="13" t="s">
        <v>2</v>
      </c>
      <c r="C22" s="4" t="s">
        <v>25</v>
      </c>
      <c r="D22" s="37">
        <v>5994</v>
      </c>
      <c r="E22" s="13" t="s">
        <v>73</v>
      </c>
      <c r="F22" s="7" t="s">
        <v>71</v>
      </c>
      <c r="G22" s="13" t="s">
        <v>36</v>
      </c>
      <c r="H22" s="7" t="s">
        <v>35</v>
      </c>
      <c r="I22" s="16" t="s">
        <v>1</v>
      </c>
      <c r="J22" s="36">
        <v>0.3</v>
      </c>
      <c r="K22" s="16" t="s">
        <v>62</v>
      </c>
      <c r="L22" s="18" t="s">
        <v>63</v>
      </c>
      <c r="M22" s="16" t="s">
        <v>64</v>
      </c>
      <c r="N22" s="27" t="s">
        <v>27</v>
      </c>
      <c r="O22" s="28">
        <v>0.1</v>
      </c>
      <c r="P22" s="26"/>
      <c r="Q22" s="28">
        <f t="shared" ref="Q22:Q23" si="8">ROUND(IF(OR(N22="",P22=""),0,IF(AND(N22=0,P22=0),1,IF(S22="+",P22/N22,N22/P22))),2)</f>
        <v>0</v>
      </c>
      <c r="R22" s="29">
        <f t="shared" ref="R22:R27" si="9">IF(AND(Q22&gt;=60%,Q22&lt;100%),Q22*((O22*J22)),IF(Q22=100%,((O22*J22)*Q22)*100%,IF(Q22&gt;100%,((J22*O22)*100%)*100%,0)))*100</f>
        <v>0</v>
      </c>
      <c r="S22" s="28" t="s">
        <v>0</v>
      </c>
      <c r="T22" s="28"/>
      <c r="U22" s="1"/>
      <c r="V22" s="1"/>
      <c r="W22" s="1"/>
      <c r="X22" s="1"/>
      <c r="Y22" s="1"/>
      <c r="Z22" s="1"/>
      <c r="AA22" s="1"/>
      <c r="AB22" s="1"/>
      <c r="AC22" s="1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</row>
    <row r="23" spans="1:48" s="2" customFormat="1" ht="21.6" x14ac:dyDescent="0.2">
      <c r="A23" s="3">
        <v>2070</v>
      </c>
      <c r="B23" s="13" t="s">
        <v>2</v>
      </c>
      <c r="C23" s="4" t="s">
        <v>25</v>
      </c>
      <c r="D23" s="37">
        <v>6174</v>
      </c>
      <c r="E23" s="13" t="s">
        <v>74</v>
      </c>
      <c r="F23" s="7" t="s">
        <v>71</v>
      </c>
      <c r="G23" s="13" t="s">
        <v>36</v>
      </c>
      <c r="H23" s="7" t="s">
        <v>35</v>
      </c>
      <c r="I23" s="14" t="s">
        <v>3</v>
      </c>
      <c r="J23" s="15">
        <v>0.7</v>
      </c>
      <c r="K23" s="19" t="s">
        <v>38</v>
      </c>
      <c r="L23" s="17" t="s">
        <v>39</v>
      </c>
      <c r="M23" s="6" t="s">
        <v>40</v>
      </c>
      <c r="N23" s="20" t="s">
        <v>26</v>
      </c>
      <c r="O23" s="15">
        <v>0.1</v>
      </c>
      <c r="P23" s="15"/>
      <c r="Q23" s="15">
        <f t="shared" si="8"/>
        <v>0</v>
      </c>
      <c r="R23" s="21">
        <f t="shared" si="9"/>
        <v>0</v>
      </c>
      <c r="S23" s="15" t="s">
        <v>0</v>
      </c>
      <c r="T23" s="22">
        <f>SUM(R23:R29)%</f>
        <v>0</v>
      </c>
      <c r="U23" s="1"/>
      <c r="V23" s="1"/>
      <c r="W23" s="1"/>
      <c r="X23" s="1"/>
      <c r="Y23" s="1"/>
      <c r="Z23" s="1"/>
      <c r="AA23" s="1"/>
      <c r="AB23" s="1"/>
      <c r="AC23" s="1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</row>
    <row r="24" spans="1:48" s="2" customFormat="1" ht="21.6" x14ac:dyDescent="0.2">
      <c r="A24" s="3">
        <v>2071</v>
      </c>
      <c r="B24" s="13" t="s">
        <v>2</v>
      </c>
      <c r="C24" s="4" t="s">
        <v>25</v>
      </c>
      <c r="D24" s="37">
        <v>6174</v>
      </c>
      <c r="E24" s="13" t="s">
        <v>74</v>
      </c>
      <c r="F24" s="7" t="s">
        <v>71</v>
      </c>
      <c r="G24" s="13" t="s">
        <v>36</v>
      </c>
      <c r="H24" s="7" t="s">
        <v>35</v>
      </c>
      <c r="I24" s="14" t="s">
        <v>3</v>
      </c>
      <c r="J24" s="15">
        <v>0.7</v>
      </c>
      <c r="K24" s="19" t="s">
        <v>42</v>
      </c>
      <c r="L24" s="17" t="s">
        <v>43</v>
      </c>
      <c r="M24" s="19" t="s">
        <v>44</v>
      </c>
      <c r="N24" s="20" t="s">
        <v>27</v>
      </c>
      <c r="O24" s="15">
        <v>0.2</v>
      </c>
      <c r="P24" s="23"/>
      <c r="Q24" s="15">
        <f>ROUND(IF(OR(N24="",P24=""),0,IF(AND(N24=0,P24=0),1,IF(S24="+",P24/N24,N24/P24))),2)</f>
        <v>0</v>
      </c>
      <c r="R24" s="21">
        <f t="shared" si="9"/>
        <v>0</v>
      </c>
      <c r="S24" s="15" t="s">
        <v>0</v>
      </c>
      <c r="T24" s="15"/>
      <c r="U24" s="1"/>
      <c r="V24" s="1"/>
      <c r="W24" s="1"/>
      <c r="X24" s="1"/>
      <c r="Y24" s="1"/>
      <c r="Z24" s="1"/>
      <c r="AA24" s="1"/>
      <c r="AB24" s="1"/>
      <c r="AC24" s="1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</row>
    <row r="25" spans="1:48" s="2" customFormat="1" ht="21.6" x14ac:dyDescent="0.2">
      <c r="A25" s="3">
        <v>2072</v>
      </c>
      <c r="B25" s="13" t="s">
        <v>2</v>
      </c>
      <c r="C25" s="4" t="s">
        <v>25</v>
      </c>
      <c r="D25" s="37">
        <v>6174</v>
      </c>
      <c r="E25" s="13" t="s">
        <v>74</v>
      </c>
      <c r="F25" s="7" t="s">
        <v>71</v>
      </c>
      <c r="G25" s="13" t="s">
        <v>36</v>
      </c>
      <c r="H25" s="7" t="s">
        <v>35</v>
      </c>
      <c r="I25" s="14" t="s">
        <v>3</v>
      </c>
      <c r="J25" s="15">
        <v>0.7</v>
      </c>
      <c r="K25" s="19" t="s">
        <v>46</v>
      </c>
      <c r="L25" s="17" t="s">
        <v>47</v>
      </c>
      <c r="M25" s="19" t="s">
        <v>48</v>
      </c>
      <c r="N25" s="24" t="s">
        <v>27</v>
      </c>
      <c r="O25" s="15">
        <v>0.15</v>
      </c>
      <c r="P25" s="23"/>
      <c r="Q25" s="15">
        <f t="shared" ref="Q25:Q29" si="10">ROUND(IF(OR(N25="",P25=""),0,IF(AND(N25=0,P25=0),1,IF(S25="+",P25/N25,N25/P25))),2)</f>
        <v>0</v>
      </c>
      <c r="R25" s="21">
        <f t="shared" si="9"/>
        <v>0</v>
      </c>
      <c r="S25" s="15" t="s">
        <v>0</v>
      </c>
      <c r="T25" s="15"/>
      <c r="U25" s="1"/>
      <c r="V25" s="1"/>
      <c r="W25" s="1"/>
      <c r="X25" s="1"/>
      <c r="Y25" s="1"/>
      <c r="Z25" s="1"/>
      <c r="AA25" s="1"/>
      <c r="AB25" s="1"/>
      <c r="AC25" s="1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</row>
    <row r="26" spans="1:48" s="2" customFormat="1" ht="21.6" x14ac:dyDescent="0.2">
      <c r="A26" s="3">
        <v>2073</v>
      </c>
      <c r="B26" s="13" t="s">
        <v>2</v>
      </c>
      <c r="C26" s="4" t="s">
        <v>25</v>
      </c>
      <c r="D26" s="37">
        <v>6174</v>
      </c>
      <c r="E26" s="13" t="s">
        <v>74</v>
      </c>
      <c r="F26" s="7" t="s">
        <v>71</v>
      </c>
      <c r="G26" s="13" t="s">
        <v>36</v>
      </c>
      <c r="H26" s="7" t="s">
        <v>35</v>
      </c>
      <c r="I26" s="14" t="s">
        <v>3</v>
      </c>
      <c r="J26" s="15">
        <v>0.7</v>
      </c>
      <c r="K26" s="19" t="s">
        <v>50</v>
      </c>
      <c r="L26" s="17" t="s">
        <v>51</v>
      </c>
      <c r="M26" s="19" t="s">
        <v>52</v>
      </c>
      <c r="N26" s="23" t="s">
        <v>53</v>
      </c>
      <c r="O26" s="15">
        <v>0.15</v>
      </c>
      <c r="P26" s="25"/>
      <c r="Q26" s="15">
        <f t="shared" si="10"/>
        <v>0</v>
      </c>
      <c r="R26" s="21">
        <f t="shared" si="9"/>
        <v>0</v>
      </c>
      <c r="S26" s="15" t="s">
        <v>4</v>
      </c>
      <c r="T26" s="15"/>
      <c r="U26" s="1"/>
      <c r="V26" s="1"/>
      <c r="W26" s="1"/>
      <c r="X26" s="1"/>
      <c r="Y26" s="1"/>
      <c r="Z26" s="1"/>
      <c r="AA26" s="1"/>
      <c r="AB26" s="1"/>
      <c r="AC26" s="1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</row>
    <row r="27" spans="1:48" s="2" customFormat="1" ht="21.6" x14ac:dyDescent="0.2">
      <c r="A27" s="3">
        <v>2074</v>
      </c>
      <c r="B27" s="13" t="s">
        <v>2</v>
      </c>
      <c r="C27" s="4" t="s">
        <v>25</v>
      </c>
      <c r="D27" s="37">
        <v>6174</v>
      </c>
      <c r="E27" s="13" t="s">
        <v>74</v>
      </c>
      <c r="F27" s="7" t="s">
        <v>71</v>
      </c>
      <c r="G27" s="13" t="s">
        <v>36</v>
      </c>
      <c r="H27" s="7" t="s">
        <v>35</v>
      </c>
      <c r="I27" s="14" t="s">
        <v>3</v>
      </c>
      <c r="J27" s="15">
        <v>0.7</v>
      </c>
      <c r="K27" s="19" t="s">
        <v>32</v>
      </c>
      <c r="L27" s="17" t="s">
        <v>33</v>
      </c>
      <c r="M27" s="19" t="s">
        <v>55</v>
      </c>
      <c r="N27" s="19">
        <v>0</v>
      </c>
      <c r="O27" s="15">
        <v>0.1</v>
      </c>
      <c r="P27" s="26"/>
      <c r="Q27" s="15">
        <f t="shared" si="10"/>
        <v>0</v>
      </c>
      <c r="R27" s="21">
        <f t="shared" si="9"/>
        <v>0</v>
      </c>
      <c r="S27" s="15" t="s">
        <v>4</v>
      </c>
      <c r="T27" s="15"/>
      <c r="U27" s="1"/>
      <c r="V27" s="1"/>
      <c r="W27" s="1"/>
      <c r="X27" s="1"/>
      <c r="Y27" s="1"/>
      <c r="Z27" s="1"/>
      <c r="AA27" s="1"/>
      <c r="AB27" s="1"/>
      <c r="AC27" s="1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</row>
    <row r="28" spans="1:48" s="2" customFormat="1" ht="21.6" x14ac:dyDescent="0.2">
      <c r="A28" s="3">
        <v>2075</v>
      </c>
      <c r="B28" s="13" t="s">
        <v>2</v>
      </c>
      <c r="C28" s="4" t="s">
        <v>25</v>
      </c>
      <c r="D28" s="37">
        <v>6174</v>
      </c>
      <c r="E28" s="13" t="s">
        <v>74</v>
      </c>
      <c r="F28" s="7" t="s">
        <v>71</v>
      </c>
      <c r="G28" s="13" t="s">
        <v>36</v>
      </c>
      <c r="H28" s="7" t="s">
        <v>35</v>
      </c>
      <c r="I28" s="16" t="s">
        <v>3</v>
      </c>
      <c r="J28" s="15">
        <v>0.7</v>
      </c>
      <c r="K28" s="16" t="s">
        <v>66</v>
      </c>
      <c r="L28" s="17" t="s">
        <v>67</v>
      </c>
      <c r="M28" s="16" t="s">
        <v>68</v>
      </c>
      <c r="N28" s="27" t="s">
        <v>69</v>
      </c>
      <c r="O28" s="28">
        <v>0.2</v>
      </c>
      <c r="P28" s="26"/>
      <c r="Q28" s="28">
        <v>0</v>
      </c>
      <c r="R28" s="29">
        <v>0</v>
      </c>
      <c r="S28" s="28" t="s">
        <v>4</v>
      </c>
      <c r="T28" s="28"/>
      <c r="U28" s="1"/>
      <c r="V28" s="1"/>
      <c r="W28" s="1"/>
      <c r="X28" s="1"/>
      <c r="Y28" s="1"/>
      <c r="Z28" s="1"/>
      <c r="AA28" s="1"/>
      <c r="AB28" s="1"/>
      <c r="AC28" s="1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</row>
    <row r="29" spans="1:48" s="2" customFormat="1" ht="21.6" x14ac:dyDescent="0.2">
      <c r="A29" s="3">
        <v>2076</v>
      </c>
      <c r="B29" s="13" t="s">
        <v>2</v>
      </c>
      <c r="C29" s="4" t="s">
        <v>25</v>
      </c>
      <c r="D29" s="37">
        <v>6174</v>
      </c>
      <c r="E29" s="13" t="s">
        <v>74</v>
      </c>
      <c r="F29" s="7" t="s">
        <v>71</v>
      </c>
      <c r="G29" s="13" t="s">
        <v>36</v>
      </c>
      <c r="H29" s="7" t="s">
        <v>35</v>
      </c>
      <c r="I29" s="16" t="s">
        <v>1</v>
      </c>
      <c r="J29" s="36">
        <v>0.3</v>
      </c>
      <c r="K29" s="16" t="s">
        <v>62</v>
      </c>
      <c r="L29" s="18" t="s">
        <v>63</v>
      </c>
      <c r="M29" s="16" t="s">
        <v>64</v>
      </c>
      <c r="N29" s="27" t="s">
        <v>27</v>
      </c>
      <c r="O29" s="28">
        <v>0.1</v>
      </c>
      <c r="P29" s="26"/>
      <c r="Q29" s="28">
        <f t="shared" ref="Q29:Q30" si="11">ROUND(IF(OR(N29="",P29=""),0,IF(AND(N29=0,P29=0),1,IF(S29="+",P29/N29,N29/P29))),2)</f>
        <v>0</v>
      </c>
      <c r="R29" s="29">
        <f t="shared" ref="R29:R34" si="12">IF(AND(Q29&gt;=60%,Q29&lt;100%),Q29*((O29*J29)),IF(Q29=100%,((O29*J29)*Q29)*100%,IF(Q29&gt;100%,((J29*O29)*100%)*100%,0)))*100</f>
        <v>0</v>
      </c>
      <c r="S29" s="28" t="s">
        <v>0</v>
      </c>
      <c r="T29" s="28"/>
      <c r="U29" s="1"/>
      <c r="V29" s="1"/>
      <c r="W29" s="1"/>
      <c r="X29" s="1"/>
      <c r="Y29" s="1"/>
      <c r="Z29" s="1"/>
      <c r="AA29" s="1"/>
      <c r="AB29" s="1"/>
      <c r="AC29" s="1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</row>
    <row r="30" spans="1:48" s="2" customFormat="1" ht="21.6" x14ac:dyDescent="0.2">
      <c r="A30" s="3">
        <v>2070</v>
      </c>
      <c r="B30" s="13" t="s">
        <v>2</v>
      </c>
      <c r="C30" s="4" t="s">
        <v>25</v>
      </c>
      <c r="D30" s="37">
        <v>6228</v>
      </c>
      <c r="E30" s="13" t="s">
        <v>75</v>
      </c>
      <c r="F30" s="7" t="s">
        <v>71</v>
      </c>
      <c r="G30" s="13" t="s">
        <v>36</v>
      </c>
      <c r="H30" s="7" t="s">
        <v>35</v>
      </c>
      <c r="I30" s="14" t="s">
        <v>3</v>
      </c>
      <c r="J30" s="15">
        <v>0.7</v>
      </c>
      <c r="K30" s="19" t="s">
        <v>38</v>
      </c>
      <c r="L30" s="17" t="s">
        <v>39</v>
      </c>
      <c r="M30" s="6" t="s">
        <v>40</v>
      </c>
      <c r="N30" s="20" t="s">
        <v>26</v>
      </c>
      <c r="O30" s="15">
        <v>0.1</v>
      </c>
      <c r="P30" s="15"/>
      <c r="Q30" s="15">
        <f t="shared" si="11"/>
        <v>0</v>
      </c>
      <c r="R30" s="21">
        <f t="shared" si="12"/>
        <v>0</v>
      </c>
      <c r="S30" s="15" t="s">
        <v>0</v>
      </c>
      <c r="T30" s="22">
        <f>SUM(R30:R36)%</f>
        <v>0</v>
      </c>
      <c r="U30" s="1"/>
      <c r="V30" s="1"/>
      <c r="W30" s="1"/>
      <c r="X30" s="1"/>
      <c r="Y30" s="1"/>
      <c r="Z30" s="1"/>
      <c r="AA30" s="1"/>
      <c r="AB30" s="1"/>
      <c r="AC30" s="1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</row>
    <row r="31" spans="1:48" s="2" customFormat="1" ht="21.6" x14ac:dyDescent="0.2">
      <c r="A31" s="3">
        <v>2071</v>
      </c>
      <c r="B31" s="13" t="s">
        <v>2</v>
      </c>
      <c r="C31" s="4" t="s">
        <v>25</v>
      </c>
      <c r="D31" s="37">
        <v>6228</v>
      </c>
      <c r="E31" s="13" t="s">
        <v>75</v>
      </c>
      <c r="F31" s="7" t="s">
        <v>71</v>
      </c>
      <c r="G31" s="13" t="s">
        <v>36</v>
      </c>
      <c r="H31" s="7" t="s">
        <v>35</v>
      </c>
      <c r="I31" s="14" t="s">
        <v>3</v>
      </c>
      <c r="J31" s="15">
        <v>0.7</v>
      </c>
      <c r="K31" s="19" t="s">
        <v>42</v>
      </c>
      <c r="L31" s="17" t="s">
        <v>43</v>
      </c>
      <c r="M31" s="19" t="s">
        <v>44</v>
      </c>
      <c r="N31" s="20" t="s">
        <v>27</v>
      </c>
      <c r="O31" s="15">
        <v>0.2</v>
      </c>
      <c r="P31" s="23"/>
      <c r="Q31" s="15">
        <f>ROUND(IF(OR(N31="",P31=""),0,IF(AND(N31=0,P31=0),1,IF(S31="+",P31/N31,N31/P31))),2)</f>
        <v>0</v>
      </c>
      <c r="R31" s="21">
        <f t="shared" si="12"/>
        <v>0</v>
      </c>
      <c r="S31" s="15" t="s">
        <v>0</v>
      </c>
      <c r="T31" s="15"/>
      <c r="U31" s="1"/>
      <c r="V31" s="1"/>
      <c r="W31" s="1"/>
      <c r="X31" s="1"/>
      <c r="Y31" s="1"/>
      <c r="Z31" s="1"/>
      <c r="AA31" s="1"/>
      <c r="AB31" s="1"/>
      <c r="AC31" s="1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</row>
    <row r="32" spans="1:48" s="2" customFormat="1" ht="21.6" x14ac:dyDescent="0.2">
      <c r="A32" s="3">
        <v>2072</v>
      </c>
      <c r="B32" s="13" t="s">
        <v>2</v>
      </c>
      <c r="C32" s="4" t="s">
        <v>25</v>
      </c>
      <c r="D32" s="37">
        <v>6228</v>
      </c>
      <c r="E32" s="13" t="s">
        <v>75</v>
      </c>
      <c r="F32" s="7" t="s">
        <v>71</v>
      </c>
      <c r="G32" s="13" t="s">
        <v>36</v>
      </c>
      <c r="H32" s="7" t="s">
        <v>35</v>
      </c>
      <c r="I32" s="14" t="s">
        <v>3</v>
      </c>
      <c r="J32" s="15">
        <v>0.7</v>
      </c>
      <c r="K32" s="19" t="s">
        <v>46</v>
      </c>
      <c r="L32" s="17" t="s">
        <v>47</v>
      </c>
      <c r="M32" s="19" t="s">
        <v>48</v>
      </c>
      <c r="N32" s="24" t="s">
        <v>27</v>
      </c>
      <c r="O32" s="15">
        <v>0.15</v>
      </c>
      <c r="P32" s="23"/>
      <c r="Q32" s="15">
        <f t="shared" ref="Q32:Q36" si="13">ROUND(IF(OR(N32="",P32=""),0,IF(AND(N32=0,P32=0),1,IF(S32="+",P32/N32,N32/P32))),2)</f>
        <v>0</v>
      </c>
      <c r="R32" s="21">
        <f t="shared" si="12"/>
        <v>0</v>
      </c>
      <c r="S32" s="15" t="s">
        <v>0</v>
      </c>
      <c r="T32" s="15"/>
      <c r="U32" s="1"/>
      <c r="V32" s="1"/>
      <c r="W32" s="1"/>
      <c r="X32" s="1"/>
      <c r="Y32" s="1"/>
      <c r="Z32" s="1"/>
      <c r="AA32" s="1"/>
      <c r="AB32" s="1"/>
      <c r="AC32" s="1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</row>
    <row r="33" spans="1:48" s="2" customFormat="1" ht="21.6" x14ac:dyDescent="0.2">
      <c r="A33" s="3">
        <v>2073</v>
      </c>
      <c r="B33" s="13" t="s">
        <v>2</v>
      </c>
      <c r="C33" s="4" t="s">
        <v>25</v>
      </c>
      <c r="D33" s="37">
        <v>6228</v>
      </c>
      <c r="E33" s="13" t="s">
        <v>75</v>
      </c>
      <c r="F33" s="7" t="s">
        <v>71</v>
      </c>
      <c r="G33" s="13" t="s">
        <v>36</v>
      </c>
      <c r="H33" s="7" t="s">
        <v>35</v>
      </c>
      <c r="I33" s="14" t="s">
        <v>3</v>
      </c>
      <c r="J33" s="15">
        <v>0.7</v>
      </c>
      <c r="K33" s="19" t="s">
        <v>50</v>
      </c>
      <c r="L33" s="17" t="s">
        <v>51</v>
      </c>
      <c r="M33" s="19" t="s">
        <v>52</v>
      </c>
      <c r="N33" s="23" t="s">
        <v>53</v>
      </c>
      <c r="O33" s="15">
        <v>0.15</v>
      </c>
      <c r="P33" s="25"/>
      <c r="Q33" s="15">
        <f t="shared" si="13"/>
        <v>0</v>
      </c>
      <c r="R33" s="21">
        <f t="shared" si="12"/>
        <v>0</v>
      </c>
      <c r="S33" s="15" t="s">
        <v>4</v>
      </c>
      <c r="T33" s="15"/>
      <c r="U33" s="1"/>
      <c r="V33" s="1"/>
      <c r="W33" s="1"/>
      <c r="X33" s="1"/>
      <c r="Y33" s="1"/>
      <c r="Z33" s="1"/>
      <c r="AA33" s="1"/>
      <c r="AB33" s="1"/>
      <c r="AC33" s="1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</row>
    <row r="34" spans="1:48" s="2" customFormat="1" ht="21.6" x14ac:dyDescent="0.2">
      <c r="A34" s="3">
        <v>2074</v>
      </c>
      <c r="B34" s="13" t="s">
        <v>2</v>
      </c>
      <c r="C34" s="4" t="s">
        <v>25</v>
      </c>
      <c r="D34" s="37">
        <v>6228</v>
      </c>
      <c r="E34" s="13" t="s">
        <v>75</v>
      </c>
      <c r="F34" s="7" t="s">
        <v>71</v>
      </c>
      <c r="G34" s="13" t="s">
        <v>36</v>
      </c>
      <c r="H34" s="7" t="s">
        <v>35</v>
      </c>
      <c r="I34" s="14" t="s">
        <v>3</v>
      </c>
      <c r="J34" s="15">
        <v>0.7</v>
      </c>
      <c r="K34" s="19" t="s">
        <v>32</v>
      </c>
      <c r="L34" s="17" t="s">
        <v>33</v>
      </c>
      <c r="M34" s="19" t="s">
        <v>55</v>
      </c>
      <c r="N34" s="19">
        <v>0</v>
      </c>
      <c r="O34" s="15">
        <v>0.1</v>
      </c>
      <c r="P34" s="26"/>
      <c r="Q34" s="15">
        <f t="shared" si="13"/>
        <v>0</v>
      </c>
      <c r="R34" s="21">
        <f t="shared" si="12"/>
        <v>0</v>
      </c>
      <c r="S34" s="15" t="s">
        <v>4</v>
      </c>
      <c r="T34" s="15"/>
      <c r="U34" s="1"/>
      <c r="V34" s="1"/>
      <c r="W34" s="1"/>
      <c r="X34" s="1"/>
      <c r="Y34" s="1"/>
      <c r="Z34" s="1"/>
      <c r="AA34" s="1"/>
      <c r="AB34" s="1"/>
      <c r="AC34" s="1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</row>
    <row r="35" spans="1:48" s="2" customFormat="1" ht="21.6" x14ac:dyDescent="0.2">
      <c r="A35" s="3">
        <v>2075</v>
      </c>
      <c r="B35" s="13" t="s">
        <v>2</v>
      </c>
      <c r="C35" s="4" t="s">
        <v>25</v>
      </c>
      <c r="D35" s="37">
        <v>6228</v>
      </c>
      <c r="E35" s="13" t="s">
        <v>75</v>
      </c>
      <c r="F35" s="7" t="s">
        <v>71</v>
      </c>
      <c r="G35" s="13" t="s">
        <v>36</v>
      </c>
      <c r="H35" s="7" t="s">
        <v>35</v>
      </c>
      <c r="I35" s="16" t="s">
        <v>3</v>
      </c>
      <c r="J35" s="15">
        <v>0.7</v>
      </c>
      <c r="K35" s="16" t="s">
        <v>66</v>
      </c>
      <c r="L35" s="17" t="s">
        <v>67</v>
      </c>
      <c r="M35" s="16" t="s">
        <v>68</v>
      </c>
      <c r="N35" s="27" t="s">
        <v>69</v>
      </c>
      <c r="O35" s="28">
        <v>0.2</v>
      </c>
      <c r="P35" s="26"/>
      <c r="Q35" s="28">
        <v>0</v>
      </c>
      <c r="R35" s="29">
        <v>0</v>
      </c>
      <c r="S35" s="28" t="s">
        <v>4</v>
      </c>
      <c r="T35" s="28"/>
      <c r="U35" s="1"/>
      <c r="V35" s="1"/>
      <c r="W35" s="1"/>
      <c r="X35" s="1"/>
      <c r="Y35" s="1"/>
      <c r="Z35" s="1"/>
      <c r="AA35" s="1"/>
      <c r="AB35" s="1"/>
      <c r="AC35" s="1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</row>
    <row r="36" spans="1:48" s="2" customFormat="1" ht="21.6" x14ac:dyDescent="0.2">
      <c r="A36" s="3">
        <v>2076</v>
      </c>
      <c r="B36" s="13" t="s">
        <v>2</v>
      </c>
      <c r="C36" s="4" t="s">
        <v>25</v>
      </c>
      <c r="D36" s="37">
        <v>6228</v>
      </c>
      <c r="E36" s="13" t="s">
        <v>75</v>
      </c>
      <c r="F36" s="7" t="s">
        <v>71</v>
      </c>
      <c r="G36" s="13" t="s">
        <v>36</v>
      </c>
      <c r="H36" s="7" t="s">
        <v>35</v>
      </c>
      <c r="I36" s="16" t="s">
        <v>1</v>
      </c>
      <c r="J36" s="36">
        <v>0.3</v>
      </c>
      <c r="K36" s="16" t="s">
        <v>62</v>
      </c>
      <c r="L36" s="18" t="s">
        <v>63</v>
      </c>
      <c r="M36" s="16" t="s">
        <v>64</v>
      </c>
      <c r="N36" s="27" t="s">
        <v>27</v>
      </c>
      <c r="O36" s="28">
        <v>0.1</v>
      </c>
      <c r="P36" s="26"/>
      <c r="Q36" s="28">
        <f t="shared" ref="Q36:Q37" si="14">ROUND(IF(OR(N36="",P36=""),0,IF(AND(N36=0,P36=0),1,IF(S36="+",P36/N36,N36/P36))),2)</f>
        <v>0</v>
      </c>
      <c r="R36" s="29">
        <f t="shared" ref="R36:R41" si="15">IF(AND(Q36&gt;=60%,Q36&lt;100%),Q36*((O36*J36)),IF(Q36=100%,((O36*J36)*Q36)*100%,IF(Q36&gt;100%,((J36*O36)*100%)*100%,0)))*100</f>
        <v>0</v>
      </c>
      <c r="S36" s="28" t="s">
        <v>0</v>
      </c>
      <c r="T36" s="28"/>
      <c r="U36" s="1"/>
      <c r="V36" s="1"/>
      <c r="W36" s="1"/>
      <c r="X36" s="1"/>
      <c r="Y36" s="1"/>
      <c r="Z36" s="1"/>
      <c r="AA36" s="1"/>
      <c r="AB36" s="1"/>
      <c r="AC36" s="1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</row>
    <row r="37" spans="1:48" s="2" customFormat="1" ht="21.6" x14ac:dyDescent="0.2">
      <c r="A37" s="3">
        <v>2070</v>
      </c>
      <c r="B37" s="13" t="s">
        <v>2</v>
      </c>
      <c r="C37" s="4" t="s">
        <v>25</v>
      </c>
      <c r="D37" s="37">
        <v>6366</v>
      </c>
      <c r="E37" s="13" t="s">
        <v>76</v>
      </c>
      <c r="F37" s="7" t="s">
        <v>71</v>
      </c>
      <c r="G37" s="13" t="s">
        <v>36</v>
      </c>
      <c r="H37" s="7" t="s">
        <v>35</v>
      </c>
      <c r="I37" s="14" t="s">
        <v>3</v>
      </c>
      <c r="J37" s="15">
        <v>0.7</v>
      </c>
      <c r="K37" s="19" t="s">
        <v>38</v>
      </c>
      <c r="L37" s="17" t="s">
        <v>39</v>
      </c>
      <c r="M37" s="6" t="s">
        <v>40</v>
      </c>
      <c r="N37" s="20" t="s">
        <v>26</v>
      </c>
      <c r="O37" s="15">
        <v>0.1</v>
      </c>
      <c r="P37" s="15"/>
      <c r="Q37" s="15">
        <f t="shared" si="14"/>
        <v>0</v>
      </c>
      <c r="R37" s="21">
        <f t="shared" si="15"/>
        <v>0</v>
      </c>
      <c r="S37" s="15" t="s">
        <v>0</v>
      </c>
      <c r="T37" s="22">
        <f>SUM(R37:R43)%</f>
        <v>0</v>
      </c>
      <c r="U37" s="1"/>
      <c r="V37" s="1"/>
      <c r="W37" s="1"/>
      <c r="X37" s="1"/>
      <c r="Y37" s="1"/>
      <c r="Z37" s="1"/>
      <c r="AA37" s="1"/>
      <c r="AB37" s="1"/>
      <c r="AC37" s="1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</row>
    <row r="38" spans="1:48" s="2" customFormat="1" ht="21.6" x14ac:dyDescent="0.2">
      <c r="A38" s="3">
        <v>2071</v>
      </c>
      <c r="B38" s="13" t="s">
        <v>2</v>
      </c>
      <c r="C38" s="4" t="s">
        <v>25</v>
      </c>
      <c r="D38" s="37">
        <v>6366</v>
      </c>
      <c r="E38" s="13" t="s">
        <v>76</v>
      </c>
      <c r="F38" s="7" t="s">
        <v>71</v>
      </c>
      <c r="G38" s="13" t="s">
        <v>36</v>
      </c>
      <c r="H38" s="7" t="s">
        <v>35</v>
      </c>
      <c r="I38" s="14" t="s">
        <v>3</v>
      </c>
      <c r="J38" s="15">
        <v>0.7</v>
      </c>
      <c r="K38" s="19" t="s">
        <v>42</v>
      </c>
      <c r="L38" s="17" t="s">
        <v>43</v>
      </c>
      <c r="M38" s="19" t="s">
        <v>44</v>
      </c>
      <c r="N38" s="20" t="s">
        <v>27</v>
      </c>
      <c r="O38" s="15">
        <v>0.2</v>
      </c>
      <c r="P38" s="23"/>
      <c r="Q38" s="15">
        <f>ROUND(IF(OR(N38="",P38=""),0,IF(AND(N38=0,P38=0),1,IF(S38="+",P38/N38,N38/P38))),2)</f>
        <v>0</v>
      </c>
      <c r="R38" s="21">
        <f t="shared" si="15"/>
        <v>0</v>
      </c>
      <c r="S38" s="15" t="s">
        <v>0</v>
      </c>
      <c r="T38" s="15"/>
      <c r="U38" s="1"/>
      <c r="V38" s="1"/>
      <c r="W38" s="1"/>
      <c r="X38" s="1"/>
      <c r="Y38" s="1"/>
      <c r="Z38" s="1"/>
      <c r="AA38" s="1"/>
      <c r="AB38" s="1"/>
      <c r="AC38" s="1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</row>
    <row r="39" spans="1:48" s="2" customFormat="1" ht="21.6" x14ac:dyDescent="0.2">
      <c r="A39" s="3">
        <v>2072</v>
      </c>
      <c r="B39" s="13" t="s">
        <v>2</v>
      </c>
      <c r="C39" s="4" t="s">
        <v>25</v>
      </c>
      <c r="D39" s="37">
        <v>6366</v>
      </c>
      <c r="E39" s="13" t="s">
        <v>76</v>
      </c>
      <c r="F39" s="7" t="s">
        <v>71</v>
      </c>
      <c r="G39" s="13" t="s">
        <v>36</v>
      </c>
      <c r="H39" s="7" t="s">
        <v>35</v>
      </c>
      <c r="I39" s="14" t="s">
        <v>3</v>
      </c>
      <c r="J39" s="15">
        <v>0.7</v>
      </c>
      <c r="K39" s="19" t="s">
        <v>46</v>
      </c>
      <c r="L39" s="17" t="s">
        <v>47</v>
      </c>
      <c r="M39" s="19" t="s">
        <v>48</v>
      </c>
      <c r="N39" s="24" t="s">
        <v>27</v>
      </c>
      <c r="O39" s="15">
        <v>0.15</v>
      </c>
      <c r="P39" s="23"/>
      <c r="Q39" s="15">
        <f t="shared" ref="Q39:Q43" si="16">ROUND(IF(OR(N39="",P39=""),0,IF(AND(N39=0,P39=0),1,IF(S39="+",P39/N39,N39/P39))),2)</f>
        <v>0</v>
      </c>
      <c r="R39" s="21">
        <f t="shared" si="15"/>
        <v>0</v>
      </c>
      <c r="S39" s="15" t="s">
        <v>0</v>
      </c>
      <c r="T39" s="15"/>
      <c r="U39" s="1"/>
      <c r="V39" s="1"/>
      <c r="W39" s="1"/>
      <c r="X39" s="1"/>
      <c r="Y39" s="1"/>
      <c r="Z39" s="1"/>
      <c r="AA39" s="1"/>
      <c r="AB39" s="1"/>
      <c r="AC39" s="1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</row>
    <row r="40" spans="1:48" s="2" customFormat="1" ht="21.6" x14ac:dyDescent="0.2">
      <c r="A40" s="3">
        <v>2073</v>
      </c>
      <c r="B40" s="13" t="s">
        <v>2</v>
      </c>
      <c r="C40" s="4" t="s">
        <v>25</v>
      </c>
      <c r="D40" s="37">
        <v>6366</v>
      </c>
      <c r="E40" s="13" t="s">
        <v>76</v>
      </c>
      <c r="F40" s="7" t="s">
        <v>71</v>
      </c>
      <c r="G40" s="13" t="s">
        <v>36</v>
      </c>
      <c r="H40" s="7" t="s">
        <v>35</v>
      </c>
      <c r="I40" s="14" t="s">
        <v>3</v>
      </c>
      <c r="J40" s="15">
        <v>0.7</v>
      </c>
      <c r="K40" s="19" t="s">
        <v>50</v>
      </c>
      <c r="L40" s="17" t="s">
        <v>51</v>
      </c>
      <c r="M40" s="19" t="s">
        <v>52</v>
      </c>
      <c r="N40" s="23" t="s">
        <v>53</v>
      </c>
      <c r="O40" s="15">
        <v>0.15</v>
      </c>
      <c r="P40" s="25"/>
      <c r="Q40" s="15">
        <f t="shared" si="16"/>
        <v>0</v>
      </c>
      <c r="R40" s="21">
        <f t="shared" si="15"/>
        <v>0</v>
      </c>
      <c r="S40" s="15" t="s">
        <v>4</v>
      </c>
      <c r="T40" s="15"/>
      <c r="U40" s="1"/>
      <c r="V40" s="1"/>
      <c r="W40" s="1"/>
      <c r="X40" s="1"/>
      <c r="Y40" s="1"/>
      <c r="Z40" s="1"/>
      <c r="AA40" s="1"/>
      <c r="AB40" s="1"/>
      <c r="AC40" s="1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</row>
    <row r="41" spans="1:48" s="2" customFormat="1" ht="21.6" x14ac:dyDescent="0.2">
      <c r="A41" s="3">
        <v>2074</v>
      </c>
      <c r="B41" s="13" t="s">
        <v>2</v>
      </c>
      <c r="C41" s="4" t="s">
        <v>25</v>
      </c>
      <c r="D41" s="37">
        <v>6366</v>
      </c>
      <c r="E41" s="13" t="s">
        <v>76</v>
      </c>
      <c r="F41" s="7" t="s">
        <v>71</v>
      </c>
      <c r="G41" s="13" t="s">
        <v>36</v>
      </c>
      <c r="H41" s="7" t="s">
        <v>35</v>
      </c>
      <c r="I41" s="14" t="s">
        <v>3</v>
      </c>
      <c r="J41" s="15">
        <v>0.7</v>
      </c>
      <c r="K41" s="19" t="s">
        <v>32</v>
      </c>
      <c r="L41" s="17" t="s">
        <v>33</v>
      </c>
      <c r="M41" s="19" t="s">
        <v>55</v>
      </c>
      <c r="N41" s="19">
        <v>0</v>
      </c>
      <c r="O41" s="15">
        <v>0.1</v>
      </c>
      <c r="P41" s="26"/>
      <c r="Q41" s="15">
        <f t="shared" si="16"/>
        <v>0</v>
      </c>
      <c r="R41" s="21">
        <f t="shared" si="15"/>
        <v>0</v>
      </c>
      <c r="S41" s="15" t="s">
        <v>4</v>
      </c>
      <c r="T41" s="15"/>
      <c r="U41" s="1"/>
      <c r="V41" s="1"/>
      <c r="W41" s="1"/>
      <c r="X41" s="1"/>
      <c r="Y41" s="1"/>
      <c r="Z41" s="1"/>
      <c r="AA41" s="1"/>
      <c r="AB41" s="1"/>
      <c r="AC41" s="1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</row>
    <row r="42" spans="1:48" s="2" customFormat="1" ht="21.6" x14ac:dyDescent="0.2">
      <c r="A42" s="3">
        <v>2075</v>
      </c>
      <c r="B42" s="13" t="s">
        <v>2</v>
      </c>
      <c r="C42" s="4" t="s">
        <v>25</v>
      </c>
      <c r="D42" s="37">
        <v>6366</v>
      </c>
      <c r="E42" s="13" t="s">
        <v>76</v>
      </c>
      <c r="F42" s="7" t="s">
        <v>71</v>
      </c>
      <c r="G42" s="13" t="s">
        <v>36</v>
      </c>
      <c r="H42" s="7" t="s">
        <v>35</v>
      </c>
      <c r="I42" s="16" t="s">
        <v>3</v>
      </c>
      <c r="J42" s="15">
        <v>0.7</v>
      </c>
      <c r="K42" s="16" t="s">
        <v>66</v>
      </c>
      <c r="L42" s="17" t="s">
        <v>67</v>
      </c>
      <c r="M42" s="16" t="s">
        <v>68</v>
      </c>
      <c r="N42" s="27" t="s">
        <v>69</v>
      </c>
      <c r="O42" s="28">
        <v>0.2</v>
      </c>
      <c r="P42" s="26"/>
      <c r="Q42" s="28">
        <v>0</v>
      </c>
      <c r="R42" s="29">
        <v>0</v>
      </c>
      <c r="S42" s="28" t="s">
        <v>4</v>
      </c>
      <c r="T42" s="28"/>
      <c r="U42" s="1"/>
      <c r="V42" s="1"/>
      <c r="W42" s="1"/>
      <c r="X42" s="1"/>
      <c r="Y42" s="1"/>
      <c r="Z42" s="1"/>
      <c r="AA42" s="1"/>
      <c r="AB42" s="1"/>
      <c r="AC42" s="1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</row>
    <row r="43" spans="1:48" s="2" customFormat="1" ht="21.6" x14ac:dyDescent="0.2">
      <c r="A43" s="3">
        <v>2076</v>
      </c>
      <c r="B43" s="13" t="s">
        <v>2</v>
      </c>
      <c r="C43" s="4" t="s">
        <v>25</v>
      </c>
      <c r="D43" s="37">
        <v>6366</v>
      </c>
      <c r="E43" s="13" t="s">
        <v>76</v>
      </c>
      <c r="F43" s="7" t="s">
        <v>71</v>
      </c>
      <c r="G43" s="13" t="s">
        <v>36</v>
      </c>
      <c r="H43" s="7" t="s">
        <v>35</v>
      </c>
      <c r="I43" s="16" t="s">
        <v>1</v>
      </c>
      <c r="J43" s="36">
        <v>0.3</v>
      </c>
      <c r="K43" s="16" t="s">
        <v>62</v>
      </c>
      <c r="L43" s="18" t="s">
        <v>63</v>
      </c>
      <c r="M43" s="16" t="s">
        <v>64</v>
      </c>
      <c r="N43" s="27" t="s">
        <v>27</v>
      </c>
      <c r="O43" s="28">
        <v>0.1</v>
      </c>
      <c r="P43" s="26"/>
      <c r="Q43" s="28">
        <f t="shared" ref="Q43:Q44" si="17">ROUND(IF(OR(N43="",P43=""),0,IF(AND(N43=0,P43=0),1,IF(S43="+",P43/N43,N43/P43))),2)</f>
        <v>0</v>
      </c>
      <c r="R43" s="29">
        <f t="shared" ref="R43:R48" si="18">IF(AND(Q43&gt;=60%,Q43&lt;100%),Q43*((O43*J43)),IF(Q43=100%,((O43*J43)*Q43)*100%,IF(Q43&gt;100%,((J43*O43)*100%)*100%,0)))*100</f>
        <v>0</v>
      </c>
      <c r="S43" s="28" t="s">
        <v>0</v>
      </c>
      <c r="T43" s="28"/>
      <c r="U43" s="1"/>
      <c r="V43" s="1"/>
      <c r="W43" s="1"/>
      <c r="X43" s="1"/>
      <c r="Y43" s="1"/>
      <c r="Z43" s="1"/>
      <c r="AA43" s="1"/>
      <c r="AB43" s="1"/>
      <c r="AC43" s="1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</row>
    <row r="44" spans="1:48" s="2" customFormat="1" ht="21.6" x14ac:dyDescent="0.2">
      <c r="A44" s="3">
        <v>2070</v>
      </c>
      <c r="B44" s="13" t="s">
        <v>2</v>
      </c>
      <c r="C44" s="4" t="s">
        <v>25</v>
      </c>
      <c r="D44" s="37">
        <v>6016</v>
      </c>
      <c r="E44" s="13" t="s">
        <v>77</v>
      </c>
      <c r="F44" s="7" t="s">
        <v>71</v>
      </c>
      <c r="G44" s="13" t="s">
        <v>36</v>
      </c>
      <c r="H44" s="7" t="s">
        <v>35</v>
      </c>
      <c r="I44" s="14" t="s">
        <v>3</v>
      </c>
      <c r="J44" s="15">
        <v>0.7</v>
      </c>
      <c r="K44" s="19" t="s">
        <v>38</v>
      </c>
      <c r="L44" s="17" t="s">
        <v>39</v>
      </c>
      <c r="M44" s="6" t="s">
        <v>40</v>
      </c>
      <c r="N44" s="20" t="s">
        <v>26</v>
      </c>
      <c r="O44" s="15">
        <v>0.1</v>
      </c>
      <c r="P44" s="15"/>
      <c r="Q44" s="15">
        <f t="shared" si="17"/>
        <v>0</v>
      </c>
      <c r="R44" s="21">
        <f t="shared" si="18"/>
        <v>0</v>
      </c>
      <c r="S44" s="15" t="s">
        <v>0</v>
      </c>
      <c r="T44" s="22">
        <f>SUM(R44:R50)%</f>
        <v>0</v>
      </c>
      <c r="U44" s="1"/>
      <c r="V44" s="1"/>
      <c r="W44" s="1"/>
      <c r="X44" s="1"/>
      <c r="Y44" s="1"/>
      <c r="Z44" s="1"/>
      <c r="AA44" s="1"/>
      <c r="AB44" s="1"/>
      <c r="AC44" s="1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</row>
    <row r="45" spans="1:48" s="2" customFormat="1" ht="21.6" x14ac:dyDescent="0.2">
      <c r="A45" s="3">
        <v>2071</v>
      </c>
      <c r="B45" s="13" t="s">
        <v>2</v>
      </c>
      <c r="C45" s="4" t="s">
        <v>25</v>
      </c>
      <c r="D45" s="37">
        <v>6016</v>
      </c>
      <c r="E45" s="13" t="s">
        <v>77</v>
      </c>
      <c r="F45" s="7" t="s">
        <v>71</v>
      </c>
      <c r="G45" s="13" t="s">
        <v>36</v>
      </c>
      <c r="H45" s="7" t="s">
        <v>35</v>
      </c>
      <c r="I45" s="14" t="s">
        <v>3</v>
      </c>
      <c r="J45" s="15">
        <v>0.7</v>
      </c>
      <c r="K45" s="19" t="s">
        <v>42</v>
      </c>
      <c r="L45" s="17" t="s">
        <v>43</v>
      </c>
      <c r="M45" s="19" t="s">
        <v>44</v>
      </c>
      <c r="N45" s="20" t="s">
        <v>27</v>
      </c>
      <c r="O45" s="15">
        <v>0.2</v>
      </c>
      <c r="P45" s="23"/>
      <c r="Q45" s="15">
        <f>ROUND(IF(OR(N45="",P45=""),0,IF(AND(N45=0,P45=0),1,IF(S45="+",P45/N45,N45/P45))),2)</f>
        <v>0</v>
      </c>
      <c r="R45" s="21">
        <f t="shared" si="18"/>
        <v>0</v>
      </c>
      <c r="S45" s="15" t="s">
        <v>0</v>
      </c>
      <c r="T45" s="15"/>
      <c r="U45" s="1"/>
      <c r="V45" s="1"/>
      <c r="W45" s="1"/>
      <c r="X45" s="1"/>
      <c r="Y45" s="1"/>
      <c r="Z45" s="1"/>
      <c r="AA45" s="1"/>
      <c r="AB45" s="1"/>
      <c r="AC45" s="1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</row>
    <row r="46" spans="1:48" s="2" customFormat="1" ht="21.6" x14ac:dyDescent="0.2">
      <c r="A46" s="3">
        <v>2072</v>
      </c>
      <c r="B46" s="13" t="s">
        <v>2</v>
      </c>
      <c r="C46" s="4" t="s">
        <v>25</v>
      </c>
      <c r="D46" s="37">
        <v>6016</v>
      </c>
      <c r="E46" s="13" t="s">
        <v>77</v>
      </c>
      <c r="F46" s="7" t="s">
        <v>71</v>
      </c>
      <c r="G46" s="13" t="s">
        <v>36</v>
      </c>
      <c r="H46" s="7" t="s">
        <v>35</v>
      </c>
      <c r="I46" s="14" t="s">
        <v>3</v>
      </c>
      <c r="J46" s="15">
        <v>0.7</v>
      </c>
      <c r="K46" s="19" t="s">
        <v>46</v>
      </c>
      <c r="L46" s="17" t="s">
        <v>47</v>
      </c>
      <c r="M46" s="19" t="s">
        <v>48</v>
      </c>
      <c r="N46" s="24" t="s">
        <v>27</v>
      </c>
      <c r="O46" s="15">
        <v>0.15</v>
      </c>
      <c r="P46" s="23"/>
      <c r="Q46" s="15">
        <f t="shared" ref="Q46:Q50" si="19">ROUND(IF(OR(N46="",P46=""),0,IF(AND(N46=0,P46=0),1,IF(S46="+",P46/N46,N46/P46))),2)</f>
        <v>0</v>
      </c>
      <c r="R46" s="21">
        <f t="shared" si="18"/>
        <v>0</v>
      </c>
      <c r="S46" s="15" t="s">
        <v>0</v>
      </c>
      <c r="T46" s="15"/>
      <c r="U46" s="1"/>
      <c r="V46" s="1"/>
      <c r="W46" s="1"/>
      <c r="X46" s="1"/>
      <c r="Y46" s="1"/>
      <c r="Z46" s="1"/>
      <c r="AA46" s="1"/>
      <c r="AB46" s="1"/>
      <c r="AC46" s="1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</row>
    <row r="47" spans="1:48" s="2" customFormat="1" ht="21.6" x14ac:dyDescent="0.2">
      <c r="A47" s="3">
        <v>2073</v>
      </c>
      <c r="B47" s="13" t="s">
        <v>2</v>
      </c>
      <c r="C47" s="4" t="s">
        <v>25</v>
      </c>
      <c r="D47" s="37">
        <v>6016</v>
      </c>
      <c r="E47" s="13" t="s">
        <v>77</v>
      </c>
      <c r="F47" s="7" t="s">
        <v>71</v>
      </c>
      <c r="G47" s="13" t="s">
        <v>36</v>
      </c>
      <c r="H47" s="7" t="s">
        <v>35</v>
      </c>
      <c r="I47" s="14" t="s">
        <v>3</v>
      </c>
      <c r="J47" s="15">
        <v>0.7</v>
      </c>
      <c r="K47" s="19" t="s">
        <v>50</v>
      </c>
      <c r="L47" s="17" t="s">
        <v>51</v>
      </c>
      <c r="M47" s="19" t="s">
        <v>52</v>
      </c>
      <c r="N47" s="23" t="s">
        <v>53</v>
      </c>
      <c r="O47" s="15">
        <v>0.15</v>
      </c>
      <c r="P47" s="25"/>
      <c r="Q47" s="15">
        <f t="shared" si="19"/>
        <v>0</v>
      </c>
      <c r="R47" s="21">
        <f t="shared" si="18"/>
        <v>0</v>
      </c>
      <c r="S47" s="15" t="s">
        <v>4</v>
      </c>
      <c r="T47" s="15"/>
      <c r="U47" s="1"/>
      <c r="V47" s="1"/>
      <c r="W47" s="1"/>
      <c r="X47" s="1"/>
      <c r="Y47" s="1"/>
      <c r="Z47" s="1"/>
      <c r="AA47" s="1"/>
      <c r="AB47" s="1"/>
      <c r="AC47" s="1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</row>
    <row r="48" spans="1:48" s="2" customFormat="1" ht="21.6" x14ac:dyDescent="0.2">
      <c r="A48" s="3">
        <v>2074</v>
      </c>
      <c r="B48" s="13" t="s">
        <v>2</v>
      </c>
      <c r="C48" s="4" t="s">
        <v>25</v>
      </c>
      <c r="D48" s="37">
        <v>6016</v>
      </c>
      <c r="E48" s="13" t="s">
        <v>77</v>
      </c>
      <c r="F48" s="7" t="s">
        <v>71</v>
      </c>
      <c r="G48" s="13" t="s">
        <v>36</v>
      </c>
      <c r="H48" s="7" t="s">
        <v>35</v>
      </c>
      <c r="I48" s="14" t="s">
        <v>3</v>
      </c>
      <c r="J48" s="15">
        <v>0.7</v>
      </c>
      <c r="K48" s="19" t="s">
        <v>32</v>
      </c>
      <c r="L48" s="17" t="s">
        <v>33</v>
      </c>
      <c r="M48" s="19" t="s">
        <v>55</v>
      </c>
      <c r="N48" s="19">
        <v>0</v>
      </c>
      <c r="O48" s="15">
        <v>0.1</v>
      </c>
      <c r="P48" s="26"/>
      <c r="Q48" s="15">
        <f t="shared" si="19"/>
        <v>0</v>
      </c>
      <c r="R48" s="21">
        <f t="shared" si="18"/>
        <v>0</v>
      </c>
      <c r="S48" s="15" t="s">
        <v>4</v>
      </c>
      <c r="T48" s="15"/>
      <c r="U48" s="1"/>
      <c r="V48" s="1"/>
      <c r="W48" s="1"/>
      <c r="X48" s="1"/>
      <c r="Y48" s="1"/>
      <c r="Z48" s="1"/>
      <c r="AA48" s="1"/>
      <c r="AB48" s="1"/>
      <c r="AC48" s="1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</row>
    <row r="49" spans="1:48" s="2" customFormat="1" ht="21.6" x14ac:dyDescent="0.2">
      <c r="A49" s="3">
        <v>2075</v>
      </c>
      <c r="B49" s="13" t="s">
        <v>2</v>
      </c>
      <c r="C49" s="4" t="s">
        <v>25</v>
      </c>
      <c r="D49" s="37">
        <v>6016</v>
      </c>
      <c r="E49" s="13" t="s">
        <v>77</v>
      </c>
      <c r="F49" s="7" t="s">
        <v>71</v>
      </c>
      <c r="G49" s="13" t="s">
        <v>36</v>
      </c>
      <c r="H49" s="7" t="s">
        <v>35</v>
      </c>
      <c r="I49" s="16" t="s">
        <v>3</v>
      </c>
      <c r="J49" s="15">
        <v>0.7</v>
      </c>
      <c r="K49" s="16" t="s">
        <v>66</v>
      </c>
      <c r="L49" s="17" t="s">
        <v>67</v>
      </c>
      <c r="M49" s="16" t="s">
        <v>68</v>
      </c>
      <c r="N49" s="27" t="s">
        <v>69</v>
      </c>
      <c r="O49" s="28">
        <v>0.2</v>
      </c>
      <c r="P49" s="26"/>
      <c r="Q49" s="28">
        <v>0</v>
      </c>
      <c r="R49" s="29">
        <v>0</v>
      </c>
      <c r="S49" s="28" t="s">
        <v>4</v>
      </c>
      <c r="T49" s="28"/>
      <c r="U49" s="1"/>
      <c r="V49" s="1"/>
      <c r="W49" s="1"/>
      <c r="X49" s="1"/>
      <c r="Y49" s="1"/>
      <c r="Z49" s="1"/>
      <c r="AA49" s="1"/>
      <c r="AB49" s="1"/>
      <c r="AC49" s="1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</row>
    <row r="50" spans="1:48" s="2" customFormat="1" ht="21.6" x14ac:dyDescent="0.2">
      <c r="A50" s="3">
        <v>2076</v>
      </c>
      <c r="B50" s="13" t="s">
        <v>2</v>
      </c>
      <c r="C50" s="4" t="s">
        <v>25</v>
      </c>
      <c r="D50" s="37">
        <v>6016</v>
      </c>
      <c r="E50" s="13" t="s">
        <v>77</v>
      </c>
      <c r="F50" s="7" t="s">
        <v>71</v>
      </c>
      <c r="G50" s="13" t="s">
        <v>36</v>
      </c>
      <c r="H50" s="7" t="s">
        <v>35</v>
      </c>
      <c r="I50" s="16" t="s">
        <v>1</v>
      </c>
      <c r="J50" s="36">
        <v>0.3</v>
      </c>
      <c r="K50" s="16" t="s">
        <v>62</v>
      </c>
      <c r="L50" s="18" t="s">
        <v>63</v>
      </c>
      <c r="M50" s="16" t="s">
        <v>64</v>
      </c>
      <c r="N50" s="27" t="s">
        <v>27</v>
      </c>
      <c r="O50" s="28">
        <v>0.1</v>
      </c>
      <c r="P50" s="26"/>
      <c r="Q50" s="28">
        <f t="shared" ref="Q50" si="20">ROUND(IF(OR(N50="",P50=""),0,IF(AND(N50=0,P50=0),1,IF(S50="+",P50/N50,N50/P50))),2)</f>
        <v>0</v>
      </c>
      <c r="R50" s="29">
        <f t="shared" ref="R50" si="21">IF(AND(Q50&gt;=60%,Q50&lt;100%),Q50*((O50*J50)),IF(Q50=100%,((O50*J50)*Q50)*100%,IF(Q50&gt;100%,((J50*O50)*100%)*100%,0)))*100</f>
        <v>0</v>
      </c>
      <c r="S50" s="28" t="s">
        <v>0</v>
      </c>
      <c r="T50" s="28"/>
      <c r="U50" s="1"/>
      <c r="V50" s="1"/>
      <c r="W50" s="1"/>
      <c r="X50" s="1"/>
      <c r="Y50" s="1"/>
      <c r="Z50" s="1"/>
      <c r="AA50" s="1"/>
      <c r="AB50" s="1"/>
      <c r="AC50" s="1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</row>
  </sheetData>
  <autoFilter ref="A1:T8" xr:uid="{7EF4661B-8CB2-466F-8DBB-EB69CD48EE90}"/>
  <phoneticPr fontId="2" type="noConversion"/>
  <conditionalFormatting sqref="I1:I50 K1:M50">
    <cfRule type="cellIs" dxfId="7" priority="9" operator="equal">
      <formula>"maintasks"</formula>
    </cfRule>
  </conditionalFormatting>
  <conditionalFormatting sqref="J8">
    <cfRule type="cellIs" dxfId="6" priority="7" operator="equal">
      <formula>"maintasks"</formula>
    </cfRule>
  </conditionalFormatting>
  <conditionalFormatting sqref="J15">
    <cfRule type="cellIs" dxfId="5" priority="6" operator="equal">
      <formula>"maintasks"</formula>
    </cfRule>
  </conditionalFormatting>
  <conditionalFormatting sqref="J22">
    <cfRule type="cellIs" dxfId="4" priority="5" operator="equal">
      <formula>"maintasks"</formula>
    </cfRule>
  </conditionalFormatting>
  <conditionalFormatting sqref="J29">
    <cfRule type="cellIs" dxfId="3" priority="4" operator="equal">
      <formula>"maintasks"</formula>
    </cfRule>
  </conditionalFormatting>
  <conditionalFormatting sqref="J36">
    <cfRule type="cellIs" dxfId="2" priority="3" operator="equal">
      <formula>"maintasks"</formula>
    </cfRule>
  </conditionalFormatting>
  <conditionalFormatting sqref="J43">
    <cfRule type="cellIs" dxfId="1" priority="2" operator="equal">
      <formula>"maintasks"</formula>
    </cfRule>
  </conditionalFormatting>
  <conditionalFormatting sqref="J50">
    <cfRule type="cellIs" dxfId="0" priority="1" operator="equal">
      <formula>"maintasks"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5ECCE-8F67-48E5-B108-4FBBB9A20B30}">
  <dimension ref="A1:H8"/>
  <sheetViews>
    <sheetView workbookViewId="0">
      <selection activeCell="E2" sqref="E2:E8"/>
    </sheetView>
  </sheetViews>
  <sheetFormatPr defaultRowHeight="14.4" x14ac:dyDescent="0.3"/>
  <cols>
    <col min="1" max="1" width="19.88671875" customWidth="1"/>
    <col min="2" max="2" width="19.21875" customWidth="1"/>
    <col min="3" max="3" width="27.6640625" customWidth="1"/>
    <col min="6" max="6" width="28.88671875" customWidth="1"/>
    <col min="7" max="7" width="15.6640625" customWidth="1"/>
    <col min="8" max="8" width="26.5546875" style="35" customWidth="1"/>
  </cols>
  <sheetData>
    <row r="1" spans="1:8" ht="28.8" x14ac:dyDescent="0.3">
      <c r="A1" s="8" t="s">
        <v>14</v>
      </c>
      <c r="B1" s="8" t="s">
        <v>13</v>
      </c>
      <c r="C1" s="8" t="s">
        <v>28</v>
      </c>
      <c r="D1" s="8" t="s">
        <v>29</v>
      </c>
      <c r="E1" s="8" t="s">
        <v>30</v>
      </c>
      <c r="F1" s="8" t="s">
        <v>37</v>
      </c>
      <c r="G1" s="8" t="s">
        <v>31</v>
      </c>
      <c r="H1" s="8" t="s">
        <v>34</v>
      </c>
    </row>
    <row r="2" spans="1:8" ht="28.8" x14ac:dyDescent="0.3">
      <c r="A2" s="8" t="s">
        <v>38</v>
      </c>
      <c r="B2" s="8" t="s">
        <v>39</v>
      </c>
      <c r="C2" s="8" t="s">
        <v>40</v>
      </c>
      <c r="D2" s="9" t="s">
        <v>26</v>
      </c>
      <c r="E2" s="8" t="s">
        <v>0</v>
      </c>
      <c r="F2" s="8" t="s">
        <v>3</v>
      </c>
      <c r="G2" s="8">
        <v>20</v>
      </c>
      <c r="H2" s="8" t="s">
        <v>41</v>
      </c>
    </row>
    <row r="3" spans="1:8" ht="28.8" x14ac:dyDescent="0.3">
      <c r="A3" s="8" t="s">
        <v>42</v>
      </c>
      <c r="B3" s="8" t="s">
        <v>43</v>
      </c>
      <c r="C3" s="8" t="s">
        <v>44</v>
      </c>
      <c r="D3" s="9" t="s">
        <v>27</v>
      </c>
      <c r="E3" s="8" t="s">
        <v>0</v>
      </c>
      <c r="F3" s="8" t="s">
        <v>3</v>
      </c>
      <c r="G3" s="8">
        <v>20</v>
      </c>
      <c r="H3" s="8" t="s">
        <v>45</v>
      </c>
    </row>
    <row r="4" spans="1:8" ht="28.8" x14ac:dyDescent="0.3">
      <c r="A4" s="8" t="s">
        <v>46</v>
      </c>
      <c r="B4" s="8" t="s">
        <v>47</v>
      </c>
      <c r="C4" s="8" t="s">
        <v>48</v>
      </c>
      <c r="D4" s="9" t="s">
        <v>27</v>
      </c>
      <c r="E4" s="8" t="s">
        <v>0</v>
      </c>
      <c r="F4" s="8" t="s">
        <v>3</v>
      </c>
      <c r="G4" s="8">
        <v>15</v>
      </c>
      <c r="H4" s="8" t="s">
        <v>49</v>
      </c>
    </row>
    <row r="5" spans="1:8" ht="28.8" x14ac:dyDescent="0.3">
      <c r="A5" s="8" t="s">
        <v>50</v>
      </c>
      <c r="B5" s="8" t="s">
        <v>51</v>
      </c>
      <c r="C5" s="8" t="s">
        <v>52</v>
      </c>
      <c r="D5" s="9" t="s">
        <v>53</v>
      </c>
      <c r="E5" s="8" t="s">
        <v>4</v>
      </c>
      <c r="F5" s="8" t="s">
        <v>3</v>
      </c>
      <c r="G5" s="8">
        <v>15</v>
      </c>
      <c r="H5" s="8" t="s">
        <v>54</v>
      </c>
    </row>
    <row r="6" spans="1:8" ht="28.8" x14ac:dyDescent="0.3">
      <c r="A6" s="8" t="s">
        <v>32</v>
      </c>
      <c r="B6" s="8" t="s">
        <v>33</v>
      </c>
      <c r="C6" s="8" t="s">
        <v>55</v>
      </c>
      <c r="D6" s="9" t="s">
        <v>56</v>
      </c>
      <c r="E6" s="8" t="s">
        <v>4</v>
      </c>
      <c r="F6" s="8" t="s">
        <v>3</v>
      </c>
      <c r="G6" s="8">
        <v>10</v>
      </c>
      <c r="H6" s="8" t="s">
        <v>57</v>
      </c>
    </row>
    <row r="7" spans="1:8" ht="28.8" x14ac:dyDescent="0.3">
      <c r="A7" s="8" t="s">
        <v>58</v>
      </c>
      <c r="B7" s="8" t="s">
        <v>59</v>
      </c>
      <c r="C7" s="8" t="s">
        <v>60</v>
      </c>
      <c r="D7" s="8" t="s">
        <v>26</v>
      </c>
      <c r="E7" s="8" t="s">
        <v>0</v>
      </c>
      <c r="F7" s="8" t="s">
        <v>3</v>
      </c>
      <c r="G7" s="8">
        <v>10</v>
      </c>
      <c r="H7" s="8" t="s">
        <v>61</v>
      </c>
    </row>
    <row r="8" spans="1:8" ht="28.8" x14ac:dyDescent="0.3">
      <c r="A8" s="8" t="s">
        <v>62</v>
      </c>
      <c r="B8" s="8" t="s">
        <v>63</v>
      </c>
      <c r="C8" s="8" t="s">
        <v>64</v>
      </c>
      <c r="D8" s="9" t="s">
        <v>27</v>
      </c>
      <c r="E8" s="8" t="s">
        <v>0</v>
      </c>
      <c r="F8" s="8" t="s">
        <v>1</v>
      </c>
      <c r="G8" s="8">
        <v>10</v>
      </c>
      <c r="H8" s="8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واحد ماشین آلات</vt:lpstr>
      <vt:lpstr>ماشین آلات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Hamideh Jafarian</dc:creator>
  <cp:lastModifiedBy>Kalantari, Ali Asghar</cp:lastModifiedBy>
  <dcterms:created xsi:type="dcterms:W3CDTF">2025-03-10T06:26:40Z</dcterms:created>
  <dcterms:modified xsi:type="dcterms:W3CDTF">2025-04-22T08:18:00Z</dcterms:modified>
</cp:coreProperties>
</file>