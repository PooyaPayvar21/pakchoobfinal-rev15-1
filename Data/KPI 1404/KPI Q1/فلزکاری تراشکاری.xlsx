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9AF557B3-81E3-49A7-808D-17356C8C111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فلزکاری تراشکار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T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T20" i="1" s="1"/>
  <c r="T8" i="1" l="1"/>
  <c r="Q2" i="1"/>
  <c r="R2" i="1" s="1"/>
  <c r="T2" i="1" s="1"/>
</calcChain>
</file>

<file path=xl/sharedStrings.xml><?xml version="1.0" encoding="utf-8"?>
<sst xmlns="http://schemas.openxmlformats.org/spreadsheetml/2006/main" count="236" uniqueCount="40">
  <si>
    <t>+</t>
  </si>
  <si>
    <t>تخته فشرده</t>
  </si>
  <si>
    <t>MainTasks</t>
  </si>
  <si>
    <t>-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</si>
  <si>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</si>
  <si>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</si>
  <si>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</si>
  <si>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</si>
  <si>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</si>
  <si>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</si>
  <si>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</si>
  <si>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</si>
  <si>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</si>
  <si>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</si>
  <si>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</si>
  <si>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</si>
  <si>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</si>
  <si>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</si>
  <si>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</si>
  <si>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</si>
  <si>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</si>
  <si>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</si>
  <si>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</si>
  <si>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</si>
  <si>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>Q1</t>
  </si>
  <si>
    <t>مجتبی یزدیان</t>
  </si>
  <si>
    <t>احمد سرخه</t>
  </si>
  <si>
    <t>سرپرست موقت تراشکاری</t>
  </si>
  <si>
    <t>رضا عینلوند</t>
  </si>
  <si>
    <t>مکانیک عمومی</t>
  </si>
  <si>
    <t xml:space="preserve">نرخ تکمیل کارهای انجام شده به درخواست های تعمیراتی </t>
  </si>
  <si>
    <t>نرخ تکمیل کارهای انجام شده به فرم های PM</t>
  </si>
  <si>
    <t>میانگین زمان تعمیر هر قطعه</t>
  </si>
  <si>
    <t>تعداد قطعات برگشتی از تیم های فنی و تولید</t>
  </si>
  <si>
    <t>مقدار زمان توقفات غیر مجاز</t>
  </si>
  <si>
    <t>تعداد تخلفات ایمنی و حوادث</t>
  </si>
  <si>
    <t>مجید آل کثیر</t>
  </si>
  <si>
    <t>سرپرست فلزکاری</t>
  </si>
  <si>
    <t>مسعود  اورشم</t>
  </si>
  <si>
    <t>مسئول رنگ و سند بلاست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</si>
</sst>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B Nazanin"/>
      <charset val="178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7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2" fillId="0" borderId="3" xfId="0" applyNumberFormat="1" applyFont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9" fontId="2" fillId="3" borderId="3" xfId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" fontId="5" fillId="4" borderId="6" xfId="0" applyNumberFormat="1" applyFont="1" applyFill="1" applyBorder="1" applyAlignment="1">
      <alignment horizontal="center" vertical="center"/>
    </xf>
    <xf numFmtId="9" fontId="5" fillId="4" borderId="6" xfId="1" applyFont="1" applyFill="1" applyBorder="1" applyAlignment="1">
      <alignment horizontal="center" vertical="center"/>
    </xf>
    <xf numFmtId="9" fontId="8" fillId="5" borderId="6" xfId="1" applyFont="1" applyFill="1" applyBorder="1" applyAlignment="1">
      <alignment horizontal="center" vertical="center"/>
    </xf>
    <xf numFmtId="1" fontId="8" fillId="5" borderId="6" xfId="1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9" fontId="5" fillId="4" borderId="4" xfId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9" fontId="2" fillId="3" borderId="6" xfId="1" applyFont="1" applyFill="1" applyBorder="1" applyAlignment="1">
      <alignment horizontal="center" vertical="center"/>
    </xf>
    <xf numFmtId="1" fontId="2" fillId="3" borderId="6" xfId="1" applyNumberFormat="1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9" fontId="2" fillId="3" borderId="8" xfId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9" fontId="2" fillId="3" borderId="13" xfId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1" fontId="2" fillId="3" borderId="13" xfId="0" applyNumberFormat="1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9" fontId="2" fillId="3" borderId="15" xfId="1" applyFont="1" applyFill="1" applyBorder="1" applyAlignment="1">
      <alignment horizontal="center" vertical="center"/>
    </xf>
    <xf numFmtId="1" fontId="2" fillId="3" borderId="15" xfId="1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1" fontId="2" fillId="7" borderId="8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9" fontId="2" fillId="7" borderId="3" xfId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1" fontId="2" fillId="7" borderId="3" xfId="0" applyNumberFormat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9" fontId="2" fillId="7" borderId="13" xfId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 wrapText="1"/>
    </xf>
    <xf numFmtId="1" fontId="2" fillId="7" borderId="13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9" fontId="2" fillId="8" borderId="8" xfId="1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1" fontId="2" fillId="8" borderId="8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9" fontId="2" fillId="8" borderId="3" xfId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1" fontId="2" fillId="8" borderId="3" xfId="0" applyNumberFormat="1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9" fontId="2" fillId="9" borderId="8" xfId="1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 wrapText="1"/>
    </xf>
    <xf numFmtId="1" fontId="2" fillId="9" borderId="8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9" fontId="2" fillId="9" borderId="3" xfId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1" fontId="2" fillId="9" borderId="3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9" fontId="2" fillId="9" borderId="13" xfId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 wrapText="1"/>
    </xf>
    <xf numFmtId="1" fontId="2" fillId="9" borderId="13" xfId="0" applyNumberFormat="1" applyFont="1" applyFill="1" applyBorder="1" applyAlignment="1">
      <alignment horizontal="center" vertical="center"/>
    </xf>
    <xf numFmtId="9" fontId="2" fillId="7" borderId="15" xfId="1" applyFont="1" applyFill="1" applyBorder="1" applyAlignment="1">
      <alignment horizontal="center" vertical="center"/>
    </xf>
    <xf numFmtId="1" fontId="2" fillId="7" borderId="15" xfId="1" applyNumberFormat="1" applyFont="1" applyFill="1" applyBorder="1" applyAlignment="1">
      <alignment horizontal="center" vertical="center"/>
    </xf>
    <xf numFmtId="9" fontId="6" fillId="7" borderId="9" xfId="1" applyFont="1" applyFill="1" applyBorder="1" applyAlignment="1">
      <alignment horizontal="center" vertical="center"/>
    </xf>
    <xf numFmtId="9" fontId="2" fillId="7" borderId="1" xfId="1" applyFont="1" applyFill="1" applyBorder="1" applyAlignment="1">
      <alignment horizontal="center" vertical="center"/>
    </xf>
    <xf numFmtId="1" fontId="2" fillId="7" borderId="1" xfId="1" applyNumberFormat="1" applyFont="1" applyFill="1" applyBorder="1" applyAlignment="1">
      <alignment horizontal="center" vertical="center"/>
    </xf>
    <xf numFmtId="9" fontId="2" fillId="7" borderId="11" xfId="1" applyFont="1" applyFill="1" applyBorder="1" applyAlignment="1">
      <alignment horizontal="center" vertical="center"/>
    </xf>
    <xf numFmtId="1" fontId="2" fillId="7" borderId="2" xfId="1" applyNumberFormat="1" applyFont="1" applyFill="1" applyBorder="1" applyAlignment="1">
      <alignment horizontal="center" vertical="center"/>
    </xf>
    <xf numFmtId="9" fontId="2" fillId="7" borderId="2" xfId="1" applyFont="1" applyFill="1" applyBorder="1" applyAlignment="1">
      <alignment horizontal="center" vertical="center"/>
    </xf>
    <xf numFmtId="9" fontId="2" fillId="7" borderId="6" xfId="1" applyFont="1" applyFill="1" applyBorder="1" applyAlignment="1">
      <alignment horizontal="center" vertical="center"/>
    </xf>
    <xf numFmtId="1" fontId="2" fillId="7" borderId="6" xfId="1" applyNumberFormat="1" applyFont="1" applyFill="1" applyBorder="1" applyAlignment="1">
      <alignment horizontal="center" vertical="center"/>
    </xf>
    <xf numFmtId="9" fontId="2" fillId="7" borderId="14" xfId="1" applyFont="1" applyFill="1" applyBorder="1" applyAlignment="1">
      <alignment horizontal="center" vertical="center"/>
    </xf>
    <xf numFmtId="9" fontId="2" fillId="8" borderId="15" xfId="1" applyFont="1" applyFill="1" applyBorder="1" applyAlignment="1">
      <alignment horizontal="center" vertical="center"/>
    </xf>
    <xf numFmtId="1" fontId="2" fillId="8" borderId="15" xfId="1" applyNumberFormat="1" applyFont="1" applyFill="1" applyBorder="1" applyAlignment="1">
      <alignment horizontal="center" vertical="center"/>
    </xf>
    <xf numFmtId="9" fontId="6" fillId="8" borderId="9" xfId="1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1" fontId="2" fillId="8" borderId="1" xfId="1" applyNumberFormat="1" applyFont="1" applyFill="1" applyBorder="1" applyAlignment="1">
      <alignment horizontal="center" vertical="center"/>
    </xf>
    <xf numFmtId="9" fontId="2" fillId="8" borderId="11" xfId="1" applyFont="1" applyFill="1" applyBorder="1" applyAlignment="1">
      <alignment horizontal="center" vertical="center"/>
    </xf>
    <xf numFmtId="9" fontId="2" fillId="8" borderId="6" xfId="1" applyFont="1" applyFill="1" applyBorder="1" applyAlignment="1">
      <alignment horizontal="center" vertical="center"/>
    </xf>
    <xf numFmtId="1" fontId="2" fillId="8" borderId="6" xfId="1" applyNumberFormat="1" applyFont="1" applyFill="1" applyBorder="1" applyAlignment="1">
      <alignment horizontal="center" vertical="center"/>
    </xf>
    <xf numFmtId="9" fontId="2" fillId="9" borderId="15" xfId="1" applyFont="1" applyFill="1" applyBorder="1" applyAlignment="1">
      <alignment horizontal="center" vertical="center"/>
    </xf>
    <xf numFmtId="1" fontId="2" fillId="9" borderId="15" xfId="1" applyNumberFormat="1" applyFont="1" applyFill="1" applyBorder="1" applyAlignment="1">
      <alignment horizontal="center" vertical="center"/>
    </xf>
    <xf numFmtId="9" fontId="6" fillId="9" borderId="9" xfId="1" applyFont="1" applyFill="1" applyBorder="1" applyAlignment="1">
      <alignment horizontal="center" vertical="center"/>
    </xf>
    <xf numFmtId="9" fontId="2" fillId="9" borderId="1" xfId="1" applyFont="1" applyFill="1" applyBorder="1" applyAlignment="1">
      <alignment horizontal="center" vertical="center"/>
    </xf>
    <xf numFmtId="1" fontId="2" fillId="9" borderId="1" xfId="1" applyNumberFormat="1" applyFont="1" applyFill="1" applyBorder="1" applyAlignment="1">
      <alignment horizontal="center" vertical="center"/>
    </xf>
    <xf numFmtId="9" fontId="2" fillId="9" borderId="11" xfId="1" applyFont="1" applyFill="1" applyBorder="1" applyAlignment="1">
      <alignment horizontal="center" vertical="center"/>
    </xf>
    <xf numFmtId="9" fontId="2" fillId="9" borderId="6" xfId="1" applyFont="1" applyFill="1" applyBorder="1" applyAlignment="1">
      <alignment horizontal="center" vertical="center"/>
    </xf>
    <xf numFmtId="1" fontId="2" fillId="9" borderId="6" xfId="1" applyNumberFormat="1" applyFont="1" applyFill="1" applyBorder="1" applyAlignment="1">
      <alignment horizontal="center" vertical="center"/>
    </xf>
    <xf numFmtId="9" fontId="2" fillId="9" borderId="14" xfId="1" applyFont="1" applyFill="1" applyBorder="1" applyAlignment="1">
      <alignment horizontal="center" vertical="center"/>
    </xf>
    <xf numFmtId="9" fontId="9" fillId="6" borderId="8" xfId="1" applyFont="1" applyFill="1" applyBorder="1" applyAlignment="1">
      <alignment horizontal="center" vertical="center"/>
    </xf>
    <xf numFmtId="9" fontId="9" fillId="6" borderId="3" xfId="1" applyFont="1" applyFill="1" applyBorder="1" applyAlignment="1">
      <alignment horizontal="center" vertical="center"/>
    </xf>
    <xf numFmtId="1" fontId="9" fillId="6" borderId="3" xfId="0" applyNumberFormat="1" applyFont="1" applyFill="1" applyBorder="1" applyAlignment="1">
      <alignment horizontal="center" vertical="center"/>
    </xf>
    <xf numFmtId="1" fontId="9" fillId="6" borderId="13" xfId="0" applyNumberFormat="1" applyFont="1" applyFill="1" applyBorder="1" applyAlignment="1">
      <alignment horizontal="center" vertical="center"/>
    </xf>
    <xf numFmtId="9" fontId="6" fillId="3" borderId="9" xfId="1" applyFont="1" applyFill="1" applyBorder="1" applyAlignment="1">
      <alignment horizontal="center" vertical="center"/>
    </xf>
    <xf numFmtId="9" fontId="2" fillId="3" borderId="11" xfId="1" applyFont="1" applyFill="1" applyBorder="1" applyAlignment="1">
      <alignment horizontal="center" vertical="center"/>
    </xf>
    <xf numFmtId="9" fontId="2" fillId="3" borderId="14" xfId="1" applyFont="1" applyFill="1" applyBorder="1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00000000-0005-0000-0000-000002000000}"/>
  </cellStyles>
  <dxfs count="26"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3E1D0-DA74-4837-A6F2-5FCCC5703A5E}" name="Table1" displayName="Table1" ref="A1:T25" totalsRowShown="0" headerRowDxfId="25" dataDxfId="23" headerRowBorderDxfId="24" tableBorderDxfId="22" totalsRowBorderDxfId="21" dataCellStyle="Percent">
  <autoFilter ref="A1:T25" xr:uid="{CF93E1D0-DA74-4837-A6F2-5FCCC5703A5E}"/>
  <tableColumns count="20">
    <tableColumn id="1" xr3:uid="{319CA4F2-CD3C-4548-B422-FAC1897034FB}" name="ردیف" dataDxfId="20"/>
    <tableColumn id="2" xr3:uid="{FB7D55B4-C0CB-4C60-AD44-7164DC1CB6F7}" name="نام شرکت" dataDxfId="19"/>
    <tableColumn id="3" xr3:uid="{9B45CB4A-9604-4CDC-934A-ECCFE9B51BFA}" name="فصل" dataDxfId="18"/>
    <tableColumn id="4" xr3:uid="{7DE96806-1806-451D-9BB2-A4435D270636}" name="کد پرسنلی" dataDxfId="17"/>
    <tableColumn id="5" xr3:uid="{4AB4FFEE-F20A-44E9-92B4-184E3A3AAD07}" name="نام و نام خانوادگی" dataDxfId="16"/>
    <tableColumn id="6" xr3:uid="{FFE42804-036D-426D-9639-82460250483F}" name="عنوان شغلی" dataDxfId="15"/>
    <tableColumn id="7" xr3:uid="{223FD768-FA70-49BA-BD7E-689B32A55E94}" name="مدیر مستقیم" dataDxfId="14"/>
    <tableColumn id="8" xr3:uid="{70780642-CE71-462B-B301-CDC0425724AC}" name="دپارتمان" dataDxfId="13"/>
    <tableColumn id="9" xr3:uid="{AF84C268-CCAE-4F25-AD89-ABDC3B31D096}" name="دسته بندی" dataDxfId="12"/>
    <tableColumn id="10" xr3:uid="{7C3F2333-BFCE-48FC-AD61-DF8E22ED44BE}" name="obj weight" dataDxfId="11" dataCellStyle="Percent"/>
    <tableColumn id="11" xr3:uid="{D02C4E07-A232-4DBA-B3DF-33A06CB6B111}" name="KPI En" dataDxfId="10"/>
    <tableColumn id="12" xr3:uid="{F023A415-9056-4575-AE0D-F7FDEE2CB35F}" name="KPI Fa" dataDxfId="9"/>
    <tableColumn id="13" xr3:uid="{E7F6C610-E662-44AE-9CDA-08392C1A9DD7}" name="kpi INFO" dataDxfId="8"/>
    <tableColumn id="14" xr3:uid="{9A20F5F5-0E32-476E-B4A7-B482341E170E}" name="target" dataDxfId="7"/>
    <tableColumn id="15" xr3:uid="{D2758C51-93F2-4A5B-9A4D-0E445D8198E4}" name="KPI weight" dataDxfId="6" dataCellStyle="Percent"/>
    <tableColumn id="16" xr3:uid="{216BA5E8-2046-48E8-8CC7-66DEC98426E3}" name="KPI Achievement" dataDxfId="5" dataCellStyle="Percent"/>
    <tableColumn id="17" xr3:uid="{62F97BC8-8B63-4BD1-AC71-953CE009F0C6}" name="Percentage Achievement" dataDxfId="4" dataCellStyle="Percent">
      <calculatedColumnFormula>ROUND(IF(OR(N2="",P2=""),0,IF(AND(N2=0,P2=0),1,IF(S2="+",P2/N2,N2/P2))),2)</calculatedColumnFormula>
    </tableColumn>
    <tableColumn id="18" xr3:uid="{73F58916-225F-4C31-B361-0BBEBF971C34}" name="Score Achievement" dataDxfId="3" dataCellStyle="Percent">
      <calculatedColumnFormula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calculatedColumnFormula>
    </tableColumn>
    <tableColumn id="19" xr3:uid="{70C59E27-A7FC-40D5-8E1F-5601D83CEE14}" name="type" dataDxfId="2" dataCellStyle="Percent"/>
    <tableColumn id="20" xr3:uid="{0536E997-E47C-4C23-9AB2-B123E4D54919}" name="Sum" dataDxfId="1" dataCellStyle="Percent">
      <calculatedColumnFormula>SUM(R2:R25)%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"/>
  <sheetViews>
    <sheetView tabSelected="1" workbookViewId="0">
      <selection activeCell="B32" sqref="B32"/>
    </sheetView>
  </sheetViews>
  <sheetFormatPr defaultRowHeight="14.4" x14ac:dyDescent="0.3"/>
  <cols>
    <col min="1" max="1" width="6.88671875" customWidth="1"/>
    <col min="2" max="2" width="14.44140625" bestFit="1" customWidth="1"/>
    <col min="3" max="3" width="10.44140625" customWidth="1"/>
    <col min="5" max="5" width="11.77734375" customWidth="1"/>
    <col min="6" max="6" width="13.44140625" customWidth="1"/>
    <col min="7" max="7" width="12.44140625" customWidth="1"/>
    <col min="8" max="8" width="7.88671875" bestFit="1" customWidth="1"/>
    <col min="9" max="9" width="22.5546875" customWidth="1"/>
    <col min="10" max="10" width="10.6640625" customWidth="1"/>
    <col min="11" max="11" width="38.88671875" customWidth="1"/>
    <col min="12" max="12" width="42.21875" customWidth="1"/>
    <col min="13" max="13" width="51.77734375" customWidth="1"/>
    <col min="14" max="14" width="14.109375" customWidth="1"/>
    <col min="15" max="15" width="14.77734375" customWidth="1"/>
    <col min="16" max="16" width="21.44140625" customWidth="1"/>
    <col min="17" max="17" width="24.77734375" customWidth="1"/>
    <col min="18" max="18" width="18.77734375" customWidth="1"/>
    <col min="19" max="19" width="16.33203125" customWidth="1"/>
    <col min="20" max="20" width="7.77734375" customWidth="1"/>
    <col min="30" max="46" width="9.109375"/>
  </cols>
  <sheetData>
    <row r="1" spans="1:48" ht="27.45" customHeight="1" thickBot="1" x14ac:dyDescent="0.35">
      <c r="A1" s="15" t="s">
        <v>23</v>
      </c>
      <c r="B1" s="16" t="s">
        <v>22</v>
      </c>
      <c r="C1" s="16" t="s">
        <v>21</v>
      </c>
      <c r="D1" s="17" t="s">
        <v>20</v>
      </c>
      <c r="E1" s="16" t="s">
        <v>19</v>
      </c>
      <c r="F1" s="16" t="s">
        <v>18</v>
      </c>
      <c r="G1" s="16" t="s">
        <v>17</v>
      </c>
      <c r="H1" s="16" t="s">
        <v>16</v>
      </c>
      <c r="I1" s="16" t="s">
        <v>15</v>
      </c>
      <c r="J1" s="18" t="s">
        <v>14</v>
      </c>
      <c r="K1" s="16" t="s">
        <v>13</v>
      </c>
      <c r="L1" s="16" t="s">
        <v>12</v>
      </c>
      <c r="M1" s="16" t="s">
        <v>11</v>
      </c>
      <c r="N1" s="16" t="s">
        <v>10</v>
      </c>
      <c r="O1" s="18" t="s">
        <v>9</v>
      </c>
      <c r="P1" s="16" t="s">
        <v>8</v>
      </c>
      <c r="Q1" s="19" t="s">
        <v>7</v>
      </c>
      <c r="R1" s="20" t="s">
        <v>6</v>
      </c>
      <c r="S1" s="21" t="s">
        <v>5</v>
      </c>
      <c r="T1" s="22" t="s">
        <v>4</v>
      </c>
    </row>
    <row r="2" spans="1:48" s="3" customFormat="1" ht="15.6" x14ac:dyDescent="0.2">
      <c r="A2" s="26">
        <v>1</v>
      </c>
      <c r="B2" s="27" t="s">
        <v>1</v>
      </c>
      <c r="C2" s="28" t="s">
        <v>24</v>
      </c>
      <c r="D2" s="27"/>
      <c r="E2" s="27" t="s">
        <v>25</v>
      </c>
      <c r="F2" s="27" t="s">
        <v>27</v>
      </c>
      <c r="G2" s="27" t="s">
        <v>28</v>
      </c>
      <c r="H2" s="27" t="s">
        <v>29</v>
      </c>
      <c r="I2" s="29" t="s">
        <v>2</v>
      </c>
      <c r="J2" s="30">
        <v>1</v>
      </c>
      <c r="K2" s="31"/>
      <c r="L2" s="32" t="s">
        <v>30</v>
      </c>
      <c r="M2" s="33"/>
      <c r="N2" s="30">
        <v>0.8</v>
      </c>
      <c r="O2" s="30">
        <v>0.2</v>
      </c>
      <c r="P2" s="110"/>
      <c r="Q2" s="45">
        <f t="shared" ref="Q2:Q25" si="0">ROUND(IF(OR(N2="",P2=""),0,IF(AND(N2=0,P2=0),1,IF(S2="+",P2/N2,N2/P2))),2)</f>
        <v>0</v>
      </c>
      <c r="R2" s="46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" s="30" t="s">
        <v>0</v>
      </c>
      <c r="T2" s="114">
        <f>SUM(R2:R7)%</f>
        <v>0</v>
      </c>
      <c r="U2" s="2"/>
      <c r="V2" s="2"/>
      <c r="W2" s="2"/>
      <c r="X2" s="2"/>
      <c r="Y2" s="2"/>
      <c r="Z2" s="2"/>
      <c r="AA2" s="2"/>
      <c r="AB2" s="2"/>
      <c r="AC2" s="2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15.6" x14ac:dyDescent="0.3">
      <c r="A3" s="34">
        <v>2</v>
      </c>
      <c r="B3" s="7" t="s">
        <v>1</v>
      </c>
      <c r="C3" s="8" t="s">
        <v>24</v>
      </c>
      <c r="D3" s="7"/>
      <c r="E3" s="7" t="s">
        <v>25</v>
      </c>
      <c r="F3" s="7" t="s">
        <v>27</v>
      </c>
      <c r="G3" s="7" t="s">
        <v>28</v>
      </c>
      <c r="H3" s="7" t="s">
        <v>29</v>
      </c>
      <c r="I3" s="9" t="s">
        <v>2</v>
      </c>
      <c r="J3" s="10">
        <v>1</v>
      </c>
      <c r="K3" s="12"/>
      <c r="L3" s="13" t="s">
        <v>31</v>
      </c>
      <c r="M3" s="14"/>
      <c r="N3" s="10">
        <v>0.8</v>
      </c>
      <c r="O3" s="10">
        <v>0.2</v>
      </c>
      <c r="P3" s="111"/>
      <c r="Q3" s="4">
        <f t="shared" si="0"/>
        <v>0</v>
      </c>
      <c r="R3" s="5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" s="10" t="s">
        <v>0</v>
      </c>
      <c r="T3" s="115"/>
    </row>
    <row r="4" spans="1:48" ht="15.6" x14ac:dyDescent="0.3">
      <c r="A4" s="34">
        <v>3</v>
      </c>
      <c r="B4" s="7" t="s">
        <v>1</v>
      </c>
      <c r="C4" s="8" t="s">
        <v>24</v>
      </c>
      <c r="D4" s="7"/>
      <c r="E4" s="7" t="s">
        <v>25</v>
      </c>
      <c r="F4" s="7" t="s">
        <v>27</v>
      </c>
      <c r="G4" s="7" t="s">
        <v>28</v>
      </c>
      <c r="H4" s="7" t="s">
        <v>29</v>
      </c>
      <c r="I4" s="9" t="s">
        <v>2</v>
      </c>
      <c r="J4" s="10">
        <v>1</v>
      </c>
      <c r="K4" s="12"/>
      <c r="L4" s="13" t="s">
        <v>32</v>
      </c>
      <c r="M4" s="14"/>
      <c r="N4" s="11">
        <v>60</v>
      </c>
      <c r="O4" s="10">
        <v>0.05</v>
      </c>
      <c r="P4" s="112"/>
      <c r="Q4" s="4">
        <f t="shared" si="0"/>
        <v>0</v>
      </c>
      <c r="R4" s="5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4" s="10" t="s">
        <v>3</v>
      </c>
      <c r="T4" s="115"/>
    </row>
    <row r="5" spans="1:48" ht="15.6" x14ac:dyDescent="0.3">
      <c r="A5" s="34">
        <v>4</v>
      </c>
      <c r="B5" s="7" t="s">
        <v>1</v>
      </c>
      <c r="C5" s="8" t="s">
        <v>24</v>
      </c>
      <c r="D5" s="7"/>
      <c r="E5" s="7" t="s">
        <v>25</v>
      </c>
      <c r="F5" s="7" t="s">
        <v>27</v>
      </c>
      <c r="G5" s="7" t="s">
        <v>28</v>
      </c>
      <c r="H5" s="7" t="s">
        <v>29</v>
      </c>
      <c r="I5" s="9" t="s">
        <v>2</v>
      </c>
      <c r="J5" s="10">
        <v>1</v>
      </c>
      <c r="K5" s="12"/>
      <c r="L5" s="13" t="s">
        <v>33</v>
      </c>
      <c r="M5" s="14"/>
      <c r="N5" s="11">
        <v>0</v>
      </c>
      <c r="O5" s="10">
        <v>0.3</v>
      </c>
      <c r="P5" s="112"/>
      <c r="Q5" s="4">
        <f t="shared" si="0"/>
        <v>0</v>
      </c>
      <c r="R5" s="5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" s="10" t="s">
        <v>3</v>
      </c>
      <c r="T5" s="115"/>
    </row>
    <row r="6" spans="1:48" ht="15.6" x14ac:dyDescent="0.3">
      <c r="A6" s="34">
        <v>5</v>
      </c>
      <c r="B6" s="7" t="s">
        <v>1</v>
      </c>
      <c r="C6" s="8" t="s">
        <v>24</v>
      </c>
      <c r="D6" s="7"/>
      <c r="E6" s="7" t="s">
        <v>25</v>
      </c>
      <c r="F6" s="7" t="s">
        <v>27</v>
      </c>
      <c r="G6" s="7" t="s">
        <v>28</v>
      </c>
      <c r="H6" s="7" t="s">
        <v>29</v>
      </c>
      <c r="I6" s="9" t="s">
        <v>2</v>
      </c>
      <c r="J6" s="10">
        <v>1</v>
      </c>
      <c r="K6" s="12"/>
      <c r="L6" s="13" t="s">
        <v>34</v>
      </c>
      <c r="M6" s="14"/>
      <c r="N6" s="11">
        <v>0</v>
      </c>
      <c r="O6" s="10">
        <v>0.2</v>
      </c>
      <c r="P6" s="112"/>
      <c r="Q6" s="4">
        <f t="shared" si="0"/>
        <v>0</v>
      </c>
      <c r="R6" s="5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" s="10" t="s">
        <v>3</v>
      </c>
      <c r="T6" s="115"/>
    </row>
    <row r="7" spans="1:48" ht="16.2" thickBot="1" x14ac:dyDescent="0.35">
      <c r="A7" s="35">
        <v>6</v>
      </c>
      <c r="B7" s="36" t="s">
        <v>1</v>
      </c>
      <c r="C7" s="37" t="s">
        <v>24</v>
      </c>
      <c r="D7" s="36"/>
      <c r="E7" s="36" t="s">
        <v>25</v>
      </c>
      <c r="F7" s="36" t="s">
        <v>27</v>
      </c>
      <c r="G7" s="36" t="s">
        <v>28</v>
      </c>
      <c r="H7" s="36" t="s">
        <v>29</v>
      </c>
      <c r="I7" s="38" t="s">
        <v>2</v>
      </c>
      <c r="J7" s="39">
        <v>1</v>
      </c>
      <c r="K7" s="40"/>
      <c r="L7" s="41" t="s">
        <v>35</v>
      </c>
      <c r="M7" s="42"/>
      <c r="N7" s="43">
        <v>0</v>
      </c>
      <c r="O7" s="39">
        <v>0.05</v>
      </c>
      <c r="P7" s="113"/>
      <c r="Q7" s="24">
        <f t="shared" si="0"/>
        <v>0</v>
      </c>
      <c r="R7" s="25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" s="39" t="s">
        <v>3</v>
      </c>
      <c r="T7" s="116"/>
    </row>
    <row r="8" spans="1:48" x14ac:dyDescent="0.3">
      <c r="A8" s="26">
        <v>7</v>
      </c>
      <c r="B8" s="27" t="s">
        <v>1</v>
      </c>
      <c r="C8" s="28" t="s">
        <v>24</v>
      </c>
      <c r="D8" s="27"/>
      <c r="E8" s="27" t="s">
        <v>26</v>
      </c>
      <c r="F8" s="27" t="s">
        <v>37</v>
      </c>
      <c r="G8" s="27" t="s">
        <v>28</v>
      </c>
      <c r="H8" s="27" t="s">
        <v>29</v>
      </c>
      <c r="I8" s="59" t="s">
        <v>2</v>
      </c>
      <c r="J8" s="48">
        <v>1</v>
      </c>
      <c r="K8" s="47"/>
      <c r="L8" s="47" t="s">
        <v>30</v>
      </c>
      <c r="M8" s="49"/>
      <c r="N8" s="50">
        <v>0.8</v>
      </c>
      <c r="O8" s="48">
        <v>0.2</v>
      </c>
      <c r="P8" s="110"/>
      <c r="Q8" s="82">
        <f t="shared" si="0"/>
        <v>0</v>
      </c>
      <c r="R8" s="83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" s="48" t="s">
        <v>0</v>
      </c>
      <c r="T8" s="84">
        <f>SUM(R8:R13)%</f>
        <v>0</v>
      </c>
    </row>
    <row r="9" spans="1:48" x14ac:dyDescent="0.3">
      <c r="A9" s="34">
        <v>8</v>
      </c>
      <c r="B9" s="7" t="s">
        <v>1</v>
      </c>
      <c r="C9" s="8" t="s">
        <v>24</v>
      </c>
      <c r="D9" s="7"/>
      <c r="E9" s="7" t="s">
        <v>26</v>
      </c>
      <c r="F9" s="7" t="s">
        <v>37</v>
      </c>
      <c r="G9" s="7" t="s">
        <v>28</v>
      </c>
      <c r="H9" s="7" t="s">
        <v>29</v>
      </c>
      <c r="I9" s="60" t="s">
        <v>2</v>
      </c>
      <c r="J9" s="52">
        <v>1</v>
      </c>
      <c r="K9" s="51"/>
      <c r="L9" s="51" t="s">
        <v>31</v>
      </c>
      <c r="M9" s="53"/>
      <c r="N9" s="54">
        <v>0.8</v>
      </c>
      <c r="O9" s="52">
        <v>0.2</v>
      </c>
      <c r="P9" s="111"/>
      <c r="Q9" s="85">
        <f t="shared" si="0"/>
        <v>0</v>
      </c>
      <c r="R9" s="86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" s="52" t="s">
        <v>0</v>
      </c>
      <c r="T9" s="87"/>
    </row>
    <row r="10" spans="1:48" x14ac:dyDescent="0.3">
      <c r="A10" s="34">
        <v>9</v>
      </c>
      <c r="B10" s="7" t="s">
        <v>1</v>
      </c>
      <c r="C10" s="8" t="s">
        <v>24</v>
      </c>
      <c r="D10" s="7"/>
      <c r="E10" s="7" t="s">
        <v>26</v>
      </c>
      <c r="F10" s="7" t="s">
        <v>37</v>
      </c>
      <c r="G10" s="7" t="s">
        <v>28</v>
      </c>
      <c r="H10" s="7" t="s">
        <v>29</v>
      </c>
      <c r="I10" s="60" t="s">
        <v>2</v>
      </c>
      <c r="J10" s="52">
        <v>1</v>
      </c>
      <c r="K10" s="51"/>
      <c r="L10" s="51" t="s">
        <v>32</v>
      </c>
      <c r="M10" s="53"/>
      <c r="N10" s="54">
        <v>60</v>
      </c>
      <c r="O10" s="52">
        <v>0.05</v>
      </c>
      <c r="P10" s="112"/>
      <c r="Q10" s="85">
        <f t="shared" si="0"/>
        <v>0</v>
      </c>
      <c r="R10" s="88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" s="52" t="s">
        <v>3</v>
      </c>
      <c r="T10" s="87"/>
    </row>
    <row r="11" spans="1:48" x14ac:dyDescent="0.3">
      <c r="A11" s="34">
        <v>10</v>
      </c>
      <c r="B11" s="7" t="s">
        <v>1</v>
      </c>
      <c r="C11" s="8" t="s">
        <v>24</v>
      </c>
      <c r="D11" s="7"/>
      <c r="E11" s="7" t="s">
        <v>26</v>
      </c>
      <c r="F11" s="7" t="s">
        <v>37</v>
      </c>
      <c r="G11" s="7" t="s">
        <v>28</v>
      </c>
      <c r="H11" s="7" t="s">
        <v>29</v>
      </c>
      <c r="I11" s="60" t="s">
        <v>2</v>
      </c>
      <c r="J11" s="52">
        <v>1</v>
      </c>
      <c r="K11" s="51"/>
      <c r="L11" s="51" t="s">
        <v>33</v>
      </c>
      <c r="M11" s="53"/>
      <c r="N11" s="54">
        <v>0</v>
      </c>
      <c r="O11" s="52">
        <v>0.3</v>
      </c>
      <c r="P11" s="112"/>
      <c r="Q11" s="89">
        <f t="shared" si="0"/>
        <v>0</v>
      </c>
      <c r="R11" s="86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" s="52" t="s">
        <v>3</v>
      </c>
      <c r="T11" s="87"/>
    </row>
    <row r="12" spans="1:48" x14ac:dyDescent="0.3">
      <c r="A12" s="34">
        <v>11</v>
      </c>
      <c r="B12" s="7" t="s">
        <v>1</v>
      </c>
      <c r="C12" s="8" t="s">
        <v>24</v>
      </c>
      <c r="D12" s="7"/>
      <c r="E12" s="7" t="s">
        <v>26</v>
      </c>
      <c r="F12" s="7" t="s">
        <v>37</v>
      </c>
      <c r="G12" s="7" t="s">
        <v>28</v>
      </c>
      <c r="H12" s="7" t="s">
        <v>29</v>
      </c>
      <c r="I12" s="60" t="s">
        <v>2</v>
      </c>
      <c r="J12" s="52">
        <v>1</v>
      </c>
      <c r="K12" s="51"/>
      <c r="L12" s="51" t="s">
        <v>34</v>
      </c>
      <c r="M12" s="53"/>
      <c r="N12" s="54">
        <v>0</v>
      </c>
      <c r="O12" s="52">
        <v>0.2</v>
      </c>
      <c r="P12" s="112"/>
      <c r="Q12" s="85">
        <f t="shared" si="0"/>
        <v>0</v>
      </c>
      <c r="R12" s="86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2" s="52" t="s">
        <v>3</v>
      </c>
      <c r="T12" s="87"/>
    </row>
    <row r="13" spans="1:48" ht="15" thickBot="1" x14ac:dyDescent="0.35">
      <c r="A13" s="35">
        <v>12</v>
      </c>
      <c r="B13" s="36" t="s">
        <v>1</v>
      </c>
      <c r="C13" s="37" t="s">
        <v>24</v>
      </c>
      <c r="D13" s="36"/>
      <c r="E13" s="36" t="s">
        <v>26</v>
      </c>
      <c r="F13" s="36" t="s">
        <v>37</v>
      </c>
      <c r="G13" s="36" t="s">
        <v>28</v>
      </c>
      <c r="H13" s="36" t="s">
        <v>29</v>
      </c>
      <c r="I13" s="61" t="s">
        <v>2</v>
      </c>
      <c r="J13" s="56">
        <v>1</v>
      </c>
      <c r="K13" s="55"/>
      <c r="L13" s="55" t="s">
        <v>35</v>
      </c>
      <c r="M13" s="57"/>
      <c r="N13" s="58">
        <v>0</v>
      </c>
      <c r="O13" s="56">
        <v>0.05</v>
      </c>
      <c r="P13" s="113"/>
      <c r="Q13" s="90">
        <f t="shared" si="0"/>
        <v>0</v>
      </c>
      <c r="R13" s="91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3" s="56" t="s">
        <v>3</v>
      </c>
      <c r="T13" s="92"/>
    </row>
    <row r="14" spans="1:48" x14ac:dyDescent="0.3">
      <c r="A14" s="26">
        <v>13</v>
      </c>
      <c r="B14" s="27" t="s">
        <v>1</v>
      </c>
      <c r="C14" s="28" t="s">
        <v>24</v>
      </c>
      <c r="D14" s="27"/>
      <c r="E14" s="44" t="s">
        <v>36</v>
      </c>
      <c r="F14" s="27" t="s">
        <v>39</v>
      </c>
      <c r="G14" s="27" t="s">
        <v>28</v>
      </c>
      <c r="H14" s="27" t="s">
        <v>29</v>
      </c>
      <c r="I14" s="62" t="s">
        <v>2</v>
      </c>
      <c r="J14" s="63">
        <v>1</v>
      </c>
      <c r="K14" s="62"/>
      <c r="L14" s="62" t="s">
        <v>30</v>
      </c>
      <c r="M14" s="64"/>
      <c r="N14" s="65">
        <v>0.8</v>
      </c>
      <c r="O14" s="63">
        <v>0.2</v>
      </c>
      <c r="P14" s="110"/>
      <c r="Q14" s="93">
        <f t="shared" si="0"/>
        <v>0</v>
      </c>
      <c r="R14" s="94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4" s="63" t="s">
        <v>0</v>
      </c>
      <c r="T14" s="95">
        <f>SUM(R14:R19)%</f>
        <v>0</v>
      </c>
    </row>
    <row r="15" spans="1:48" x14ac:dyDescent="0.3">
      <c r="A15" s="34">
        <v>14</v>
      </c>
      <c r="B15" s="7" t="s">
        <v>1</v>
      </c>
      <c r="C15" s="8" t="s">
        <v>24</v>
      </c>
      <c r="D15" s="7"/>
      <c r="E15" s="1" t="s">
        <v>36</v>
      </c>
      <c r="F15" s="7" t="s">
        <v>39</v>
      </c>
      <c r="G15" s="7" t="s">
        <v>28</v>
      </c>
      <c r="H15" s="7" t="s">
        <v>29</v>
      </c>
      <c r="I15" s="66" t="s">
        <v>2</v>
      </c>
      <c r="J15" s="67">
        <v>1</v>
      </c>
      <c r="K15" s="66"/>
      <c r="L15" s="66" t="s">
        <v>31</v>
      </c>
      <c r="M15" s="68"/>
      <c r="N15" s="69">
        <v>0.8</v>
      </c>
      <c r="O15" s="67">
        <v>0.2</v>
      </c>
      <c r="P15" s="111"/>
      <c r="Q15" s="96">
        <f t="shared" si="0"/>
        <v>0</v>
      </c>
      <c r="R15" s="97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5" s="67" t="s">
        <v>0</v>
      </c>
      <c r="T15" s="98"/>
    </row>
    <row r="16" spans="1:48" x14ac:dyDescent="0.3">
      <c r="A16" s="34">
        <v>15</v>
      </c>
      <c r="B16" s="7" t="s">
        <v>1</v>
      </c>
      <c r="C16" s="8" t="s">
        <v>24</v>
      </c>
      <c r="D16" s="7"/>
      <c r="E16" s="1" t="s">
        <v>36</v>
      </c>
      <c r="F16" s="7" t="s">
        <v>39</v>
      </c>
      <c r="G16" s="7" t="s">
        <v>28</v>
      </c>
      <c r="H16" s="7" t="s">
        <v>29</v>
      </c>
      <c r="I16" s="66" t="s">
        <v>2</v>
      </c>
      <c r="J16" s="67">
        <v>1</v>
      </c>
      <c r="K16" s="66"/>
      <c r="L16" s="66" t="s">
        <v>32</v>
      </c>
      <c r="M16" s="68"/>
      <c r="N16" s="69">
        <v>60</v>
      </c>
      <c r="O16" s="67">
        <v>0.05</v>
      </c>
      <c r="P16" s="112"/>
      <c r="Q16" s="96">
        <f t="shared" si="0"/>
        <v>0</v>
      </c>
      <c r="R16" s="97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6" s="67" t="s">
        <v>3</v>
      </c>
      <c r="T16" s="98"/>
    </row>
    <row r="17" spans="1:20" x14ac:dyDescent="0.3">
      <c r="A17" s="34">
        <v>16</v>
      </c>
      <c r="B17" s="7" t="s">
        <v>1</v>
      </c>
      <c r="C17" s="8" t="s">
        <v>24</v>
      </c>
      <c r="D17" s="7"/>
      <c r="E17" s="1" t="s">
        <v>36</v>
      </c>
      <c r="F17" s="7" t="s">
        <v>39</v>
      </c>
      <c r="G17" s="7" t="s">
        <v>28</v>
      </c>
      <c r="H17" s="7" t="s">
        <v>29</v>
      </c>
      <c r="I17" s="66" t="s">
        <v>2</v>
      </c>
      <c r="J17" s="67">
        <v>1</v>
      </c>
      <c r="K17" s="66"/>
      <c r="L17" s="66" t="s">
        <v>33</v>
      </c>
      <c r="M17" s="68"/>
      <c r="N17" s="69">
        <v>0</v>
      </c>
      <c r="O17" s="67">
        <v>0.3</v>
      </c>
      <c r="P17" s="112"/>
      <c r="Q17" s="96">
        <f t="shared" si="0"/>
        <v>0</v>
      </c>
      <c r="R17" s="97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7" s="67" t="s">
        <v>3</v>
      </c>
      <c r="T17" s="98"/>
    </row>
    <row r="18" spans="1:20" x14ac:dyDescent="0.3">
      <c r="A18" s="34">
        <v>17</v>
      </c>
      <c r="B18" s="7" t="s">
        <v>1</v>
      </c>
      <c r="C18" s="8" t="s">
        <v>24</v>
      </c>
      <c r="D18" s="7"/>
      <c r="E18" s="1" t="s">
        <v>36</v>
      </c>
      <c r="F18" s="7" t="s">
        <v>39</v>
      </c>
      <c r="G18" s="7" t="s">
        <v>28</v>
      </c>
      <c r="H18" s="7" t="s">
        <v>29</v>
      </c>
      <c r="I18" s="66" t="s">
        <v>2</v>
      </c>
      <c r="J18" s="67">
        <v>1</v>
      </c>
      <c r="K18" s="66"/>
      <c r="L18" s="66" t="s">
        <v>34</v>
      </c>
      <c r="M18" s="68"/>
      <c r="N18" s="69">
        <v>0</v>
      </c>
      <c r="O18" s="67">
        <v>0.2</v>
      </c>
      <c r="P18" s="112"/>
      <c r="Q18" s="96">
        <f t="shared" si="0"/>
        <v>0</v>
      </c>
      <c r="R18" s="97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8" s="67" t="s">
        <v>3</v>
      </c>
      <c r="T18" s="98"/>
    </row>
    <row r="19" spans="1:20" ht="15" thickBot="1" x14ac:dyDescent="0.35">
      <c r="A19" s="34">
        <v>18</v>
      </c>
      <c r="B19" s="7" t="s">
        <v>1</v>
      </c>
      <c r="C19" s="8" t="s">
        <v>24</v>
      </c>
      <c r="D19" s="7"/>
      <c r="E19" s="23" t="s">
        <v>36</v>
      </c>
      <c r="F19" s="7" t="s">
        <v>39</v>
      </c>
      <c r="G19" s="7" t="s">
        <v>28</v>
      </c>
      <c r="H19" s="7" t="s">
        <v>29</v>
      </c>
      <c r="I19" s="66" t="s">
        <v>2</v>
      </c>
      <c r="J19" s="67">
        <v>1</v>
      </c>
      <c r="K19" s="66"/>
      <c r="L19" s="66" t="s">
        <v>35</v>
      </c>
      <c r="M19" s="68"/>
      <c r="N19" s="69">
        <v>0</v>
      </c>
      <c r="O19" s="67">
        <v>0.05</v>
      </c>
      <c r="P19" s="113"/>
      <c r="Q19" s="99">
        <f t="shared" si="0"/>
        <v>0</v>
      </c>
      <c r="R19" s="100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9" s="67" t="s">
        <v>3</v>
      </c>
      <c r="T19" s="98"/>
    </row>
    <row r="20" spans="1:20" x14ac:dyDescent="0.3">
      <c r="A20" s="26">
        <v>13</v>
      </c>
      <c r="B20" s="27" t="s">
        <v>1</v>
      </c>
      <c r="C20" s="28" t="s">
        <v>24</v>
      </c>
      <c r="D20" s="27"/>
      <c r="E20" s="27" t="s">
        <v>38</v>
      </c>
      <c r="F20" s="27" t="s">
        <v>29</v>
      </c>
      <c r="G20" s="27" t="s">
        <v>28</v>
      </c>
      <c r="H20" s="27" t="s">
        <v>29</v>
      </c>
      <c r="I20" s="70" t="s">
        <v>2</v>
      </c>
      <c r="J20" s="71">
        <v>1</v>
      </c>
      <c r="K20" s="70"/>
      <c r="L20" s="70" t="s">
        <v>30</v>
      </c>
      <c r="M20" s="72"/>
      <c r="N20" s="73">
        <v>0.8</v>
      </c>
      <c r="O20" s="71">
        <v>0.2</v>
      </c>
      <c r="P20" s="110"/>
      <c r="Q20" s="101">
        <f t="shared" si="0"/>
        <v>0</v>
      </c>
      <c r="R20" s="10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0" s="71" t="s">
        <v>0</v>
      </c>
      <c r="T20" s="103">
        <f>SUM(R20:R25)%</f>
        <v>0</v>
      </c>
    </row>
    <row r="21" spans="1:20" x14ac:dyDescent="0.3">
      <c r="A21" s="34">
        <v>14</v>
      </c>
      <c r="B21" s="7" t="s">
        <v>1</v>
      </c>
      <c r="C21" s="8" t="s">
        <v>24</v>
      </c>
      <c r="D21" s="7"/>
      <c r="E21" s="7" t="s">
        <v>38</v>
      </c>
      <c r="F21" s="7" t="s">
        <v>29</v>
      </c>
      <c r="G21" s="7" t="s">
        <v>28</v>
      </c>
      <c r="H21" s="7" t="s">
        <v>29</v>
      </c>
      <c r="I21" s="74" t="s">
        <v>2</v>
      </c>
      <c r="J21" s="75">
        <v>1</v>
      </c>
      <c r="K21" s="74"/>
      <c r="L21" s="74" t="s">
        <v>31</v>
      </c>
      <c r="M21" s="76"/>
      <c r="N21" s="77">
        <v>0.8</v>
      </c>
      <c r="O21" s="75">
        <v>0.2</v>
      </c>
      <c r="P21" s="111"/>
      <c r="Q21" s="104">
        <f t="shared" si="0"/>
        <v>0</v>
      </c>
      <c r="R21" s="105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1" s="75" t="s">
        <v>0</v>
      </c>
      <c r="T21" s="106"/>
    </row>
    <row r="22" spans="1:20" x14ac:dyDescent="0.3">
      <c r="A22" s="34">
        <v>15</v>
      </c>
      <c r="B22" s="7" t="s">
        <v>1</v>
      </c>
      <c r="C22" s="8" t="s">
        <v>24</v>
      </c>
      <c r="D22" s="7"/>
      <c r="E22" s="7" t="s">
        <v>38</v>
      </c>
      <c r="F22" s="7" t="s">
        <v>29</v>
      </c>
      <c r="G22" s="7" t="s">
        <v>28</v>
      </c>
      <c r="H22" s="7" t="s">
        <v>29</v>
      </c>
      <c r="I22" s="74" t="s">
        <v>2</v>
      </c>
      <c r="J22" s="75">
        <v>1</v>
      </c>
      <c r="K22" s="74"/>
      <c r="L22" s="74" t="s">
        <v>32</v>
      </c>
      <c r="M22" s="76"/>
      <c r="N22" s="77">
        <v>60</v>
      </c>
      <c r="O22" s="75">
        <v>0.05</v>
      </c>
      <c r="P22" s="112"/>
      <c r="Q22" s="104">
        <f t="shared" si="0"/>
        <v>0</v>
      </c>
      <c r="R22" s="105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2" s="75" t="s">
        <v>3</v>
      </c>
      <c r="T22" s="106"/>
    </row>
    <row r="23" spans="1:20" x14ac:dyDescent="0.3">
      <c r="A23" s="34">
        <v>16</v>
      </c>
      <c r="B23" s="7" t="s">
        <v>1</v>
      </c>
      <c r="C23" s="8" t="s">
        <v>24</v>
      </c>
      <c r="D23" s="7"/>
      <c r="E23" s="7" t="s">
        <v>38</v>
      </c>
      <c r="F23" s="7" t="s">
        <v>29</v>
      </c>
      <c r="G23" s="7" t="s">
        <v>28</v>
      </c>
      <c r="H23" s="7" t="s">
        <v>29</v>
      </c>
      <c r="I23" s="74" t="s">
        <v>2</v>
      </c>
      <c r="J23" s="75">
        <v>1</v>
      </c>
      <c r="K23" s="74"/>
      <c r="L23" s="74" t="s">
        <v>33</v>
      </c>
      <c r="M23" s="76"/>
      <c r="N23" s="77">
        <v>0</v>
      </c>
      <c r="O23" s="75">
        <v>0.3</v>
      </c>
      <c r="P23" s="112"/>
      <c r="Q23" s="104">
        <f t="shared" si="0"/>
        <v>0</v>
      </c>
      <c r="R23" s="105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3" s="75" t="s">
        <v>3</v>
      </c>
      <c r="T23" s="106"/>
    </row>
    <row r="24" spans="1:20" x14ac:dyDescent="0.3">
      <c r="A24" s="34">
        <v>17</v>
      </c>
      <c r="B24" s="7" t="s">
        <v>1</v>
      </c>
      <c r="C24" s="8" t="s">
        <v>24</v>
      </c>
      <c r="D24" s="7"/>
      <c r="E24" s="7" t="s">
        <v>38</v>
      </c>
      <c r="F24" s="7" t="s">
        <v>29</v>
      </c>
      <c r="G24" s="7" t="s">
        <v>28</v>
      </c>
      <c r="H24" s="7" t="s">
        <v>29</v>
      </c>
      <c r="I24" s="74" t="s">
        <v>2</v>
      </c>
      <c r="J24" s="75">
        <v>1</v>
      </c>
      <c r="K24" s="74"/>
      <c r="L24" s="74" t="s">
        <v>34</v>
      </c>
      <c r="M24" s="76"/>
      <c r="N24" s="77">
        <v>0</v>
      </c>
      <c r="O24" s="75">
        <v>0.2</v>
      </c>
      <c r="P24" s="112"/>
      <c r="Q24" s="104">
        <f t="shared" si="0"/>
        <v>0</v>
      </c>
      <c r="R24" s="105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4" s="75" t="s">
        <v>3</v>
      </c>
      <c r="T24" s="106"/>
    </row>
    <row r="25" spans="1:20" ht="15" thickBot="1" x14ac:dyDescent="0.35">
      <c r="A25" s="35">
        <v>18</v>
      </c>
      <c r="B25" s="36" t="s">
        <v>1</v>
      </c>
      <c r="C25" s="37" t="s">
        <v>24</v>
      </c>
      <c r="D25" s="36"/>
      <c r="E25" s="36" t="s">
        <v>38</v>
      </c>
      <c r="F25" s="36" t="s">
        <v>29</v>
      </c>
      <c r="G25" s="36" t="s">
        <v>28</v>
      </c>
      <c r="H25" s="36" t="s">
        <v>29</v>
      </c>
      <c r="I25" s="78" t="s">
        <v>2</v>
      </c>
      <c r="J25" s="79">
        <v>1</v>
      </c>
      <c r="K25" s="78"/>
      <c r="L25" s="78" t="s">
        <v>35</v>
      </c>
      <c r="M25" s="80"/>
      <c r="N25" s="81">
        <v>0</v>
      </c>
      <c r="O25" s="79">
        <v>0.05</v>
      </c>
      <c r="P25" s="113"/>
      <c r="Q25" s="107">
        <f t="shared" si="0"/>
        <v>0</v>
      </c>
      <c r="R25" s="108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5" s="79" t="s">
        <v>3</v>
      </c>
      <c r="T25" s="109"/>
    </row>
  </sheetData>
  <phoneticPr fontId="2" type="noConversion"/>
  <conditionalFormatting sqref="I1:I25 K1:M25">
    <cfRule type="cellIs" dxfId="0" priority="2" operator="equal">
      <formula>"maintasks"</formula>
    </cfRule>
  </conditionalFormatting>
  <pageMargins left="0.7" right="0.7" top="0.75" bottom="0.75" header="0.3" footer="0.3"/>
  <pageSetup paperSize="9" orientation="portrait" horizontalDpi="300" verticalDpi="300" r:id="rId1"/>
  <ignoredErrors>
    <ignoredError sqref="T2 T8 T20 T14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فلزکاری تراشکاری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2025-04-22T08:12:50Z</dcterms:modified>
</cp:coreProperties>
</file>