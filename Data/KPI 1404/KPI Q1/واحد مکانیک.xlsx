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85283169-78AD-4FAC-A043-5C8A5ECC0E9D}" xr6:coauthVersionLast="47" xr6:coauthVersionMax="47" xr10:uidLastSave="{00000000-0000-0000-0000-000000000000}"/>
  <bookViews>
    <workbookView xWindow="28680" yWindow="-120" windowWidth="29040" windowHeight="15840" xr2:uid="{BD38DE6A-3E43-40C4-9B39-34F45D7F133B}"/>
  </bookViews>
  <sheets>
    <sheet name="واحد مکانیک" sheetId="1" r:id="rId1"/>
    <sheet name="مکانیک" sheetId="6" r:id="rId2"/>
  </sheets>
  <definedNames>
    <definedName name="_xlnm._FilterDatabase" localSheetId="0" hidden="1">'واحد مکانیک'!$A$1:$T$10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9" i="1" l="1"/>
  <c r="Q109" i="1"/>
  <c r="Q108" i="1"/>
  <c r="R108" i="1" s="1"/>
  <c r="Q107" i="1"/>
  <c r="R107" i="1" s="1"/>
  <c r="Q106" i="1"/>
  <c r="R106" i="1" s="1"/>
  <c r="R105" i="1"/>
  <c r="Q105" i="1"/>
  <c r="Q104" i="1"/>
  <c r="R104" i="1" s="1"/>
  <c r="Q103" i="1"/>
  <c r="R103" i="1" s="1"/>
  <c r="Q102" i="1"/>
  <c r="R102" i="1" s="1"/>
  <c r="R101" i="1"/>
  <c r="Q101" i="1"/>
  <c r="R100" i="1"/>
  <c r="Q100" i="1"/>
  <c r="Q99" i="1"/>
  <c r="R99" i="1" s="1"/>
  <c r="R98" i="1"/>
  <c r="Q98" i="1"/>
  <c r="Q97" i="1"/>
  <c r="R97" i="1" s="1"/>
  <c r="R96" i="1"/>
  <c r="Q96" i="1"/>
  <c r="Q95" i="1"/>
  <c r="R95" i="1" s="1"/>
  <c r="R94" i="1"/>
  <c r="Q94" i="1"/>
  <c r="Q93" i="1"/>
  <c r="R93" i="1" s="1"/>
  <c r="R92" i="1"/>
  <c r="Q92" i="1"/>
  <c r="Q91" i="1"/>
  <c r="R91" i="1" s="1"/>
  <c r="Q90" i="1"/>
  <c r="R90" i="1" s="1"/>
  <c r="Q89" i="1"/>
  <c r="R89" i="1" s="1"/>
  <c r="Q88" i="1"/>
  <c r="R88" i="1" s="1"/>
  <c r="Q87" i="1"/>
  <c r="R87" i="1" s="1"/>
  <c r="Q86" i="1"/>
  <c r="R86" i="1" s="1"/>
  <c r="Q85" i="1"/>
  <c r="R85" i="1" s="1"/>
  <c r="Q84" i="1"/>
  <c r="R84" i="1" s="1"/>
  <c r="R83" i="1"/>
  <c r="Q83" i="1"/>
  <c r="Q82" i="1"/>
  <c r="R82" i="1" s="1"/>
  <c r="Q81" i="1"/>
  <c r="R81" i="1" s="1"/>
  <c r="Q80" i="1"/>
  <c r="R80" i="1" s="1"/>
  <c r="R79" i="1"/>
  <c r="Q79" i="1"/>
  <c r="Q78" i="1"/>
  <c r="R78" i="1" s="1"/>
  <c r="Q77" i="1"/>
  <c r="R77" i="1" s="1"/>
  <c r="Q76" i="1"/>
  <c r="R76" i="1" s="1"/>
  <c r="R75" i="1"/>
  <c r="Q75" i="1"/>
  <c r="R74" i="1"/>
  <c r="Q74" i="1"/>
  <c r="T101" i="1" l="1"/>
  <c r="T92" i="1"/>
  <c r="T83" i="1"/>
  <c r="T74" i="1"/>
  <c r="Q73" i="1"/>
  <c r="R73" i="1" s="1"/>
  <c r="Q72" i="1"/>
  <c r="R72" i="1" s="1"/>
  <c r="R71" i="1"/>
  <c r="Q71" i="1"/>
  <c r="Q70" i="1"/>
  <c r="R70" i="1" s="1"/>
  <c r="Q69" i="1"/>
  <c r="R69" i="1" s="1"/>
  <c r="Q68" i="1"/>
  <c r="R68" i="1" s="1"/>
  <c r="R67" i="1"/>
  <c r="Q67" i="1"/>
  <c r="Q66" i="1"/>
  <c r="R66" i="1" s="1"/>
  <c r="R65" i="1"/>
  <c r="Q65" i="1"/>
  <c r="Q64" i="1"/>
  <c r="R64" i="1" s="1"/>
  <c r="Q63" i="1"/>
  <c r="R63" i="1" s="1"/>
  <c r="R62" i="1"/>
  <c r="Q62" i="1"/>
  <c r="Q61" i="1"/>
  <c r="R61" i="1" s="1"/>
  <c r="Q60" i="1"/>
  <c r="R60" i="1" s="1"/>
  <c r="Q59" i="1"/>
  <c r="R59" i="1" s="1"/>
  <c r="R58" i="1"/>
  <c r="Q58" i="1"/>
  <c r="Q57" i="1"/>
  <c r="R57" i="1" s="1"/>
  <c r="R56" i="1"/>
  <c r="Q56" i="1"/>
  <c r="Q55" i="1"/>
  <c r="R55" i="1" s="1"/>
  <c r="Q54" i="1"/>
  <c r="R54" i="1" s="1"/>
  <c r="R53" i="1"/>
  <c r="Q53" i="1"/>
  <c r="Q52" i="1"/>
  <c r="R52" i="1" s="1"/>
  <c r="Q51" i="1"/>
  <c r="R51" i="1" s="1"/>
  <c r="Q50" i="1"/>
  <c r="R50" i="1" s="1"/>
  <c r="R49" i="1"/>
  <c r="Q49" i="1"/>
  <c r="Q48" i="1"/>
  <c r="R48" i="1" s="1"/>
  <c r="R47" i="1"/>
  <c r="Q47" i="1"/>
  <c r="Q46" i="1"/>
  <c r="R46" i="1" s="1"/>
  <c r="Q45" i="1"/>
  <c r="R45" i="1" s="1"/>
  <c r="Q44" i="1"/>
  <c r="R44" i="1" s="1"/>
  <c r="Q43" i="1"/>
  <c r="R43" i="1" s="1"/>
  <c r="Q42" i="1"/>
  <c r="R42" i="1" s="1"/>
  <c r="Q41" i="1"/>
  <c r="R41" i="1" s="1"/>
  <c r="Q40" i="1"/>
  <c r="R40" i="1" s="1"/>
  <c r="Q39" i="1"/>
  <c r="R39" i="1" s="1"/>
  <c r="R38" i="1"/>
  <c r="Q38" i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R29" i="1"/>
  <c r="Q29" i="1"/>
  <c r="R28" i="1"/>
  <c r="Q28" i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R20" i="1"/>
  <c r="Q20" i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3" i="1"/>
  <c r="R3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2" i="1"/>
  <c r="R2" i="1" s="1"/>
  <c r="T65" i="1" l="1"/>
  <c r="T56" i="1"/>
  <c r="T47" i="1"/>
  <c r="T38" i="1"/>
  <c r="T29" i="1"/>
  <c r="T20" i="1"/>
  <c r="T11" i="1"/>
  <c r="T2" i="1"/>
</calcChain>
</file>

<file path=xl/sharedStrings.xml><?xml version="1.0" encoding="utf-8"?>
<sst xmlns="http://schemas.openxmlformats.org/spreadsheetml/2006/main" count="1482" uniqueCount="103">
  <si>
    <t>+</t>
  </si>
  <si>
    <t>Projects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</si>
  <si>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</si>
  <si>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</si>
  <si>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</si>
  <si>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</si>
  <si>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</si>
  <si>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</si>
  <si>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</si>
  <si>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</si>
  <si>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</si>
  <si>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</si>
  <si>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</si>
  <si>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</si>
  <si>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</si>
  <si>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</si>
  <si>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</si>
  <si>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</si>
  <si>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</si>
  <si>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</si>
  <si>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</si>
  <si>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</si>
  <si>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</si>
  <si>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</si>
  <si>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</si>
  <si>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</si>
  <si>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≥ 95%</t>
  </si>
  <si>
    <t>≤ 5%</t>
  </si>
  <si>
    <t>≥ 90%</t>
  </si>
  <si>
    <t>توضیح</t>
  </si>
  <si>
    <t>دسته‌بندی (obj category)</t>
  </si>
  <si>
    <t>Target</t>
  </si>
  <si>
    <t>Type</t>
  </si>
  <si>
    <t>KPI Weight (%)</t>
  </si>
  <si>
    <t>Repair Completion Rate</t>
  </si>
  <si>
    <t>نرخ تکمیل تعمیرات در موعد مقرر</t>
  </si>
  <si>
    <t>MTTR Compliance</t>
  </si>
  <si>
    <t>انطباق میانگین زمان تعمیر با استاندارد</t>
  </si>
  <si>
    <t>≤ استاندارد تعریف‌شده</t>
  </si>
  <si>
    <t>PM Execution Rate</t>
  </si>
  <si>
    <t>درصد اجرای تعمیرات پیشگیرانه</t>
  </si>
  <si>
    <t>Emergency Breakdown Rate</t>
  </si>
  <si>
    <t>نرخ خرابی‌های اضطراری</t>
  </si>
  <si>
    <t>درصد خرابی‌های اضطراری نسبت به کل خرابی‌ها</t>
  </si>
  <si>
    <t>Rework Rate</t>
  </si>
  <si>
    <t>نرخ تعمیرات تکراری</t>
  </si>
  <si>
    <t>Spare Parts Responsibility</t>
  </si>
  <si>
    <t>دقت در مصرف قطعات یدکی</t>
  </si>
  <si>
    <t>Safety Compliance</t>
  </si>
  <si>
    <t>رعایت نکات ایمنی</t>
  </si>
  <si>
    <t>Report Quality</t>
  </si>
  <si>
    <t>کیفیت گزارش‌نویسی</t>
  </si>
  <si>
    <t>Participation in Projects</t>
  </si>
  <si>
    <t>مشارکت در پروژه‌های بهبود</t>
  </si>
  <si>
    <t>فعال در حداقل 1 پروژه</t>
  </si>
  <si>
    <t>فرمول محاسبه (Percentage Achievement)</t>
  </si>
  <si>
    <t>نسبت تعمیرات انجام‌شده در زمان مقرر به کل تعمیرات برنامه‌ریزی‌شده</t>
  </si>
  <si>
    <t>(تعمیرات در موعد / کل تعمیرات برنامه‌ریزی‌شده) × 100</t>
  </si>
  <si>
    <t>مقایسه MTTR واقعی با مقدار مرجع استاندارد برای هر تجهیز</t>
  </si>
  <si>
    <t>(استاندارد MTTR / MTTR واقعی) × 100</t>
  </si>
  <si>
    <t>درصد اجرای PM طبق برنامه زمان‌بندی</t>
  </si>
  <si>
    <t>(PM اجراشده / PM برنامه‌ریزی‌شده) × 100</t>
  </si>
  <si>
    <t>(1 - (خرابی اضطراری / کل خرابی)) × 100</t>
  </si>
  <si>
    <t>نشان‌دهنده کیفیت تعمیرات اولیه</t>
  </si>
  <si>
    <t>(1 - (تعداد تعمیر مجدد / کل تعمیرات)) × 100</t>
  </si>
  <si>
    <t>مصرف درست، گزارش‌دهی دقیق و بهینه‌سازی مصرف قطعات</t>
  </si>
  <si>
    <t>(قطعات مصرف صحیح / کل مصرف ثبت‌شده) × 100</t>
  </si>
  <si>
    <t>نداشتن حادثه یا شبه‌حادثه در مدت ارزیابی</t>
  </si>
  <si>
    <t>صفر حادثه</t>
  </si>
  <si>
    <t>اگر حادثه = 0 → 100%، در غیر این صورت → 0%</t>
  </si>
  <si>
    <t>وضوح، دقت، و جامعیت گزارش تعمیرات</t>
  </si>
  <si>
    <t>(امتیاز کیفیت گزارش / 100) × 100</t>
  </si>
  <si>
    <t>همکاری در پروژه‌های ارتقاء عملکرد یا کاهش خرابی</t>
  </si>
  <si>
    <t>(پروژه‌های مشارکت‌شده / پروژه‌های تعریف‌شده) × 100</t>
  </si>
  <si>
    <t>خلیل دیلمی</t>
  </si>
  <si>
    <t>فني و مهندسي-مکانیک</t>
  </si>
  <si>
    <t>3071</t>
  </si>
  <si>
    <t>عبداله بیلاوی</t>
  </si>
  <si>
    <t>سرشیفت</t>
  </si>
  <si>
    <t>5265</t>
  </si>
  <si>
    <t>کریم امیری اصل</t>
  </si>
  <si>
    <t>5266</t>
  </si>
  <si>
    <t>کارشناس</t>
  </si>
  <si>
    <t>مسعود بابادی</t>
  </si>
  <si>
    <t>5288</t>
  </si>
  <si>
    <t>محمد شوشتری زاده</t>
  </si>
  <si>
    <t>دانیال خوراهه</t>
  </si>
  <si>
    <t>5948</t>
  </si>
  <si>
    <t>رحیم معتمدیان</t>
  </si>
  <si>
    <t>6128</t>
  </si>
  <si>
    <t>6129</t>
  </si>
  <si>
    <t>تکنسین</t>
  </si>
  <si>
    <t>مهدی عبدالخانی</t>
  </si>
  <si>
    <t>حسین محمد باقری</t>
  </si>
  <si>
    <t>6274</t>
  </si>
  <si>
    <t>6449</t>
  </si>
  <si>
    <t>جاسم آل کثیری</t>
  </si>
  <si>
    <t>6455</t>
  </si>
  <si>
    <t>سعید دریکوندی</t>
  </si>
  <si>
    <t>مسعود ارشم</t>
  </si>
  <si>
    <t>6484</t>
  </si>
  <si>
    <t>6485</t>
  </si>
  <si>
    <t>علی رضا دیناروند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</si>
</sst>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  <font>
      <sz val="14"/>
      <name val="B Nazanin"/>
      <charset val="178"/>
    </font>
    <font>
      <b/>
      <sz val="8"/>
      <color theme="0"/>
      <name val="B Titr"/>
      <charset val="178"/>
    </font>
    <font>
      <sz val="11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0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0" xfId="0" applyFont="1"/>
    <xf numFmtId="49" fontId="10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8" fillId="3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9" fontId="8" fillId="4" borderId="1" xfId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1" fontId="8" fillId="3" borderId="1" xfId="2" applyNumberFormat="1" applyFont="1" applyFill="1" applyBorder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6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6AE1D523-B7EE-4EA2-9B03-B6EDB101A8FB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61B-8CB2-466F-8DBB-EB69CD48EE90}">
  <dimension ref="A1:AV109"/>
  <sheetViews>
    <sheetView tabSelected="1" workbookViewId="0">
      <selection activeCell="G8" sqref="G8"/>
    </sheetView>
  </sheetViews>
  <sheetFormatPr defaultRowHeight="14.4" x14ac:dyDescent="0.3"/>
  <cols>
    <col min="1" max="1" width="6.77734375" style="39" customWidth="1"/>
    <col min="2" max="2" width="14.44140625" style="39" bestFit="1" customWidth="1"/>
    <col min="3" max="3" width="6.77734375" style="39" customWidth="1"/>
    <col min="4" max="4" width="8.88671875" style="39"/>
    <col min="5" max="5" width="15.77734375" style="39" bestFit="1" customWidth="1"/>
    <col min="6" max="6" width="11.88671875" style="39" bestFit="1" customWidth="1"/>
    <col min="7" max="7" width="12.44140625" style="39" customWidth="1"/>
    <col min="8" max="8" width="18" style="39" customWidth="1"/>
    <col min="9" max="9" width="14.77734375" style="39" customWidth="1"/>
    <col min="10" max="10" width="10" style="39" customWidth="1"/>
    <col min="11" max="11" width="22.77734375" style="39" customWidth="1"/>
    <col min="12" max="12" width="42.21875" style="39" customWidth="1"/>
    <col min="13" max="13" width="51.77734375" style="39" customWidth="1"/>
    <col min="14" max="14" width="14.21875" style="39" customWidth="1"/>
    <col min="15" max="15" width="7.77734375" style="39" customWidth="1"/>
    <col min="16" max="16" width="21.44140625" style="39" customWidth="1"/>
    <col min="17" max="17" width="19.109375" style="39" bestFit="1" customWidth="1"/>
    <col min="18" max="18" width="15" style="39" bestFit="1" customWidth="1"/>
    <col min="19" max="19" width="4" style="39" bestFit="1" customWidth="1"/>
    <col min="20" max="20" width="7.77734375" style="39" customWidth="1"/>
    <col min="30" max="46" width="9.21875"/>
  </cols>
  <sheetData>
    <row r="1" spans="1:48" s="14" customFormat="1" ht="22.2" x14ac:dyDescent="0.75">
      <c r="A1" s="12" t="s">
        <v>24</v>
      </c>
      <c r="B1" s="13" t="s">
        <v>23</v>
      </c>
      <c r="C1" s="13" t="s">
        <v>22</v>
      </c>
      <c r="D1" s="12" t="s">
        <v>21</v>
      </c>
      <c r="E1" s="13" t="s">
        <v>20</v>
      </c>
      <c r="F1" s="13" t="s">
        <v>19</v>
      </c>
      <c r="G1" s="13" t="s">
        <v>18</v>
      </c>
      <c r="H1" s="13" t="s">
        <v>17</v>
      </c>
      <c r="I1" s="13" t="s">
        <v>16</v>
      </c>
      <c r="J1" s="35" t="s">
        <v>15</v>
      </c>
      <c r="K1" s="34" t="s">
        <v>14</v>
      </c>
      <c r="L1" s="34" t="s">
        <v>13</v>
      </c>
      <c r="M1" s="34" t="s">
        <v>12</v>
      </c>
      <c r="N1" s="34" t="s">
        <v>11</v>
      </c>
      <c r="O1" s="35" t="s">
        <v>10</v>
      </c>
      <c r="P1" s="34" t="s">
        <v>9</v>
      </c>
      <c r="Q1" s="36" t="s">
        <v>8</v>
      </c>
      <c r="R1" s="37" t="s">
        <v>7</v>
      </c>
      <c r="S1" s="38" t="s">
        <v>6</v>
      </c>
      <c r="T1" s="35" t="s">
        <v>5</v>
      </c>
    </row>
    <row r="2" spans="1:48" s="3" customFormat="1" ht="21.6" x14ac:dyDescent="0.2">
      <c r="A2" s="4">
        <v>2070</v>
      </c>
      <c r="B2" s="15" t="s">
        <v>2</v>
      </c>
      <c r="C2" s="5" t="s">
        <v>25</v>
      </c>
      <c r="D2" s="1" t="s">
        <v>76</v>
      </c>
      <c r="E2" s="15" t="s">
        <v>77</v>
      </c>
      <c r="F2" s="15" t="s">
        <v>78</v>
      </c>
      <c r="G2" s="15" t="s">
        <v>74</v>
      </c>
      <c r="H2" s="9" t="s">
        <v>75</v>
      </c>
      <c r="I2" s="16" t="s">
        <v>3</v>
      </c>
      <c r="J2" s="17">
        <v>0.7</v>
      </c>
      <c r="K2" s="22" t="s">
        <v>34</v>
      </c>
      <c r="L2" s="20" t="s">
        <v>35</v>
      </c>
      <c r="M2" s="7" t="s">
        <v>56</v>
      </c>
      <c r="N2" s="23" t="s">
        <v>26</v>
      </c>
      <c r="O2" s="17">
        <v>0.1</v>
      </c>
      <c r="P2" s="17"/>
      <c r="Q2" s="17">
        <f t="shared" ref="Q2:Q9" si="0">ROUND(IF(OR(N2="",P2=""),0,IF(AND(N2=0,P2=0),1,IF(S2="+",P2/N2,N2/P2))),2)</f>
        <v>0</v>
      </c>
      <c r="R2" s="24">
        <f t="shared" ref="R2:R9" si="1">IF(AND(Q2&gt;=60%,Q2&lt;100%),Q2*((O2*J2)),IF(Q2=100%,((O2*J2)*Q2)*100%,IF(Q2&gt;100%,((J2*O2)*100%)*100%,0)))*100</f>
        <v>0</v>
      </c>
      <c r="S2" s="17" t="s">
        <v>0</v>
      </c>
      <c r="T2" s="25">
        <f>SUM(R2:R10)%</f>
        <v>0</v>
      </c>
      <c r="U2" s="2"/>
      <c r="V2" s="2"/>
      <c r="W2" s="2"/>
      <c r="X2" s="2"/>
      <c r="Y2" s="2"/>
      <c r="Z2" s="2"/>
      <c r="AA2" s="2"/>
      <c r="AB2" s="2"/>
      <c r="AC2" s="2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s="3" customFormat="1" ht="21.6" x14ac:dyDescent="0.2">
      <c r="A3" s="4">
        <v>2071</v>
      </c>
      <c r="B3" s="15" t="s">
        <v>2</v>
      </c>
      <c r="C3" s="5" t="s">
        <v>25</v>
      </c>
      <c r="D3" s="1" t="s">
        <v>76</v>
      </c>
      <c r="E3" s="15" t="s">
        <v>77</v>
      </c>
      <c r="F3" s="15" t="s">
        <v>78</v>
      </c>
      <c r="G3" s="15" t="s">
        <v>74</v>
      </c>
      <c r="H3" s="9" t="s">
        <v>75</v>
      </c>
      <c r="I3" s="16" t="s">
        <v>3</v>
      </c>
      <c r="J3" s="17">
        <v>0.7</v>
      </c>
      <c r="K3" s="22" t="s">
        <v>36</v>
      </c>
      <c r="L3" s="20" t="s">
        <v>37</v>
      </c>
      <c r="M3" s="22" t="s">
        <v>58</v>
      </c>
      <c r="N3" s="23" t="s">
        <v>38</v>
      </c>
      <c r="O3" s="17">
        <v>0.15</v>
      </c>
      <c r="P3" s="26"/>
      <c r="Q3" s="17">
        <f>ROUND(IF(OR(N3="",P3=""),0,IF(AND(N3=0,P3=0),1,IF(S3="+",P3/N3,N3/P3))),2)</f>
        <v>0</v>
      </c>
      <c r="R3" s="24">
        <f t="shared" si="1"/>
        <v>0</v>
      </c>
      <c r="S3" s="17" t="s">
        <v>4</v>
      </c>
      <c r="T3" s="17"/>
      <c r="U3" s="2"/>
      <c r="V3" s="2"/>
      <c r="W3" s="2"/>
      <c r="X3" s="2"/>
      <c r="Y3" s="2"/>
      <c r="Z3" s="2"/>
      <c r="AA3" s="2"/>
      <c r="AB3" s="2"/>
      <c r="AC3" s="2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s="3" customFormat="1" ht="21.6" x14ac:dyDescent="0.2">
      <c r="A4" s="4">
        <v>2072</v>
      </c>
      <c r="B4" s="15" t="s">
        <v>2</v>
      </c>
      <c r="C4" s="5" t="s">
        <v>25</v>
      </c>
      <c r="D4" s="1" t="s">
        <v>76</v>
      </c>
      <c r="E4" s="15" t="s">
        <v>77</v>
      </c>
      <c r="F4" s="15" t="s">
        <v>78</v>
      </c>
      <c r="G4" s="15" t="s">
        <v>74</v>
      </c>
      <c r="H4" s="9" t="s">
        <v>75</v>
      </c>
      <c r="I4" s="16" t="s">
        <v>3</v>
      </c>
      <c r="J4" s="17">
        <v>0.7</v>
      </c>
      <c r="K4" s="22" t="s">
        <v>39</v>
      </c>
      <c r="L4" s="20" t="s">
        <v>40</v>
      </c>
      <c r="M4" s="22" t="s">
        <v>60</v>
      </c>
      <c r="N4" s="27">
        <v>1</v>
      </c>
      <c r="O4" s="17">
        <v>0.1</v>
      </c>
      <c r="P4" s="26"/>
      <c r="Q4" s="17">
        <f t="shared" si="0"/>
        <v>0</v>
      </c>
      <c r="R4" s="24">
        <f t="shared" si="1"/>
        <v>0</v>
      </c>
      <c r="S4" s="17" t="s">
        <v>0</v>
      </c>
      <c r="T4" s="17"/>
      <c r="U4" s="2"/>
      <c r="V4" s="2"/>
      <c r="W4" s="2"/>
      <c r="X4" s="2"/>
      <c r="Y4" s="2"/>
      <c r="Z4" s="2"/>
      <c r="AA4" s="2"/>
      <c r="AB4" s="2"/>
      <c r="AC4" s="2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s="3" customFormat="1" ht="21.6" x14ac:dyDescent="0.2">
      <c r="A5" s="4">
        <v>2073</v>
      </c>
      <c r="B5" s="15" t="s">
        <v>2</v>
      </c>
      <c r="C5" s="5" t="s">
        <v>25</v>
      </c>
      <c r="D5" s="1" t="s">
        <v>76</v>
      </c>
      <c r="E5" s="15" t="s">
        <v>77</v>
      </c>
      <c r="F5" s="15" t="s">
        <v>78</v>
      </c>
      <c r="G5" s="15" t="s">
        <v>74</v>
      </c>
      <c r="H5" s="9" t="s">
        <v>75</v>
      </c>
      <c r="I5" s="16" t="s">
        <v>3</v>
      </c>
      <c r="J5" s="17">
        <v>0.7</v>
      </c>
      <c r="K5" s="22" t="s">
        <v>41</v>
      </c>
      <c r="L5" s="20" t="s">
        <v>42</v>
      </c>
      <c r="M5" s="22" t="s">
        <v>43</v>
      </c>
      <c r="N5" s="26" t="s">
        <v>27</v>
      </c>
      <c r="O5" s="17">
        <v>0.15</v>
      </c>
      <c r="P5" s="28"/>
      <c r="Q5" s="17">
        <f t="shared" si="0"/>
        <v>0</v>
      </c>
      <c r="R5" s="24">
        <f t="shared" si="1"/>
        <v>0</v>
      </c>
      <c r="S5" s="17" t="s">
        <v>4</v>
      </c>
      <c r="T5" s="17"/>
      <c r="U5" s="2"/>
      <c r="V5" s="2"/>
      <c r="W5" s="2"/>
      <c r="X5" s="2"/>
      <c r="Y5" s="2"/>
      <c r="Z5" s="2"/>
      <c r="AA5" s="2"/>
      <c r="AB5" s="2"/>
      <c r="AC5" s="2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s="3" customFormat="1" ht="21.6" x14ac:dyDescent="0.2">
      <c r="A6" s="4">
        <v>2074</v>
      </c>
      <c r="B6" s="15" t="s">
        <v>2</v>
      </c>
      <c r="C6" s="5" t="s">
        <v>25</v>
      </c>
      <c r="D6" s="1" t="s">
        <v>76</v>
      </c>
      <c r="E6" s="15" t="s">
        <v>77</v>
      </c>
      <c r="F6" s="15" t="s">
        <v>78</v>
      </c>
      <c r="G6" s="15" t="s">
        <v>74</v>
      </c>
      <c r="H6" s="9" t="s">
        <v>75</v>
      </c>
      <c r="I6" s="16" t="s">
        <v>3</v>
      </c>
      <c r="J6" s="17">
        <v>0.7</v>
      </c>
      <c r="K6" s="22" t="s">
        <v>44</v>
      </c>
      <c r="L6" s="20" t="s">
        <v>45</v>
      </c>
      <c r="M6" s="22" t="s">
        <v>63</v>
      </c>
      <c r="N6" s="22" t="s">
        <v>27</v>
      </c>
      <c r="O6" s="17">
        <v>0.15</v>
      </c>
      <c r="P6" s="29"/>
      <c r="Q6" s="17">
        <f t="shared" si="0"/>
        <v>0</v>
      </c>
      <c r="R6" s="24">
        <f t="shared" si="1"/>
        <v>0</v>
      </c>
      <c r="S6" s="17" t="s">
        <v>4</v>
      </c>
      <c r="T6" s="17"/>
      <c r="U6" s="2"/>
      <c r="V6" s="2"/>
      <c r="W6" s="2"/>
      <c r="X6" s="2"/>
      <c r="Y6" s="2"/>
      <c r="Z6" s="2"/>
      <c r="AA6" s="2"/>
      <c r="AB6" s="2"/>
      <c r="AC6" s="2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s="3" customFormat="1" ht="21.6" x14ac:dyDescent="0.2">
      <c r="A7" s="4">
        <v>2075</v>
      </c>
      <c r="B7" s="15" t="s">
        <v>2</v>
      </c>
      <c r="C7" s="5" t="s">
        <v>25</v>
      </c>
      <c r="D7" s="1" t="s">
        <v>76</v>
      </c>
      <c r="E7" s="15" t="s">
        <v>77</v>
      </c>
      <c r="F7" s="15" t="s">
        <v>78</v>
      </c>
      <c r="G7" s="15" t="s">
        <v>74</v>
      </c>
      <c r="H7" s="9" t="s">
        <v>75</v>
      </c>
      <c r="I7" s="18" t="s">
        <v>3</v>
      </c>
      <c r="J7" s="17">
        <v>0.7</v>
      </c>
      <c r="K7" s="18" t="s">
        <v>46</v>
      </c>
      <c r="L7" s="21" t="s">
        <v>47</v>
      </c>
      <c r="M7" s="18" t="s">
        <v>65</v>
      </c>
      <c r="N7" s="30" t="s">
        <v>28</v>
      </c>
      <c r="O7" s="31">
        <v>0.1</v>
      </c>
      <c r="P7" s="29"/>
      <c r="Q7" s="31">
        <f t="shared" si="0"/>
        <v>0</v>
      </c>
      <c r="R7" s="32">
        <f t="shared" si="1"/>
        <v>0</v>
      </c>
      <c r="S7" s="31" t="s">
        <v>0</v>
      </c>
      <c r="T7" s="31"/>
      <c r="U7" s="2"/>
      <c r="V7" s="2"/>
      <c r="W7" s="2"/>
      <c r="X7" s="2"/>
      <c r="Y7" s="2"/>
      <c r="Z7" s="2"/>
      <c r="AA7" s="2"/>
      <c r="AB7" s="2"/>
      <c r="AC7" s="2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s="3" customFormat="1" ht="21.6" x14ac:dyDescent="0.2">
      <c r="A8" s="4">
        <v>2076</v>
      </c>
      <c r="B8" s="15" t="s">
        <v>2</v>
      </c>
      <c r="C8" s="5" t="s">
        <v>25</v>
      </c>
      <c r="D8" s="1" t="s">
        <v>76</v>
      </c>
      <c r="E8" s="15" t="s">
        <v>77</v>
      </c>
      <c r="F8" s="15" t="s">
        <v>78</v>
      </c>
      <c r="G8" s="15" t="s">
        <v>74</v>
      </c>
      <c r="H8" s="9" t="s">
        <v>75</v>
      </c>
      <c r="I8" s="18" t="s">
        <v>3</v>
      </c>
      <c r="J8" s="17">
        <v>0.7</v>
      </c>
      <c r="K8" s="18" t="s">
        <v>48</v>
      </c>
      <c r="L8" s="21" t="s">
        <v>49</v>
      </c>
      <c r="M8" s="18" t="s">
        <v>67</v>
      </c>
      <c r="N8" s="30" t="s">
        <v>68</v>
      </c>
      <c r="O8" s="31">
        <v>0.1</v>
      </c>
      <c r="P8" s="29"/>
      <c r="Q8" s="31">
        <f t="shared" si="0"/>
        <v>0</v>
      </c>
      <c r="R8" s="32">
        <f t="shared" si="1"/>
        <v>0</v>
      </c>
      <c r="S8" s="31" t="s">
        <v>0</v>
      </c>
      <c r="T8" s="31"/>
      <c r="U8" s="2"/>
      <c r="V8" s="2"/>
      <c r="W8" s="2"/>
      <c r="X8" s="2"/>
      <c r="Y8" s="2"/>
      <c r="Z8" s="2"/>
      <c r="AA8" s="2"/>
      <c r="AB8" s="2"/>
      <c r="AC8" s="2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s="3" customFormat="1" ht="21.6" x14ac:dyDescent="0.2">
      <c r="A9" s="4">
        <v>2077</v>
      </c>
      <c r="B9" s="15" t="s">
        <v>2</v>
      </c>
      <c r="C9" s="5" t="s">
        <v>25</v>
      </c>
      <c r="D9" s="1" t="s">
        <v>76</v>
      </c>
      <c r="E9" s="15" t="s">
        <v>77</v>
      </c>
      <c r="F9" s="15" t="s">
        <v>78</v>
      </c>
      <c r="G9" s="15" t="s">
        <v>74</v>
      </c>
      <c r="H9" s="9" t="s">
        <v>75</v>
      </c>
      <c r="I9" s="18" t="s">
        <v>3</v>
      </c>
      <c r="J9" s="17">
        <v>0.7</v>
      </c>
      <c r="K9" s="18" t="s">
        <v>50</v>
      </c>
      <c r="L9" s="21" t="s">
        <v>51</v>
      </c>
      <c r="M9" s="8" t="s">
        <v>70</v>
      </c>
      <c r="N9" s="33" t="s">
        <v>28</v>
      </c>
      <c r="O9" s="31">
        <v>0.05</v>
      </c>
      <c r="P9" s="33"/>
      <c r="Q9" s="31">
        <f t="shared" si="0"/>
        <v>0</v>
      </c>
      <c r="R9" s="32">
        <f t="shared" si="1"/>
        <v>0</v>
      </c>
      <c r="S9" s="31" t="s">
        <v>0</v>
      </c>
      <c r="T9" s="31"/>
      <c r="U9" s="2"/>
      <c r="V9" s="2"/>
      <c r="W9" s="2"/>
      <c r="X9" s="2"/>
      <c r="Y9" s="2"/>
      <c r="Z9" s="2"/>
      <c r="AA9" s="2"/>
      <c r="AB9" s="2"/>
      <c r="AC9" s="2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s="3" customFormat="1" ht="21.6" x14ac:dyDescent="0.2">
      <c r="A10" s="4">
        <v>2078</v>
      </c>
      <c r="B10" s="15" t="s">
        <v>2</v>
      </c>
      <c r="C10" s="5" t="s">
        <v>25</v>
      </c>
      <c r="D10" s="1" t="s">
        <v>76</v>
      </c>
      <c r="E10" s="15" t="s">
        <v>77</v>
      </c>
      <c r="F10" s="15" t="s">
        <v>78</v>
      </c>
      <c r="G10" s="15" t="s">
        <v>74</v>
      </c>
      <c r="H10" s="9" t="s">
        <v>75</v>
      </c>
      <c r="I10" s="18" t="s">
        <v>1</v>
      </c>
      <c r="J10" s="19">
        <v>0.3</v>
      </c>
      <c r="K10" s="18" t="s">
        <v>52</v>
      </c>
      <c r="L10" s="21" t="s">
        <v>53</v>
      </c>
      <c r="M10" s="8" t="s">
        <v>72</v>
      </c>
      <c r="N10" s="33" t="s">
        <v>54</v>
      </c>
      <c r="O10" s="31">
        <v>0.1</v>
      </c>
      <c r="P10" s="33"/>
      <c r="Q10" s="31">
        <f t="shared" ref="Q10:Q11" si="2">ROUND(IF(OR(N10="",P10=""),0,IF(AND(N10=0,P10=0),1,IF(S10="+",P10/N10,N10/P10))),2)</f>
        <v>0</v>
      </c>
      <c r="R10" s="32">
        <f t="shared" ref="R10:R18" si="3">IF(AND(Q10&gt;=60%,Q10&lt;100%),Q10*((O10*J10)),IF(Q10=100%,((O10*J10)*Q10)*100%,IF(Q10&gt;100%,((J10*O10)*100%)*100%,0)))*100</f>
        <v>0</v>
      </c>
      <c r="S10" s="31" t="s">
        <v>0</v>
      </c>
      <c r="T10" s="31"/>
      <c r="U10" s="2"/>
      <c r="V10" s="2"/>
      <c r="W10" s="2"/>
      <c r="X10" s="2"/>
      <c r="Y10" s="2"/>
      <c r="Z10" s="2"/>
      <c r="AA10" s="2"/>
      <c r="AB10" s="2"/>
      <c r="AC10" s="2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s="3" customFormat="1" ht="21.6" x14ac:dyDescent="0.2">
      <c r="A11" s="4">
        <v>2079</v>
      </c>
      <c r="B11" s="15" t="s">
        <v>2</v>
      </c>
      <c r="C11" s="5" t="s">
        <v>25</v>
      </c>
      <c r="D11" s="1" t="s">
        <v>79</v>
      </c>
      <c r="E11" s="15" t="s">
        <v>80</v>
      </c>
      <c r="F11" s="15" t="s">
        <v>78</v>
      </c>
      <c r="G11" s="15" t="s">
        <v>74</v>
      </c>
      <c r="H11" s="9" t="s">
        <v>75</v>
      </c>
      <c r="I11" s="16" t="s">
        <v>3</v>
      </c>
      <c r="J11" s="17">
        <v>0.7</v>
      </c>
      <c r="K11" s="22" t="s">
        <v>34</v>
      </c>
      <c r="L11" s="20" t="s">
        <v>35</v>
      </c>
      <c r="M11" s="7" t="s">
        <v>56</v>
      </c>
      <c r="N11" s="23" t="s">
        <v>26</v>
      </c>
      <c r="O11" s="17">
        <v>0.1</v>
      </c>
      <c r="P11" s="17"/>
      <c r="Q11" s="17">
        <f t="shared" si="2"/>
        <v>0</v>
      </c>
      <c r="R11" s="24">
        <f t="shared" si="3"/>
        <v>0</v>
      </c>
      <c r="S11" s="17" t="s">
        <v>0</v>
      </c>
      <c r="T11" s="25">
        <f>SUM(R11:R19)%</f>
        <v>0</v>
      </c>
      <c r="U11" s="2"/>
      <c r="V11" s="2"/>
      <c r="W11" s="2"/>
      <c r="X11" s="2"/>
      <c r="Y11" s="2"/>
      <c r="Z11" s="2"/>
      <c r="AA11" s="2"/>
      <c r="AB11" s="2"/>
      <c r="AC11" s="2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s="3" customFormat="1" ht="21.6" x14ac:dyDescent="0.2">
      <c r="A12" s="4">
        <v>2080</v>
      </c>
      <c r="B12" s="15" t="s">
        <v>2</v>
      </c>
      <c r="C12" s="5" t="s">
        <v>25</v>
      </c>
      <c r="D12" s="1" t="s">
        <v>79</v>
      </c>
      <c r="E12" s="15" t="s">
        <v>80</v>
      </c>
      <c r="F12" s="15" t="s">
        <v>78</v>
      </c>
      <c r="G12" s="15" t="s">
        <v>74</v>
      </c>
      <c r="H12" s="9" t="s">
        <v>75</v>
      </c>
      <c r="I12" s="16" t="s">
        <v>3</v>
      </c>
      <c r="J12" s="17">
        <v>0.7</v>
      </c>
      <c r="K12" s="22" t="s">
        <v>36</v>
      </c>
      <c r="L12" s="20" t="s">
        <v>37</v>
      </c>
      <c r="M12" s="22" t="s">
        <v>58</v>
      </c>
      <c r="N12" s="23" t="s">
        <v>38</v>
      </c>
      <c r="O12" s="17">
        <v>0.15</v>
      </c>
      <c r="P12" s="26"/>
      <c r="Q12" s="17">
        <f>ROUND(IF(OR(N12="",P12=""),0,IF(AND(N12=0,P12=0),1,IF(S12="+",P12/N12,N12/P12))),2)</f>
        <v>0</v>
      </c>
      <c r="R12" s="24">
        <f t="shared" si="3"/>
        <v>0</v>
      </c>
      <c r="S12" s="17" t="s">
        <v>4</v>
      </c>
      <c r="T12" s="17"/>
      <c r="U12" s="2"/>
      <c r="V12" s="2"/>
      <c r="W12" s="2"/>
      <c r="X12" s="2"/>
      <c r="Y12" s="2"/>
      <c r="Z12" s="2"/>
      <c r="AA12" s="2"/>
      <c r="AB12" s="2"/>
      <c r="AC12" s="2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s="3" customFormat="1" ht="21.6" x14ac:dyDescent="0.2">
      <c r="A13" s="4">
        <v>2081</v>
      </c>
      <c r="B13" s="15" t="s">
        <v>2</v>
      </c>
      <c r="C13" s="5" t="s">
        <v>25</v>
      </c>
      <c r="D13" s="1" t="s">
        <v>79</v>
      </c>
      <c r="E13" s="15" t="s">
        <v>80</v>
      </c>
      <c r="F13" s="15" t="s">
        <v>78</v>
      </c>
      <c r="G13" s="15" t="s">
        <v>74</v>
      </c>
      <c r="H13" s="9" t="s">
        <v>75</v>
      </c>
      <c r="I13" s="16" t="s">
        <v>3</v>
      </c>
      <c r="J13" s="17">
        <v>0.7</v>
      </c>
      <c r="K13" s="22" t="s">
        <v>39</v>
      </c>
      <c r="L13" s="20" t="s">
        <v>40</v>
      </c>
      <c r="M13" s="22" t="s">
        <v>60</v>
      </c>
      <c r="N13" s="27">
        <v>1</v>
      </c>
      <c r="O13" s="17">
        <v>0.1</v>
      </c>
      <c r="P13" s="26"/>
      <c r="Q13" s="17">
        <f t="shared" ref="Q13:Q20" si="4">ROUND(IF(OR(N13="",P13=""),0,IF(AND(N13=0,P13=0),1,IF(S13="+",P13/N13,N13/P13))),2)</f>
        <v>0</v>
      </c>
      <c r="R13" s="24">
        <f t="shared" si="3"/>
        <v>0</v>
      </c>
      <c r="S13" s="17" t="s">
        <v>0</v>
      </c>
      <c r="T13" s="17"/>
      <c r="U13" s="2"/>
      <c r="V13" s="2"/>
      <c r="W13" s="2"/>
      <c r="X13" s="2"/>
      <c r="Y13" s="2"/>
      <c r="Z13" s="2"/>
      <c r="AA13" s="2"/>
      <c r="AB13" s="2"/>
      <c r="AC13" s="2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s="3" customFormat="1" ht="21.6" x14ac:dyDescent="0.2">
      <c r="A14" s="4">
        <v>2082</v>
      </c>
      <c r="B14" s="15" t="s">
        <v>2</v>
      </c>
      <c r="C14" s="5" t="s">
        <v>25</v>
      </c>
      <c r="D14" s="1" t="s">
        <v>79</v>
      </c>
      <c r="E14" s="15" t="s">
        <v>80</v>
      </c>
      <c r="F14" s="15" t="s">
        <v>78</v>
      </c>
      <c r="G14" s="15" t="s">
        <v>74</v>
      </c>
      <c r="H14" s="9" t="s">
        <v>75</v>
      </c>
      <c r="I14" s="16" t="s">
        <v>3</v>
      </c>
      <c r="J14" s="17">
        <v>0.7</v>
      </c>
      <c r="K14" s="22" t="s">
        <v>41</v>
      </c>
      <c r="L14" s="20" t="s">
        <v>42</v>
      </c>
      <c r="M14" s="22" t="s">
        <v>43</v>
      </c>
      <c r="N14" s="26" t="s">
        <v>27</v>
      </c>
      <c r="O14" s="17">
        <v>0.15</v>
      </c>
      <c r="P14" s="28"/>
      <c r="Q14" s="17">
        <f t="shared" si="4"/>
        <v>0</v>
      </c>
      <c r="R14" s="24">
        <f t="shared" si="3"/>
        <v>0</v>
      </c>
      <c r="S14" s="17" t="s">
        <v>4</v>
      </c>
      <c r="T14" s="17"/>
      <c r="U14" s="2"/>
      <c r="V14" s="2"/>
      <c r="W14" s="2"/>
      <c r="X14" s="2"/>
      <c r="Y14" s="2"/>
      <c r="Z14" s="2"/>
      <c r="AA14" s="2"/>
      <c r="AB14" s="2"/>
      <c r="AC14" s="2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s="3" customFormat="1" ht="21.6" x14ac:dyDescent="0.2">
      <c r="A15" s="4">
        <v>2083</v>
      </c>
      <c r="B15" s="15" t="s">
        <v>2</v>
      </c>
      <c r="C15" s="5" t="s">
        <v>25</v>
      </c>
      <c r="D15" s="1" t="s">
        <v>79</v>
      </c>
      <c r="E15" s="15" t="s">
        <v>80</v>
      </c>
      <c r="F15" s="15" t="s">
        <v>78</v>
      </c>
      <c r="G15" s="15" t="s">
        <v>74</v>
      </c>
      <c r="H15" s="9" t="s">
        <v>75</v>
      </c>
      <c r="I15" s="16" t="s">
        <v>3</v>
      </c>
      <c r="J15" s="17">
        <v>0.7</v>
      </c>
      <c r="K15" s="22" t="s">
        <v>44</v>
      </c>
      <c r="L15" s="20" t="s">
        <v>45</v>
      </c>
      <c r="M15" s="22" t="s">
        <v>63</v>
      </c>
      <c r="N15" s="22" t="s">
        <v>27</v>
      </c>
      <c r="O15" s="17">
        <v>0.15</v>
      </c>
      <c r="P15" s="29"/>
      <c r="Q15" s="17">
        <f t="shared" si="4"/>
        <v>0</v>
      </c>
      <c r="R15" s="24">
        <f t="shared" si="3"/>
        <v>0</v>
      </c>
      <c r="S15" s="17" t="s">
        <v>4</v>
      </c>
      <c r="T15" s="17"/>
      <c r="U15" s="2"/>
      <c r="V15" s="2"/>
      <c r="W15" s="2"/>
      <c r="X15" s="2"/>
      <c r="Y15" s="2"/>
      <c r="Z15" s="2"/>
      <c r="AA15" s="2"/>
      <c r="AB15" s="2"/>
      <c r="AC15" s="2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s="3" customFormat="1" ht="21.6" x14ac:dyDescent="0.2">
      <c r="A16" s="4">
        <v>2084</v>
      </c>
      <c r="B16" s="15" t="s">
        <v>2</v>
      </c>
      <c r="C16" s="5" t="s">
        <v>25</v>
      </c>
      <c r="D16" s="1" t="s">
        <v>79</v>
      </c>
      <c r="E16" s="15" t="s">
        <v>80</v>
      </c>
      <c r="F16" s="15" t="s">
        <v>78</v>
      </c>
      <c r="G16" s="15" t="s">
        <v>74</v>
      </c>
      <c r="H16" s="9" t="s">
        <v>75</v>
      </c>
      <c r="I16" s="18" t="s">
        <v>3</v>
      </c>
      <c r="J16" s="17">
        <v>0.7</v>
      </c>
      <c r="K16" s="18" t="s">
        <v>46</v>
      </c>
      <c r="L16" s="21" t="s">
        <v>47</v>
      </c>
      <c r="M16" s="18" t="s">
        <v>65</v>
      </c>
      <c r="N16" s="30" t="s">
        <v>28</v>
      </c>
      <c r="O16" s="31">
        <v>0.1</v>
      </c>
      <c r="P16" s="29"/>
      <c r="Q16" s="31">
        <f t="shared" si="4"/>
        <v>0</v>
      </c>
      <c r="R16" s="32">
        <f t="shared" si="3"/>
        <v>0</v>
      </c>
      <c r="S16" s="31" t="s">
        <v>0</v>
      </c>
      <c r="T16" s="31"/>
      <c r="U16" s="2"/>
      <c r="V16" s="2"/>
      <c r="W16" s="2"/>
      <c r="X16" s="2"/>
      <c r="Y16" s="2"/>
      <c r="Z16" s="2"/>
      <c r="AA16" s="2"/>
      <c r="AB16" s="2"/>
      <c r="AC16" s="2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s="3" customFormat="1" ht="21.6" x14ac:dyDescent="0.2">
      <c r="A17" s="4">
        <v>2085</v>
      </c>
      <c r="B17" s="15" t="s">
        <v>2</v>
      </c>
      <c r="C17" s="5" t="s">
        <v>25</v>
      </c>
      <c r="D17" s="1" t="s">
        <v>79</v>
      </c>
      <c r="E17" s="15" t="s">
        <v>80</v>
      </c>
      <c r="F17" s="15" t="s">
        <v>78</v>
      </c>
      <c r="G17" s="15" t="s">
        <v>74</v>
      </c>
      <c r="H17" s="9" t="s">
        <v>75</v>
      </c>
      <c r="I17" s="18" t="s">
        <v>3</v>
      </c>
      <c r="J17" s="17">
        <v>0.7</v>
      </c>
      <c r="K17" s="18" t="s">
        <v>48</v>
      </c>
      <c r="L17" s="21" t="s">
        <v>49</v>
      </c>
      <c r="M17" s="18" t="s">
        <v>67</v>
      </c>
      <c r="N17" s="30" t="s">
        <v>68</v>
      </c>
      <c r="O17" s="31">
        <v>0.1</v>
      </c>
      <c r="P17" s="29"/>
      <c r="Q17" s="31">
        <f t="shared" si="4"/>
        <v>0</v>
      </c>
      <c r="R17" s="32">
        <f t="shared" si="3"/>
        <v>0</v>
      </c>
      <c r="S17" s="31" t="s">
        <v>0</v>
      </c>
      <c r="T17" s="31"/>
      <c r="U17" s="2"/>
      <c r="V17" s="2"/>
      <c r="W17" s="2"/>
      <c r="X17" s="2"/>
      <c r="Y17" s="2"/>
      <c r="Z17" s="2"/>
      <c r="AA17" s="2"/>
      <c r="AB17" s="2"/>
      <c r="AC17" s="2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s="3" customFormat="1" ht="21.6" x14ac:dyDescent="0.2">
      <c r="A18" s="4">
        <v>2086</v>
      </c>
      <c r="B18" s="15" t="s">
        <v>2</v>
      </c>
      <c r="C18" s="5" t="s">
        <v>25</v>
      </c>
      <c r="D18" s="1" t="s">
        <v>79</v>
      </c>
      <c r="E18" s="15" t="s">
        <v>80</v>
      </c>
      <c r="F18" s="15" t="s">
        <v>78</v>
      </c>
      <c r="G18" s="15" t="s">
        <v>74</v>
      </c>
      <c r="H18" s="9" t="s">
        <v>75</v>
      </c>
      <c r="I18" s="18" t="s">
        <v>3</v>
      </c>
      <c r="J18" s="17">
        <v>0.7</v>
      </c>
      <c r="K18" s="18" t="s">
        <v>50</v>
      </c>
      <c r="L18" s="21" t="s">
        <v>51</v>
      </c>
      <c r="M18" s="8" t="s">
        <v>70</v>
      </c>
      <c r="N18" s="33" t="s">
        <v>28</v>
      </c>
      <c r="O18" s="31">
        <v>0.05</v>
      </c>
      <c r="P18" s="33"/>
      <c r="Q18" s="31">
        <f t="shared" si="4"/>
        <v>0</v>
      </c>
      <c r="R18" s="32">
        <f t="shared" si="3"/>
        <v>0</v>
      </c>
      <c r="S18" s="31" t="s">
        <v>0</v>
      </c>
      <c r="T18" s="31"/>
      <c r="U18" s="2"/>
      <c r="V18" s="2"/>
      <c r="W18" s="2"/>
      <c r="X18" s="2"/>
      <c r="Y18" s="2"/>
      <c r="Z18" s="2"/>
      <c r="AA18" s="2"/>
      <c r="AB18" s="2"/>
      <c r="AC18" s="2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s="3" customFormat="1" ht="21.6" x14ac:dyDescent="0.2">
      <c r="A19" s="4">
        <v>2087</v>
      </c>
      <c r="B19" s="15" t="s">
        <v>2</v>
      </c>
      <c r="C19" s="5" t="s">
        <v>25</v>
      </c>
      <c r="D19" s="1" t="s">
        <v>79</v>
      </c>
      <c r="E19" s="15" t="s">
        <v>80</v>
      </c>
      <c r="F19" s="15" t="s">
        <v>78</v>
      </c>
      <c r="G19" s="15" t="s">
        <v>74</v>
      </c>
      <c r="H19" s="9" t="s">
        <v>75</v>
      </c>
      <c r="I19" s="18" t="s">
        <v>1</v>
      </c>
      <c r="J19" s="19">
        <v>0.3</v>
      </c>
      <c r="K19" s="18" t="s">
        <v>52</v>
      </c>
      <c r="L19" s="21" t="s">
        <v>53</v>
      </c>
      <c r="M19" s="8" t="s">
        <v>72</v>
      </c>
      <c r="N19" s="33" t="s">
        <v>54</v>
      </c>
      <c r="O19" s="31">
        <v>0.1</v>
      </c>
      <c r="P19" s="33"/>
      <c r="Q19" s="31">
        <f t="shared" si="4"/>
        <v>0</v>
      </c>
      <c r="R19" s="32">
        <f t="shared" ref="R19:R27" si="5">IF(AND(Q19&gt;=60%,Q19&lt;100%),Q19*((O19*J19)),IF(Q19=100%,((O19*J19)*Q19)*100%,IF(Q19&gt;100%,((J19*O19)*100%)*100%,0)))*100</f>
        <v>0</v>
      </c>
      <c r="S19" s="31" t="s">
        <v>0</v>
      </c>
      <c r="T19" s="31"/>
      <c r="U19" s="2"/>
      <c r="V19" s="2"/>
      <c r="W19" s="2"/>
      <c r="X19" s="2"/>
      <c r="Y19" s="2"/>
      <c r="Z19" s="2"/>
      <c r="AA19" s="2"/>
      <c r="AB19" s="2"/>
      <c r="AC19" s="2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s="3" customFormat="1" ht="21.6" x14ac:dyDescent="0.2">
      <c r="A20" s="4">
        <v>2088</v>
      </c>
      <c r="B20" s="15" t="s">
        <v>2</v>
      </c>
      <c r="C20" s="5" t="s">
        <v>25</v>
      </c>
      <c r="D20" s="1" t="s">
        <v>81</v>
      </c>
      <c r="E20" s="15" t="s">
        <v>83</v>
      </c>
      <c r="F20" s="15" t="s">
        <v>82</v>
      </c>
      <c r="G20" s="15" t="s">
        <v>74</v>
      </c>
      <c r="H20" s="9" t="s">
        <v>75</v>
      </c>
      <c r="I20" s="16" t="s">
        <v>3</v>
      </c>
      <c r="J20" s="17">
        <v>0.7</v>
      </c>
      <c r="K20" s="22" t="s">
        <v>34</v>
      </c>
      <c r="L20" s="20" t="s">
        <v>35</v>
      </c>
      <c r="M20" s="7" t="s">
        <v>56</v>
      </c>
      <c r="N20" s="23" t="s">
        <v>26</v>
      </c>
      <c r="O20" s="17">
        <v>0.1</v>
      </c>
      <c r="P20" s="17"/>
      <c r="Q20" s="17">
        <f t="shared" si="4"/>
        <v>0</v>
      </c>
      <c r="R20" s="24">
        <f t="shared" si="5"/>
        <v>0</v>
      </c>
      <c r="S20" s="17" t="s">
        <v>0</v>
      </c>
      <c r="T20" s="25">
        <f>SUM(R20:R28)%</f>
        <v>0</v>
      </c>
      <c r="U20" s="2"/>
      <c r="V20" s="2"/>
      <c r="W20" s="2"/>
      <c r="X20" s="2"/>
      <c r="Y20" s="2"/>
      <c r="Z20" s="2"/>
      <c r="AA20" s="2"/>
      <c r="AB20" s="2"/>
      <c r="AC20" s="2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s="3" customFormat="1" ht="21.6" x14ac:dyDescent="0.2">
      <c r="A21" s="4">
        <v>2089</v>
      </c>
      <c r="B21" s="15" t="s">
        <v>2</v>
      </c>
      <c r="C21" s="5" t="s">
        <v>25</v>
      </c>
      <c r="D21" s="1" t="s">
        <v>81</v>
      </c>
      <c r="E21" s="15" t="s">
        <v>83</v>
      </c>
      <c r="F21" s="15" t="s">
        <v>82</v>
      </c>
      <c r="G21" s="15" t="s">
        <v>74</v>
      </c>
      <c r="H21" s="9" t="s">
        <v>75</v>
      </c>
      <c r="I21" s="16" t="s">
        <v>3</v>
      </c>
      <c r="J21" s="17">
        <v>0.7</v>
      </c>
      <c r="K21" s="22" t="s">
        <v>36</v>
      </c>
      <c r="L21" s="20" t="s">
        <v>37</v>
      </c>
      <c r="M21" s="22" t="s">
        <v>58</v>
      </c>
      <c r="N21" s="23" t="s">
        <v>38</v>
      </c>
      <c r="O21" s="17">
        <v>0.15</v>
      </c>
      <c r="P21" s="26"/>
      <c r="Q21" s="17">
        <f>ROUND(IF(OR(N21="",P21=""),0,IF(AND(N21=0,P21=0),1,IF(S21="+",P21/N21,N21/P21))),2)</f>
        <v>0</v>
      </c>
      <c r="R21" s="24">
        <f t="shared" si="5"/>
        <v>0</v>
      </c>
      <c r="S21" s="17" t="s">
        <v>4</v>
      </c>
      <c r="T21" s="17"/>
      <c r="U21" s="2"/>
      <c r="V21" s="2"/>
      <c r="W21" s="2"/>
      <c r="X21" s="2"/>
      <c r="Y21" s="2"/>
      <c r="Z21" s="2"/>
      <c r="AA21" s="2"/>
      <c r="AB21" s="2"/>
      <c r="AC21" s="2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s="3" customFormat="1" ht="21.6" x14ac:dyDescent="0.2">
      <c r="A22" s="4">
        <v>2090</v>
      </c>
      <c r="B22" s="15" t="s">
        <v>2</v>
      </c>
      <c r="C22" s="5" t="s">
        <v>25</v>
      </c>
      <c r="D22" s="1" t="s">
        <v>81</v>
      </c>
      <c r="E22" s="15" t="s">
        <v>83</v>
      </c>
      <c r="F22" s="15" t="s">
        <v>82</v>
      </c>
      <c r="G22" s="15" t="s">
        <v>74</v>
      </c>
      <c r="H22" s="9" t="s">
        <v>75</v>
      </c>
      <c r="I22" s="16" t="s">
        <v>3</v>
      </c>
      <c r="J22" s="17">
        <v>0.7</v>
      </c>
      <c r="K22" s="22" t="s">
        <v>39</v>
      </c>
      <c r="L22" s="20" t="s">
        <v>40</v>
      </c>
      <c r="M22" s="22" t="s">
        <v>60</v>
      </c>
      <c r="N22" s="27">
        <v>1</v>
      </c>
      <c r="O22" s="17">
        <v>0.1</v>
      </c>
      <c r="P22" s="26"/>
      <c r="Q22" s="17">
        <f t="shared" ref="Q22:Q29" si="6">ROUND(IF(OR(N22="",P22=""),0,IF(AND(N22=0,P22=0),1,IF(S22="+",P22/N22,N22/P22))),2)</f>
        <v>0</v>
      </c>
      <c r="R22" s="24">
        <f t="shared" si="5"/>
        <v>0</v>
      </c>
      <c r="S22" s="17" t="s">
        <v>0</v>
      </c>
      <c r="T22" s="17"/>
      <c r="U22" s="2"/>
      <c r="V22" s="2"/>
      <c r="W22" s="2"/>
      <c r="X22" s="2"/>
      <c r="Y22" s="2"/>
      <c r="Z22" s="2"/>
      <c r="AA22" s="2"/>
      <c r="AB22" s="2"/>
      <c r="AC22" s="2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s="3" customFormat="1" ht="21.6" x14ac:dyDescent="0.2">
      <c r="A23" s="4">
        <v>2091</v>
      </c>
      <c r="B23" s="15" t="s">
        <v>2</v>
      </c>
      <c r="C23" s="5" t="s">
        <v>25</v>
      </c>
      <c r="D23" s="1" t="s">
        <v>81</v>
      </c>
      <c r="E23" s="15" t="s">
        <v>83</v>
      </c>
      <c r="F23" s="15" t="s">
        <v>82</v>
      </c>
      <c r="G23" s="15" t="s">
        <v>74</v>
      </c>
      <c r="H23" s="9" t="s">
        <v>75</v>
      </c>
      <c r="I23" s="16" t="s">
        <v>3</v>
      </c>
      <c r="J23" s="17">
        <v>0.7</v>
      </c>
      <c r="K23" s="22" t="s">
        <v>41</v>
      </c>
      <c r="L23" s="20" t="s">
        <v>42</v>
      </c>
      <c r="M23" s="22" t="s">
        <v>43</v>
      </c>
      <c r="N23" s="26" t="s">
        <v>27</v>
      </c>
      <c r="O23" s="17">
        <v>0.15</v>
      </c>
      <c r="P23" s="28"/>
      <c r="Q23" s="17">
        <f t="shared" si="6"/>
        <v>0</v>
      </c>
      <c r="R23" s="24">
        <f t="shared" si="5"/>
        <v>0</v>
      </c>
      <c r="S23" s="17" t="s">
        <v>4</v>
      </c>
      <c r="T23" s="17"/>
      <c r="U23" s="2"/>
      <c r="V23" s="2"/>
      <c r="W23" s="2"/>
      <c r="X23" s="2"/>
      <c r="Y23" s="2"/>
      <c r="Z23" s="2"/>
      <c r="AA23" s="2"/>
      <c r="AB23" s="2"/>
      <c r="AC23" s="2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s="3" customFormat="1" ht="21.6" x14ac:dyDescent="0.2">
      <c r="A24" s="4">
        <v>2092</v>
      </c>
      <c r="B24" s="15" t="s">
        <v>2</v>
      </c>
      <c r="C24" s="5" t="s">
        <v>25</v>
      </c>
      <c r="D24" s="1" t="s">
        <v>81</v>
      </c>
      <c r="E24" s="15" t="s">
        <v>83</v>
      </c>
      <c r="F24" s="15" t="s">
        <v>82</v>
      </c>
      <c r="G24" s="15" t="s">
        <v>74</v>
      </c>
      <c r="H24" s="9" t="s">
        <v>75</v>
      </c>
      <c r="I24" s="16" t="s">
        <v>3</v>
      </c>
      <c r="J24" s="17">
        <v>0.7</v>
      </c>
      <c r="K24" s="22" t="s">
        <v>44</v>
      </c>
      <c r="L24" s="20" t="s">
        <v>45</v>
      </c>
      <c r="M24" s="22" t="s">
        <v>63</v>
      </c>
      <c r="N24" s="22" t="s">
        <v>27</v>
      </c>
      <c r="O24" s="17">
        <v>0.15</v>
      </c>
      <c r="P24" s="29"/>
      <c r="Q24" s="17">
        <f t="shared" si="6"/>
        <v>0</v>
      </c>
      <c r="R24" s="24">
        <f t="shared" si="5"/>
        <v>0</v>
      </c>
      <c r="S24" s="17" t="s">
        <v>4</v>
      </c>
      <c r="T24" s="17"/>
      <c r="U24" s="2"/>
      <c r="V24" s="2"/>
      <c r="W24" s="2"/>
      <c r="X24" s="2"/>
      <c r="Y24" s="2"/>
      <c r="Z24" s="2"/>
      <c r="AA24" s="2"/>
      <c r="AB24" s="2"/>
      <c r="AC24" s="2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s="3" customFormat="1" ht="21.6" x14ac:dyDescent="0.2">
      <c r="A25" s="4">
        <v>2093</v>
      </c>
      <c r="B25" s="15" t="s">
        <v>2</v>
      </c>
      <c r="C25" s="5" t="s">
        <v>25</v>
      </c>
      <c r="D25" s="1" t="s">
        <v>81</v>
      </c>
      <c r="E25" s="15" t="s">
        <v>83</v>
      </c>
      <c r="F25" s="15" t="s">
        <v>82</v>
      </c>
      <c r="G25" s="15" t="s">
        <v>74</v>
      </c>
      <c r="H25" s="9" t="s">
        <v>75</v>
      </c>
      <c r="I25" s="18" t="s">
        <v>3</v>
      </c>
      <c r="J25" s="17">
        <v>0.7</v>
      </c>
      <c r="K25" s="18" t="s">
        <v>46</v>
      </c>
      <c r="L25" s="21" t="s">
        <v>47</v>
      </c>
      <c r="M25" s="18" t="s">
        <v>65</v>
      </c>
      <c r="N25" s="30" t="s">
        <v>28</v>
      </c>
      <c r="O25" s="31">
        <v>0.1</v>
      </c>
      <c r="P25" s="29"/>
      <c r="Q25" s="31">
        <f t="shared" si="6"/>
        <v>0</v>
      </c>
      <c r="R25" s="32">
        <f t="shared" si="5"/>
        <v>0</v>
      </c>
      <c r="S25" s="31" t="s">
        <v>0</v>
      </c>
      <c r="T25" s="31"/>
      <c r="U25" s="2"/>
      <c r="V25" s="2"/>
      <c r="W25" s="2"/>
      <c r="X25" s="2"/>
      <c r="Y25" s="2"/>
      <c r="Z25" s="2"/>
      <c r="AA25" s="2"/>
      <c r="AB25" s="2"/>
      <c r="AC25" s="2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s="3" customFormat="1" ht="21.6" x14ac:dyDescent="0.2">
      <c r="A26" s="4">
        <v>2094</v>
      </c>
      <c r="B26" s="15" t="s">
        <v>2</v>
      </c>
      <c r="C26" s="5" t="s">
        <v>25</v>
      </c>
      <c r="D26" s="1" t="s">
        <v>81</v>
      </c>
      <c r="E26" s="15" t="s">
        <v>83</v>
      </c>
      <c r="F26" s="15" t="s">
        <v>82</v>
      </c>
      <c r="G26" s="15" t="s">
        <v>74</v>
      </c>
      <c r="H26" s="9" t="s">
        <v>75</v>
      </c>
      <c r="I26" s="18" t="s">
        <v>3</v>
      </c>
      <c r="J26" s="17">
        <v>0.7</v>
      </c>
      <c r="K26" s="18" t="s">
        <v>48</v>
      </c>
      <c r="L26" s="21" t="s">
        <v>49</v>
      </c>
      <c r="M26" s="18" t="s">
        <v>67</v>
      </c>
      <c r="N26" s="30" t="s">
        <v>68</v>
      </c>
      <c r="O26" s="31">
        <v>0.1</v>
      </c>
      <c r="P26" s="29"/>
      <c r="Q26" s="31">
        <f t="shared" si="6"/>
        <v>0</v>
      </c>
      <c r="R26" s="32">
        <f t="shared" si="5"/>
        <v>0</v>
      </c>
      <c r="S26" s="31" t="s">
        <v>0</v>
      </c>
      <c r="T26" s="31"/>
      <c r="U26" s="2"/>
      <c r="V26" s="2"/>
      <c r="W26" s="2"/>
      <c r="X26" s="2"/>
      <c r="Y26" s="2"/>
      <c r="Z26" s="2"/>
      <c r="AA26" s="2"/>
      <c r="AB26" s="2"/>
      <c r="AC26" s="2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s="3" customFormat="1" ht="21.6" x14ac:dyDescent="0.2">
      <c r="A27" s="4">
        <v>2095</v>
      </c>
      <c r="B27" s="15" t="s">
        <v>2</v>
      </c>
      <c r="C27" s="5" t="s">
        <v>25</v>
      </c>
      <c r="D27" s="1" t="s">
        <v>81</v>
      </c>
      <c r="E27" s="15" t="s">
        <v>83</v>
      </c>
      <c r="F27" s="15" t="s">
        <v>82</v>
      </c>
      <c r="G27" s="15" t="s">
        <v>74</v>
      </c>
      <c r="H27" s="9" t="s">
        <v>75</v>
      </c>
      <c r="I27" s="18" t="s">
        <v>3</v>
      </c>
      <c r="J27" s="17">
        <v>0.7</v>
      </c>
      <c r="K27" s="18" t="s">
        <v>50</v>
      </c>
      <c r="L27" s="21" t="s">
        <v>51</v>
      </c>
      <c r="M27" s="8" t="s">
        <v>70</v>
      </c>
      <c r="N27" s="33" t="s">
        <v>28</v>
      </c>
      <c r="O27" s="31">
        <v>0.05</v>
      </c>
      <c r="P27" s="33"/>
      <c r="Q27" s="31">
        <f t="shared" si="6"/>
        <v>0</v>
      </c>
      <c r="R27" s="32">
        <f t="shared" si="5"/>
        <v>0</v>
      </c>
      <c r="S27" s="31" t="s">
        <v>0</v>
      </c>
      <c r="T27" s="31"/>
      <c r="U27" s="2"/>
      <c r="V27" s="2"/>
      <c r="W27" s="2"/>
      <c r="X27" s="2"/>
      <c r="Y27" s="2"/>
      <c r="Z27" s="2"/>
      <c r="AA27" s="2"/>
      <c r="AB27" s="2"/>
      <c r="AC27" s="2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s="3" customFormat="1" ht="21.6" x14ac:dyDescent="0.2">
      <c r="A28" s="4">
        <v>2096</v>
      </c>
      <c r="B28" s="15" t="s">
        <v>2</v>
      </c>
      <c r="C28" s="5" t="s">
        <v>25</v>
      </c>
      <c r="D28" s="1" t="s">
        <v>81</v>
      </c>
      <c r="E28" s="15" t="s">
        <v>83</v>
      </c>
      <c r="F28" s="15" t="s">
        <v>82</v>
      </c>
      <c r="G28" s="15" t="s">
        <v>74</v>
      </c>
      <c r="H28" s="9" t="s">
        <v>75</v>
      </c>
      <c r="I28" s="18" t="s">
        <v>1</v>
      </c>
      <c r="J28" s="19">
        <v>0.3</v>
      </c>
      <c r="K28" s="18" t="s">
        <v>52</v>
      </c>
      <c r="L28" s="21" t="s">
        <v>53</v>
      </c>
      <c r="M28" s="8" t="s">
        <v>72</v>
      </c>
      <c r="N28" s="33" t="s">
        <v>54</v>
      </c>
      <c r="O28" s="31">
        <v>0.1</v>
      </c>
      <c r="P28" s="33"/>
      <c r="Q28" s="31">
        <f t="shared" si="6"/>
        <v>0</v>
      </c>
      <c r="R28" s="32">
        <f t="shared" ref="R28:R36" si="7">IF(AND(Q28&gt;=60%,Q28&lt;100%),Q28*((O28*J28)),IF(Q28=100%,((O28*J28)*Q28)*100%,IF(Q28&gt;100%,((J28*O28)*100%)*100%,0)))*100</f>
        <v>0</v>
      </c>
      <c r="S28" s="31" t="s">
        <v>0</v>
      </c>
      <c r="T28" s="31"/>
      <c r="U28" s="2"/>
      <c r="V28" s="2"/>
      <c r="W28" s="2"/>
      <c r="X28" s="2"/>
      <c r="Y28" s="2"/>
      <c r="Z28" s="2"/>
      <c r="AA28" s="2"/>
      <c r="AB28" s="2"/>
      <c r="AC28" s="2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s="3" customFormat="1" ht="21.6" x14ac:dyDescent="0.2">
      <c r="A29" s="4">
        <v>2097</v>
      </c>
      <c r="B29" s="15" t="s">
        <v>2</v>
      </c>
      <c r="C29" s="5" t="s">
        <v>25</v>
      </c>
      <c r="D29" s="1" t="s">
        <v>84</v>
      </c>
      <c r="E29" s="15" t="s">
        <v>85</v>
      </c>
      <c r="F29" s="15" t="s">
        <v>78</v>
      </c>
      <c r="G29" s="15" t="s">
        <v>74</v>
      </c>
      <c r="H29" s="9" t="s">
        <v>75</v>
      </c>
      <c r="I29" s="16" t="s">
        <v>3</v>
      </c>
      <c r="J29" s="17">
        <v>0.7</v>
      </c>
      <c r="K29" s="22" t="s">
        <v>34</v>
      </c>
      <c r="L29" s="20" t="s">
        <v>35</v>
      </c>
      <c r="M29" s="7" t="s">
        <v>56</v>
      </c>
      <c r="N29" s="23" t="s">
        <v>26</v>
      </c>
      <c r="O29" s="17">
        <v>0.1</v>
      </c>
      <c r="P29" s="17"/>
      <c r="Q29" s="17">
        <f t="shared" si="6"/>
        <v>0</v>
      </c>
      <c r="R29" s="24">
        <f t="shared" si="7"/>
        <v>0</v>
      </c>
      <c r="S29" s="17" t="s">
        <v>0</v>
      </c>
      <c r="T29" s="25">
        <f>SUM(R29:R37)%</f>
        <v>0</v>
      </c>
      <c r="U29" s="2"/>
      <c r="V29" s="2"/>
      <c r="W29" s="2"/>
      <c r="X29" s="2"/>
      <c r="Y29" s="2"/>
      <c r="Z29" s="2"/>
      <c r="AA29" s="2"/>
      <c r="AB29" s="2"/>
      <c r="AC29" s="2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s="3" customFormat="1" ht="21.6" x14ac:dyDescent="0.2">
      <c r="A30" s="4">
        <v>2098</v>
      </c>
      <c r="B30" s="15" t="s">
        <v>2</v>
      </c>
      <c r="C30" s="5" t="s">
        <v>25</v>
      </c>
      <c r="D30" s="1" t="s">
        <v>84</v>
      </c>
      <c r="E30" s="15" t="s">
        <v>85</v>
      </c>
      <c r="F30" s="15" t="s">
        <v>78</v>
      </c>
      <c r="G30" s="15" t="s">
        <v>74</v>
      </c>
      <c r="H30" s="9" t="s">
        <v>75</v>
      </c>
      <c r="I30" s="16" t="s">
        <v>3</v>
      </c>
      <c r="J30" s="17">
        <v>0.7</v>
      </c>
      <c r="K30" s="22" t="s">
        <v>36</v>
      </c>
      <c r="L30" s="20" t="s">
        <v>37</v>
      </c>
      <c r="M30" s="22" t="s">
        <v>58</v>
      </c>
      <c r="N30" s="23" t="s">
        <v>38</v>
      </c>
      <c r="O30" s="17">
        <v>0.15</v>
      </c>
      <c r="P30" s="26"/>
      <c r="Q30" s="17">
        <f>ROUND(IF(OR(N30="",P30=""),0,IF(AND(N30=0,P30=0),1,IF(S30="+",P30/N30,N30/P30))),2)</f>
        <v>0</v>
      </c>
      <c r="R30" s="24">
        <f t="shared" si="7"/>
        <v>0</v>
      </c>
      <c r="S30" s="17" t="s">
        <v>4</v>
      </c>
      <c r="T30" s="17"/>
      <c r="U30" s="2"/>
      <c r="V30" s="2"/>
      <c r="W30" s="2"/>
      <c r="X30" s="2"/>
      <c r="Y30" s="2"/>
      <c r="Z30" s="2"/>
      <c r="AA30" s="2"/>
      <c r="AB30" s="2"/>
      <c r="AC30" s="2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s="3" customFormat="1" ht="21.6" x14ac:dyDescent="0.2">
      <c r="A31" s="4">
        <v>2099</v>
      </c>
      <c r="B31" s="15" t="s">
        <v>2</v>
      </c>
      <c r="C31" s="5" t="s">
        <v>25</v>
      </c>
      <c r="D31" s="1" t="s">
        <v>84</v>
      </c>
      <c r="E31" s="15" t="s">
        <v>85</v>
      </c>
      <c r="F31" s="15" t="s">
        <v>78</v>
      </c>
      <c r="G31" s="15" t="s">
        <v>74</v>
      </c>
      <c r="H31" s="9" t="s">
        <v>75</v>
      </c>
      <c r="I31" s="16" t="s">
        <v>3</v>
      </c>
      <c r="J31" s="17">
        <v>0.7</v>
      </c>
      <c r="K31" s="22" t="s">
        <v>39</v>
      </c>
      <c r="L31" s="20" t="s">
        <v>40</v>
      </c>
      <c r="M31" s="22" t="s">
        <v>60</v>
      </c>
      <c r="N31" s="27">
        <v>1</v>
      </c>
      <c r="O31" s="17">
        <v>0.1</v>
      </c>
      <c r="P31" s="26"/>
      <c r="Q31" s="17">
        <f t="shared" ref="Q31:Q38" si="8">ROUND(IF(OR(N31="",P31=""),0,IF(AND(N31=0,P31=0),1,IF(S31="+",P31/N31,N31/P31))),2)</f>
        <v>0</v>
      </c>
      <c r="R31" s="24">
        <f t="shared" si="7"/>
        <v>0</v>
      </c>
      <c r="S31" s="17" t="s">
        <v>0</v>
      </c>
      <c r="T31" s="17"/>
      <c r="U31" s="2"/>
      <c r="V31" s="2"/>
      <c r="W31" s="2"/>
      <c r="X31" s="2"/>
      <c r="Y31" s="2"/>
      <c r="Z31" s="2"/>
      <c r="AA31" s="2"/>
      <c r="AB31" s="2"/>
      <c r="AC31" s="2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s="3" customFormat="1" ht="21.6" x14ac:dyDescent="0.2">
      <c r="A32" s="4">
        <v>2100</v>
      </c>
      <c r="B32" s="15" t="s">
        <v>2</v>
      </c>
      <c r="C32" s="5" t="s">
        <v>25</v>
      </c>
      <c r="D32" s="1" t="s">
        <v>84</v>
      </c>
      <c r="E32" s="15" t="s">
        <v>85</v>
      </c>
      <c r="F32" s="15" t="s">
        <v>78</v>
      </c>
      <c r="G32" s="15" t="s">
        <v>74</v>
      </c>
      <c r="H32" s="9" t="s">
        <v>75</v>
      </c>
      <c r="I32" s="16" t="s">
        <v>3</v>
      </c>
      <c r="J32" s="17">
        <v>0.7</v>
      </c>
      <c r="K32" s="22" t="s">
        <v>41</v>
      </c>
      <c r="L32" s="20" t="s">
        <v>42</v>
      </c>
      <c r="M32" s="22" t="s">
        <v>43</v>
      </c>
      <c r="N32" s="26" t="s">
        <v>27</v>
      </c>
      <c r="O32" s="17">
        <v>0.15</v>
      </c>
      <c r="P32" s="28"/>
      <c r="Q32" s="17">
        <f t="shared" si="8"/>
        <v>0</v>
      </c>
      <c r="R32" s="24">
        <f t="shared" si="7"/>
        <v>0</v>
      </c>
      <c r="S32" s="17" t="s">
        <v>4</v>
      </c>
      <c r="T32" s="17"/>
      <c r="U32" s="2"/>
      <c r="V32" s="2"/>
      <c r="W32" s="2"/>
      <c r="X32" s="2"/>
      <c r="Y32" s="2"/>
      <c r="Z32" s="2"/>
      <c r="AA32" s="2"/>
      <c r="AB32" s="2"/>
      <c r="AC32" s="2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s="3" customFormat="1" ht="21.6" x14ac:dyDescent="0.2">
      <c r="A33" s="4">
        <v>2101</v>
      </c>
      <c r="B33" s="15" t="s">
        <v>2</v>
      </c>
      <c r="C33" s="5" t="s">
        <v>25</v>
      </c>
      <c r="D33" s="1" t="s">
        <v>84</v>
      </c>
      <c r="E33" s="15" t="s">
        <v>85</v>
      </c>
      <c r="F33" s="15" t="s">
        <v>78</v>
      </c>
      <c r="G33" s="15" t="s">
        <v>74</v>
      </c>
      <c r="H33" s="9" t="s">
        <v>75</v>
      </c>
      <c r="I33" s="16" t="s">
        <v>3</v>
      </c>
      <c r="J33" s="17">
        <v>0.7</v>
      </c>
      <c r="K33" s="22" t="s">
        <v>44</v>
      </c>
      <c r="L33" s="20" t="s">
        <v>45</v>
      </c>
      <c r="M33" s="22" t="s">
        <v>63</v>
      </c>
      <c r="N33" s="22" t="s">
        <v>27</v>
      </c>
      <c r="O33" s="17">
        <v>0.15</v>
      </c>
      <c r="P33" s="29"/>
      <c r="Q33" s="17">
        <f t="shared" si="8"/>
        <v>0</v>
      </c>
      <c r="R33" s="24">
        <f t="shared" si="7"/>
        <v>0</v>
      </c>
      <c r="S33" s="17" t="s">
        <v>4</v>
      </c>
      <c r="T33" s="17"/>
      <c r="U33" s="2"/>
      <c r="V33" s="2"/>
      <c r="W33" s="2"/>
      <c r="X33" s="2"/>
      <c r="Y33" s="2"/>
      <c r="Z33" s="2"/>
      <c r="AA33" s="2"/>
      <c r="AB33" s="2"/>
      <c r="AC33" s="2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s="3" customFormat="1" ht="21.6" x14ac:dyDescent="0.2">
      <c r="A34" s="4">
        <v>2102</v>
      </c>
      <c r="B34" s="15" t="s">
        <v>2</v>
      </c>
      <c r="C34" s="5" t="s">
        <v>25</v>
      </c>
      <c r="D34" s="1" t="s">
        <v>84</v>
      </c>
      <c r="E34" s="15" t="s">
        <v>85</v>
      </c>
      <c r="F34" s="15" t="s">
        <v>78</v>
      </c>
      <c r="G34" s="15" t="s">
        <v>74</v>
      </c>
      <c r="H34" s="9" t="s">
        <v>75</v>
      </c>
      <c r="I34" s="18" t="s">
        <v>3</v>
      </c>
      <c r="J34" s="17">
        <v>0.7</v>
      </c>
      <c r="K34" s="18" t="s">
        <v>46</v>
      </c>
      <c r="L34" s="21" t="s">
        <v>47</v>
      </c>
      <c r="M34" s="18" t="s">
        <v>65</v>
      </c>
      <c r="N34" s="30" t="s">
        <v>28</v>
      </c>
      <c r="O34" s="31">
        <v>0.1</v>
      </c>
      <c r="P34" s="29"/>
      <c r="Q34" s="31">
        <f t="shared" si="8"/>
        <v>0</v>
      </c>
      <c r="R34" s="32">
        <f t="shared" si="7"/>
        <v>0</v>
      </c>
      <c r="S34" s="31" t="s">
        <v>0</v>
      </c>
      <c r="T34" s="31"/>
      <c r="U34" s="2"/>
      <c r="V34" s="2"/>
      <c r="W34" s="2"/>
      <c r="X34" s="2"/>
      <c r="Y34" s="2"/>
      <c r="Z34" s="2"/>
      <c r="AA34" s="2"/>
      <c r="AB34" s="2"/>
      <c r="AC34" s="2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s="3" customFormat="1" ht="21.6" x14ac:dyDescent="0.2">
      <c r="A35" s="4">
        <v>2103</v>
      </c>
      <c r="B35" s="15" t="s">
        <v>2</v>
      </c>
      <c r="C35" s="5" t="s">
        <v>25</v>
      </c>
      <c r="D35" s="1" t="s">
        <v>84</v>
      </c>
      <c r="E35" s="15" t="s">
        <v>85</v>
      </c>
      <c r="F35" s="15" t="s">
        <v>78</v>
      </c>
      <c r="G35" s="15" t="s">
        <v>74</v>
      </c>
      <c r="H35" s="9" t="s">
        <v>75</v>
      </c>
      <c r="I35" s="18" t="s">
        <v>3</v>
      </c>
      <c r="J35" s="17">
        <v>0.7</v>
      </c>
      <c r="K35" s="18" t="s">
        <v>48</v>
      </c>
      <c r="L35" s="21" t="s">
        <v>49</v>
      </c>
      <c r="M35" s="18" t="s">
        <v>67</v>
      </c>
      <c r="N35" s="30" t="s">
        <v>68</v>
      </c>
      <c r="O35" s="31">
        <v>0.1</v>
      </c>
      <c r="P35" s="29"/>
      <c r="Q35" s="31">
        <f t="shared" si="8"/>
        <v>0</v>
      </c>
      <c r="R35" s="32">
        <f t="shared" si="7"/>
        <v>0</v>
      </c>
      <c r="S35" s="31" t="s">
        <v>0</v>
      </c>
      <c r="T35" s="31"/>
      <c r="U35" s="2"/>
      <c r="V35" s="2"/>
      <c r="W35" s="2"/>
      <c r="X35" s="2"/>
      <c r="Y35" s="2"/>
      <c r="Z35" s="2"/>
      <c r="AA35" s="2"/>
      <c r="AB35" s="2"/>
      <c r="AC35" s="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s="3" customFormat="1" ht="21.6" x14ac:dyDescent="0.2">
      <c r="A36" s="4">
        <v>2104</v>
      </c>
      <c r="B36" s="15" t="s">
        <v>2</v>
      </c>
      <c r="C36" s="5" t="s">
        <v>25</v>
      </c>
      <c r="D36" s="1" t="s">
        <v>84</v>
      </c>
      <c r="E36" s="15" t="s">
        <v>85</v>
      </c>
      <c r="F36" s="15" t="s">
        <v>78</v>
      </c>
      <c r="G36" s="15" t="s">
        <v>74</v>
      </c>
      <c r="H36" s="9" t="s">
        <v>75</v>
      </c>
      <c r="I36" s="18" t="s">
        <v>3</v>
      </c>
      <c r="J36" s="17">
        <v>0.7</v>
      </c>
      <c r="K36" s="18" t="s">
        <v>50</v>
      </c>
      <c r="L36" s="21" t="s">
        <v>51</v>
      </c>
      <c r="M36" s="8" t="s">
        <v>70</v>
      </c>
      <c r="N36" s="33" t="s">
        <v>28</v>
      </c>
      <c r="O36" s="31">
        <v>0.05</v>
      </c>
      <c r="P36" s="33"/>
      <c r="Q36" s="31">
        <f t="shared" si="8"/>
        <v>0</v>
      </c>
      <c r="R36" s="32">
        <f t="shared" si="7"/>
        <v>0</v>
      </c>
      <c r="S36" s="31" t="s">
        <v>0</v>
      </c>
      <c r="T36" s="31"/>
      <c r="U36" s="2"/>
      <c r="V36" s="2"/>
      <c r="W36" s="2"/>
      <c r="X36" s="2"/>
      <c r="Y36" s="2"/>
      <c r="Z36" s="2"/>
      <c r="AA36" s="2"/>
      <c r="AB36" s="2"/>
      <c r="AC36" s="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s="3" customFormat="1" ht="21.6" x14ac:dyDescent="0.2">
      <c r="A37" s="4">
        <v>2105</v>
      </c>
      <c r="B37" s="15" t="s">
        <v>2</v>
      </c>
      <c r="C37" s="5" t="s">
        <v>25</v>
      </c>
      <c r="D37" s="1" t="s">
        <v>84</v>
      </c>
      <c r="E37" s="15" t="s">
        <v>85</v>
      </c>
      <c r="F37" s="15" t="s">
        <v>78</v>
      </c>
      <c r="G37" s="15" t="s">
        <v>74</v>
      </c>
      <c r="H37" s="9" t="s">
        <v>75</v>
      </c>
      <c r="I37" s="18" t="s">
        <v>1</v>
      </c>
      <c r="J37" s="19">
        <v>0.3</v>
      </c>
      <c r="K37" s="18" t="s">
        <v>52</v>
      </c>
      <c r="L37" s="21" t="s">
        <v>53</v>
      </c>
      <c r="M37" s="8" t="s">
        <v>72</v>
      </c>
      <c r="N37" s="33" t="s">
        <v>54</v>
      </c>
      <c r="O37" s="31">
        <v>0.1</v>
      </c>
      <c r="P37" s="33"/>
      <c r="Q37" s="31">
        <f t="shared" si="8"/>
        <v>0</v>
      </c>
      <c r="R37" s="32">
        <f t="shared" ref="R37:R45" si="9">IF(AND(Q37&gt;=60%,Q37&lt;100%),Q37*((O37*J37)),IF(Q37=100%,((O37*J37)*Q37)*100%,IF(Q37&gt;100%,((J37*O37)*100%)*100%,0)))*100</f>
        <v>0</v>
      </c>
      <c r="S37" s="31" t="s">
        <v>0</v>
      </c>
      <c r="T37" s="31"/>
      <c r="U37" s="2"/>
      <c r="V37" s="2"/>
      <c r="W37" s="2"/>
      <c r="X37" s="2"/>
      <c r="Y37" s="2"/>
      <c r="Z37" s="2"/>
      <c r="AA37" s="2"/>
      <c r="AB37" s="2"/>
      <c r="AC37" s="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s="3" customFormat="1" ht="21.6" x14ac:dyDescent="0.2">
      <c r="A38" s="4">
        <v>2106</v>
      </c>
      <c r="B38" s="15" t="s">
        <v>2</v>
      </c>
      <c r="C38" s="5" t="s">
        <v>25</v>
      </c>
      <c r="D38" s="1" t="s">
        <v>87</v>
      </c>
      <c r="E38" s="15" t="s">
        <v>86</v>
      </c>
      <c r="F38" s="15" t="s">
        <v>91</v>
      </c>
      <c r="G38" s="15" t="s">
        <v>74</v>
      </c>
      <c r="H38" s="9" t="s">
        <v>75</v>
      </c>
      <c r="I38" s="16" t="s">
        <v>3</v>
      </c>
      <c r="J38" s="17">
        <v>0.7</v>
      </c>
      <c r="K38" s="22" t="s">
        <v>34</v>
      </c>
      <c r="L38" s="20" t="s">
        <v>35</v>
      </c>
      <c r="M38" s="7" t="s">
        <v>56</v>
      </c>
      <c r="N38" s="23" t="s">
        <v>26</v>
      </c>
      <c r="O38" s="17">
        <v>0.1</v>
      </c>
      <c r="P38" s="17"/>
      <c r="Q38" s="17">
        <f t="shared" si="8"/>
        <v>0</v>
      </c>
      <c r="R38" s="24">
        <f t="shared" si="9"/>
        <v>0</v>
      </c>
      <c r="S38" s="17" t="s">
        <v>0</v>
      </c>
      <c r="T38" s="25">
        <f>SUM(R38:R46)%</f>
        <v>0</v>
      </c>
      <c r="U38" s="2"/>
      <c r="V38" s="2"/>
      <c r="W38" s="2"/>
      <c r="X38" s="2"/>
      <c r="Y38" s="2"/>
      <c r="Z38" s="2"/>
      <c r="AA38" s="2"/>
      <c r="AB38" s="2"/>
      <c r="AC38" s="2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s="3" customFormat="1" ht="21.6" x14ac:dyDescent="0.2">
      <c r="A39" s="4">
        <v>2107</v>
      </c>
      <c r="B39" s="15" t="s">
        <v>2</v>
      </c>
      <c r="C39" s="5" t="s">
        <v>25</v>
      </c>
      <c r="D39" s="1" t="s">
        <v>87</v>
      </c>
      <c r="E39" s="15" t="s">
        <v>86</v>
      </c>
      <c r="F39" s="15" t="s">
        <v>91</v>
      </c>
      <c r="G39" s="15" t="s">
        <v>74</v>
      </c>
      <c r="H39" s="9" t="s">
        <v>75</v>
      </c>
      <c r="I39" s="16" t="s">
        <v>3</v>
      </c>
      <c r="J39" s="17">
        <v>0.7</v>
      </c>
      <c r="K39" s="22" t="s">
        <v>36</v>
      </c>
      <c r="L39" s="20" t="s">
        <v>37</v>
      </c>
      <c r="M39" s="22" t="s">
        <v>58</v>
      </c>
      <c r="N39" s="23" t="s">
        <v>38</v>
      </c>
      <c r="O39" s="17">
        <v>0.15</v>
      </c>
      <c r="P39" s="26"/>
      <c r="Q39" s="17">
        <f>ROUND(IF(OR(N39="",P39=""),0,IF(AND(N39=0,P39=0),1,IF(S39="+",P39/N39,N39/P39))),2)</f>
        <v>0</v>
      </c>
      <c r="R39" s="24">
        <f t="shared" si="9"/>
        <v>0</v>
      </c>
      <c r="S39" s="17" t="s">
        <v>4</v>
      </c>
      <c r="T39" s="17"/>
      <c r="U39" s="2"/>
      <c r="V39" s="2"/>
      <c r="W39" s="2"/>
      <c r="X39" s="2"/>
      <c r="Y39" s="2"/>
      <c r="Z39" s="2"/>
      <c r="AA39" s="2"/>
      <c r="AB39" s="2"/>
      <c r="AC39" s="2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s="3" customFormat="1" ht="21.6" x14ac:dyDescent="0.2">
      <c r="A40" s="4">
        <v>2108</v>
      </c>
      <c r="B40" s="15" t="s">
        <v>2</v>
      </c>
      <c r="C40" s="5" t="s">
        <v>25</v>
      </c>
      <c r="D40" s="1" t="s">
        <v>87</v>
      </c>
      <c r="E40" s="15" t="s">
        <v>86</v>
      </c>
      <c r="F40" s="15" t="s">
        <v>91</v>
      </c>
      <c r="G40" s="15" t="s">
        <v>74</v>
      </c>
      <c r="H40" s="9" t="s">
        <v>75</v>
      </c>
      <c r="I40" s="16" t="s">
        <v>3</v>
      </c>
      <c r="J40" s="17">
        <v>0.7</v>
      </c>
      <c r="K40" s="22" t="s">
        <v>39</v>
      </c>
      <c r="L40" s="20" t="s">
        <v>40</v>
      </c>
      <c r="M40" s="22" t="s">
        <v>60</v>
      </c>
      <c r="N40" s="27">
        <v>1</v>
      </c>
      <c r="O40" s="17">
        <v>0.1</v>
      </c>
      <c r="P40" s="26"/>
      <c r="Q40" s="17">
        <f t="shared" ref="Q40:Q47" si="10">ROUND(IF(OR(N40="",P40=""),0,IF(AND(N40=0,P40=0),1,IF(S40="+",P40/N40,N40/P40))),2)</f>
        <v>0</v>
      </c>
      <c r="R40" s="24">
        <f t="shared" si="9"/>
        <v>0</v>
      </c>
      <c r="S40" s="17" t="s">
        <v>0</v>
      </c>
      <c r="T40" s="17"/>
      <c r="U40" s="2"/>
      <c r="V40" s="2"/>
      <c r="W40" s="2"/>
      <c r="X40" s="2"/>
      <c r="Y40" s="2"/>
      <c r="Z40" s="2"/>
      <c r="AA40" s="2"/>
      <c r="AB40" s="2"/>
      <c r="AC40" s="2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s="3" customFormat="1" ht="21.6" x14ac:dyDescent="0.2">
      <c r="A41" s="4">
        <v>2109</v>
      </c>
      <c r="B41" s="15" t="s">
        <v>2</v>
      </c>
      <c r="C41" s="5" t="s">
        <v>25</v>
      </c>
      <c r="D41" s="1" t="s">
        <v>87</v>
      </c>
      <c r="E41" s="15" t="s">
        <v>86</v>
      </c>
      <c r="F41" s="15" t="s">
        <v>91</v>
      </c>
      <c r="G41" s="15" t="s">
        <v>74</v>
      </c>
      <c r="H41" s="9" t="s">
        <v>75</v>
      </c>
      <c r="I41" s="16" t="s">
        <v>3</v>
      </c>
      <c r="J41" s="17">
        <v>0.7</v>
      </c>
      <c r="K41" s="22" t="s">
        <v>41</v>
      </c>
      <c r="L41" s="20" t="s">
        <v>42</v>
      </c>
      <c r="M41" s="22" t="s">
        <v>43</v>
      </c>
      <c r="N41" s="26" t="s">
        <v>27</v>
      </c>
      <c r="O41" s="17">
        <v>0.15</v>
      </c>
      <c r="P41" s="28"/>
      <c r="Q41" s="17">
        <f t="shared" si="10"/>
        <v>0</v>
      </c>
      <c r="R41" s="24">
        <f t="shared" si="9"/>
        <v>0</v>
      </c>
      <c r="S41" s="17" t="s">
        <v>4</v>
      </c>
      <c r="T41" s="17"/>
      <c r="U41" s="2"/>
      <c r="V41" s="2"/>
      <c r="W41" s="2"/>
      <c r="X41" s="2"/>
      <c r="Y41" s="2"/>
      <c r="Z41" s="2"/>
      <c r="AA41" s="2"/>
      <c r="AB41" s="2"/>
      <c r="AC41" s="2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s="3" customFormat="1" ht="21.6" x14ac:dyDescent="0.2">
      <c r="A42" s="4">
        <v>2110</v>
      </c>
      <c r="B42" s="15" t="s">
        <v>2</v>
      </c>
      <c r="C42" s="5" t="s">
        <v>25</v>
      </c>
      <c r="D42" s="1" t="s">
        <v>87</v>
      </c>
      <c r="E42" s="15" t="s">
        <v>86</v>
      </c>
      <c r="F42" s="15" t="s">
        <v>91</v>
      </c>
      <c r="G42" s="15" t="s">
        <v>74</v>
      </c>
      <c r="H42" s="9" t="s">
        <v>75</v>
      </c>
      <c r="I42" s="16" t="s">
        <v>3</v>
      </c>
      <c r="J42" s="17">
        <v>0.7</v>
      </c>
      <c r="K42" s="22" t="s">
        <v>44</v>
      </c>
      <c r="L42" s="20" t="s">
        <v>45</v>
      </c>
      <c r="M42" s="22" t="s">
        <v>63</v>
      </c>
      <c r="N42" s="22" t="s">
        <v>27</v>
      </c>
      <c r="O42" s="17">
        <v>0.15</v>
      </c>
      <c r="P42" s="29"/>
      <c r="Q42" s="17">
        <f t="shared" si="10"/>
        <v>0</v>
      </c>
      <c r="R42" s="24">
        <f t="shared" si="9"/>
        <v>0</v>
      </c>
      <c r="S42" s="17" t="s">
        <v>4</v>
      </c>
      <c r="T42" s="17"/>
      <c r="U42" s="2"/>
      <c r="V42" s="2"/>
      <c r="W42" s="2"/>
      <c r="X42" s="2"/>
      <c r="Y42" s="2"/>
      <c r="Z42" s="2"/>
      <c r="AA42" s="2"/>
      <c r="AB42" s="2"/>
      <c r="AC42" s="2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s="3" customFormat="1" ht="21.6" x14ac:dyDescent="0.2">
      <c r="A43" s="4">
        <v>2111</v>
      </c>
      <c r="B43" s="15" t="s">
        <v>2</v>
      </c>
      <c r="C43" s="5" t="s">
        <v>25</v>
      </c>
      <c r="D43" s="1" t="s">
        <v>87</v>
      </c>
      <c r="E43" s="15" t="s">
        <v>86</v>
      </c>
      <c r="F43" s="15" t="s">
        <v>91</v>
      </c>
      <c r="G43" s="15" t="s">
        <v>74</v>
      </c>
      <c r="H43" s="9" t="s">
        <v>75</v>
      </c>
      <c r="I43" s="18" t="s">
        <v>3</v>
      </c>
      <c r="J43" s="17">
        <v>0.7</v>
      </c>
      <c r="K43" s="18" t="s">
        <v>46</v>
      </c>
      <c r="L43" s="21" t="s">
        <v>47</v>
      </c>
      <c r="M43" s="18" t="s">
        <v>65</v>
      </c>
      <c r="N43" s="30" t="s">
        <v>28</v>
      </c>
      <c r="O43" s="31">
        <v>0.1</v>
      </c>
      <c r="P43" s="29"/>
      <c r="Q43" s="31">
        <f t="shared" si="10"/>
        <v>0</v>
      </c>
      <c r="R43" s="32">
        <f t="shared" si="9"/>
        <v>0</v>
      </c>
      <c r="S43" s="31" t="s">
        <v>0</v>
      </c>
      <c r="T43" s="31"/>
      <c r="U43" s="2"/>
      <c r="V43" s="2"/>
      <c r="W43" s="2"/>
      <c r="X43" s="2"/>
      <c r="Y43" s="2"/>
      <c r="Z43" s="2"/>
      <c r="AA43" s="2"/>
      <c r="AB43" s="2"/>
      <c r="AC43" s="2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s="3" customFormat="1" ht="21.6" x14ac:dyDescent="0.2">
      <c r="A44" s="4">
        <v>2112</v>
      </c>
      <c r="B44" s="15" t="s">
        <v>2</v>
      </c>
      <c r="C44" s="5" t="s">
        <v>25</v>
      </c>
      <c r="D44" s="1" t="s">
        <v>87</v>
      </c>
      <c r="E44" s="15" t="s">
        <v>86</v>
      </c>
      <c r="F44" s="15" t="s">
        <v>91</v>
      </c>
      <c r="G44" s="15" t="s">
        <v>74</v>
      </c>
      <c r="H44" s="9" t="s">
        <v>75</v>
      </c>
      <c r="I44" s="18" t="s">
        <v>3</v>
      </c>
      <c r="J44" s="17">
        <v>0.7</v>
      </c>
      <c r="K44" s="18" t="s">
        <v>48</v>
      </c>
      <c r="L44" s="21" t="s">
        <v>49</v>
      </c>
      <c r="M44" s="18" t="s">
        <v>67</v>
      </c>
      <c r="N44" s="30" t="s">
        <v>68</v>
      </c>
      <c r="O44" s="31">
        <v>0.1</v>
      </c>
      <c r="P44" s="29"/>
      <c r="Q44" s="31">
        <f t="shared" si="10"/>
        <v>0</v>
      </c>
      <c r="R44" s="32">
        <f t="shared" si="9"/>
        <v>0</v>
      </c>
      <c r="S44" s="31" t="s">
        <v>0</v>
      </c>
      <c r="T44" s="31"/>
      <c r="U44" s="2"/>
      <c r="V44" s="2"/>
      <c r="W44" s="2"/>
      <c r="X44" s="2"/>
      <c r="Y44" s="2"/>
      <c r="Z44" s="2"/>
      <c r="AA44" s="2"/>
      <c r="AB44" s="2"/>
      <c r="AC44" s="2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s="3" customFormat="1" ht="21.6" x14ac:dyDescent="0.2">
      <c r="A45" s="4">
        <v>2113</v>
      </c>
      <c r="B45" s="15" t="s">
        <v>2</v>
      </c>
      <c r="C45" s="5" t="s">
        <v>25</v>
      </c>
      <c r="D45" s="1" t="s">
        <v>87</v>
      </c>
      <c r="E45" s="15" t="s">
        <v>86</v>
      </c>
      <c r="F45" s="15" t="s">
        <v>91</v>
      </c>
      <c r="G45" s="15" t="s">
        <v>74</v>
      </c>
      <c r="H45" s="9" t="s">
        <v>75</v>
      </c>
      <c r="I45" s="18" t="s">
        <v>3</v>
      </c>
      <c r="J45" s="17">
        <v>0.7</v>
      </c>
      <c r="K45" s="18" t="s">
        <v>50</v>
      </c>
      <c r="L45" s="21" t="s">
        <v>51</v>
      </c>
      <c r="M45" s="8" t="s">
        <v>70</v>
      </c>
      <c r="N45" s="33" t="s">
        <v>28</v>
      </c>
      <c r="O45" s="31">
        <v>0.05</v>
      </c>
      <c r="P45" s="33"/>
      <c r="Q45" s="31">
        <f t="shared" si="10"/>
        <v>0</v>
      </c>
      <c r="R45" s="32">
        <f t="shared" si="9"/>
        <v>0</v>
      </c>
      <c r="S45" s="31" t="s">
        <v>0</v>
      </c>
      <c r="T45" s="31"/>
      <c r="U45" s="2"/>
      <c r="V45" s="2"/>
      <c r="W45" s="2"/>
      <c r="X45" s="2"/>
      <c r="Y45" s="2"/>
      <c r="Z45" s="2"/>
      <c r="AA45" s="2"/>
      <c r="AB45" s="2"/>
      <c r="AC45" s="2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s="3" customFormat="1" ht="21.6" x14ac:dyDescent="0.2">
      <c r="A46" s="4">
        <v>2114</v>
      </c>
      <c r="B46" s="15" t="s">
        <v>2</v>
      </c>
      <c r="C46" s="5" t="s">
        <v>25</v>
      </c>
      <c r="D46" s="1" t="s">
        <v>87</v>
      </c>
      <c r="E46" s="15" t="s">
        <v>86</v>
      </c>
      <c r="F46" s="15" t="s">
        <v>91</v>
      </c>
      <c r="G46" s="15" t="s">
        <v>74</v>
      </c>
      <c r="H46" s="9" t="s">
        <v>75</v>
      </c>
      <c r="I46" s="18" t="s">
        <v>1</v>
      </c>
      <c r="J46" s="19">
        <v>0.3</v>
      </c>
      <c r="K46" s="18" t="s">
        <v>52</v>
      </c>
      <c r="L46" s="21" t="s">
        <v>53</v>
      </c>
      <c r="M46" s="8" t="s">
        <v>72</v>
      </c>
      <c r="N46" s="33" t="s">
        <v>54</v>
      </c>
      <c r="O46" s="31">
        <v>0.1</v>
      </c>
      <c r="P46" s="33"/>
      <c r="Q46" s="31">
        <f t="shared" si="10"/>
        <v>0</v>
      </c>
      <c r="R46" s="32">
        <f t="shared" ref="R46:R54" si="11">IF(AND(Q46&gt;=60%,Q46&lt;100%),Q46*((O46*J46)),IF(Q46=100%,((O46*J46)*Q46)*100%,IF(Q46&gt;100%,((J46*O46)*100%)*100%,0)))*100</f>
        <v>0</v>
      </c>
      <c r="S46" s="31" t="s">
        <v>0</v>
      </c>
      <c r="T46" s="31"/>
      <c r="U46" s="2"/>
      <c r="V46" s="2"/>
      <c r="W46" s="2"/>
      <c r="X46" s="2"/>
      <c r="Y46" s="2"/>
      <c r="Z46" s="2"/>
      <c r="AA46" s="2"/>
      <c r="AB46" s="2"/>
      <c r="AC46" s="2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s="3" customFormat="1" ht="21.6" x14ac:dyDescent="0.2">
      <c r="A47" s="4">
        <v>2115</v>
      </c>
      <c r="B47" s="15" t="s">
        <v>2</v>
      </c>
      <c r="C47" s="5" t="s">
        <v>25</v>
      </c>
      <c r="D47" s="1" t="s">
        <v>89</v>
      </c>
      <c r="E47" s="15" t="s">
        <v>88</v>
      </c>
      <c r="F47" s="15" t="s">
        <v>91</v>
      </c>
      <c r="G47" s="15" t="s">
        <v>74</v>
      </c>
      <c r="H47" s="9" t="s">
        <v>75</v>
      </c>
      <c r="I47" s="16" t="s">
        <v>3</v>
      </c>
      <c r="J47" s="17">
        <v>0.7</v>
      </c>
      <c r="K47" s="22" t="s">
        <v>34</v>
      </c>
      <c r="L47" s="20" t="s">
        <v>35</v>
      </c>
      <c r="M47" s="7" t="s">
        <v>56</v>
      </c>
      <c r="N47" s="23" t="s">
        <v>26</v>
      </c>
      <c r="O47" s="17">
        <v>0.1</v>
      </c>
      <c r="P47" s="17"/>
      <c r="Q47" s="17">
        <f t="shared" si="10"/>
        <v>0</v>
      </c>
      <c r="R47" s="24">
        <f t="shared" si="11"/>
        <v>0</v>
      </c>
      <c r="S47" s="17" t="s">
        <v>0</v>
      </c>
      <c r="T47" s="25">
        <f>SUM(R47:R55)%</f>
        <v>0</v>
      </c>
      <c r="U47" s="2"/>
      <c r="V47" s="2"/>
      <c r="W47" s="2"/>
      <c r="X47" s="2"/>
      <c r="Y47" s="2"/>
      <c r="Z47" s="2"/>
      <c r="AA47" s="2"/>
      <c r="AB47" s="2"/>
      <c r="AC47" s="2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s="3" customFormat="1" ht="21.6" x14ac:dyDescent="0.2">
      <c r="A48" s="4">
        <v>2116</v>
      </c>
      <c r="B48" s="15" t="s">
        <v>2</v>
      </c>
      <c r="C48" s="5" t="s">
        <v>25</v>
      </c>
      <c r="D48" s="1" t="s">
        <v>89</v>
      </c>
      <c r="E48" s="15" t="s">
        <v>88</v>
      </c>
      <c r="F48" s="15" t="s">
        <v>91</v>
      </c>
      <c r="G48" s="15" t="s">
        <v>74</v>
      </c>
      <c r="H48" s="9" t="s">
        <v>75</v>
      </c>
      <c r="I48" s="16" t="s">
        <v>3</v>
      </c>
      <c r="J48" s="17">
        <v>0.7</v>
      </c>
      <c r="K48" s="22" t="s">
        <v>36</v>
      </c>
      <c r="L48" s="20" t="s">
        <v>37</v>
      </c>
      <c r="M48" s="22" t="s">
        <v>58</v>
      </c>
      <c r="N48" s="23" t="s">
        <v>38</v>
      </c>
      <c r="O48" s="17">
        <v>0.15</v>
      </c>
      <c r="P48" s="26"/>
      <c r="Q48" s="17">
        <f>ROUND(IF(OR(N48="",P48=""),0,IF(AND(N48=0,P48=0),1,IF(S48="+",P48/N48,N48/P48))),2)</f>
        <v>0</v>
      </c>
      <c r="R48" s="24">
        <f t="shared" si="11"/>
        <v>0</v>
      </c>
      <c r="S48" s="17" t="s">
        <v>4</v>
      </c>
      <c r="T48" s="17"/>
      <c r="U48" s="2"/>
      <c r="V48" s="2"/>
      <c r="W48" s="2"/>
      <c r="X48" s="2"/>
      <c r="Y48" s="2"/>
      <c r="Z48" s="2"/>
      <c r="AA48" s="2"/>
      <c r="AB48" s="2"/>
      <c r="AC48" s="2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s="3" customFormat="1" ht="21.6" x14ac:dyDescent="0.2">
      <c r="A49" s="4">
        <v>2117</v>
      </c>
      <c r="B49" s="15" t="s">
        <v>2</v>
      </c>
      <c r="C49" s="5" t="s">
        <v>25</v>
      </c>
      <c r="D49" s="1" t="s">
        <v>89</v>
      </c>
      <c r="E49" s="15" t="s">
        <v>88</v>
      </c>
      <c r="F49" s="15" t="s">
        <v>91</v>
      </c>
      <c r="G49" s="15" t="s">
        <v>74</v>
      </c>
      <c r="H49" s="9" t="s">
        <v>75</v>
      </c>
      <c r="I49" s="16" t="s">
        <v>3</v>
      </c>
      <c r="J49" s="17">
        <v>0.7</v>
      </c>
      <c r="K49" s="22" t="s">
        <v>39</v>
      </c>
      <c r="L49" s="20" t="s">
        <v>40</v>
      </c>
      <c r="M49" s="22" t="s">
        <v>60</v>
      </c>
      <c r="N49" s="27">
        <v>1</v>
      </c>
      <c r="O49" s="17">
        <v>0.1</v>
      </c>
      <c r="P49" s="26"/>
      <c r="Q49" s="17">
        <f t="shared" ref="Q49:Q56" si="12">ROUND(IF(OR(N49="",P49=""),0,IF(AND(N49=0,P49=0),1,IF(S49="+",P49/N49,N49/P49))),2)</f>
        <v>0</v>
      </c>
      <c r="R49" s="24">
        <f t="shared" si="11"/>
        <v>0</v>
      </c>
      <c r="S49" s="17" t="s">
        <v>0</v>
      </c>
      <c r="T49" s="17"/>
      <c r="U49" s="2"/>
      <c r="V49" s="2"/>
      <c r="W49" s="2"/>
      <c r="X49" s="2"/>
      <c r="Y49" s="2"/>
      <c r="Z49" s="2"/>
      <c r="AA49" s="2"/>
      <c r="AB49" s="2"/>
      <c r="AC49" s="2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s="3" customFormat="1" ht="21.6" x14ac:dyDescent="0.2">
      <c r="A50" s="4">
        <v>2118</v>
      </c>
      <c r="B50" s="15" t="s">
        <v>2</v>
      </c>
      <c r="C50" s="5" t="s">
        <v>25</v>
      </c>
      <c r="D50" s="1" t="s">
        <v>89</v>
      </c>
      <c r="E50" s="15" t="s">
        <v>88</v>
      </c>
      <c r="F50" s="15" t="s">
        <v>91</v>
      </c>
      <c r="G50" s="15" t="s">
        <v>74</v>
      </c>
      <c r="H50" s="9" t="s">
        <v>75</v>
      </c>
      <c r="I50" s="16" t="s">
        <v>3</v>
      </c>
      <c r="J50" s="17">
        <v>0.7</v>
      </c>
      <c r="K50" s="22" t="s">
        <v>41</v>
      </c>
      <c r="L50" s="20" t="s">
        <v>42</v>
      </c>
      <c r="M50" s="22" t="s">
        <v>43</v>
      </c>
      <c r="N50" s="26" t="s">
        <v>27</v>
      </c>
      <c r="O50" s="17">
        <v>0.15</v>
      </c>
      <c r="P50" s="28"/>
      <c r="Q50" s="17">
        <f t="shared" si="12"/>
        <v>0</v>
      </c>
      <c r="R50" s="24">
        <f t="shared" si="11"/>
        <v>0</v>
      </c>
      <c r="S50" s="17" t="s">
        <v>4</v>
      </c>
      <c r="T50" s="17"/>
      <c r="U50" s="2"/>
      <c r="V50" s="2"/>
      <c r="W50" s="2"/>
      <c r="X50" s="2"/>
      <c r="Y50" s="2"/>
      <c r="Z50" s="2"/>
      <c r="AA50" s="2"/>
      <c r="AB50" s="2"/>
      <c r="AC50" s="2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s="3" customFormat="1" ht="21.6" x14ac:dyDescent="0.2">
      <c r="A51" s="4">
        <v>2119</v>
      </c>
      <c r="B51" s="15" t="s">
        <v>2</v>
      </c>
      <c r="C51" s="5" t="s">
        <v>25</v>
      </c>
      <c r="D51" s="1" t="s">
        <v>89</v>
      </c>
      <c r="E51" s="15" t="s">
        <v>88</v>
      </c>
      <c r="F51" s="15" t="s">
        <v>91</v>
      </c>
      <c r="G51" s="15" t="s">
        <v>74</v>
      </c>
      <c r="H51" s="9" t="s">
        <v>75</v>
      </c>
      <c r="I51" s="16" t="s">
        <v>3</v>
      </c>
      <c r="J51" s="17">
        <v>0.7</v>
      </c>
      <c r="K51" s="22" t="s">
        <v>44</v>
      </c>
      <c r="L51" s="20" t="s">
        <v>45</v>
      </c>
      <c r="M51" s="22" t="s">
        <v>63</v>
      </c>
      <c r="N51" s="22" t="s">
        <v>27</v>
      </c>
      <c r="O51" s="17">
        <v>0.15</v>
      </c>
      <c r="P51" s="29"/>
      <c r="Q51" s="17">
        <f t="shared" si="12"/>
        <v>0</v>
      </c>
      <c r="R51" s="24">
        <f t="shared" si="11"/>
        <v>0</v>
      </c>
      <c r="S51" s="17" t="s">
        <v>4</v>
      </c>
      <c r="T51" s="17"/>
      <c r="U51" s="2"/>
      <c r="V51" s="2"/>
      <c r="W51" s="2"/>
      <c r="X51" s="2"/>
      <c r="Y51" s="2"/>
      <c r="Z51" s="2"/>
      <c r="AA51" s="2"/>
      <c r="AB51" s="2"/>
      <c r="AC51" s="2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s="3" customFormat="1" ht="21.6" x14ac:dyDescent="0.2">
      <c r="A52" s="4">
        <v>2120</v>
      </c>
      <c r="B52" s="15" t="s">
        <v>2</v>
      </c>
      <c r="C52" s="5" t="s">
        <v>25</v>
      </c>
      <c r="D52" s="1" t="s">
        <v>89</v>
      </c>
      <c r="E52" s="15" t="s">
        <v>88</v>
      </c>
      <c r="F52" s="15" t="s">
        <v>91</v>
      </c>
      <c r="G52" s="15" t="s">
        <v>74</v>
      </c>
      <c r="H52" s="9" t="s">
        <v>75</v>
      </c>
      <c r="I52" s="18" t="s">
        <v>3</v>
      </c>
      <c r="J52" s="17">
        <v>0.7</v>
      </c>
      <c r="K52" s="18" t="s">
        <v>46</v>
      </c>
      <c r="L52" s="21" t="s">
        <v>47</v>
      </c>
      <c r="M52" s="18" t="s">
        <v>65</v>
      </c>
      <c r="N52" s="30" t="s">
        <v>28</v>
      </c>
      <c r="O52" s="31">
        <v>0.1</v>
      </c>
      <c r="P52" s="29"/>
      <c r="Q52" s="31">
        <f t="shared" si="12"/>
        <v>0</v>
      </c>
      <c r="R52" s="32">
        <f t="shared" si="11"/>
        <v>0</v>
      </c>
      <c r="S52" s="31" t="s">
        <v>0</v>
      </c>
      <c r="T52" s="31"/>
      <c r="U52" s="2"/>
      <c r="V52" s="2"/>
      <c r="W52" s="2"/>
      <c r="X52" s="2"/>
      <c r="Y52" s="2"/>
      <c r="Z52" s="2"/>
      <c r="AA52" s="2"/>
      <c r="AB52" s="2"/>
      <c r="AC52" s="2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s="3" customFormat="1" ht="21.6" x14ac:dyDescent="0.2">
      <c r="A53" s="4">
        <v>2121</v>
      </c>
      <c r="B53" s="15" t="s">
        <v>2</v>
      </c>
      <c r="C53" s="5" t="s">
        <v>25</v>
      </c>
      <c r="D53" s="1" t="s">
        <v>89</v>
      </c>
      <c r="E53" s="15" t="s">
        <v>88</v>
      </c>
      <c r="F53" s="15" t="s">
        <v>91</v>
      </c>
      <c r="G53" s="15" t="s">
        <v>74</v>
      </c>
      <c r="H53" s="9" t="s">
        <v>75</v>
      </c>
      <c r="I53" s="18" t="s">
        <v>3</v>
      </c>
      <c r="J53" s="17">
        <v>0.7</v>
      </c>
      <c r="K53" s="18" t="s">
        <v>48</v>
      </c>
      <c r="L53" s="21" t="s">
        <v>49</v>
      </c>
      <c r="M53" s="18" t="s">
        <v>67</v>
      </c>
      <c r="N53" s="30" t="s">
        <v>68</v>
      </c>
      <c r="O53" s="31">
        <v>0.1</v>
      </c>
      <c r="P53" s="29"/>
      <c r="Q53" s="31">
        <f t="shared" si="12"/>
        <v>0</v>
      </c>
      <c r="R53" s="32">
        <f t="shared" si="11"/>
        <v>0</v>
      </c>
      <c r="S53" s="31" t="s">
        <v>0</v>
      </c>
      <c r="T53" s="31"/>
      <c r="U53" s="2"/>
      <c r="V53" s="2"/>
      <c r="W53" s="2"/>
      <c r="X53" s="2"/>
      <c r="Y53" s="2"/>
      <c r="Z53" s="2"/>
      <c r="AA53" s="2"/>
      <c r="AB53" s="2"/>
      <c r="AC53" s="2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s="3" customFormat="1" ht="21.6" x14ac:dyDescent="0.2">
      <c r="A54" s="4">
        <v>2122</v>
      </c>
      <c r="B54" s="15" t="s">
        <v>2</v>
      </c>
      <c r="C54" s="5" t="s">
        <v>25</v>
      </c>
      <c r="D54" s="1" t="s">
        <v>89</v>
      </c>
      <c r="E54" s="15" t="s">
        <v>88</v>
      </c>
      <c r="F54" s="15" t="s">
        <v>91</v>
      </c>
      <c r="G54" s="15" t="s">
        <v>74</v>
      </c>
      <c r="H54" s="9" t="s">
        <v>75</v>
      </c>
      <c r="I54" s="18" t="s">
        <v>3</v>
      </c>
      <c r="J54" s="17">
        <v>0.7</v>
      </c>
      <c r="K54" s="18" t="s">
        <v>50</v>
      </c>
      <c r="L54" s="21" t="s">
        <v>51</v>
      </c>
      <c r="M54" s="8" t="s">
        <v>70</v>
      </c>
      <c r="N54" s="33" t="s">
        <v>28</v>
      </c>
      <c r="O54" s="31">
        <v>0.05</v>
      </c>
      <c r="P54" s="33"/>
      <c r="Q54" s="31">
        <f t="shared" si="12"/>
        <v>0</v>
      </c>
      <c r="R54" s="32">
        <f t="shared" si="11"/>
        <v>0</v>
      </c>
      <c r="S54" s="31" t="s">
        <v>0</v>
      </c>
      <c r="T54" s="31"/>
      <c r="U54" s="2"/>
      <c r="V54" s="2"/>
      <c r="W54" s="2"/>
      <c r="X54" s="2"/>
      <c r="Y54" s="2"/>
      <c r="Z54" s="2"/>
      <c r="AA54" s="2"/>
      <c r="AB54" s="2"/>
      <c r="AC54" s="2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s="3" customFormat="1" ht="21.6" x14ac:dyDescent="0.2">
      <c r="A55" s="4">
        <v>2123</v>
      </c>
      <c r="B55" s="15" t="s">
        <v>2</v>
      </c>
      <c r="C55" s="5" t="s">
        <v>25</v>
      </c>
      <c r="D55" s="1" t="s">
        <v>89</v>
      </c>
      <c r="E55" s="15" t="s">
        <v>88</v>
      </c>
      <c r="F55" s="15" t="s">
        <v>91</v>
      </c>
      <c r="G55" s="15" t="s">
        <v>74</v>
      </c>
      <c r="H55" s="9" t="s">
        <v>75</v>
      </c>
      <c r="I55" s="18" t="s">
        <v>1</v>
      </c>
      <c r="J55" s="19">
        <v>0.3</v>
      </c>
      <c r="K55" s="18" t="s">
        <v>52</v>
      </c>
      <c r="L55" s="21" t="s">
        <v>53</v>
      </c>
      <c r="M55" s="8" t="s">
        <v>72</v>
      </c>
      <c r="N55" s="33" t="s">
        <v>54</v>
      </c>
      <c r="O55" s="31">
        <v>0.1</v>
      </c>
      <c r="P55" s="33"/>
      <c r="Q55" s="31">
        <f t="shared" si="12"/>
        <v>0</v>
      </c>
      <c r="R55" s="32">
        <f t="shared" ref="R55:R63" si="13">IF(AND(Q55&gt;=60%,Q55&lt;100%),Q55*((O55*J55)),IF(Q55=100%,((O55*J55)*Q55)*100%,IF(Q55&gt;100%,((J55*O55)*100%)*100%,0)))*100</f>
        <v>0</v>
      </c>
      <c r="S55" s="31" t="s">
        <v>0</v>
      </c>
      <c r="T55" s="31"/>
      <c r="U55" s="2"/>
      <c r="V55" s="2"/>
      <c r="W55" s="2"/>
      <c r="X55" s="2"/>
      <c r="Y55" s="2"/>
      <c r="Z55" s="2"/>
      <c r="AA55" s="2"/>
      <c r="AB55" s="2"/>
      <c r="AC55" s="2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s="3" customFormat="1" ht="21.6" x14ac:dyDescent="0.2">
      <c r="A56" s="4">
        <v>2124</v>
      </c>
      <c r="B56" s="15" t="s">
        <v>2</v>
      </c>
      <c r="C56" s="5" t="s">
        <v>25</v>
      </c>
      <c r="D56" s="1" t="s">
        <v>90</v>
      </c>
      <c r="E56" s="15" t="s">
        <v>92</v>
      </c>
      <c r="F56" s="15" t="s">
        <v>91</v>
      </c>
      <c r="G56" s="15" t="s">
        <v>74</v>
      </c>
      <c r="H56" s="9" t="s">
        <v>75</v>
      </c>
      <c r="I56" s="16" t="s">
        <v>3</v>
      </c>
      <c r="J56" s="17">
        <v>0.7</v>
      </c>
      <c r="K56" s="22" t="s">
        <v>34</v>
      </c>
      <c r="L56" s="20" t="s">
        <v>35</v>
      </c>
      <c r="M56" s="7" t="s">
        <v>56</v>
      </c>
      <c r="N56" s="23" t="s">
        <v>26</v>
      </c>
      <c r="O56" s="17">
        <v>0.1</v>
      </c>
      <c r="P56" s="17"/>
      <c r="Q56" s="17">
        <f t="shared" si="12"/>
        <v>0</v>
      </c>
      <c r="R56" s="24">
        <f t="shared" si="13"/>
        <v>0</v>
      </c>
      <c r="S56" s="17" t="s">
        <v>0</v>
      </c>
      <c r="T56" s="25">
        <f>SUM(R56:R64)%</f>
        <v>0</v>
      </c>
      <c r="U56" s="2"/>
      <c r="V56" s="2"/>
      <c r="W56" s="2"/>
      <c r="X56" s="2"/>
      <c r="Y56" s="2"/>
      <c r="Z56" s="2"/>
      <c r="AA56" s="2"/>
      <c r="AB56" s="2"/>
      <c r="AC56" s="2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s="3" customFormat="1" ht="21.6" x14ac:dyDescent="0.2">
      <c r="A57" s="4">
        <v>2125</v>
      </c>
      <c r="B57" s="15" t="s">
        <v>2</v>
      </c>
      <c r="C57" s="5" t="s">
        <v>25</v>
      </c>
      <c r="D57" s="1" t="s">
        <v>90</v>
      </c>
      <c r="E57" s="15" t="s">
        <v>92</v>
      </c>
      <c r="F57" s="15" t="s">
        <v>91</v>
      </c>
      <c r="G57" s="15" t="s">
        <v>74</v>
      </c>
      <c r="H57" s="9" t="s">
        <v>75</v>
      </c>
      <c r="I57" s="16" t="s">
        <v>3</v>
      </c>
      <c r="J57" s="17">
        <v>0.7</v>
      </c>
      <c r="K57" s="22" t="s">
        <v>36</v>
      </c>
      <c r="L57" s="20" t="s">
        <v>37</v>
      </c>
      <c r="M57" s="22" t="s">
        <v>58</v>
      </c>
      <c r="N57" s="23" t="s">
        <v>38</v>
      </c>
      <c r="O57" s="17">
        <v>0.15</v>
      </c>
      <c r="P57" s="26"/>
      <c r="Q57" s="17">
        <f>ROUND(IF(OR(N57="",P57=""),0,IF(AND(N57=0,P57=0),1,IF(S57="+",P57/N57,N57/P57))),2)</f>
        <v>0</v>
      </c>
      <c r="R57" s="24">
        <f t="shared" si="13"/>
        <v>0</v>
      </c>
      <c r="S57" s="17" t="s">
        <v>4</v>
      </c>
      <c r="T57" s="17"/>
      <c r="U57" s="2"/>
      <c r="V57" s="2"/>
      <c r="W57" s="2"/>
      <c r="X57" s="2"/>
      <c r="Y57" s="2"/>
      <c r="Z57" s="2"/>
      <c r="AA57" s="2"/>
      <c r="AB57" s="2"/>
      <c r="AC57" s="2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s="3" customFormat="1" ht="21.6" x14ac:dyDescent="0.2">
      <c r="A58" s="4">
        <v>2126</v>
      </c>
      <c r="B58" s="15" t="s">
        <v>2</v>
      </c>
      <c r="C58" s="5" t="s">
        <v>25</v>
      </c>
      <c r="D58" s="1" t="s">
        <v>90</v>
      </c>
      <c r="E58" s="15" t="s">
        <v>92</v>
      </c>
      <c r="F58" s="15" t="s">
        <v>91</v>
      </c>
      <c r="G58" s="15" t="s">
        <v>74</v>
      </c>
      <c r="H58" s="9" t="s">
        <v>75</v>
      </c>
      <c r="I58" s="16" t="s">
        <v>3</v>
      </c>
      <c r="J58" s="17">
        <v>0.7</v>
      </c>
      <c r="K58" s="22" t="s">
        <v>39</v>
      </c>
      <c r="L58" s="20" t="s">
        <v>40</v>
      </c>
      <c r="M58" s="22" t="s">
        <v>60</v>
      </c>
      <c r="N58" s="27">
        <v>1</v>
      </c>
      <c r="O58" s="17">
        <v>0.1</v>
      </c>
      <c r="P58" s="26"/>
      <c r="Q58" s="17">
        <f t="shared" ref="Q58:Q65" si="14">ROUND(IF(OR(N58="",P58=""),0,IF(AND(N58=0,P58=0),1,IF(S58="+",P58/N58,N58/P58))),2)</f>
        <v>0</v>
      </c>
      <c r="R58" s="24">
        <f t="shared" si="13"/>
        <v>0</v>
      </c>
      <c r="S58" s="17" t="s">
        <v>0</v>
      </c>
      <c r="T58" s="17"/>
      <c r="U58" s="2"/>
      <c r="V58" s="2"/>
      <c r="W58" s="2"/>
      <c r="X58" s="2"/>
      <c r="Y58" s="2"/>
      <c r="Z58" s="2"/>
      <c r="AA58" s="2"/>
      <c r="AB58" s="2"/>
      <c r="AC58" s="2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s="3" customFormat="1" ht="21.6" x14ac:dyDescent="0.2">
      <c r="A59" s="4">
        <v>2127</v>
      </c>
      <c r="B59" s="15" t="s">
        <v>2</v>
      </c>
      <c r="C59" s="5" t="s">
        <v>25</v>
      </c>
      <c r="D59" s="1" t="s">
        <v>90</v>
      </c>
      <c r="E59" s="15" t="s">
        <v>92</v>
      </c>
      <c r="F59" s="15" t="s">
        <v>91</v>
      </c>
      <c r="G59" s="15" t="s">
        <v>74</v>
      </c>
      <c r="H59" s="9" t="s">
        <v>75</v>
      </c>
      <c r="I59" s="16" t="s">
        <v>3</v>
      </c>
      <c r="J59" s="17">
        <v>0.7</v>
      </c>
      <c r="K59" s="22" t="s">
        <v>41</v>
      </c>
      <c r="L59" s="20" t="s">
        <v>42</v>
      </c>
      <c r="M59" s="22" t="s">
        <v>43</v>
      </c>
      <c r="N59" s="26" t="s">
        <v>27</v>
      </c>
      <c r="O59" s="17">
        <v>0.15</v>
      </c>
      <c r="P59" s="28"/>
      <c r="Q59" s="17">
        <f t="shared" si="14"/>
        <v>0</v>
      </c>
      <c r="R59" s="24">
        <f t="shared" si="13"/>
        <v>0</v>
      </c>
      <c r="S59" s="17" t="s">
        <v>4</v>
      </c>
      <c r="T59" s="17"/>
      <c r="U59" s="2"/>
      <c r="V59" s="2"/>
      <c r="W59" s="2"/>
      <c r="X59" s="2"/>
      <c r="Y59" s="2"/>
      <c r="Z59" s="2"/>
      <c r="AA59" s="2"/>
      <c r="AB59" s="2"/>
      <c r="AC59" s="2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s="3" customFormat="1" ht="21.6" x14ac:dyDescent="0.2">
      <c r="A60" s="4">
        <v>2128</v>
      </c>
      <c r="B60" s="15" t="s">
        <v>2</v>
      </c>
      <c r="C60" s="5" t="s">
        <v>25</v>
      </c>
      <c r="D60" s="1" t="s">
        <v>90</v>
      </c>
      <c r="E60" s="15" t="s">
        <v>92</v>
      </c>
      <c r="F60" s="15" t="s">
        <v>91</v>
      </c>
      <c r="G60" s="15" t="s">
        <v>74</v>
      </c>
      <c r="H60" s="9" t="s">
        <v>75</v>
      </c>
      <c r="I60" s="16" t="s">
        <v>3</v>
      </c>
      <c r="J60" s="17">
        <v>0.7</v>
      </c>
      <c r="K60" s="22" t="s">
        <v>44</v>
      </c>
      <c r="L60" s="20" t="s">
        <v>45</v>
      </c>
      <c r="M60" s="22" t="s">
        <v>63</v>
      </c>
      <c r="N60" s="22" t="s">
        <v>27</v>
      </c>
      <c r="O60" s="17">
        <v>0.15</v>
      </c>
      <c r="P60" s="29"/>
      <c r="Q60" s="17">
        <f t="shared" si="14"/>
        <v>0</v>
      </c>
      <c r="R60" s="24">
        <f t="shared" si="13"/>
        <v>0</v>
      </c>
      <c r="S60" s="17" t="s">
        <v>4</v>
      </c>
      <c r="T60" s="17"/>
      <c r="U60" s="2"/>
      <c r="V60" s="2"/>
      <c r="W60" s="2"/>
      <c r="X60" s="2"/>
      <c r="Y60" s="2"/>
      <c r="Z60" s="2"/>
      <c r="AA60" s="2"/>
      <c r="AB60" s="2"/>
      <c r="AC60" s="2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s="3" customFormat="1" ht="21.6" x14ac:dyDescent="0.2">
      <c r="A61" s="4">
        <v>2129</v>
      </c>
      <c r="B61" s="15" t="s">
        <v>2</v>
      </c>
      <c r="C61" s="5" t="s">
        <v>25</v>
      </c>
      <c r="D61" s="1" t="s">
        <v>90</v>
      </c>
      <c r="E61" s="15" t="s">
        <v>92</v>
      </c>
      <c r="F61" s="15" t="s">
        <v>91</v>
      </c>
      <c r="G61" s="15" t="s">
        <v>74</v>
      </c>
      <c r="H61" s="9" t="s">
        <v>75</v>
      </c>
      <c r="I61" s="18" t="s">
        <v>3</v>
      </c>
      <c r="J61" s="17">
        <v>0.7</v>
      </c>
      <c r="K61" s="18" t="s">
        <v>46</v>
      </c>
      <c r="L61" s="21" t="s">
        <v>47</v>
      </c>
      <c r="M61" s="18" t="s">
        <v>65</v>
      </c>
      <c r="N61" s="30" t="s">
        <v>28</v>
      </c>
      <c r="O61" s="31">
        <v>0.1</v>
      </c>
      <c r="P61" s="29"/>
      <c r="Q61" s="31">
        <f t="shared" si="14"/>
        <v>0</v>
      </c>
      <c r="R61" s="32">
        <f t="shared" si="13"/>
        <v>0</v>
      </c>
      <c r="S61" s="31" t="s">
        <v>0</v>
      </c>
      <c r="T61" s="31"/>
      <c r="U61" s="2"/>
      <c r="V61" s="2"/>
      <c r="W61" s="2"/>
      <c r="X61" s="2"/>
      <c r="Y61" s="2"/>
      <c r="Z61" s="2"/>
      <c r="AA61" s="2"/>
      <c r="AB61" s="2"/>
      <c r="AC61" s="2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s="3" customFormat="1" ht="21.6" x14ac:dyDescent="0.2">
      <c r="A62" s="4">
        <v>2130</v>
      </c>
      <c r="B62" s="15" t="s">
        <v>2</v>
      </c>
      <c r="C62" s="5" t="s">
        <v>25</v>
      </c>
      <c r="D62" s="1" t="s">
        <v>90</v>
      </c>
      <c r="E62" s="15" t="s">
        <v>92</v>
      </c>
      <c r="F62" s="15" t="s">
        <v>91</v>
      </c>
      <c r="G62" s="15" t="s">
        <v>74</v>
      </c>
      <c r="H62" s="9" t="s">
        <v>75</v>
      </c>
      <c r="I62" s="18" t="s">
        <v>3</v>
      </c>
      <c r="J62" s="17">
        <v>0.7</v>
      </c>
      <c r="K62" s="18" t="s">
        <v>48</v>
      </c>
      <c r="L62" s="21" t="s">
        <v>49</v>
      </c>
      <c r="M62" s="18" t="s">
        <v>67</v>
      </c>
      <c r="N62" s="30" t="s">
        <v>68</v>
      </c>
      <c r="O62" s="31">
        <v>0.1</v>
      </c>
      <c r="P62" s="29"/>
      <c r="Q62" s="31">
        <f t="shared" si="14"/>
        <v>0</v>
      </c>
      <c r="R62" s="32">
        <f t="shared" si="13"/>
        <v>0</v>
      </c>
      <c r="S62" s="31" t="s">
        <v>0</v>
      </c>
      <c r="T62" s="31"/>
      <c r="U62" s="2"/>
      <c r="V62" s="2"/>
      <c r="W62" s="2"/>
      <c r="X62" s="2"/>
      <c r="Y62" s="2"/>
      <c r="Z62" s="2"/>
      <c r="AA62" s="2"/>
      <c r="AB62" s="2"/>
      <c r="AC62" s="2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s="3" customFormat="1" ht="21.6" x14ac:dyDescent="0.2">
      <c r="A63" s="4">
        <v>2131</v>
      </c>
      <c r="B63" s="15" t="s">
        <v>2</v>
      </c>
      <c r="C63" s="5" t="s">
        <v>25</v>
      </c>
      <c r="D63" s="1" t="s">
        <v>90</v>
      </c>
      <c r="E63" s="15" t="s">
        <v>92</v>
      </c>
      <c r="F63" s="15" t="s">
        <v>91</v>
      </c>
      <c r="G63" s="15" t="s">
        <v>74</v>
      </c>
      <c r="H63" s="9" t="s">
        <v>75</v>
      </c>
      <c r="I63" s="18" t="s">
        <v>3</v>
      </c>
      <c r="J63" s="17">
        <v>0.7</v>
      </c>
      <c r="K63" s="18" t="s">
        <v>50</v>
      </c>
      <c r="L63" s="21" t="s">
        <v>51</v>
      </c>
      <c r="M63" s="8" t="s">
        <v>70</v>
      </c>
      <c r="N63" s="33" t="s">
        <v>28</v>
      </c>
      <c r="O63" s="31">
        <v>0.05</v>
      </c>
      <c r="P63" s="33"/>
      <c r="Q63" s="31">
        <f t="shared" si="14"/>
        <v>0</v>
      </c>
      <c r="R63" s="32">
        <f t="shared" si="13"/>
        <v>0</v>
      </c>
      <c r="S63" s="31" t="s">
        <v>0</v>
      </c>
      <c r="T63" s="31"/>
      <c r="U63" s="2"/>
      <c r="V63" s="2"/>
      <c r="W63" s="2"/>
      <c r="X63" s="2"/>
      <c r="Y63" s="2"/>
      <c r="Z63" s="2"/>
      <c r="AA63" s="2"/>
      <c r="AB63" s="2"/>
      <c r="AC63" s="2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s="3" customFormat="1" ht="21.6" x14ac:dyDescent="0.2">
      <c r="A64" s="4">
        <v>2132</v>
      </c>
      <c r="B64" s="15" t="s">
        <v>2</v>
      </c>
      <c r="C64" s="5" t="s">
        <v>25</v>
      </c>
      <c r="D64" s="1" t="s">
        <v>90</v>
      </c>
      <c r="E64" s="15" t="s">
        <v>92</v>
      </c>
      <c r="F64" s="15" t="s">
        <v>91</v>
      </c>
      <c r="G64" s="15" t="s">
        <v>74</v>
      </c>
      <c r="H64" s="9" t="s">
        <v>75</v>
      </c>
      <c r="I64" s="18" t="s">
        <v>1</v>
      </c>
      <c r="J64" s="19">
        <v>0.3</v>
      </c>
      <c r="K64" s="18" t="s">
        <v>52</v>
      </c>
      <c r="L64" s="21" t="s">
        <v>53</v>
      </c>
      <c r="M64" s="8" t="s">
        <v>72</v>
      </c>
      <c r="N64" s="33" t="s">
        <v>54</v>
      </c>
      <c r="O64" s="31">
        <v>0.1</v>
      </c>
      <c r="P64" s="33"/>
      <c r="Q64" s="31">
        <f t="shared" si="14"/>
        <v>0</v>
      </c>
      <c r="R64" s="32">
        <f t="shared" ref="R64:R72" si="15">IF(AND(Q64&gt;=60%,Q64&lt;100%),Q64*((O64*J64)),IF(Q64=100%,((O64*J64)*Q64)*100%,IF(Q64&gt;100%,((J64*O64)*100%)*100%,0)))*100</f>
        <v>0</v>
      </c>
      <c r="S64" s="31" t="s">
        <v>0</v>
      </c>
      <c r="T64" s="31"/>
      <c r="U64" s="2"/>
      <c r="V64" s="2"/>
      <c r="W64" s="2"/>
      <c r="X64" s="2"/>
      <c r="Y64" s="2"/>
      <c r="Z64" s="2"/>
      <c r="AA64" s="2"/>
      <c r="AB64" s="2"/>
      <c r="AC64" s="2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s="3" customFormat="1" ht="21.6" x14ac:dyDescent="0.2">
      <c r="A65" s="4">
        <v>2133</v>
      </c>
      <c r="B65" s="15" t="s">
        <v>2</v>
      </c>
      <c r="C65" s="5" t="s">
        <v>25</v>
      </c>
      <c r="D65" s="1" t="s">
        <v>94</v>
      </c>
      <c r="E65" s="15" t="s">
        <v>93</v>
      </c>
      <c r="F65" s="15" t="s">
        <v>82</v>
      </c>
      <c r="G65" s="15" t="s">
        <v>74</v>
      </c>
      <c r="H65" s="9" t="s">
        <v>75</v>
      </c>
      <c r="I65" s="16" t="s">
        <v>3</v>
      </c>
      <c r="J65" s="17">
        <v>0.7</v>
      </c>
      <c r="K65" s="22" t="s">
        <v>34</v>
      </c>
      <c r="L65" s="20" t="s">
        <v>35</v>
      </c>
      <c r="M65" s="7" t="s">
        <v>56</v>
      </c>
      <c r="N65" s="23" t="s">
        <v>26</v>
      </c>
      <c r="O65" s="17">
        <v>0.1</v>
      </c>
      <c r="P65" s="17"/>
      <c r="Q65" s="17">
        <f t="shared" si="14"/>
        <v>0</v>
      </c>
      <c r="R65" s="24">
        <f t="shared" si="15"/>
        <v>0</v>
      </c>
      <c r="S65" s="17" t="s">
        <v>0</v>
      </c>
      <c r="T65" s="25">
        <f>SUM(R65:R73)%</f>
        <v>0</v>
      </c>
      <c r="U65" s="2"/>
      <c r="V65" s="2"/>
      <c r="W65" s="2"/>
      <c r="X65" s="2"/>
      <c r="Y65" s="2"/>
      <c r="Z65" s="2"/>
      <c r="AA65" s="2"/>
      <c r="AB65" s="2"/>
      <c r="AC65" s="2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s="3" customFormat="1" ht="21.6" x14ac:dyDescent="0.2">
      <c r="A66" s="4">
        <v>2134</v>
      </c>
      <c r="B66" s="15" t="s">
        <v>2</v>
      </c>
      <c r="C66" s="5" t="s">
        <v>25</v>
      </c>
      <c r="D66" s="1" t="s">
        <v>94</v>
      </c>
      <c r="E66" s="15" t="s">
        <v>93</v>
      </c>
      <c r="F66" s="15" t="s">
        <v>82</v>
      </c>
      <c r="G66" s="15" t="s">
        <v>74</v>
      </c>
      <c r="H66" s="9" t="s">
        <v>75</v>
      </c>
      <c r="I66" s="16" t="s">
        <v>3</v>
      </c>
      <c r="J66" s="17">
        <v>0.7</v>
      </c>
      <c r="K66" s="22" t="s">
        <v>36</v>
      </c>
      <c r="L66" s="20" t="s">
        <v>37</v>
      </c>
      <c r="M66" s="22" t="s">
        <v>58</v>
      </c>
      <c r="N66" s="23" t="s">
        <v>38</v>
      </c>
      <c r="O66" s="17">
        <v>0.15</v>
      </c>
      <c r="P66" s="26"/>
      <c r="Q66" s="17">
        <f>ROUND(IF(OR(N66="",P66=""),0,IF(AND(N66=0,P66=0),1,IF(S66="+",P66/N66,N66/P66))),2)</f>
        <v>0</v>
      </c>
      <c r="R66" s="24">
        <f t="shared" si="15"/>
        <v>0</v>
      </c>
      <c r="S66" s="17" t="s">
        <v>4</v>
      </c>
      <c r="T66" s="17"/>
      <c r="U66" s="2"/>
      <c r="V66" s="2"/>
      <c r="W66" s="2"/>
      <c r="X66" s="2"/>
      <c r="Y66" s="2"/>
      <c r="Z66" s="2"/>
      <c r="AA66" s="2"/>
      <c r="AB66" s="2"/>
      <c r="AC66" s="2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s="3" customFormat="1" ht="21.6" x14ac:dyDescent="0.2">
      <c r="A67" s="4">
        <v>2135</v>
      </c>
      <c r="B67" s="15" t="s">
        <v>2</v>
      </c>
      <c r="C67" s="5" t="s">
        <v>25</v>
      </c>
      <c r="D67" s="1" t="s">
        <v>94</v>
      </c>
      <c r="E67" s="15" t="s">
        <v>93</v>
      </c>
      <c r="F67" s="15" t="s">
        <v>82</v>
      </c>
      <c r="G67" s="15" t="s">
        <v>74</v>
      </c>
      <c r="H67" s="9" t="s">
        <v>75</v>
      </c>
      <c r="I67" s="16" t="s">
        <v>3</v>
      </c>
      <c r="J67" s="17">
        <v>0.7</v>
      </c>
      <c r="K67" s="22" t="s">
        <v>39</v>
      </c>
      <c r="L67" s="20" t="s">
        <v>40</v>
      </c>
      <c r="M67" s="22" t="s">
        <v>60</v>
      </c>
      <c r="N67" s="27">
        <v>1</v>
      </c>
      <c r="O67" s="17">
        <v>0.1</v>
      </c>
      <c r="P67" s="26"/>
      <c r="Q67" s="17">
        <f t="shared" ref="Q67:Q74" si="16">ROUND(IF(OR(N67="",P67=""),0,IF(AND(N67=0,P67=0),1,IF(S67="+",P67/N67,N67/P67))),2)</f>
        <v>0</v>
      </c>
      <c r="R67" s="24">
        <f t="shared" si="15"/>
        <v>0</v>
      </c>
      <c r="S67" s="17" t="s">
        <v>0</v>
      </c>
      <c r="T67" s="17"/>
      <c r="U67" s="2"/>
      <c r="V67" s="2"/>
      <c r="W67" s="2"/>
      <c r="X67" s="2"/>
      <c r="Y67" s="2"/>
      <c r="Z67" s="2"/>
      <c r="AA67" s="2"/>
      <c r="AB67" s="2"/>
      <c r="AC67" s="2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s="3" customFormat="1" ht="21.6" x14ac:dyDescent="0.2">
      <c r="A68" s="4">
        <v>2136</v>
      </c>
      <c r="B68" s="15" t="s">
        <v>2</v>
      </c>
      <c r="C68" s="5" t="s">
        <v>25</v>
      </c>
      <c r="D68" s="1" t="s">
        <v>94</v>
      </c>
      <c r="E68" s="15" t="s">
        <v>93</v>
      </c>
      <c r="F68" s="15" t="s">
        <v>82</v>
      </c>
      <c r="G68" s="15" t="s">
        <v>74</v>
      </c>
      <c r="H68" s="9" t="s">
        <v>75</v>
      </c>
      <c r="I68" s="16" t="s">
        <v>3</v>
      </c>
      <c r="J68" s="17">
        <v>0.7</v>
      </c>
      <c r="K68" s="22" t="s">
        <v>41</v>
      </c>
      <c r="L68" s="20" t="s">
        <v>42</v>
      </c>
      <c r="M68" s="22" t="s">
        <v>43</v>
      </c>
      <c r="N68" s="26" t="s">
        <v>27</v>
      </c>
      <c r="O68" s="17">
        <v>0.15</v>
      </c>
      <c r="P68" s="28"/>
      <c r="Q68" s="17">
        <f t="shared" si="16"/>
        <v>0</v>
      </c>
      <c r="R68" s="24">
        <f t="shared" si="15"/>
        <v>0</v>
      </c>
      <c r="S68" s="17" t="s">
        <v>4</v>
      </c>
      <c r="T68" s="17"/>
      <c r="U68" s="2"/>
      <c r="V68" s="2"/>
      <c r="W68" s="2"/>
      <c r="X68" s="2"/>
      <c r="Y68" s="2"/>
      <c r="Z68" s="2"/>
      <c r="AA68" s="2"/>
      <c r="AB68" s="2"/>
      <c r="AC68" s="2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s="3" customFormat="1" ht="21.6" x14ac:dyDescent="0.2">
      <c r="A69" s="4">
        <v>2137</v>
      </c>
      <c r="B69" s="15" t="s">
        <v>2</v>
      </c>
      <c r="C69" s="5" t="s">
        <v>25</v>
      </c>
      <c r="D69" s="1" t="s">
        <v>94</v>
      </c>
      <c r="E69" s="15" t="s">
        <v>93</v>
      </c>
      <c r="F69" s="15" t="s">
        <v>82</v>
      </c>
      <c r="G69" s="15" t="s">
        <v>74</v>
      </c>
      <c r="H69" s="9" t="s">
        <v>75</v>
      </c>
      <c r="I69" s="16" t="s">
        <v>3</v>
      </c>
      <c r="J69" s="17">
        <v>0.7</v>
      </c>
      <c r="K69" s="22" t="s">
        <v>44</v>
      </c>
      <c r="L69" s="20" t="s">
        <v>45</v>
      </c>
      <c r="M69" s="22" t="s">
        <v>63</v>
      </c>
      <c r="N69" s="22" t="s">
        <v>27</v>
      </c>
      <c r="O69" s="17">
        <v>0.15</v>
      </c>
      <c r="P69" s="29"/>
      <c r="Q69" s="17">
        <f t="shared" si="16"/>
        <v>0</v>
      </c>
      <c r="R69" s="24">
        <f t="shared" si="15"/>
        <v>0</v>
      </c>
      <c r="S69" s="17" t="s">
        <v>4</v>
      </c>
      <c r="T69" s="17"/>
      <c r="U69" s="2"/>
      <c r="V69" s="2"/>
      <c r="W69" s="2"/>
      <c r="X69" s="2"/>
      <c r="Y69" s="2"/>
      <c r="Z69" s="2"/>
      <c r="AA69" s="2"/>
      <c r="AB69" s="2"/>
      <c r="AC69" s="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s="3" customFormat="1" ht="21.6" x14ac:dyDescent="0.2">
      <c r="A70" s="4">
        <v>2138</v>
      </c>
      <c r="B70" s="15" t="s">
        <v>2</v>
      </c>
      <c r="C70" s="5" t="s">
        <v>25</v>
      </c>
      <c r="D70" s="1" t="s">
        <v>94</v>
      </c>
      <c r="E70" s="15" t="s">
        <v>93</v>
      </c>
      <c r="F70" s="15" t="s">
        <v>82</v>
      </c>
      <c r="G70" s="15" t="s">
        <v>74</v>
      </c>
      <c r="H70" s="9" t="s">
        <v>75</v>
      </c>
      <c r="I70" s="18" t="s">
        <v>3</v>
      </c>
      <c r="J70" s="17">
        <v>0.7</v>
      </c>
      <c r="K70" s="18" t="s">
        <v>46</v>
      </c>
      <c r="L70" s="21" t="s">
        <v>47</v>
      </c>
      <c r="M70" s="18" t="s">
        <v>65</v>
      </c>
      <c r="N70" s="30" t="s">
        <v>28</v>
      </c>
      <c r="O70" s="31">
        <v>0.1</v>
      </c>
      <c r="P70" s="29"/>
      <c r="Q70" s="31">
        <f t="shared" si="16"/>
        <v>0</v>
      </c>
      <c r="R70" s="32">
        <f t="shared" si="15"/>
        <v>0</v>
      </c>
      <c r="S70" s="31" t="s">
        <v>0</v>
      </c>
      <c r="T70" s="31"/>
      <c r="U70" s="2"/>
      <c r="V70" s="2"/>
      <c r="W70" s="2"/>
      <c r="X70" s="2"/>
      <c r="Y70" s="2"/>
      <c r="Z70" s="2"/>
      <c r="AA70" s="2"/>
      <c r="AB70" s="2"/>
      <c r="AC70" s="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s="3" customFormat="1" ht="21.6" x14ac:dyDescent="0.2">
      <c r="A71" s="4">
        <v>2139</v>
      </c>
      <c r="B71" s="15" t="s">
        <v>2</v>
      </c>
      <c r="C71" s="5" t="s">
        <v>25</v>
      </c>
      <c r="D71" s="1" t="s">
        <v>94</v>
      </c>
      <c r="E71" s="15" t="s">
        <v>93</v>
      </c>
      <c r="F71" s="15" t="s">
        <v>82</v>
      </c>
      <c r="G71" s="15" t="s">
        <v>74</v>
      </c>
      <c r="H71" s="9" t="s">
        <v>75</v>
      </c>
      <c r="I71" s="18" t="s">
        <v>3</v>
      </c>
      <c r="J71" s="17">
        <v>0.7</v>
      </c>
      <c r="K71" s="18" t="s">
        <v>48</v>
      </c>
      <c r="L71" s="21" t="s">
        <v>49</v>
      </c>
      <c r="M71" s="18" t="s">
        <v>67</v>
      </c>
      <c r="N71" s="30" t="s">
        <v>68</v>
      </c>
      <c r="O71" s="31">
        <v>0.1</v>
      </c>
      <c r="P71" s="29"/>
      <c r="Q71" s="31">
        <f t="shared" si="16"/>
        <v>0</v>
      </c>
      <c r="R71" s="32">
        <f t="shared" si="15"/>
        <v>0</v>
      </c>
      <c r="S71" s="31" t="s">
        <v>0</v>
      </c>
      <c r="T71" s="31"/>
      <c r="U71" s="2"/>
      <c r="V71" s="2"/>
      <c r="W71" s="2"/>
      <c r="X71" s="2"/>
      <c r="Y71" s="2"/>
      <c r="Z71" s="2"/>
      <c r="AA71" s="2"/>
      <c r="AB71" s="2"/>
      <c r="AC71" s="2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s="3" customFormat="1" ht="21.6" x14ac:dyDescent="0.2">
      <c r="A72" s="4">
        <v>2140</v>
      </c>
      <c r="B72" s="15" t="s">
        <v>2</v>
      </c>
      <c r="C72" s="5" t="s">
        <v>25</v>
      </c>
      <c r="D72" s="1" t="s">
        <v>94</v>
      </c>
      <c r="E72" s="15" t="s">
        <v>93</v>
      </c>
      <c r="F72" s="15" t="s">
        <v>82</v>
      </c>
      <c r="G72" s="15" t="s">
        <v>74</v>
      </c>
      <c r="H72" s="9" t="s">
        <v>75</v>
      </c>
      <c r="I72" s="18" t="s">
        <v>3</v>
      </c>
      <c r="J72" s="17">
        <v>0.7</v>
      </c>
      <c r="K72" s="18" t="s">
        <v>50</v>
      </c>
      <c r="L72" s="21" t="s">
        <v>51</v>
      </c>
      <c r="M72" s="8" t="s">
        <v>70</v>
      </c>
      <c r="N72" s="33" t="s">
        <v>28</v>
      </c>
      <c r="O72" s="31">
        <v>0.05</v>
      </c>
      <c r="P72" s="33"/>
      <c r="Q72" s="31">
        <f t="shared" si="16"/>
        <v>0</v>
      </c>
      <c r="R72" s="32">
        <f t="shared" si="15"/>
        <v>0</v>
      </c>
      <c r="S72" s="31" t="s">
        <v>0</v>
      </c>
      <c r="T72" s="31"/>
      <c r="U72" s="2"/>
      <c r="V72" s="2"/>
      <c r="W72" s="2"/>
      <c r="X72" s="2"/>
      <c r="Y72" s="2"/>
      <c r="Z72" s="2"/>
      <c r="AA72" s="2"/>
      <c r="AB72" s="2"/>
      <c r="AC72" s="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s="3" customFormat="1" ht="21.6" x14ac:dyDescent="0.2">
      <c r="A73" s="4">
        <v>2141</v>
      </c>
      <c r="B73" s="15" t="s">
        <v>2</v>
      </c>
      <c r="C73" s="5" t="s">
        <v>25</v>
      </c>
      <c r="D73" s="1" t="s">
        <v>94</v>
      </c>
      <c r="E73" s="15" t="s">
        <v>93</v>
      </c>
      <c r="F73" s="15" t="s">
        <v>82</v>
      </c>
      <c r="G73" s="15" t="s">
        <v>74</v>
      </c>
      <c r="H73" s="9" t="s">
        <v>75</v>
      </c>
      <c r="I73" s="18" t="s">
        <v>1</v>
      </c>
      <c r="J73" s="19">
        <v>0.3</v>
      </c>
      <c r="K73" s="18" t="s">
        <v>52</v>
      </c>
      <c r="L73" s="21" t="s">
        <v>53</v>
      </c>
      <c r="M73" s="8" t="s">
        <v>72</v>
      </c>
      <c r="N73" s="33" t="s">
        <v>54</v>
      </c>
      <c r="O73" s="31">
        <v>0.1</v>
      </c>
      <c r="P73" s="33"/>
      <c r="Q73" s="31">
        <f t="shared" si="16"/>
        <v>0</v>
      </c>
      <c r="R73" s="32">
        <f t="shared" ref="R73:R81" si="17">IF(AND(Q73&gt;=60%,Q73&lt;100%),Q73*((O73*J73)),IF(Q73=100%,((O73*J73)*Q73)*100%,IF(Q73&gt;100%,((J73*O73)*100%)*100%,0)))*100</f>
        <v>0</v>
      </c>
      <c r="S73" s="31" t="s">
        <v>0</v>
      </c>
      <c r="T73" s="31"/>
      <c r="U73" s="2"/>
      <c r="V73" s="2"/>
      <c r="W73" s="2"/>
      <c r="X73" s="2"/>
      <c r="Y73" s="2"/>
      <c r="Z73" s="2"/>
      <c r="AA73" s="2"/>
      <c r="AB73" s="2"/>
      <c r="AC73" s="2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s="3" customFormat="1" ht="21.6" x14ac:dyDescent="0.2">
      <c r="A74" s="4">
        <v>2142</v>
      </c>
      <c r="B74" s="15" t="s">
        <v>2</v>
      </c>
      <c r="C74" s="5" t="s">
        <v>25</v>
      </c>
      <c r="D74" s="1" t="s">
        <v>95</v>
      </c>
      <c r="E74" s="15" t="s">
        <v>96</v>
      </c>
      <c r="F74" s="15" t="s">
        <v>82</v>
      </c>
      <c r="G74" s="15" t="s">
        <v>74</v>
      </c>
      <c r="H74" s="9" t="s">
        <v>75</v>
      </c>
      <c r="I74" s="16" t="s">
        <v>3</v>
      </c>
      <c r="J74" s="17">
        <v>0.7</v>
      </c>
      <c r="K74" s="22" t="s">
        <v>34</v>
      </c>
      <c r="L74" s="20" t="s">
        <v>35</v>
      </c>
      <c r="M74" s="7" t="s">
        <v>56</v>
      </c>
      <c r="N74" s="23" t="s">
        <v>26</v>
      </c>
      <c r="O74" s="17">
        <v>0.1</v>
      </c>
      <c r="P74" s="17"/>
      <c r="Q74" s="17">
        <f t="shared" si="16"/>
        <v>0</v>
      </c>
      <c r="R74" s="24">
        <f t="shared" si="17"/>
        <v>0</v>
      </c>
      <c r="S74" s="17" t="s">
        <v>0</v>
      </c>
      <c r="T74" s="25">
        <f>SUM(R74:R82)%</f>
        <v>0</v>
      </c>
      <c r="U74" s="2"/>
      <c r="V74" s="2"/>
      <c r="W74" s="2"/>
      <c r="X74" s="2"/>
      <c r="Y74" s="2"/>
      <c r="Z74" s="2"/>
      <c r="AA74" s="2"/>
      <c r="AB74" s="2"/>
      <c r="AC74" s="2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s="3" customFormat="1" ht="21.6" x14ac:dyDescent="0.2">
      <c r="A75" s="4">
        <v>2143</v>
      </c>
      <c r="B75" s="15" t="s">
        <v>2</v>
      </c>
      <c r="C75" s="5" t="s">
        <v>25</v>
      </c>
      <c r="D75" s="1" t="s">
        <v>95</v>
      </c>
      <c r="E75" s="15" t="s">
        <v>96</v>
      </c>
      <c r="F75" s="15" t="s">
        <v>82</v>
      </c>
      <c r="G75" s="15" t="s">
        <v>74</v>
      </c>
      <c r="H75" s="9" t="s">
        <v>75</v>
      </c>
      <c r="I75" s="16" t="s">
        <v>3</v>
      </c>
      <c r="J75" s="17">
        <v>0.7</v>
      </c>
      <c r="K75" s="22" t="s">
        <v>36</v>
      </c>
      <c r="L75" s="20" t="s">
        <v>37</v>
      </c>
      <c r="M75" s="22" t="s">
        <v>58</v>
      </c>
      <c r="N75" s="23" t="s">
        <v>38</v>
      </c>
      <c r="O75" s="17">
        <v>0.15</v>
      </c>
      <c r="P75" s="26"/>
      <c r="Q75" s="17">
        <f>ROUND(IF(OR(N75="",P75=""),0,IF(AND(N75=0,P75=0),1,IF(S75="+",P75/N75,N75/P75))),2)</f>
        <v>0</v>
      </c>
      <c r="R75" s="24">
        <f t="shared" si="17"/>
        <v>0</v>
      </c>
      <c r="S75" s="17" t="s">
        <v>4</v>
      </c>
      <c r="T75" s="17"/>
      <c r="U75" s="2"/>
      <c r="V75" s="2"/>
      <c r="W75" s="2"/>
      <c r="X75" s="2"/>
      <c r="Y75" s="2"/>
      <c r="Z75" s="2"/>
      <c r="AA75" s="2"/>
      <c r="AB75" s="2"/>
      <c r="AC75" s="2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s="3" customFormat="1" ht="21.6" x14ac:dyDescent="0.2">
      <c r="A76" s="4">
        <v>2144</v>
      </c>
      <c r="B76" s="15" t="s">
        <v>2</v>
      </c>
      <c r="C76" s="5" t="s">
        <v>25</v>
      </c>
      <c r="D76" s="1" t="s">
        <v>95</v>
      </c>
      <c r="E76" s="15" t="s">
        <v>96</v>
      </c>
      <c r="F76" s="15" t="s">
        <v>82</v>
      </c>
      <c r="G76" s="15" t="s">
        <v>74</v>
      </c>
      <c r="H76" s="9" t="s">
        <v>75</v>
      </c>
      <c r="I76" s="16" t="s">
        <v>3</v>
      </c>
      <c r="J76" s="17">
        <v>0.7</v>
      </c>
      <c r="K76" s="22" t="s">
        <v>39</v>
      </c>
      <c r="L76" s="20" t="s">
        <v>40</v>
      </c>
      <c r="M76" s="22" t="s">
        <v>60</v>
      </c>
      <c r="N76" s="27">
        <v>1</v>
      </c>
      <c r="O76" s="17">
        <v>0.1</v>
      </c>
      <c r="P76" s="26"/>
      <c r="Q76" s="17">
        <f t="shared" ref="Q76:Q83" si="18">ROUND(IF(OR(N76="",P76=""),0,IF(AND(N76=0,P76=0),1,IF(S76="+",P76/N76,N76/P76))),2)</f>
        <v>0</v>
      </c>
      <c r="R76" s="24">
        <f t="shared" si="17"/>
        <v>0</v>
      </c>
      <c r="S76" s="17" t="s">
        <v>0</v>
      </c>
      <c r="T76" s="17"/>
      <c r="U76" s="2"/>
      <c r="V76" s="2"/>
      <c r="W76" s="2"/>
      <c r="X76" s="2"/>
      <c r="Y76" s="2"/>
      <c r="Z76" s="2"/>
      <c r="AA76" s="2"/>
      <c r="AB76" s="2"/>
      <c r="AC76" s="2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s="3" customFormat="1" ht="21.6" x14ac:dyDescent="0.2">
      <c r="A77" s="4">
        <v>2145</v>
      </c>
      <c r="B77" s="15" t="s">
        <v>2</v>
      </c>
      <c r="C77" s="5" t="s">
        <v>25</v>
      </c>
      <c r="D77" s="1" t="s">
        <v>95</v>
      </c>
      <c r="E77" s="15" t="s">
        <v>96</v>
      </c>
      <c r="F77" s="15" t="s">
        <v>82</v>
      </c>
      <c r="G77" s="15" t="s">
        <v>74</v>
      </c>
      <c r="H77" s="9" t="s">
        <v>75</v>
      </c>
      <c r="I77" s="16" t="s">
        <v>3</v>
      </c>
      <c r="J77" s="17">
        <v>0.7</v>
      </c>
      <c r="K77" s="22" t="s">
        <v>41</v>
      </c>
      <c r="L77" s="20" t="s">
        <v>42</v>
      </c>
      <c r="M77" s="22" t="s">
        <v>43</v>
      </c>
      <c r="N77" s="26" t="s">
        <v>27</v>
      </c>
      <c r="O77" s="17">
        <v>0.15</v>
      </c>
      <c r="P77" s="28"/>
      <c r="Q77" s="17">
        <f t="shared" si="18"/>
        <v>0</v>
      </c>
      <c r="R77" s="24">
        <f t="shared" si="17"/>
        <v>0</v>
      </c>
      <c r="S77" s="17" t="s">
        <v>4</v>
      </c>
      <c r="T77" s="17"/>
      <c r="U77" s="2"/>
      <c r="V77" s="2"/>
      <c r="W77" s="2"/>
      <c r="X77" s="2"/>
      <c r="Y77" s="2"/>
      <c r="Z77" s="2"/>
      <c r="AA77" s="2"/>
      <c r="AB77" s="2"/>
      <c r="AC77" s="2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s="3" customFormat="1" ht="21.6" x14ac:dyDescent="0.2">
      <c r="A78" s="4">
        <v>2146</v>
      </c>
      <c r="B78" s="15" t="s">
        <v>2</v>
      </c>
      <c r="C78" s="5" t="s">
        <v>25</v>
      </c>
      <c r="D78" s="1" t="s">
        <v>95</v>
      </c>
      <c r="E78" s="15" t="s">
        <v>96</v>
      </c>
      <c r="F78" s="15" t="s">
        <v>82</v>
      </c>
      <c r="G78" s="15" t="s">
        <v>74</v>
      </c>
      <c r="H78" s="9" t="s">
        <v>75</v>
      </c>
      <c r="I78" s="16" t="s">
        <v>3</v>
      </c>
      <c r="J78" s="17">
        <v>0.7</v>
      </c>
      <c r="K78" s="22" t="s">
        <v>44</v>
      </c>
      <c r="L78" s="20" t="s">
        <v>45</v>
      </c>
      <c r="M78" s="22" t="s">
        <v>63</v>
      </c>
      <c r="N78" s="22" t="s">
        <v>27</v>
      </c>
      <c r="O78" s="17">
        <v>0.15</v>
      </c>
      <c r="P78" s="29"/>
      <c r="Q78" s="17">
        <f t="shared" si="18"/>
        <v>0</v>
      </c>
      <c r="R78" s="24">
        <f t="shared" si="17"/>
        <v>0</v>
      </c>
      <c r="S78" s="17" t="s">
        <v>4</v>
      </c>
      <c r="T78" s="17"/>
      <c r="U78" s="2"/>
      <c r="V78" s="2"/>
      <c r="W78" s="2"/>
      <c r="X78" s="2"/>
      <c r="Y78" s="2"/>
      <c r="Z78" s="2"/>
      <c r="AA78" s="2"/>
      <c r="AB78" s="2"/>
      <c r="AC78" s="2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s="3" customFormat="1" ht="21.6" x14ac:dyDescent="0.2">
      <c r="A79" s="4">
        <v>2147</v>
      </c>
      <c r="B79" s="15" t="s">
        <v>2</v>
      </c>
      <c r="C79" s="5" t="s">
        <v>25</v>
      </c>
      <c r="D79" s="1" t="s">
        <v>95</v>
      </c>
      <c r="E79" s="15" t="s">
        <v>96</v>
      </c>
      <c r="F79" s="15" t="s">
        <v>82</v>
      </c>
      <c r="G79" s="15" t="s">
        <v>74</v>
      </c>
      <c r="H79" s="9" t="s">
        <v>75</v>
      </c>
      <c r="I79" s="18" t="s">
        <v>3</v>
      </c>
      <c r="J79" s="17">
        <v>0.7</v>
      </c>
      <c r="K79" s="18" t="s">
        <v>46</v>
      </c>
      <c r="L79" s="21" t="s">
        <v>47</v>
      </c>
      <c r="M79" s="18" t="s">
        <v>65</v>
      </c>
      <c r="N79" s="30" t="s">
        <v>28</v>
      </c>
      <c r="O79" s="31">
        <v>0.1</v>
      </c>
      <c r="P79" s="29"/>
      <c r="Q79" s="31">
        <f t="shared" si="18"/>
        <v>0</v>
      </c>
      <c r="R79" s="32">
        <f t="shared" si="17"/>
        <v>0</v>
      </c>
      <c r="S79" s="31" t="s">
        <v>0</v>
      </c>
      <c r="T79" s="31"/>
      <c r="U79" s="2"/>
      <c r="V79" s="2"/>
      <c r="W79" s="2"/>
      <c r="X79" s="2"/>
      <c r="Y79" s="2"/>
      <c r="Z79" s="2"/>
      <c r="AA79" s="2"/>
      <c r="AB79" s="2"/>
      <c r="AC79" s="2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s="3" customFormat="1" ht="21.6" x14ac:dyDescent="0.2">
      <c r="A80" s="4">
        <v>2148</v>
      </c>
      <c r="B80" s="15" t="s">
        <v>2</v>
      </c>
      <c r="C80" s="5" t="s">
        <v>25</v>
      </c>
      <c r="D80" s="1" t="s">
        <v>95</v>
      </c>
      <c r="E80" s="15" t="s">
        <v>96</v>
      </c>
      <c r="F80" s="15" t="s">
        <v>82</v>
      </c>
      <c r="G80" s="15" t="s">
        <v>74</v>
      </c>
      <c r="H80" s="9" t="s">
        <v>75</v>
      </c>
      <c r="I80" s="18" t="s">
        <v>3</v>
      </c>
      <c r="J80" s="17">
        <v>0.7</v>
      </c>
      <c r="K80" s="18" t="s">
        <v>48</v>
      </c>
      <c r="L80" s="21" t="s">
        <v>49</v>
      </c>
      <c r="M80" s="18" t="s">
        <v>67</v>
      </c>
      <c r="N80" s="30" t="s">
        <v>68</v>
      </c>
      <c r="O80" s="31">
        <v>0.1</v>
      </c>
      <c r="P80" s="29"/>
      <c r="Q80" s="31">
        <f t="shared" si="18"/>
        <v>0</v>
      </c>
      <c r="R80" s="32">
        <f t="shared" si="17"/>
        <v>0</v>
      </c>
      <c r="S80" s="31" t="s">
        <v>0</v>
      </c>
      <c r="T80" s="31"/>
      <c r="U80" s="2"/>
      <c r="V80" s="2"/>
      <c r="W80" s="2"/>
      <c r="X80" s="2"/>
      <c r="Y80" s="2"/>
      <c r="Z80" s="2"/>
      <c r="AA80" s="2"/>
      <c r="AB80" s="2"/>
      <c r="AC80" s="2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s="3" customFormat="1" ht="21.6" x14ac:dyDescent="0.2">
      <c r="A81" s="4">
        <v>2149</v>
      </c>
      <c r="B81" s="15" t="s">
        <v>2</v>
      </c>
      <c r="C81" s="5" t="s">
        <v>25</v>
      </c>
      <c r="D81" s="1" t="s">
        <v>95</v>
      </c>
      <c r="E81" s="15" t="s">
        <v>96</v>
      </c>
      <c r="F81" s="15" t="s">
        <v>82</v>
      </c>
      <c r="G81" s="15" t="s">
        <v>74</v>
      </c>
      <c r="H81" s="9" t="s">
        <v>75</v>
      </c>
      <c r="I81" s="18" t="s">
        <v>3</v>
      </c>
      <c r="J81" s="17">
        <v>0.7</v>
      </c>
      <c r="K81" s="18" t="s">
        <v>50</v>
      </c>
      <c r="L81" s="21" t="s">
        <v>51</v>
      </c>
      <c r="M81" s="8" t="s">
        <v>70</v>
      </c>
      <c r="N81" s="33" t="s">
        <v>28</v>
      </c>
      <c r="O81" s="31">
        <v>0.05</v>
      </c>
      <c r="P81" s="33"/>
      <c r="Q81" s="31">
        <f t="shared" si="18"/>
        <v>0</v>
      </c>
      <c r="R81" s="32">
        <f t="shared" si="17"/>
        <v>0</v>
      </c>
      <c r="S81" s="31" t="s">
        <v>0</v>
      </c>
      <c r="T81" s="31"/>
      <c r="U81" s="2"/>
      <c r="V81" s="2"/>
      <c r="W81" s="2"/>
      <c r="X81" s="2"/>
      <c r="Y81" s="2"/>
      <c r="Z81" s="2"/>
      <c r="AA81" s="2"/>
      <c r="AB81" s="2"/>
      <c r="AC81" s="2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s="3" customFormat="1" ht="21.6" x14ac:dyDescent="0.2">
      <c r="A82" s="4">
        <v>2150</v>
      </c>
      <c r="B82" s="15" t="s">
        <v>2</v>
      </c>
      <c r="C82" s="5" t="s">
        <v>25</v>
      </c>
      <c r="D82" s="1" t="s">
        <v>95</v>
      </c>
      <c r="E82" s="15" t="s">
        <v>96</v>
      </c>
      <c r="F82" s="15" t="s">
        <v>82</v>
      </c>
      <c r="G82" s="15" t="s">
        <v>74</v>
      </c>
      <c r="H82" s="9" t="s">
        <v>75</v>
      </c>
      <c r="I82" s="18" t="s">
        <v>1</v>
      </c>
      <c r="J82" s="19">
        <v>0.3</v>
      </c>
      <c r="K82" s="18" t="s">
        <v>52</v>
      </c>
      <c r="L82" s="21" t="s">
        <v>53</v>
      </c>
      <c r="M82" s="8" t="s">
        <v>72</v>
      </c>
      <c r="N82" s="33" t="s">
        <v>54</v>
      </c>
      <c r="O82" s="31">
        <v>0.1</v>
      </c>
      <c r="P82" s="33"/>
      <c r="Q82" s="31">
        <f t="shared" si="18"/>
        <v>0</v>
      </c>
      <c r="R82" s="32">
        <f t="shared" ref="R82:R90" si="19">IF(AND(Q82&gt;=60%,Q82&lt;100%),Q82*((O82*J82)),IF(Q82=100%,((O82*J82)*Q82)*100%,IF(Q82&gt;100%,((J82*O82)*100%)*100%,0)))*100</f>
        <v>0</v>
      </c>
      <c r="S82" s="31" t="s">
        <v>0</v>
      </c>
      <c r="T82" s="31"/>
      <c r="U82" s="2"/>
      <c r="V82" s="2"/>
      <c r="W82" s="2"/>
      <c r="X82" s="2"/>
      <c r="Y82" s="2"/>
      <c r="Z82" s="2"/>
      <c r="AA82" s="2"/>
      <c r="AB82" s="2"/>
      <c r="AC82" s="2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s="3" customFormat="1" ht="21.6" x14ac:dyDescent="0.2">
      <c r="A83" s="4">
        <v>2151</v>
      </c>
      <c r="B83" s="15" t="s">
        <v>2</v>
      </c>
      <c r="C83" s="5" t="s">
        <v>25</v>
      </c>
      <c r="D83" s="1" t="s">
        <v>97</v>
      </c>
      <c r="E83" s="15" t="s">
        <v>98</v>
      </c>
      <c r="F83" s="15" t="s">
        <v>82</v>
      </c>
      <c r="G83" s="15" t="s">
        <v>74</v>
      </c>
      <c r="H83" s="9" t="s">
        <v>75</v>
      </c>
      <c r="I83" s="16" t="s">
        <v>3</v>
      </c>
      <c r="J83" s="17">
        <v>0.7</v>
      </c>
      <c r="K83" s="22" t="s">
        <v>34</v>
      </c>
      <c r="L83" s="20" t="s">
        <v>35</v>
      </c>
      <c r="M83" s="7" t="s">
        <v>56</v>
      </c>
      <c r="N83" s="23" t="s">
        <v>26</v>
      </c>
      <c r="O83" s="17">
        <v>0.1</v>
      </c>
      <c r="P83" s="17"/>
      <c r="Q83" s="17">
        <f t="shared" si="18"/>
        <v>0</v>
      </c>
      <c r="R83" s="24">
        <f t="shared" si="19"/>
        <v>0</v>
      </c>
      <c r="S83" s="17" t="s">
        <v>0</v>
      </c>
      <c r="T83" s="25">
        <f>SUM(R83:R91)%</f>
        <v>0</v>
      </c>
      <c r="U83" s="2"/>
      <c r="V83" s="2"/>
      <c r="W83" s="2"/>
      <c r="X83" s="2"/>
      <c r="Y83" s="2"/>
      <c r="Z83" s="2"/>
      <c r="AA83" s="2"/>
      <c r="AB83" s="2"/>
      <c r="AC83" s="2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s="3" customFormat="1" ht="21.6" x14ac:dyDescent="0.2">
      <c r="A84" s="4">
        <v>2152</v>
      </c>
      <c r="B84" s="15" t="s">
        <v>2</v>
      </c>
      <c r="C84" s="5" t="s">
        <v>25</v>
      </c>
      <c r="D84" s="1" t="s">
        <v>97</v>
      </c>
      <c r="E84" s="15" t="s">
        <v>98</v>
      </c>
      <c r="F84" s="15" t="s">
        <v>82</v>
      </c>
      <c r="G84" s="15" t="s">
        <v>74</v>
      </c>
      <c r="H84" s="9" t="s">
        <v>75</v>
      </c>
      <c r="I84" s="16" t="s">
        <v>3</v>
      </c>
      <c r="J84" s="17">
        <v>0.7</v>
      </c>
      <c r="K84" s="22" t="s">
        <v>36</v>
      </c>
      <c r="L84" s="20" t="s">
        <v>37</v>
      </c>
      <c r="M84" s="22" t="s">
        <v>58</v>
      </c>
      <c r="N84" s="23" t="s">
        <v>38</v>
      </c>
      <c r="O84" s="17">
        <v>0.15</v>
      </c>
      <c r="P84" s="26"/>
      <c r="Q84" s="17">
        <f>ROUND(IF(OR(N84="",P84=""),0,IF(AND(N84=0,P84=0),1,IF(S84="+",P84/N84,N84/P84))),2)</f>
        <v>0</v>
      </c>
      <c r="R84" s="24">
        <f t="shared" si="19"/>
        <v>0</v>
      </c>
      <c r="S84" s="17" t="s">
        <v>4</v>
      </c>
      <c r="T84" s="17"/>
      <c r="U84" s="2"/>
      <c r="V84" s="2"/>
      <c r="W84" s="2"/>
      <c r="X84" s="2"/>
      <c r="Y84" s="2"/>
      <c r="Z84" s="2"/>
      <c r="AA84" s="2"/>
      <c r="AB84" s="2"/>
      <c r="AC84" s="2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s="3" customFormat="1" ht="21.6" x14ac:dyDescent="0.2">
      <c r="A85" s="4">
        <v>2153</v>
      </c>
      <c r="B85" s="15" t="s">
        <v>2</v>
      </c>
      <c r="C85" s="5" t="s">
        <v>25</v>
      </c>
      <c r="D85" s="1" t="s">
        <v>97</v>
      </c>
      <c r="E85" s="15" t="s">
        <v>98</v>
      </c>
      <c r="F85" s="15" t="s">
        <v>82</v>
      </c>
      <c r="G85" s="15" t="s">
        <v>74</v>
      </c>
      <c r="H85" s="9" t="s">
        <v>75</v>
      </c>
      <c r="I85" s="16" t="s">
        <v>3</v>
      </c>
      <c r="J85" s="17">
        <v>0.7</v>
      </c>
      <c r="K85" s="22" t="s">
        <v>39</v>
      </c>
      <c r="L85" s="20" t="s">
        <v>40</v>
      </c>
      <c r="M85" s="22" t="s">
        <v>60</v>
      </c>
      <c r="N85" s="27">
        <v>1</v>
      </c>
      <c r="O85" s="17">
        <v>0.1</v>
      </c>
      <c r="P85" s="26"/>
      <c r="Q85" s="17">
        <f t="shared" ref="Q85:Q92" si="20">ROUND(IF(OR(N85="",P85=""),0,IF(AND(N85=0,P85=0),1,IF(S85="+",P85/N85,N85/P85))),2)</f>
        <v>0</v>
      </c>
      <c r="R85" s="24">
        <f t="shared" si="19"/>
        <v>0</v>
      </c>
      <c r="S85" s="17" t="s">
        <v>0</v>
      </c>
      <c r="T85" s="17"/>
      <c r="U85" s="2"/>
      <c r="V85" s="2"/>
      <c r="W85" s="2"/>
      <c r="X85" s="2"/>
      <c r="Y85" s="2"/>
      <c r="Z85" s="2"/>
      <c r="AA85" s="2"/>
      <c r="AB85" s="2"/>
      <c r="AC85" s="2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s="3" customFormat="1" ht="21.6" x14ac:dyDescent="0.2">
      <c r="A86" s="4">
        <v>2154</v>
      </c>
      <c r="B86" s="15" t="s">
        <v>2</v>
      </c>
      <c r="C86" s="5" t="s">
        <v>25</v>
      </c>
      <c r="D86" s="1" t="s">
        <v>97</v>
      </c>
      <c r="E86" s="15" t="s">
        <v>98</v>
      </c>
      <c r="F86" s="15" t="s">
        <v>82</v>
      </c>
      <c r="G86" s="15" t="s">
        <v>74</v>
      </c>
      <c r="H86" s="9" t="s">
        <v>75</v>
      </c>
      <c r="I86" s="16" t="s">
        <v>3</v>
      </c>
      <c r="J86" s="17">
        <v>0.7</v>
      </c>
      <c r="K86" s="22" t="s">
        <v>41</v>
      </c>
      <c r="L86" s="20" t="s">
        <v>42</v>
      </c>
      <c r="M86" s="22" t="s">
        <v>43</v>
      </c>
      <c r="N86" s="26" t="s">
        <v>27</v>
      </c>
      <c r="O86" s="17">
        <v>0.15</v>
      </c>
      <c r="P86" s="28"/>
      <c r="Q86" s="17">
        <f t="shared" si="20"/>
        <v>0</v>
      </c>
      <c r="R86" s="24">
        <f t="shared" si="19"/>
        <v>0</v>
      </c>
      <c r="S86" s="17" t="s">
        <v>4</v>
      </c>
      <c r="T86" s="17"/>
      <c r="U86" s="2"/>
      <c r="V86" s="2"/>
      <c r="W86" s="2"/>
      <c r="X86" s="2"/>
      <c r="Y86" s="2"/>
      <c r="Z86" s="2"/>
      <c r="AA86" s="2"/>
      <c r="AB86" s="2"/>
      <c r="AC86" s="2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s="3" customFormat="1" ht="21.6" x14ac:dyDescent="0.2">
      <c r="A87" s="4">
        <v>2155</v>
      </c>
      <c r="B87" s="15" t="s">
        <v>2</v>
      </c>
      <c r="C87" s="5" t="s">
        <v>25</v>
      </c>
      <c r="D87" s="1" t="s">
        <v>97</v>
      </c>
      <c r="E87" s="15" t="s">
        <v>98</v>
      </c>
      <c r="F87" s="15" t="s">
        <v>82</v>
      </c>
      <c r="G87" s="15" t="s">
        <v>74</v>
      </c>
      <c r="H87" s="9" t="s">
        <v>75</v>
      </c>
      <c r="I87" s="16" t="s">
        <v>3</v>
      </c>
      <c r="J87" s="17">
        <v>0.7</v>
      </c>
      <c r="K87" s="22" t="s">
        <v>44</v>
      </c>
      <c r="L87" s="20" t="s">
        <v>45</v>
      </c>
      <c r="M87" s="22" t="s">
        <v>63</v>
      </c>
      <c r="N87" s="22" t="s">
        <v>27</v>
      </c>
      <c r="O87" s="17">
        <v>0.15</v>
      </c>
      <c r="P87" s="29"/>
      <c r="Q87" s="17">
        <f t="shared" si="20"/>
        <v>0</v>
      </c>
      <c r="R87" s="24">
        <f t="shared" si="19"/>
        <v>0</v>
      </c>
      <c r="S87" s="17" t="s">
        <v>4</v>
      </c>
      <c r="T87" s="17"/>
      <c r="U87" s="2"/>
      <c r="V87" s="2"/>
      <c r="W87" s="2"/>
      <c r="X87" s="2"/>
      <c r="Y87" s="2"/>
      <c r="Z87" s="2"/>
      <c r="AA87" s="2"/>
      <c r="AB87" s="2"/>
      <c r="AC87" s="2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s="3" customFormat="1" ht="21.6" x14ac:dyDescent="0.2">
      <c r="A88" s="4">
        <v>2156</v>
      </c>
      <c r="B88" s="15" t="s">
        <v>2</v>
      </c>
      <c r="C88" s="5" t="s">
        <v>25</v>
      </c>
      <c r="D88" s="1" t="s">
        <v>97</v>
      </c>
      <c r="E88" s="15" t="s">
        <v>98</v>
      </c>
      <c r="F88" s="15" t="s">
        <v>82</v>
      </c>
      <c r="G88" s="15" t="s">
        <v>74</v>
      </c>
      <c r="H88" s="9" t="s">
        <v>75</v>
      </c>
      <c r="I88" s="18" t="s">
        <v>3</v>
      </c>
      <c r="J88" s="17">
        <v>0.7</v>
      </c>
      <c r="K88" s="18" t="s">
        <v>46</v>
      </c>
      <c r="L88" s="21" t="s">
        <v>47</v>
      </c>
      <c r="M88" s="18" t="s">
        <v>65</v>
      </c>
      <c r="N88" s="30" t="s">
        <v>28</v>
      </c>
      <c r="O88" s="31">
        <v>0.1</v>
      </c>
      <c r="P88" s="29"/>
      <c r="Q88" s="31">
        <f t="shared" si="20"/>
        <v>0</v>
      </c>
      <c r="R88" s="32">
        <f t="shared" si="19"/>
        <v>0</v>
      </c>
      <c r="S88" s="31" t="s">
        <v>0</v>
      </c>
      <c r="T88" s="31"/>
      <c r="U88" s="2"/>
      <c r="V88" s="2"/>
      <c r="W88" s="2"/>
      <c r="X88" s="2"/>
      <c r="Y88" s="2"/>
      <c r="Z88" s="2"/>
      <c r="AA88" s="2"/>
      <c r="AB88" s="2"/>
      <c r="AC88" s="2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s="3" customFormat="1" ht="21.6" x14ac:dyDescent="0.2">
      <c r="A89" s="4">
        <v>2157</v>
      </c>
      <c r="B89" s="15" t="s">
        <v>2</v>
      </c>
      <c r="C89" s="5" t="s">
        <v>25</v>
      </c>
      <c r="D89" s="1" t="s">
        <v>97</v>
      </c>
      <c r="E89" s="15" t="s">
        <v>98</v>
      </c>
      <c r="F89" s="15" t="s">
        <v>82</v>
      </c>
      <c r="G89" s="15" t="s">
        <v>74</v>
      </c>
      <c r="H89" s="9" t="s">
        <v>75</v>
      </c>
      <c r="I89" s="18" t="s">
        <v>3</v>
      </c>
      <c r="J89" s="17">
        <v>0.7</v>
      </c>
      <c r="K89" s="18" t="s">
        <v>48</v>
      </c>
      <c r="L89" s="21" t="s">
        <v>49</v>
      </c>
      <c r="M89" s="18" t="s">
        <v>67</v>
      </c>
      <c r="N89" s="30" t="s">
        <v>68</v>
      </c>
      <c r="O89" s="31">
        <v>0.1</v>
      </c>
      <c r="P89" s="29"/>
      <c r="Q89" s="31">
        <f t="shared" si="20"/>
        <v>0</v>
      </c>
      <c r="R89" s="32">
        <f t="shared" si="19"/>
        <v>0</v>
      </c>
      <c r="S89" s="31" t="s">
        <v>0</v>
      </c>
      <c r="T89" s="31"/>
      <c r="U89" s="2"/>
      <c r="V89" s="2"/>
      <c r="W89" s="2"/>
      <c r="X89" s="2"/>
      <c r="Y89" s="2"/>
      <c r="Z89" s="2"/>
      <c r="AA89" s="2"/>
      <c r="AB89" s="2"/>
      <c r="AC89" s="2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s="3" customFormat="1" ht="21.6" x14ac:dyDescent="0.2">
      <c r="A90" s="4">
        <v>2158</v>
      </c>
      <c r="B90" s="15" t="s">
        <v>2</v>
      </c>
      <c r="C90" s="5" t="s">
        <v>25</v>
      </c>
      <c r="D90" s="1" t="s">
        <v>97</v>
      </c>
      <c r="E90" s="15" t="s">
        <v>98</v>
      </c>
      <c r="F90" s="15" t="s">
        <v>82</v>
      </c>
      <c r="G90" s="15" t="s">
        <v>74</v>
      </c>
      <c r="H90" s="9" t="s">
        <v>75</v>
      </c>
      <c r="I90" s="18" t="s">
        <v>3</v>
      </c>
      <c r="J90" s="17">
        <v>0.7</v>
      </c>
      <c r="K90" s="18" t="s">
        <v>50</v>
      </c>
      <c r="L90" s="21" t="s">
        <v>51</v>
      </c>
      <c r="M90" s="8" t="s">
        <v>70</v>
      </c>
      <c r="N90" s="33" t="s">
        <v>28</v>
      </c>
      <c r="O90" s="31">
        <v>0.05</v>
      </c>
      <c r="P90" s="33"/>
      <c r="Q90" s="31">
        <f t="shared" si="20"/>
        <v>0</v>
      </c>
      <c r="R90" s="32">
        <f t="shared" si="19"/>
        <v>0</v>
      </c>
      <c r="S90" s="31" t="s">
        <v>0</v>
      </c>
      <c r="T90" s="31"/>
      <c r="U90" s="2"/>
      <c r="V90" s="2"/>
      <c r="W90" s="2"/>
      <c r="X90" s="2"/>
      <c r="Y90" s="2"/>
      <c r="Z90" s="2"/>
      <c r="AA90" s="2"/>
      <c r="AB90" s="2"/>
      <c r="AC90" s="2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s="3" customFormat="1" ht="21.6" x14ac:dyDescent="0.2">
      <c r="A91" s="4">
        <v>2159</v>
      </c>
      <c r="B91" s="15" t="s">
        <v>2</v>
      </c>
      <c r="C91" s="5" t="s">
        <v>25</v>
      </c>
      <c r="D91" s="1" t="s">
        <v>97</v>
      </c>
      <c r="E91" s="15" t="s">
        <v>98</v>
      </c>
      <c r="F91" s="15" t="s">
        <v>82</v>
      </c>
      <c r="G91" s="15" t="s">
        <v>74</v>
      </c>
      <c r="H91" s="9" t="s">
        <v>75</v>
      </c>
      <c r="I91" s="18" t="s">
        <v>1</v>
      </c>
      <c r="J91" s="19">
        <v>0.3</v>
      </c>
      <c r="K91" s="18" t="s">
        <v>52</v>
      </c>
      <c r="L91" s="21" t="s">
        <v>53</v>
      </c>
      <c r="M91" s="8" t="s">
        <v>72</v>
      </c>
      <c r="N91" s="33" t="s">
        <v>54</v>
      </c>
      <c r="O91" s="31">
        <v>0.1</v>
      </c>
      <c r="P91" s="33"/>
      <c r="Q91" s="31">
        <f t="shared" si="20"/>
        <v>0</v>
      </c>
      <c r="R91" s="32">
        <f t="shared" ref="R91:R99" si="21">IF(AND(Q91&gt;=60%,Q91&lt;100%),Q91*((O91*J91)),IF(Q91=100%,((O91*J91)*Q91)*100%,IF(Q91&gt;100%,((J91*O91)*100%)*100%,0)))*100</f>
        <v>0</v>
      </c>
      <c r="S91" s="31" t="s">
        <v>0</v>
      </c>
      <c r="T91" s="31"/>
      <c r="U91" s="2"/>
      <c r="V91" s="2"/>
      <c r="W91" s="2"/>
      <c r="X91" s="2"/>
      <c r="Y91" s="2"/>
      <c r="Z91" s="2"/>
      <c r="AA91" s="2"/>
      <c r="AB91" s="2"/>
      <c r="AC91" s="2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s="3" customFormat="1" ht="21.6" x14ac:dyDescent="0.2">
      <c r="A92" s="4">
        <v>2160</v>
      </c>
      <c r="B92" s="15" t="s">
        <v>2</v>
      </c>
      <c r="C92" s="5" t="s">
        <v>25</v>
      </c>
      <c r="D92" s="1" t="s">
        <v>100</v>
      </c>
      <c r="E92" s="15" t="s">
        <v>99</v>
      </c>
      <c r="F92" s="15" t="s">
        <v>91</v>
      </c>
      <c r="G92" s="15" t="s">
        <v>74</v>
      </c>
      <c r="H92" s="9" t="s">
        <v>75</v>
      </c>
      <c r="I92" s="16" t="s">
        <v>3</v>
      </c>
      <c r="J92" s="17">
        <v>0.7</v>
      </c>
      <c r="K92" s="22" t="s">
        <v>34</v>
      </c>
      <c r="L92" s="20" t="s">
        <v>35</v>
      </c>
      <c r="M92" s="7" t="s">
        <v>56</v>
      </c>
      <c r="N92" s="23" t="s">
        <v>26</v>
      </c>
      <c r="O92" s="17">
        <v>0.1</v>
      </c>
      <c r="P92" s="17"/>
      <c r="Q92" s="17">
        <f t="shared" si="20"/>
        <v>0</v>
      </c>
      <c r="R92" s="24">
        <f t="shared" si="21"/>
        <v>0</v>
      </c>
      <c r="S92" s="17" t="s">
        <v>0</v>
      </c>
      <c r="T92" s="25">
        <f>SUM(R92:R100)%</f>
        <v>0</v>
      </c>
      <c r="U92" s="2"/>
      <c r="V92" s="2"/>
      <c r="W92" s="2"/>
      <c r="X92" s="2"/>
      <c r="Y92" s="2"/>
      <c r="Z92" s="2"/>
      <c r="AA92" s="2"/>
      <c r="AB92" s="2"/>
      <c r="AC92" s="2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s="3" customFormat="1" ht="21.6" x14ac:dyDescent="0.2">
      <c r="A93" s="4">
        <v>2161</v>
      </c>
      <c r="B93" s="15" t="s">
        <v>2</v>
      </c>
      <c r="C93" s="5" t="s">
        <v>25</v>
      </c>
      <c r="D93" s="1" t="s">
        <v>100</v>
      </c>
      <c r="E93" s="15" t="s">
        <v>99</v>
      </c>
      <c r="F93" s="15" t="s">
        <v>91</v>
      </c>
      <c r="G93" s="15" t="s">
        <v>74</v>
      </c>
      <c r="H93" s="9" t="s">
        <v>75</v>
      </c>
      <c r="I93" s="16" t="s">
        <v>3</v>
      </c>
      <c r="J93" s="17">
        <v>0.7</v>
      </c>
      <c r="K93" s="22" t="s">
        <v>36</v>
      </c>
      <c r="L93" s="20" t="s">
        <v>37</v>
      </c>
      <c r="M93" s="22" t="s">
        <v>58</v>
      </c>
      <c r="N93" s="23" t="s">
        <v>38</v>
      </c>
      <c r="O93" s="17">
        <v>0.15</v>
      </c>
      <c r="P93" s="26"/>
      <c r="Q93" s="17">
        <f>ROUND(IF(OR(N93="",P93=""),0,IF(AND(N93=0,P93=0),1,IF(S93="+",P93/N93,N93/P93))),2)</f>
        <v>0</v>
      </c>
      <c r="R93" s="24">
        <f t="shared" si="21"/>
        <v>0</v>
      </c>
      <c r="S93" s="17" t="s">
        <v>4</v>
      </c>
      <c r="T93" s="17"/>
      <c r="U93" s="2"/>
      <c r="V93" s="2"/>
      <c r="W93" s="2"/>
      <c r="X93" s="2"/>
      <c r="Y93" s="2"/>
      <c r="Z93" s="2"/>
      <c r="AA93" s="2"/>
      <c r="AB93" s="2"/>
      <c r="AC93" s="2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s="3" customFormat="1" ht="21.6" x14ac:dyDescent="0.2">
      <c r="A94" s="4">
        <v>2162</v>
      </c>
      <c r="B94" s="15" t="s">
        <v>2</v>
      </c>
      <c r="C94" s="5" t="s">
        <v>25</v>
      </c>
      <c r="D94" s="1" t="s">
        <v>100</v>
      </c>
      <c r="E94" s="15" t="s">
        <v>99</v>
      </c>
      <c r="F94" s="15" t="s">
        <v>91</v>
      </c>
      <c r="G94" s="15" t="s">
        <v>74</v>
      </c>
      <c r="H94" s="9" t="s">
        <v>75</v>
      </c>
      <c r="I94" s="16" t="s">
        <v>3</v>
      </c>
      <c r="J94" s="17">
        <v>0.7</v>
      </c>
      <c r="K94" s="22" t="s">
        <v>39</v>
      </c>
      <c r="L94" s="20" t="s">
        <v>40</v>
      </c>
      <c r="M94" s="22" t="s">
        <v>60</v>
      </c>
      <c r="N94" s="27">
        <v>1</v>
      </c>
      <c r="O94" s="17">
        <v>0.1</v>
      </c>
      <c r="P94" s="26"/>
      <c r="Q94" s="17">
        <f t="shared" ref="Q94:Q101" si="22">ROUND(IF(OR(N94="",P94=""),0,IF(AND(N94=0,P94=0),1,IF(S94="+",P94/N94,N94/P94))),2)</f>
        <v>0</v>
      </c>
      <c r="R94" s="24">
        <f t="shared" si="21"/>
        <v>0</v>
      </c>
      <c r="S94" s="17" t="s">
        <v>0</v>
      </c>
      <c r="T94" s="17"/>
      <c r="U94" s="2"/>
      <c r="V94" s="2"/>
      <c r="W94" s="2"/>
      <c r="X94" s="2"/>
      <c r="Y94" s="2"/>
      <c r="Z94" s="2"/>
      <c r="AA94" s="2"/>
      <c r="AB94" s="2"/>
      <c r="AC94" s="2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s="3" customFormat="1" ht="21.6" x14ac:dyDescent="0.2">
      <c r="A95" s="4">
        <v>2163</v>
      </c>
      <c r="B95" s="15" t="s">
        <v>2</v>
      </c>
      <c r="C95" s="5" t="s">
        <v>25</v>
      </c>
      <c r="D95" s="1" t="s">
        <v>100</v>
      </c>
      <c r="E95" s="15" t="s">
        <v>99</v>
      </c>
      <c r="F95" s="15" t="s">
        <v>91</v>
      </c>
      <c r="G95" s="15" t="s">
        <v>74</v>
      </c>
      <c r="H95" s="9" t="s">
        <v>75</v>
      </c>
      <c r="I95" s="16" t="s">
        <v>3</v>
      </c>
      <c r="J95" s="17">
        <v>0.7</v>
      </c>
      <c r="K95" s="22" t="s">
        <v>41</v>
      </c>
      <c r="L95" s="20" t="s">
        <v>42</v>
      </c>
      <c r="M95" s="22" t="s">
        <v>43</v>
      </c>
      <c r="N95" s="26" t="s">
        <v>27</v>
      </c>
      <c r="O95" s="17">
        <v>0.15</v>
      </c>
      <c r="P95" s="28"/>
      <c r="Q95" s="17">
        <f t="shared" si="22"/>
        <v>0</v>
      </c>
      <c r="R95" s="24">
        <f t="shared" si="21"/>
        <v>0</v>
      </c>
      <c r="S95" s="17" t="s">
        <v>4</v>
      </c>
      <c r="T95" s="17"/>
      <c r="U95" s="2"/>
      <c r="V95" s="2"/>
      <c r="W95" s="2"/>
      <c r="X95" s="2"/>
      <c r="Y95" s="2"/>
      <c r="Z95" s="2"/>
      <c r="AA95" s="2"/>
      <c r="AB95" s="2"/>
      <c r="AC95" s="2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s="3" customFormat="1" ht="21.6" x14ac:dyDescent="0.2">
      <c r="A96" s="4">
        <v>2164</v>
      </c>
      <c r="B96" s="15" t="s">
        <v>2</v>
      </c>
      <c r="C96" s="5" t="s">
        <v>25</v>
      </c>
      <c r="D96" s="1" t="s">
        <v>100</v>
      </c>
      <c r="E96" s="15" t="s">
        <v>99</v>
      </c>
      <c r="F96" s="15" t="s">
        <v>91</v>
      </c>
      <c r="G96" s="15" t="s">
        <v>74</v>
      </c>
      <c r="H96" s="9" t="s">
        <v>75</v>
      </c>
      <c r="I96" s="16" t="s">
        <v>3</v>
      </c>
      <c r="J96" s="17">
        <v>0.7</v>
      </c>
      <c r="K96" s="22" t="s">
        <v>44</v>
      </c>
      <c r="L96" s="20" t="s">
        <v>45</v>
      </c>
      <c r="M96" s="22" t="s">
        <v>63</v>
      </c>
      <c r="N96" s="22" t="s">
        <v>27</v>
      </c>
      <c r="O96" s="17">
        <v>0.15</v>
      </c>
      <c r="P96" s="29"/>
      <c r="Q96" s="17">
        <f t="shared" si="22"/>
        <v>0</v>
      </c>
      <c r="R96" s="24">
        <f t="shared" si="21"/>
        <v>0</v>
      </c>
      <c r="S96" s="17" t="s">
        <v>4</v>
      </c>
      <c r="T96" s="17"/>
      <c r="U96" s="2"/>
      <c r="V96" s="2"/>
      <c r="W96" s="2"/>
      <c r="X96" s="2"/>
      <c r="Y96" s="2"/>
      <c r="Z96" s="2"/>
      <c r="AA96" s="2"/>
      <c r="AB96" s="2"/>
      <c r="AC96" s="2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s="3" customFormat="1" ht="21.6" x14ac:dyDescent="0.2">
      <c r="A97" s="4">
        <v>2165</v>
      </c>
      <c r="B97" s="15" t="s">
        <v>2</v>
      </c>
      <c r="C97" s="5" t="s">
        <v>25</v>
      </c>
      <c r="D97" s="1" t="s">
        <v>100</v>
      </c>
      <c r="E97" s="15" t="s">
        <v>99</v>
      </c>
      <c r="F97" s="15" t="s">
        <v>91</v>
      </c>
      <c r="G97" s="15" t="s">
        <v>74</v>
      </c>
      <c r="H97" s="9" t="s">
        <v>75</v>
      </c>
      <c r="I97" s="18" t="s">
        <v>3</v>
      </c>
      <c r="J97" s="17">
        <v>0.7</v>
      </c>
      <c r="K97" s="18" t="s">
        <v>46</v>
      </c>
      <c r="L97" s="21" t="s">
        <v>47</v>
      </c>
      <c r="M97" s="18" t="s">
        <v>65</v>
      </c>
      <c r="N97" s="30" t="s">
        <v>28</v>
      </c>
      <c r="O97" s="31">
        <v>0.1</v>
      </c>
      <c r="P97" s="29"/>
      <c r="Q97" s="31">
        <f t="shared" si="22"/>
        <v>0</v>
      </c>
      <c r="R97" s="32">
        <f t="shared" si="21"/>
        <v>0</v>
      </c>
      <c r="S97" s="31" t="s">
        <v>0</v>
      </c>
      <c r="T97" s="31"/>
      <c r="U97" s="2"/>
      <c r="V97" s="2"/>
      <c r="W97" s="2"/>
      <c r="X97" s="2"/>
      <c r="Y97" s="2"/>
      <c r="Z97" s="2"/>
      <c r="AA97" s="2"/>
      <c r="AB97" s="2"/>
      <c r="AC97" s="2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s="3" customFormat="1" ht="21.6" x14ac:dyDescent="0.2">
      <c r="A98" s="4">
        <v>2166</v>
      </c>
      <c r="B98" s="15" t="s">
        <v>2</v>
      </c>
      <c r="C98" s="5" t="s">
        <v>25</v>
      </c>
      <c r="D98" s="1" t="s">
        <v>100</v>
      </c>
      <c r="E98" s="15" t="s">
        <v>99</v>
      </c>
      <c r="F98" s="15" t="s">
        <v>91</v>
      </c>
      <c r="G98" s="15" t="s">
        <v>74</v>
      </c>
      <c r="H98" s="9" t="s">
        <v>75</v>
      </c>
      <c r="I98" s="18" t="s">
        <v>3</v>
      </c>
      <c r="J98" s="17">
        <v>0.7</v>
      </c>
      <c r="K98" s="18" t="s">
        <v>48</v>
      </c>
      <c r="L98" s="21" t="s">
        <v>49</v>
      </c>
      <c r="M98" s="18" t="s">
        <v>67</v>
      </c>
      <c r="N98" s="30" t="s">
        <v>68</v>
      </c>
      <c r="O98" s="31">
        <v>0.1</v>
      </c>
      <c r="P98" s="29"/>
      <c r="Q98" s="31">
        <f t="shared" si="22"/>
        <v>0</v>
      </c>
      <c r="R98" s="32">
        <f t="shared" si="21"/>
        <v>0</v>
      </c>
      <c r="S98" s="31" t="s">
        <v>0</v>
      </c>
      <c r="T98" s="31"/>
      <c r="U98" s="2"/>
      <c r="V98" s="2"/>
      <c r="W98" s="2"/>
      <c r="X98" s="2"/>
      <c r="Y98" s="2"/>
      <c r="Z98" s="2"/>
      <c r="AA98" s="2"/>
      <c r="AB98" s="2"/>
      <c r="AC98" s="2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s="3" customFormat="1" ht="21.6" x14ac:dyDescent="0.2">
      <c r="A99" s="4">
        <v>2167</v>
      </c>
      <c r="B99" s="15" t="s">
        <v>2</v>
      </c>
      <c r="C99" s="5" t="s">
        <v>25</v>
      </c>
      <c r="D99" s="1" t="s">
        <v>100</v>
      </c>
      <c r="E99" s="15" t="s">
        <v>99</v>
      </c>
      <c r="F99" s="15" t="s">
        <v>91</v>
      </c>
      <c r="G99" s="15" t="s">
        <v>74</v>
      </c>
      <c r="H99" s="9" t="s">
        <v>75</v>
      </c>
      <c r="I99" s="18" t="s">
        <v>3</v>
      </c>
      <c r="J99" s="17">
        <v>0.7</v>
      </c>
      <c r="K99" s="18" t="s">
        <v>50</v>
      </c>
      <c r="L99" s="21" t="s">
        <v>51</v>
      </c>
      <c r="M99" s="8" t="s">
        <v>70</v>
      </c>
      <c r="N99" s="33" t="s">
        <v>28</v>
      </c>
      <c r="O99" s="31">
        <v>0.05</v>
      </c>
      <c r="P99" s="33"/>
      <c r="Q99" s="31">
        <f t="shared" si="22"/>
        <v>0</v>
      </c>
      <c r="R99" s="32">
        <f t="shared" si="21"/>
        <v>0</v>
      </c>
      <c r="S99" s="31" t="s">
        <v>0</v>
      </c>
      <c r="T99" s="31"/>
      <c r="U99" s="2"/>
      <c r="V99" s="2"/>
      <c r="W99" s="2"/>
      <c r="X99" s="2"/>
      <c r="Y99" s="2"/>
      <c r="Z99" s="2"/>
      <c r="AA99" s="2"/>
      <c r="AB99" s="2"/>
      <c r="AC99" s="2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s="3" customFormat="1" ht="21.6" x14ac:dyDescent="0.2">
      <c r="A100" s="4">
        <v>2168</v>
      </c>
      <c r="B100" s="15" t="s">
        <v>2</v>
      </c>
      <c r="C100" s="5" t="s">
        <v>25</v>
      </c>
      <c r="D100" s="1" t="s">
        <v>100</v>
      </c>
      <c r="E100" s="15" t="s">
        <v>99</v>
      </c>
      <c r="F100" s="15" t="s">
        <v>91</v>
      </c>
      <c r="G100" s="15" t="s">
        <v>74</v>
      </c>
      <c r="H100" s="9" t="s">
        <v>75</v>
      </c>
      <c r="I100" s="18" t="s">
        <v>1</v>
      </c>
      <c r="J100" s="19">
        <v>0.3</v>
      </c>
      <c r="K100" s="18" t="s">
        <v>52</v>
      </c>
      <c r="L100" s="21" t="s">
        <v>53</v>
      </c>
      <c r="M100" s="8" t="s">
        <v>72</v>
      </c>
      <c r="N100" s="33" t="s">
        <v>54</v>
      </c>
      <c r="O100" s="31">
        <v>0.1</v>
      </c>
      <c r="P100" s="33"/>
      <c r="Q100" s="31">
        <f t="shared" si="22"/>
        <v>0</v>
      </c>
      <c r="R100" s="32">
        <f t="shared" ref="R100:R108" si="23">IF(AND(Q100&gt;=60%,Q100&lt;100%),Q100*((O100*J100)),IF(Q100=100%,((O100*J100)*Q100)*100%,IF(Q100&gt;100%,((J100*O100)*100%)*100%,0)))*100</f>
        <v>0</v>
      </c>
      <c r="S100" s="31" t="s">
        <v>0</v>
      </c>
      <c r="T100" s="31"/>
      <c r="U100" s="2"/>
      <c r="V100" s="2"/>
      <c r="W100" s="2"/>
      <c r="X100" s="2"/>
      <c r="Y100" s="2"/>
      <c r="Z100" s="2"/>
      <c r="AA100" s="2"/>
      <c r="AB100" s="2"/>
      <c r="AC100" s="2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s="3" customFormat="1" ht="21.6" x14ac:dyDescent="0.2">
      <c r="A101" s="4">
        <v>2169</v>
      </c>
      <c r="B101" s="15" t="s">
        <v>2</v>
      </c>
      <c r="C101" s="5" t="s">
        <v>25</v>
      </c>
      <c r="D101" s="1" t="s">
        <v>101</v>
      </c>
      <c r="E101" s="15" t="s">
        <v>102</v>
      </c>
      <c r="F101" s="15" t="s">
        <v>91</v>
      </c>
      <c r="G101" s="15" t="s">
        <v>74</v>
      </c>
      <c r="H101" s="9" t="s">
        <v>75</v>
      </c>
      <c r="I101" s="16" t="s">
        <v>3</v>
      </c>
      <c r="J101" s="17">
        <v>0.7</v>
      </c>
      <c r="K101" s="22" t="s">
        <v>34</v>
      </c>
      <c r="L101" s="20" t="s">
        <v>35</v>
      </c>
      <c r="M101" s="7" t="s">
        <v>56</v>
      </c>
      <c r="N101" s="23" t="s">
        <v>26</v>
      </c>
      <c r="O101" s="17">
        <v>0.1</v>
      </c>
      <c r="P101" s="17"/>
      <c r="Q101" s="17">
        <f t="shared" si="22"/>
        <v>0</v>
      </c>
      <c r="R101" s="24">
        <f t="shared" si="23"/>
        <v>0</v>
      </c>
      <c r="S101" s="17" t="s">
        <v>0</v>
      </c>
      <c r="T101" s="25">
        <f>SUM(R101:R109)%</f>
        <v>0</v>
      </c>
      <c r="U101" s="2"/>
      <c r="V101" s="2"/>
      <c r="W101" s="2"/>
      <c r="X101" s="2"/>
      <c r="Y101" s="2"/>
      <c r="Z101" s="2"/>
      <c r="AA101" s="2"/>
      <c r="AB101" s="2"/>
      <c r="AC101" s="2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s="3" customFormat="1" ht="21.6" x14ac:dyDescent="0.2">
      <c r="A102" s="4">
        <v>2170</v>
      </c>
      <c r="B102" s="15" t="s">
        <v>2</v>
      </c>
      <c r="C102" s="5" t="s">
        <v>25</v>
      </c>
      <c r="D102" s="1" t="s">
        <v>101</v>
      </c>
      <c r="E102" s="15" t="s">
        <v>102</v>
      </c>
      <c r="F102" s="15" t="s">
        <v>91</v>
      </c>
      <c r="G102" s="15" t="s">
        <v>74</v>
      </c>
      <c r="H102" s="9" t="s">
        <v>75</v>
      </c>
      <c r="I102" s="16" t="s">
        <v>3</v>
      </c>
      <c r="J102" s="17">
        <v>0.7</v>
      </c>
      <c r="K102" s="22" t="s">
        <v>36</v>
      </c>
      <c r="L102" s="20" t="s">
        <v>37</v>
      </c>
      <c r="M102" s="22" t="s">
        <v>58</v>
      </c>
      <c r="N102" s="23" t="s">
        <v>38</v>
      </c>
      <c r="O102" s="17">
        <v>0.15</v>
      </c>
      <c r="P102" s="26"/>
      <c r="Q102" s="17">
        <f>ROUND(IF(OR(N102="",P102=""),0,IF(AND(N102=0,P102=0),1,IF(S102="+",P102/N102,N102/P102))),2)</f>
        <v>0</v>
      </c>
      <c r="R102" s="24">
        <f t="shared" si="23"/>
        <v>0</v>
      </c>
      <c r="S102" s="17" t="s">
        <v>4</v>
      </c>
      <c r="T102" s="17"/>
      <c r="U102" s="2"/>
      <c r="V102" s="2"/>
      <c r="W102" s="2"/>
      <c r="X102" s="2"/>
      <c r="Y102" s="2"/>
      <c r="Z102" s="2"/>
      <c r="AA102" s="2"/>
      <c r="AB102" s="2"/>
      <c r="AC102" s="2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s="3" customFormat="1" ht="21.6" x14ac:dyDescent="0.2">
      <c r="A103" s="4">
        <v>2171</v>
      </c>
      <c r="B103" s="15" t="s">
        <v>2</v>
      </c>
      <c r="C103" s="5" t="s">
        <v>25</v>
      </c>
      <c r="D103" s="1" t="s">
        <v>101</v>
      </c>
      <c r="E103" s="15" t="s">
        <v>102</v>
      </c>
      <c r="F103" s="15" t="s">
        <v>91</v>
      </c>
      <c r="G103" s="15" t="s">
        <v>74</v>
      </c>
      <c r="H103" s="9" t="s">
        <v>75</v>
      </c>
      <c r="I103" s="16" t="s">
        <v>3</v>
      </c>
      <c r="J103" s="17">
        <v>0.7</v>
      </c>
      <c r="K103" s="22" t="s">
        <v>39</v>
      </c>
      <c r="L103" s="20" t="s">
        <v>40</v>
      </c>
      <c r="M103" s="22" t="s">
        <v>60</v>
      </c>
      <c r="N103" s="27">
        <v>1</v>
      </c>
      <c r="O103" s="17">
        <v>0.1</v>
      </c>
      <c r="P103" s="26"/>
      <c r="Q103" s="17">
        <f t="shared" ref="Q103:Q109" si="24">ROUND(IF(OR(N103="",P103=""),0,IF(AND(N103=0,P103=0),1,IF(S103="+",P103/N103,N103/P103))),2)</f>
        <v>0</v>
      </c>
      <c r="R103" s="24">
        <f t="shared" si="23"/>
        <v>0</v>
      </c>
      <c r="S103" s="17" t="s">
        <v>0</v>
      </c>
      <c r="T103" s="17"/>
      <c r="U103" s="2"/>
      <c r="V103" s="2"/>
      <c r="W103" s="2"/>
      <c r="X103" s="2"/>
      <c r="Y103" s="2"/>
      <c r="Z103" s="2"/>
      <c r="AA103" s="2"/>
      <c r="AB103" s="2"/>
      <c r="AC103" s="2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s="3" customFormat="1" ht="21.6" x14ac:dyDescent="0.2">
      <c r="A104" s="4">
        <v>2172</v>
      </c>
      <c r="B104" s="15" t="s">
        <v>2</v>
      </c>
      <c r="C104" s="5" t="s">
        <v>25</v>
      </c>
      <c r="D104" s="1" t="s">
        <v>101</v>
      </c>
      <c r="E104" s="15" t="s">
        <v>102</v>
      </c>
      <c r="F104" s="15" t="s">
        <v>91</v>
      </c>
      <c r="G104" s="15" t="s">
        <v>74</v>
      </c>
      <c r="H104" s="9" t="s">
        <v>75</v>
      </c>
      <c r="I104" s="16" t="s">
        <v>3</v>
      </c>
      <c r="J104" s="17">
        <v>0.7</v>
      </c>
      <c r="K104" s="22" t="s">
        <v>41</v>
      </c>
      <c r="L104" s="20" t="s">
        <v>42</v>
      </c>
      <c r="M104" s="22" t="s">
        <v>43</v>
      </c>
      <c r="N104" s="26" t="s">
        <v>27</v>
      </c>
      <c r="O104" s="17">
        <v>0.15</v>
      </c>
      <c r="P104" s="28"/>
      <c r="Q104" s="17">
        <f t="shared" si="24"/>
        <v>0</v>
      </c>
      <c r="R104" s="24">
        <f t="shared" si="23"/>
        <v>0</v>
      </c>
      <c r="S104" s="17" t="s">
        <v>4</v>
      </c>
      <c r="T104" s="17"/>
      <c r="U104" s="2"/>
      <c r="V104" s="2"/>
      <c r="W104" s="2"/>
      <c r="X104" s="2"/>
      <c r="Y104" s="2"/>
      <c r="Z104" s="2"/>
      <c r="AA104" s="2"/>
      <c r="AB104" s="2"/>
      <c r="AC104" s="2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s="3" customFormat="1" ht="21.6" x14ac:dyDescent="0.2">
      <c r="A105" s="4">
        <v>2173</v>
      </c>
      <c r="B105" s="15" t="s">
        <v>2</v>
      </c>
      <c r="C105" s="5" t="s">
        <v>25</v>
      </c>
      <c r="D105" s="1" t="s">
        <v>101</v>
      </c>
      <c r="E105" s="15" t="s">
        <v>102</v>
      </c>
      <c r="F105" s="15" t="s">
        <v>91</v>
      </c>
      <c r="G105" s="15" t="s">
        <v>74</v>
      </c>
      <c r="H105" s="9" t="s">
        <v>75</v>
      </c>
      <c r="I105" s="16" t="s">
        <v>3</v>
      </c>
      <c r="J105" s="17">
        <v>0.7</v>
      </c>
      <c r="K105" s="22" t="s">
        <v>44</v>
      </c>
      <c r="L105" s="20" t="s">
        <v>45</v>
      </c>
      <c r="M105" s="22" t="s">
        <v>63</v>
      </c>
      <c r="N105" s="22" t="s">
        <v>27</v>
      </c>
      <c r="O105" s="17">
        <v>0.15</v>
      </c>
      <c r="P105" s="29"/>
      <c r="Q105" s="17">
        <f t="shared" si="24"/>
        <v>0</v>
      </c>
      <c r="R105" s="24">
        <f t="shared" si="23"/>
        <v>0</v>
      </c>
      <c r="S105" s="17" t="s">
        <v>4</v>
      </c>
      <c r="T105" s="17"/>
      <c r="U105" s="2"/>
      <c r="V105" s="2"/>
      <c r="W105" s="2"/>
      <c r="X105" s="2"/>
      <c r="Y105" s="2"/>
      <c r="Z105" s="2"/>
      <c r="AA105" s="2"/>
      <c r="AB105" s="2"/>
      <c r="AC105" s="2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s="3" customFormat="1" ht="21.6" x14ac:dyDescent="0.2">
      <c r="A106" s="4">
        <v>2174</v>
      </c>
      <c r="B106" s="15" t="s">
        <v>2</v>
      </c>
      <c r="C106" s="5" t="s">
        <v>25</v>
      </c>
      <c r="D106" s="1" t="s">
        <v>101</v>
      </c>
      <c r="E106" s="15" t="s">
        <v>102</v>
      </c>
      <c r="F106" s="15" t="s">
        <v>91</v>
      </c>
      <c r="G106" s="15" t="s">
        <v>74</v>
      </c>
      <c r="H106" s="9" t="s">
        <v>75</v>
      </c>
      <c r="I106" s="18" t="s">
        <v>3</v>
      </c>
      <c r="J106" s="17">
        <v>0.7</v>
      </c>
      <c r="K106" s="18" t="s">
        <v>46</v>
      </c>
      <c r="L106" s="21" t="s">
        <v>47</v>
      </c>
      <c r="M106" s="18" t="s">
        <v>65</v>
      </c>
      <c r="N106" s="30" t="s">
        <v>28</v>
      </c>
      <c r="O106" s="31">
        <v>0.1</v>
      </c>
      <c r="P106" s="29"/>
      <c r="Q106" s="31">
        <f t="shared" si="24"/>
        <v>0</v>
      </c>
      <c r="R106" s="32">
        <f t="shared" si="23"/>
        <v>0</v>
      </c>
      <c r="S106" s="31" t="s">
        <v>0</v>
      </c>
      <c r="T106" s="31"/>
      <c r="U106" s="2"/>
      <c r="V106" s="2"/>
      <c r="W106" s="2"/>
      <c r="X106" s="2"/>
      <c r="Y106" s="2"/>
      <c r="Z106" s="2"/>
      <c r="AA106" s="2"/>
      <c r="AB106" s="2"/>
      <c r="AC106" s="2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s="3" customFormat="1" ht="21.6" x14ac:dyDescent="0.2">
      <c r="A107" s="4">
        <v>2175</v>
      </c>
      <c r="B107" s="15" t="s">
        <v>2</v>
      </c>
      <c r="C107" s="5" t="s">
        <v>25</v>
      </c>
      <c r="D107" s="1" t="s">
        <v>101</v>
      </c>
      <c r="E107" s="15" t="s">
        <v>102</v>
      </c>
      <c r="F107" s="15" t="s">
        <v>91</v>
      </c>
      <c r="G107" s="15" t="s">
        <v>74</v>
      </c>
      <c r="H107" s="9" t="s">
        <v>75</v>
      </c>
      <c r="I107" s="18" t="s">
        <v>3</v>
      </c>
      <c r="J107" s="17">
        <v>0.7</v>
      </c>
      <c r="K107" s="18" t="s">
        <v>48</v>
      </c>
      <c r="L107" s="21" t="s">
        <v>49</v>
      </c>
      <c r="M107" s="18" t="s">
        <v>67</v>
      </c>
      <c r="N107" s="30" t="s">
        <v>68</v>
      </c>
      <c r="O107" s="31">
        <v>0.1</v>
      </c>
      <c r="P107" s="29"/>
      <c r="Q107" s="31">
        <f t="shared" si="24"/>
        <v>0</v>
      </c>
      <c r="R107" s="32">
        <f t="shared" si="23"/>
        <v>0</v>
      </c>
      <c r="S107" s="31" t="s">
        <v>0</v>
      </c>
      <c r="T107" s="31"/>
      <c r="U107" s="2"/>
      <c r="V107" s="2"/>
      <c r="W107" s="2"/>
      <c r="X107" s="2"/>
      <c r="Y107" s="2"/>
      <c r="Z107" s="2"/>
      <c r="AA107" s="2"/>
      <c r="AB107" s="2"/>
      <c r="AC107" s="2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s="3" customFormat="1" ht="21.6" x14ac:dyDescent="0.2">
      <c r="A108" s="4">
        <v>2176</v>
      </c>
      <c r="B108" s="15" t="s">
        <v>2</v>
      </c>
      <c r="C108" s="5" t="s">
        <v>25</v>
      </c>
      <c r="D108" s="1" t="s">
        <v>101</v>
      </c>
      <c r="E108" s="15" t="s">
        <v>102</v>
      </c>
      <c r="F108" s="15" t="s">
        <v>91</v>
      </c>
      <c r="G108" s="15" t="s">
        <v>74</v>
      </c>
      <c r="H108" s="9" t="s">
        <v>75</v>
      </c>
      <c r="I108" s="18" t="s">
        <v>3</v>
      </c>
      <c r="J108" s="17">
        <v>0.7</v>
      </c>
      <c r="K108" s="18" t="s">
        <v>50</v>
      </c>
      <c r="L108" s="21" t="s">
        <v>51</v>
      </c>
      <c r="M108" s="8" t="s">
        <v>70</v>
      </c>
      <c r="N108" s="33" t="s">
        <v>28</v>
      </c>
      <c r="O108" s="31">
        <v>0.05</v>
      </c>
      <c r="P108" s="33"/>
      <c r="Q108" s="31">
        <f t="shared" si="24"/>
        <v>0</v>
      </c>
      <c r="R108" s="32">
        <f t="shared" si="23"/>
        <v>0</v>
      </c>
      <c r="S108" s="31" t="s">
        <v>0</v>
      </c>
      <c r="T108" s="31"/>
      <c r="U108" s="2"/>
      <c r="V108" s="2"/>
      <c r="W108" s="2"/>
      <c r="X108" s="2"/>
      <c r="Y108" s="2"/>
      <c r="Z108" s="2"/>
      <c r="AA108" s="2"/>
      <c r="AB108" s="2"/>
      <c r="AC108" s="2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s="3" customFormat="1" ht="21.6" x14ac:dyDescent="0.2">
      <c r="A109" s="4">
        <v>2177</v>
      </c>
      <c r="B109" s="15" t="s">
        <v>2</v>
      </c>
      <c r="C109" s="5" t="s">
        <v>25</v>
      </c>
      <c r="D109" s="1" t="s">
        <v>101</v>
      </c>
      <c r="E109" s="15" t="s">
        <v>102</v>
      </c>
      <c r="F109" s="15" t="s">
        <v>91</v>
      </c>
      <c r="G109" s="15" t="s">
        <v>74</v>
      </c>
      <c r="H109" s="9" t="s">
        <v>75</v>
      </c>
      <c r="I109" s="18" t="s">
        <v>1</v>
      </c>
      <c r="J109" s="19">
        <v>0.3</v>
      </c>
      <c r="K109" s="18" t="s">
        <v>52</v>
      </c>
      <c r="L109" s="21" t="s">
        <v>53</v>
      </c>
      <c r="M109" s="8" t="s">
        <v>72</v>
      </c>
      <c r="N109" s="33" t="s">
        <v>54</v>
      </c>
      <c r="O109" s="31">
        <v>0.1</v>
      </c>
      <c r="P109" s="33"/>
      <c r="Q109" s="31">
        <f t="shared" si="24"/>
        <v>0</v>
      </c>
      <c r="R109" s="32">
        <f t="shared" ref="R109" si="25">IF(AND(Q109&gt;=60%,Q109&lt;100%),Q109*((O109*J109)),IF(Q109=100%,((O109*J109)*Q109)*100%,IF(Q109&gt;100%,((J109*O109)*100%)*100%,0)))*100</f>
        <v>0</v>
      </c>
      <c r="S109" s="31" t="s">
        <v>0</v>
      </c>
      <c r="T109" s="31"/>
      <c r="U109" s="2"/>
      <c r="V109" s="2"/>
      <c r="W109" s="2"/>
      <c r="X109" s="2"/>
      <c r="Y109" s="2"/>
      <c r="Z109" s="2"/>
      <c r="AA109" s="2"/>
      <c r="AB109" s="2"/>
      <c r="AC109" s="2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</sheetData>
  <autoFilter ref="A1:T10" xr:uid="{7EF4661B-8CB2-466F-8DBB-EB69CD48EE90}"/>
  <phoneticPr fontId="2" type="noConversion"/>
  <conditionalFormatting sqref="I1:I109 K1:M109">
    <cfRule type="cellIs" dxfId="0" priority="2" operator="equal">
      <formula>"maintasks"</formula>
    </cfRule>
  </conditionalFormatting>
  <pageMargins left="0.7" right="0.7" top="0.75" bottom="0.75" header="0.3" footer="0.3"/>
  <ignoredErrors>
    <ignoredError sqref="D2:D10 D11:D19 D20:D28 D29:D37 D38:D55 D56:D64 D65:D73 D74:D82 D83:D91 D92:D100 D101:D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ECCE-8F67-48E5-B108-4FBBB9A20B30}">
  <dimension ref="A1:H10"/>
  <sheetViews>
    <sheetView workbookViewId="0">
      <selection activeCell="E2" sqref="E2:E10"/>
    </sheetView>
  </sheetViews>
  <sheetFormatPr defaultRowHeight="14.4" x14ac:dyDescent="0.3"/>
  <cols>
    <col min="1" max="1" width="19.88671875" customWidth="1"/>
    <col min="2" max="2" width="19.21875" customWidth="1"/>
    <col min="3" max="3" width="27.6640625" customWidth="1"/>
    <col min="6" max="6" width="28.88671875" customWidth="1"/>
    <col min="7" max="7" width="15.6640625" customWidth="1"/>
    <col min="8" max="8" width="26.5546875" style="39" customWidth="1"/>
  </cols>
  <sheetData>
    <row r="1" spans="1:8" ht="28.8" x14ac:dyDescent="0.3">
      <c r="A1" s="10" t="s">
        <v>14</v>
      </c>
      <c r="B1" s="10" t="s">
        <v>13</v>
      </c>
      <c r="C1" s="10" t="s">
        <v>29</v>
      </c>
      <c r="D1" s="10" t="s">
        <v>31</v>
      </c>
      <c r="E1" s="10" t="s">
        <v>32</v>
      </c>
      <c r="F1" s="10" t="s">
        <v>30</v>
      </c>
      <c r="G1" s="10" t="s">
        <v>33</v>
      </c>
      <c r="H1" s="10" t="s">
        <v>55</v>
      </c>
    </row>
    <row r="2" spans="1:8" ht="28.8" x14ac:dyDescent="0.3">
      <c r="A2" s="10" t="s">
        <v>34</v>
      </c>
      <c r="B2" s="10" t="s">
        <v>35</v>
      </c>
      <c r="C2" s="10" t="s">
        <v>56</v>
      </c>
      <c r="D2" s="11" t="s">
        <v>26</v>
      </c>
      <c r="E2" s="10" t="s">
        <v>0</v>
      </c>
      <c r="F2" s="10" t="s">
        <v>3</v>
      </c>
      <c r="G2" s="10">
        <v>15</v>
      </c>
      <c r="H2" s="10" t="s">
        <v>57</v>
      </c>
    </row>
    <row r="3" spans="1:8" ht="28.8" x14ac:dyDescent="0.3">
      <c r="A3" s="10" t="s">
        <v>36</v>
      </c>
      <c r="B3" s="10" t="s">
        <v>37</v>
      </c>
      <c r="C3" s="10" t="s">
        <v>58</v>
      </c>
      <c r="D3" s="11" t="s">
        <v>38</v>
      </c>
      <c r="E3" s="10" t="s">
        <v>4</v>
      </c>
      <c r="F3" s="10" t="s">
        <v>3</v>
      </c>
      <c r="G3" s="10">
        <v>15</v>
      </c>
      <c r="H3" s="10" t="s">
        <v>59</v>
      </c>
    </row>
    <row r="4" spans="1:8" ht="28.8" x14ac:dyDescent="0.3">
      <c r="A4" s="10" t="s">
        <v>39</v>
      </c>
      <c r="B4" s="10" t="s">
        <v>40</v>
      </c>
      <c r="C4" s="10" t="s">
        <v>60</v>
      </c>
      <c r="D4" s="11">
        <v>1</v>
      </c>
      <c r="E4" s="10" t="s">
        <v>0</v>
      </c>
      <c r="F4" s="10" t="s">
        <v>3</v>
      </c>
      <c r="G4" s="10">
        <v>10</v>
      </c>
      <c r="H4" s="10" t="s">
        <v>61</v>
      </c>
    </row>
    <row r="5" spans="1:8" ht="28.8" x14ac:dyDescent="0.3">
      <c r="A5" s="10" t="s">
        <v>41</v>
      </c>
      <c r="B5" s="10" t="s">
        <v>42</v>
      </c>
      <c r="C5" s="10" t="s">
        <v>43</v>
      </c>
      <c r="D5" s="11" t="s">
        <v>27</v>
      </c>
      <c r="E5" s="10" t="s">
        <v>4</v>
      </c>
      <c r="F5" s="10" t="s">
        <v>3</v>
      </c>
      <c r="G5" s="10">
        <v>10</v>
      </c>
      <c r="H5" s="10" t="s">
        <v>62</v>
      </c>
    </row>
    <row r="6" spans="1:8" ht="28.8" x14ac:dyDescent="0.3">
      <c r="A6" s="10" t="s">
        <v>44</v>
      </c>
      <c r="B6" s="10" t="s">
        <v>45</v>
      </c>
      <c r="C6" s="10" t="s">
        <v>63</v>
      </c>
      <c r="D6" s="11" t="s">
        <v>27</v>
      </c>
      <c r="E6" s="10" t="s">
        <v>4</v>
      </c>
      <c r="F6" s="10" t="s">
        <v>3</v>
      </c>
      <c r="G6" s="10">
        <v>10</v>
      </c>
      <c r="H6" s="10" t="s">
        <v>64</v>
      </c>
    </row>
    <row r="7" spans="1:8" ht="28.8" x14ac:dyDescent="0.3">
      <c r="A7" s="10" t="s">
        <v>46</v>
      </c>
      <c r="B7" s="10" t="s">
        <v>47</v>
      </c>
      <c r="C7" s="10" t="s">
        <v>65</v>
      </c>
      <c r="D7" s="10" t="s">
        <v>28</v>
      </c>
      <c r="E7" s="10" t="s">
        <v>0</v>
      </c>
      <c r="F7" s="10" t="s">
        <v>3</v>
      </c>
      <c r="G7" s="10">
        <v>10</v>
      </c>
      <c r="H7" s="10" t="s">
        <v>66</v>
      </c>
    </row>
    <row r="8" spans="1:8" ht="28.8" x14ac:dyDescent="0.3">
      <c r="A8" s="10" t="s">
        <v>48</v>
      </c>
      <c r="B8" s="10" t="s">
        <v>49</v>
      </c>
      <c r="C8" s="10" t="s">
        <v>67</v>
      </c>
      <c r="D8" s="11" t="s">
        <v>68</v>
      </c>
      <c r="E8" s="10" t="s">
        <v>0</v>
      </c>
      <c r="F8" s="10" t="s">
        <v>3</v>
      </c>
      <c r="G8" s="10">
        <v>10</v>
      </c>
      <c r="H8" s="10" t="s">
        <v>69</v>
      </c>
    </row>
    <row r="9" spans="1:8" x14ac:dyDescent="0.3">
      <c r="A9" s="10" t="s">
        <v>50</v>
      </c>
      <c r="B9" s="10" t="s">
        <v>51</v>
      </c>
      <c r="C9" s="10" t="s">
        <v>70</v>
      </c>
      <c r="D9" s="11" t="s">
        <v>28</v>
      </c>
      <c r="E9" s="10" t="s">
        <v>0</v>
      </c>
      <c r="F9" s="10" t="s">
        <v>3</v>
      </c>
      <c r="G9" s="10">
        <v>10</v>
      </c>
      <c r="H9" s="10" t="s">
        <v>71</v>
      </c>
    </row>
    <row r="10" spans="1:8" ht="43.2" x14ac:dyDescent="0.3">
      <c r="A10" s="10" t="s">
        <v>52</v>
      </c>
      <c r="B10" s="10" t="s">
        <v>53</v>
      </c>
      <c r="C10" s="10" t="s">
        <v>72</v>
      </c>
      <c r="D10" s="11" t="s">
        <v>54</v>
      </c>
      <c r="E10" s="10" t="s">
        <v>0</v>
      </c>
      <c r="F10" s="10" t="s">
        <v>1</v>
      </c>
      <c r="G10" s="10">
        <v>10</v>
      </c>
      <c r="H10" s="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واحد مکانیک</vt:lpstr>
      <vt:lpstr>مکانیک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2025-04-21T13:27:49Z</dcterms:modified>
</cp:coreProperties>
</file>