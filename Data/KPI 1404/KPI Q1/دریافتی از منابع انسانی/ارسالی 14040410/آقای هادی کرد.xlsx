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دریافتی از منابع انسانی\"/>
    </mc:Choice>
  </mc:AlternateContent>
  <xr:revisionPtr revIDLastSave="0" documentId="13_ncr:1_{7F2118E5-95EE-4999-9A9D-12287E6C2B21}" xr6:coauthVersionLast="47" xr6:coauthVersionMax="47" xr10:uidLastSave="{00000000-0000-0000-0000-000000000000}"/>
  <bookViews>
    <workbookView xWindow="-108" yWindow="-108" windowWidth="23256" windowHeight="12576" xr2:uid="{097F3557-4DB2-4827-BCF4-85D7DC268C1E}"/>
  </bookViews>
  <sheets>
    <sheet name="اصلاح نهایی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" i="2" l="1"/>
  <c r="T7" i="2" s="1"/>
  <c r="V2" i="2" s="1"/>
  <c r="T3" i="2"/>
  <c r="T4" i="2"/>
  <c r="T5" i="2"/>
  <c r="T6" i="2"/>
  <c r="T9" i="2"/>
  <c r="T10" i="2"/>
  <c r="T11" i="2"/>
  <c r="T12" i="2"/>
  <c r="T2" i="2"/>
  <c r="S3" i="2"/>
  <c r="S4" i="2"/>
  <c r="S5" i="2"/>
  <c r="S6" i="2"/>
  <c r="S8" i="2"/>
  <c r="T8" i="2" s="1"/>
  <c r="S9" i="2"/>
  <c r="S10" i="2"/>
  <c r="S11" i="2"/>
  <c r="S12" i="2"/>
  <c r="S2" i="2"/>
</calcChain>
</file>

<file path=xl/sharedStrings.xml><?xml version="1.0" encoding="utf-8"?>
<sst xmlns="http://schemas.openxmlformats.org/spreadsheetml/2006/main" count="139" uniqueCount="52">
  <si>
    <t>ردیف</t>
  </si>
  <si>
    <t>نام شرکت</t>
  </si>
  <si>
    <t>فصل</t>
  </si>
  <si>
    <t>کد پرسنلی</t>
  </si>
  <si>
    <t>نام و نام خانوادگی</t>
  </si>
  <si>
    <t>عنوان شغلی</t>
  </si>
  <si>
    <t>کد پرسنلی مدیر  مستقیم</t>
  </si>
  <si>
    <t>مدیر مستقیم</t>
  </si>
  <si>
    <t>دپارتمان</t>
  </si>
  <si>
    <t>Category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</si>
  <si>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</si>
  <si>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</si>
  <si>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</si>
  <si>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</si>
  <si>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</si>
  <si>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</si>
  <si>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</si>
  <si>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</si>
  <si>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</si>
  <si>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</si>
  <si>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</si>
  <si>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</si>
  <si>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TKF</t>
  </si>
  <si>
    <t>Q1</t>
  </si>
  <si>
    <t>Hadi Kord</t>
  </si>
  <si>
    <t>Technical and Engineering Manager</t>
  </si>
  <si>
    <t>Mr Karimizad</t>
  </si>
  <si>
    <t>Tech</t>
  </si>
  <si>
    <t>MainTasks</t>
  </si>
  <si>
    <t>کارهای اصلی</t>
  </si>
  <si>
    <t>Machine Availability time for production should be &gt; 91% of total time in a month (Part of OEE)</t>
  </si>
  <si>
    <t>+</t>
  </si>
  <si>
    <t>Completion Rate of Plant Maintenance Job</t>
  </si>
  <si>
    <t>(Total number of completed activities in maintenance / Total number of activities required in maintenance)*100</t>
  </si>
  <si>
    <t>Maintenance Cost as per budget or within YTD Average cost including current month</t>
  </si>
  <si>
    <t>Safety - Accident service rate, Target Zero Manhour Loss</t>
  </si>
  <si>
    <t>Spare parts availability as per the machine supplier advise based on consumption &amp; lead time</t>
  </si>
  <si>
    <t>Number of recurring downtime &lt; 5 % of total down time</t>
  </si>
  <si>
    <t>Projects</t>
  </si>
  <si>
    <t>پروژه ها</t>
  </si>
  <si>
    <t>SOP documentation for Maintenance to be completed in Q4</t>
  </si>
  <si>
    <t xml:space="preserve">پروژه اتصال آب چاه شرکت به استخر تصفیه خانه </t>
  </si>
  <si>
    <t>پروژه اسکادا انرژی</t>
  </si>
  <si>
    <t>پروژه طراحی و اجرای سیستم CMMS در نگهداری و تعمیرات</t>
  </si>
  <si>
    <t>پروژه اصلاح سیستم ارتینگ شرکت کشت و صنعت تخته فشرده پاک چوب</t>
  </si>
  <si>
    <t>Availability = Run Time / Planned Production Time
که در آن:
Run Time = Planned Production Time − Stop Time
Planned Production Time = Shift Length − Planned Maintenance − No Materials − No Production Plan − Power Outage − Public Holiday − Breaks</t>
  </si>
  <si>
    <t>Maintenance Cost Reduction=((Previous Month Maintenance Cost-Current Month Maintenance Cost))/(Previous Month Maintenance Cost)*100</t>
  </si>
  <si>
    <t>Spare Parts Utilization (%) = (Number of Used Spare Parts from Inventory) / (Total Purchased Spare Parts) × 100</t>
  </si>
  <si>
    <t>Rework Rate=(Number of Repeat Repairs)/(Total Repairs)*100</t>
  </si>
  <si>
    <t>SOP Completion %=Number of SOPs completed/Total number of SOPs planned</t>
  </si>
  <si>
    <t>-</t>
  </si>
  <si>
    <t>Accident Sick Leave Rate (%) = ((Number of Employees on Safety-related Sick Leave / Total Employees) × 100)-100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</si>
</sst>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sz val="10"/>
      <color theme="0"/>
      <name val="B Nazanin"/>
      <charset val="178"/>
    </font>
    <font>
      <sz val="8"/>
      <color rgb="FF000000"/>
      <name val="B Nazanin"/>
      <charset val="178"/>
    </font>
    <font>
      <sz val="8"/>
      <name val="B Nazanin"/>
      <charset val="178"/>
    </font>
    <font>
      <sz val="10"/>
      <color rgb="FF000000"/>
      <name val="Calibri"/>
      <family val="2"/>
      <scheme val="minor"/>
    </font>
    <font>
      <sz val="14"/>
      <color rgb="FF000000"/>
      <name val="B Nazanin"/>
      <charset val="178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9" fontId="4" fillId="4" borderId="1" xfId="3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1" fontId="2" fillId="4" borderId="1" xfId="1" applyNumberFormat="1" applyFont="1" applyFill="1" applyBorder="1" applyAlignment="1">
      <alignment horizontal="center" vertical="center"/>
    </xf>
    <xf numFmtId="9" fontId="2" fillId="5" borderId="1" xfId="3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center" vertical="center"/>
    </xf>
    <xf numFmtId="9" fontId="5" fillId="6" borderId="1" xfId="1" applyFont="1" applyFill="1" applyBorder="1" applyAlignment="1">
      <alignment horizontal="center" vertical="center"/>
    </xf>
    <xf numFmtId="9" fontId="4" fillId="6" borderId="1" xfId="3" applyFont="1" applyFill="1" applyBorder="1" applyAlignment="1">
      <alignment horizontal="center" vertical="center"/>
    </xf>
    <xf numFmtId="9" fontId="2" fillId="6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9" fontId="2" fillId="0" borderId="1" xfId="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6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4" borderId="1" xfId="2" applyNumberFormat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/>
    </xf>
    <xf numFmtId="49" fontId="5" fillId="6" borderId="1" xfId="2" applyNumberFormat="1" applyFont="1" applyFill="1" applyBorder="1" applyAlignment="1">
      <alignment horizontal="center" vertical="center" wrapText="1"/>
    </xf>
    <xf numFmtId="0" fontId="4" fillId="6" borderId="1" xfId="2" applyFont="1" applyFill="1" applyBorder="1" applyAlignment="1">
      <alignment horizontal="center" vertical="center"/>
    </xf>
    <xf numFmtId="49" fontId="5" fillId="0" borderId="1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9" fontId="4" fillId="4" borderId="1" xfId="1" applyFont="1" applyFill="1" applyBorder="1" applyAlignment="1">
      <alignment horizontal="center" vertical="center"/>
    </xf>
    <xf numFmtId="9" fontId="4" fillId="6" borderId="1" xfId="3" applyFont="1" applyFill="1" applyBorder="1" applyAlignment="1">
      <alignment horizontal="center" vertical="center" wrapText="1"/>
    </xf>
    <xf numFmtId="165" fontId="7" fillId="7" borderId="1" xfId="1" applyNumberFormat="1" applyFont="1" applyFill="1" applyBorder="1" applyAlignment="1">
      <alignment horizontal="center" vertical="center"/>
    </xf>
    <xf numFmtId="9" fontId="7" fillId="7" borderId="1" xfId="1" applyFont="1" applyFill="1" applyBorder="1" applyAlignment="1">
      <alignment horizontal="center" vertical="center"/>
    </xf>
    <xf numFmtId="9" fontId="7" fillId="7" borderId="1" xfId="3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5">
    <cellStyle name="Comma 2 2" xfId="4" xr:uid="{6332FC9D-CCDB-423B-889C-3606E9F92899}"/>
    <cellStyle name="Normal" xfId="0" builtinId="0"/>
    <cellStyle name="Normal 2" xfId="2" xr:uid="{65746E6F-4F14-4935-A69D-21939EA1D7A5}"/>
    <cellStyle name="Percent" xfId="1" builtinId="5"/>
    <cellStyle name="Percent 2" xfId="3" xr:uid="{4951ADBE-D074-4779-A119-4811597BE133}"/>
  </cellStyles>
  <dxfs count="14"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8772-827B-46F9-8A2D-0C6702DE2F03}">
  <dimension ref="A1:V12"/>
  <sheetViews>
    <sheetView tabSelected="1" topLeftCell="F1" zoomScale="90" zoomScaleNormal="90" workbookViewId="0">
      <selection activeCell="P5" sqref="O5:P5"/>
    </sheetView>
  </sheetViews>
  <sheetFormatPr defaultRowHeight="18" x14ac:dyDescent="0.35"/>
  <cols>
    <col min="1" max="1" width="5.33203125" customWidth="1"/>
    <col min="2" max="4" width="8.88671875" style="41"/>
    <col min="5" max="5" width="15.109375" style="41" customWidth="1"/>
    <col min="6" max="6" width="17.6640625" style="40" customWidth="1"/>
    <col min="7" max="7" width="8.88671875" style="41"/>
    <col min="8" max="8" width="11.5546875" style="41" customWidth="1"/>
    <col min="9" max="12" width="8.88671875" style="41"/>
    <col min="13" max="13" width="20.21875" style="40" customWidth="1"/>
    <col min="14" max="14" width="15.44140625" style="41" customWidth="1"/>
    <col min="15" max="15" width="23.21875" style="40" customWidth="1"/>
    <col min="16" max="17" width="8.88671875" style="41"/>
    <col min="18" max="18" width="15.109375" style="47" customWidth="1"/>
    <col min="19" max="19" width="19.88671875" style="41" customWidth="1"/>
    <col min="20" max="20" width="18" style="41" customWidth="1"/>
    <col min="21" max="22" width="8.88671875" style="41"/>
  </cols>
  <sheetData>
    <row r="1" spans="1:22" ht="16.2" x14ac:dyDescent="0.4">
      <c r="A1" s="1" t="s">
        <v>0</v>
      </c>
      <c r="B1" s="1" t="s">
        <v>1</v>
      </c>
      <c r="C1" s="1" t="s">
        <v>2</v>
      </c>
      <c r="D1" s="3" t="s">
        <v>3</v>
      </c>
      <c r="E1" s="2" t="s">
        <v>4</v>
      </c>
      <c r="F1" s="27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27" t="s">
        <v>12</v>
      </c>
      <c r="N1" s="1" t="s">
        <v>13</v>
      </c>
      <c r="O1" s="27" t="s">
        <v>14</v>
      </c>
      <c r="P1" s="1" t="s">
        <v>15</v>
      </c>
      <c r="Q1" s="5" t="s">
        <v>16</v>
      </c>
      <c r="R1" s="5" t="s">
        <v>17</v>
      </c>
      <c r="S1" s="32" t="s">
        <v>18</v>
      </c>
      <c r="T1" s="33" t="s">
        <v>19</v>
      </c>
      <c r="U1" s="34" t="s">
        <v>20</v>
      </c>
      <c r="V1" s="5" t="s">
        <v>21</v>
      </c>
    </row>
    <row r="2" spans="1:22" ht="126" x14ac:dyDescent="0.3">
      <c r="A2" s="6">
        <v>1</v>
      </c>
      <c r="B2" s="7" t="s">
        <v>22</v>
      </c>
      <c r="C2" s="8" t="s">
        <v>23</v>
      </c>
      <c r="D2" s="9">
        <v>3064</v>
      </c>
      <c r="E2" s="7" t="s">
        <v>24</v>
      </c>
      <c r="F2" s="30" t="s">
        <v>25</v>
      </c>
      <c r="G2" s="9">
        <v>1000</v>
      </c>
      <c r="H2" s="7" t="s">
        <v>26</v>
      </c>
      <c r="I2" s="7" t="s">
        <v>27</v>
      </c>
      <c r="J2" s="8" t="s">
        <v>28</v>
      </c>
      <c r="K2" s="10" t="s">
        <v>29</v>
      </c>
      <c r="L2" s="11">
        <v>0.8</v>
      </c>
      <c r="M2" s="35" t="s">
        <v>30</v>
      </c>
      <c r="N2" s="36"/>
      <c r="O2" s="35" t="s">
        <v>45</v>
      </c>
      <c r="P2" s="42">
        <v>0.9</v>
      </c>
      <c r="Q2" s="12">
        <v>0.25</v>
      </c>
      <c r="R2" s="44">
        <v>0.97601524119850691</v>
      </c>
      <c r="S2" s="13">
        <f>ROUND(IF(OR(P2="",R2=""),0,IF(AND(P2=0,R2=0),1,IF(U2="+",R2/P2,P2/R2))),2)</f>
        <v>1.08</v>
      </c>
      <c r="T2" s="14">
        <f>IF(AND(S2&gt;=60%,S2&lt;100%),S2*((Q2*L2)),IF(S2=100%,((Q2*L2)*S2)*100%,IF(S2&gt;100%,((L2*Q2)*100%)*100%,0)))*100</f>
        <v>20</v>
      </c>
      <c r="U2" s="12" t="s">
        <v>31</v>
      </c>
      <c r="V2" s="15">
        <f>SUM(T2:T12)%</f>
        <v>0.92500000000000004</v>
      </c>
    </row>
    <row r="3" spans="1:22" ht="50.4" x14ac:dyDescent="0.3">
      <c r="A3" s="6">
        <v>2</v>
      </c>
      <c r="B3" s="16" t="s">
        <v>22</v>
      </c>
      <c r="C3" s="17" t="s">
        <v>23</v>
      </c>
      <c r="D3" s="6">
        <v>3064</v>
      </c>
      <c r="E3" s="16" t="s">
        <v>24</v>
      </c>
      <c r="F3" s="31" t="s">
        <v>25</v>
      </c>
      <c r="G3" s="6">
        <v>1000</v>
      </c>
      <c r="H3" s="16" t="s">
        <v>26</v>
      </c>
      <c r="I3" s="16" t="s">
        <v>27</v>
      </c>
      <c r="J3" s="18" t="s">
        <v>28</v>
      </c>
      <c r="K3" s="19" t="s">
        <v>29</v>
      </c>
      <c r="L3" s="20">
        <v>0.8</v>
      </c>
      <c r="M3" s="37" t="s">
        <v>32</v>
      </c>
      <c r="N3" s="38"/>
      <c r="O3" s="28" t="s">
        <v>33</v>
      </c>
      <c r="P3" s="21">
        <v>0.95</v>
      </c>
      <c r="Q3" s="21">
        <v>0.25</v>
      </c>
      <c r="R3" s="45">
        <v>0.93</v>
      </c>
      <c r="S3" s="13">
        <f t="shared" ref="S3:S12" si="0">ROUND(IF(OR(P3="",R3=""),0,IF(AND(P3=0,R3=0),1,IF(U3="+",R3/P3,P3/R3))),2)</f>
        <v>0.98</v>
      </c>
      <c r="T3" s="14">
        <f t="shared" ref="T3:T12" si="1">IF(AND(S3&gt;=60%,S3&lt;100%),S3*((Q3*L3)),IF(S3=100%,((Q3*L3)*S3)*100%,IF(S3&gt;100%,((L3*Q3)*100%)*100%,0)))*100</f>
        <v>19.600000000000001</v>
      </c>
      <c r="U3" s="21" t="s">
        <v>31</v>
      </c>
      <c r="V3" s="22"/>
    </row>
    <row r="4" spans="1:22" ht="75.599999999999994" x14ac:dyDescent="0.3">
      <c r="A4" s="6">
        <v>3</v>
      </c>
      <c r="B4" s="16" t="s">
        <v>22</v>
      </c>
      <c r="C4" s="17" t="s">
        <v>23</v>
      </c>
      <c r="D4" s="6">
        <v>3064</v>
      </c>
      <c r="E4" s="16" t="s">
        <v>24</v>
      </c>
      <c r="F4" s="31" t="s">
        <v>25</v>
      </c>
      <c r="G4" s="6">
        <v>1000</v>
      </c>
      <c r="H4" s="16" t="s">
        <v>26</v>
      </c>
      <c r="I4" s="16" t="s">
        <v>27</v>
      </c>
      <c r="J4" s="18" t="s">
        <v>28</v>
      </c>
      <c r="K4" s="19" t="s">
        <v>29</v>
      </c>
      <c r="L4" s="20">
        <v>0.8</v>
      </c>
      <c r="M4" s="37" t="s">
        <v>34</v>
      </c>
      <c r="N4" s="38"/>
      <c r="O4" s="43" t="s">
        <v>46</v>
      </c>
      <c r="P4" s="21">
        <v>0.05</v>
      </c>
      <c r="Q4" s="21">
        <v>0.125</v>
      </c>
      <c r="R4" s="45">
        <v>0.05</v>
      </c>
      <c r="S4" s="13">
        <f t="shared" si="0"/>
        <v>1</v>
      </c>
      <c r="T4" s="14">
        <f t="shared" si="1"/>
        <v>10</v>
      </c>
      <c r="U4" s="22" t="s">
        <v>50</v>
      </c>
      <c r="V4" s="22"/>
    </row>
    <row r="5" spans="1:22" ht="50.4" x14ac:dyDescent="0.3">
      <c r="A5" s="6">
        <v>4</v>
      </c>
      <c r="B5" s="16" t="s">
        <v>22</v>
      </c>
      <c r="C5" s="17" t="s">
        <v>23</v>
      </c>
      <c r="D5" s="6">
        <v>3064</v>
      </c>
      <c r="E5" s="16" t="s">
        <v>24</v>
      </c>
      <c r="F5" s="31" t="s">
        <v>25</v>
      </c>
      <c r="G5" s="6">
        <v>1000</v>
      </c>
      <c r="H5" s="16" t="s">
        <v>26</v>
      </c>
      <c r="I5" s="16" t="s">
        <v>27</v>
      </c>
      <c r="J5" s="18" t="s">
        <v>28</v>
      </c>
      <c r="K5" s="19" t="s">
        <v>29</v>
      </c>
      <c r="L5" s="20">
        <v>0.8</v>
      </c>
      <c r="M5" s="37" t="s">
        <v>35</v>
      </c>
      <c r="N5" s="38"/>
      <c r="O5" s="28" t="s">
        <v>51</v>
      </c>
      <c r="P5" s="21">
        <v>1</v>
      </c>
      <c r="Q5" s="21">
        <v>0.125</v>
      </c>
      <c r="R5" s="44">
        <v>0.98209999999999997</v>
      </c>
      <c r="S5" s="13">
        <f t="shared" si="0"/>
        <v>0.98</v>
      </c>
      <c r="T5" s="14">
        <f t="shared" si="1"/>
        <v>9.8000000000000007</v>
      </c>
      <c r="U5" s="21" t="s">
        <v>31</v>
      </c>
      <c r="V5" s="22"/>
    </row>
    <row r="6" spans="1:22" ht="50.4" x14ac:dyDescent="0.3">
      <c r="A6" s="6">
        <v>5</v>
      </c>
      <c r="B6" s="16" t="s">
        <v>22</v>
      </c>
      <c r="C6" s="17" t="s">
        <v>23</v>
      </c>
      <c r="D6" s="6">
        <v>3064</v>
      </c>
      <c r="E6" s="16" t="s">
        <v>24</v>
      </c>
      <c r="F6" s="31" t="s">
        <v>25</v>
      </c>
      <c r="G6" s="6">
        <v>1000</v>
      </c>
      <c r="H6" s="16" t="s">
        <v>26</v>
      </c>
      <c r="I6" s="16" t="s">
        <v>27</v>
      </c>
      <c r="J6" s="18" t="s">
        <v>28</v>
      </c>
      <c r="K6" s="19" t="s">
        <v>29</v>
      </c>
      <c r="L6" s="20">
        <v>0.8</v>
      </c>
      <c r="M6" s="37" t="s">
        <v>36</v>
      </c>
      <c r="N6" s="38"/>
      <c r="O6" s="28" t="s">
        <v>47</v>
      </c>
      <c r="P6" s="21">
        <v>0.7</v>
      </c>
      <c r="Q6" s="21">
        <v>0.125</v>
      </c>
      <c r="R6" s="45">
        <v>0.87</v>
      </c>
      <c r="S6" s="13">
        <f t="shared" si="0"/>
        <v>1.24</v>
      </c>
      <c r="T6" s="14">
        <f t="shared" si="1"/>
        <v>10</v>
      </c>
      <c r="U6" s="21" t="s">
        <v>31</v>
      </c>
      <c r="V6" s="22"/>
    </row>
    <row r="7" spans="1:22" ht="153.6" customHeight="1" x14ac:dyDescent="0.3">
      <c r="A7" s="6">
        <v>6</v>
      </c>
      <c r="B7" s="16" t="s">
        <v>22</v>
      </c>
      <c r="C7" s="17" t="s">
        <v>23</v>
      </c>
      <c r="D7" s="6">
        <v>3064</v>
      </c>
      <c r="E7" s="16" t="s">
        <v>24</v>
      </c>
      <c r="F7" s="31" t="s">
        <v>25</v>
      </c>
      <c r="G7" s="6">
        <v>1000</v>
      </c>
      <c r="H7" s="16" t="s">
        <v>26</v>
      </c>
      <c r="I7" s="16" t="s">
        <v>27</v>
      </c>
      <c r="J7" s="18" t="s">
        <v>28</v>
      </c>
      <c r="K7" s="19" t="s">
        <v>29</v>
      </c>
      <c r="L7" s="20">
        <v>0.8</v>
      </c>
      <c r="M7" s="37" t="s">
        <v>37</v>
      </c>
      <c r="N7" s="38"/>
      <c r="O7" s="28" t="s">
        <v>48</v>
      </c>
      <c r="P7" s="21">
        <v>0.05</v>
      </c>
      <c r="Q7" s="21">
        <v>0.125</v>
      </c>
      <c r="R7" s="45">
        <v>7.0000000000000007E-2</v>
      </c>
      <c r="S7" s="13">
        <f>ROUND(IF(OR(P7="",R7=""),0,IF(AND(P7=0,R7=0),1,IF(U7="+",R7/P7,P7/R7))),2)</f>
        <v>0.71</v>
      </c>
      <c r="T7" s="14">
        <f t="shared" si="1"/>
        <v>7.1</v>
      </c>
      <c r="U7" s="21" t="s">
        <v>50</v>
      </c>
      <c r="V7" s="22"/>
    </row>
    <row r="8" spans="1:22" ht="190.2" customHeight="1" x14ac:dyDescent="0.3">
      <c r="A8" s="6">
        <v>7</v>
      </c>
      <c r="B8" s="16" t="s">
        <v>22</v>
      </c>
      <c r="C8" s="17" t="s">
        <v>23</v>
      </c>
      <c r="D8" s="6">
        <v>3064</v>
      </c>
      <c r="E8" s="16" t="s">
        <v>24</v>
      </c>
      <c r="F8" s="31" t="s">
        <v>25</v>
      </c>
      <c r="G8" s="6">
        <v>1000</v>
      </c>
      <c r="H8" s="16" t="s">
        <v>26</v>
      </c>
      <c r="I8" s="16" t="s">
        <v>27</v>
      </c>
      <c r="J8" s="18" t="s">
        <v>38</v>
      </c>
      <c r="K8" s="19" t="s">
        <v>39</v>
      </c>
      <c r="L8" s="20">
        <v>0.2</v>
      </c>
      <c r="M8" s="37" t="s">
        <v>40</v>
      </c>
      <c r="N8" s="38"/>
      <c r="O8" s="28" t="s">
        <v>49</v>
      </c>
      <c r="P8" s="21">
        <v>0.8</v>
      </c>
      <c r="Q8" s="21">
        <v>0.25</v>
      </c>
      <c r="R8" s="45">
        <v>0.8</v>
      </c>
      <c r="S8" s="13">
        <f t="shared" si="0"/>
        <v>1</v>
      </c>
      <c r="T8" s="14">
        <f t="shared" si="1"/>
        <v>5</v>
      </c>
      <c r="U8" s="21" t="s">
        <v>31</v>
      </c>
      <c r="V8" s="22"/>
    </row>
    <row r="9" spans="1:22" ht="25.2" x14ac:dyDescent="0.3">
      <c r="A9" s="6">
        <v>10</v>
      </c>
      <c r="B9" s="16" t="s">
        <v>22</v>
      </c>
      <c r="C9" s="17" t="s">
        <v>23</v>
      </c>
      <c r="D9" s="6">
        <v>3064</v>
      </c>
      <c r="E9" s="16" t="s">
        <v>24</v>
      </c>
      <c r="F9" s="31" t="s">
        <v>25</v>
      </c>
      <c r="G9" s="6">
        <v>1000</v>
      </c>
      <c r="H9" s="16" t="s">
        <v>26</v>
      </c>
      <c r="I9" s="16" t="s">
        <v>27</v>
      </c>
      <c r="J9" s="17" t="s">
        <v>38</v>
      </c>
      <c r="K9" s="23" t="s">
        <v>39</v>
      </c>
      <c r="L9" s="24">
        <v>0.2</v>
      </c>
      <c r="M9" s="39"/>
      <c r="N9" s="29" t="s">
        <v>41</v>
      </c>
      <c r="O9" s="29"/>
      <c r="P9" s="25">
        <v>1</v>
      </c>
      <c r="Q9" s="25">
        <v>0.1</v>
      </c>
      <c r="R9" s="46">
        <v>1</v>
      </c>
      <c r="S9" s="13">
        <f t="shared" si="0"/>
        <v>1</v>
      </c>
      <c r="T9" s="14">
        <f t="shared" si="1"/>
        <v>2.0000000000000004</v>
      </c>
      <c r="U9" s="25" t="s">
        <v>31</v>
      </c>
      <c r="V9" s="26"/>
    </row>
    <row r="10" spans="1:22" ht="25.2" x14ac:dyDescent="0.3">
      <c r="A10" s="6">
        <v>10</v>
      </c>
      <c r="B10" s="16" t="s">
        <v>22</v>
      </c>
      <c r="C10" s="17" t="s">
        <v>23</v>
      </c>
      <c r="D10" s="6">
        <v>3064</v>
      </c>
      <c r="E10" s="16" t="s">
        <v>24</v>
      </c>
      <c r="F10" s="31" t="s">
        <v>25</v>
      </c>
      <c r="G10" s="6">
        <v>1000</v>
      </c>
      <c r="H10" s="16" t="s">
        <v>26</v>
      </c>
      <c r="I10" s="16" t="s">
        <v>27</v>
      </c>
      <c r="J10" s="17" t="s">
        <v>38</v>
      </c>
      <c r="K10" s="23" t="s">
        <v>39</v>
      </c>
      <c r="L10" s="24">
        <v>0.2</v>
      </c>
      <c r="M10" s="39"/>
      <c r="N10" s="29" t="s">
        <v>42</v>
      </c>
      <c r="O10" s="29"/>
      <c r="P10" s="25">
        <v>0.8</v>
      </c>
      <c r="Q10" s="25">
        <v>0.15</v>
      </c>
      <c r="R10" s="46">
        <v>0.8</v>
      </c>
      <c r="S10" s="13">
        <f t="shared" si="0"/>
        <v>1</v>
      </c>
      <c r="T10" s="14">
        <f t="shared" si="1"/>
        <v>3</v>
      </c>
      <c r="U10" s="25" t="s">
        <v>31</v>
      </c>
      <c r="V10" s="26"/>
    </row>
    <row r="11" spans="1:22" ht="25.2" x14ac:dyDescent="0.3">
      <c r="A11" s="6">
        <v>10</v>
      </c>
      <c r="B11" s="16" t="s">
        <v>22</v>
      </c>
      <c r="C11" s="17" t="s">
        <v>23</v>
      </c>
      <c r="D11" s="6">
        <v>3064</v>
      </c>
      <c r="E11" s="16" t="s">
        <v>24</v>
      </c>
      <c r="F11" s="31" t="s">
        <v>25</v>
      </c>
      <c r="G11" s="6">
        <v>1000</v>
      </c>
      <c r="H11" s="16" t="s">
        <v>26</v>
      </c>
      <c r="I11" s="16" t="s">
        <v>27</v>
      </c>
      <c r="J11" s="17" t="s">
        <v>38</v>
      </c>
      <c r="K11" s="23" t="s">
        <v>39</v>
      </c>
      <c r="L11" s="24">
        <v>0.2</v>
      </c>
      <c r="M11" s="39"/>
      <c r="N11" s="29" t="s">
        <v>43</v>
      </c>
      <c r="O11" s="29"/>
      <c r="P11" s="25">
        <v>1</v>
      </c>
      <c r="Q11" s="25">
        <v>0.1</v>
      </c>
      <c r="R11" s="46">
        <v>1</v>
      </c>
      <c r="S11" s="13">
        <f t="shared" si="0"/>
        <v>1</v>
      </c>
      <c r="T11" s="14">
        <f t="shared" si="1"/>
        <v>2.0000000000000004</v>
      </c>
      <c r="U11" s="25" t="s">
        <v>31</v>
      </c>
      <c r="V11" s="26"/>
    </row>
    <row r="12" spans="1:22" ht="37.799999999999997" x14ac:dyDescent="0.3">
      <c r="A12" s="6">
        <v>10</v>
      </c>
      <c r="B12" s="16" t="s">
        <v>22</v>
      </c>
      <c r="C12" s="17" t="s">
        <v>23</v>
      </c>
      <c r="D12" s="6">
        <v>3064</v>
      </c>
      <c r="E12" s="16" t="s">
        <v>24</v>
      </c>
      <c r="F12" s="31" t="s">
        <v>25</v>
      </c>
      <c r="G12" s="6">
        <v>1000</v>
      </c>
      <c r="H12" s="16" t="s">
        <v>26</v>
      </c>
      <c r="I12" s="16" t="s">
        <v>27</v>
      </c>
      <c r="J12" s="17" t="s">
        <v>38</v>
      </c>
      <c r="K12" s="23" t="s">
        <v>39</v>
      </c>
      <c r="L12" s="24">
        <v>0.2</v>
      </c>
      <c r="M12" s="39"/>
      <c r="N12" s="29" t="s">
        <v>44</v>
      </c>
      <c r="O12" s="29"/>
      <c r="P12" s="25">
        <v>0.9</v>
      </c>
      <c r="Q12" s="25">
        <v>0.2</v>
      </c>
      <c r="R12" s="46">
        <v>0.9</v>
      </c>
      <c r="S12" s="13">
        <f t="shared" si="0"/>
        <v>1</v>
      </c>
      <c r="T12" s="14">
        <f t="shared" si="1"/>
        <v>4.0000000000000009</v>
      </c>
      <c r="U12" s="25" t="s">
        <v>31</v>
      </c>
      <c r="V12" s="26"/>
    </row>
  </sheetData>
  <conditionalFormatting sqref="J1:J5 J7">
    <cfRule type="containsText" dxfId="13" priority="15" operator="containsText" text="maintasks">
      <formula>NOT(ISERROR(SEARCH("maintasks",J1)))</formula>
    </cfRule>
  </conditionalFormatting>
  <conditionalFormatting sqref="K1">
    <cfRule type="cellIs" dxfId="12" priority="16" operator="equal">
      <formula>"maintasks"</formula>
    </cfRule>
  </conditionalFormatting>
  <conditionalFormatting sqref="M1:O1">
    <cfRule type="cellIs" dxfId="11" priority="17" operator="equal">
      <formula>"maintasks"</formula>
    </cfRule>
  </conditionalFormatting>
  <conditionalFormatting sqref="K2:K5 M3:O3 M2:N2 M5:O5 M4:N4 K7 M7:O7">
    <cfRule type="cellIs" dxfId="10" priority="13" operator="equal">
      <formula>"maintasks"</formula>
    </cfRule>
  </conditionalFormatting>
  <conditionalFormatting sqref="J9:J12">
    <cfRule type="containsText" dxfId="9" priority="12" operator="containsText" text="maintasks">
      <formula>NOT(ISERROR(SEARCH("maintasks",J9)))</formula>
    </cfRule>
  </conditionalFormatting>
  <conditionalFormatting sqref="A9:A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{E8702790-C7AE-4305-8D3C-D85CBD2634B2}</x14:id>
        </ext>
      </extLst>
    </cfRule>
  </conditionalFormatting>
  <conditionalFormatting sqref="K9:K12">
    <cfRule type="cellIs" dxfId="8" priority="10" operator="equal">
      <formula>"maintasks"</formula>
    </cfRule>
  </conditionalFormatting>
  <conditionalFormatting sqref="M9:O9 O10:O12 M10:M12">
    <cfRule type="cellIs" dxfId="7" priority="9" operator="equal">
      <formula>"maintasks"</formula>
    </cfRule>
  </conditionalFormatting>
  <conditionalFormatting sqref="N10:N12">
    <cfRule type="cellIs" dxfId="6" priority="8" operator="equal">
      <formula>"maintasks"</formula>
    </cfRule>
  </conditionalFormatting>
  <conditionalFormatting sqref="J8">
    <cfRule type="containsText" dxfId="5" priority="7" operator="containsText" text="maintasks">
      <formula>NOT(ISERROR(SEARCH("maintasks",J8)))</formula>
    </cfRule>
  </conditionalFormatting>
  <conditionalFormatting sqref="K8 M8:N8">
    <cfRule type="cellIs" dxfId="4" priority="6" operator="equal">
      <formula>"maintasks"</formula>
    </cfRule>
  </conditionalFormatting>
  <conditionalFormatting sqref="O2:P2">
    <cfRule type="cellIs" dxfId="3" priority="5" operator="equal">
      <formula>"maintasks"</formula>
    </cfRule>
  </conditionalFormatting>
  <conditionalFormatting sqref="J6">
    <cfRule type="containsText" dxfId="2" priority="4" operator="containsText" text="maintasks">
      <formula>NOT(ISERROR(SEARCH("maintasks",J6)))</formula>
    </cfRule>
  </conditionalFormatting>
  <conditionalFormatting sqref="A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{E4A43916-B36E-4201-9632-D20D32ECC340}</x14:id>
        </ext>
      </extLst>
    </cfRule>
  </conditionalFormatting>
  <conditionalFormatting sqref="K6 M6:O6">
    <cfRule type="cellIs" dxfId="1" priority="2" operator="equal">
      <formula>"maintasks"</formula>
    </cfRule>
  </conditionalFormatting>
  <conditionalFormatting sqref="A2:A5 A7:A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{41581A4D-35BC-465D-8F7C-C16F5B0969E8}</x14:id>
        </ext>
      </extLst>
    </cfRule>
  </conditionalFormatting>
  <conditionalFormatting sqref="O8">
    <cfRule type="cellIs" dxfId="0" priority="1" operator="equal">
      <formula>"maintasks"</formula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702790-C7AE-4305-8D3C-D85CBD263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A9:A12</xm:sqref>
        </x14:conditionalFormatting>
        <x14:conditionalFormatting xmlns:xm="http://schemas.microsoft.com/office/excel/2006/main">
          <x14:cfRule type="dataBar" id="{E4A43916-B36E-4201-9632-D20D32ECC3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A6</xm:sqref>
        </x14:conditionalFormatting>
        <x14:conditionalFormatting xmlns:xm="http://schemas.microsoft.com/office/excel/2006/main">
          <x14:cfRule type="dataBar" id="{41581A4D-35BC-465D-8F7C-C16F5B0969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A2:A5 A7:A8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اصلاح نهایی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Mousavi, Golshan</dc:creator>
  <cp:lastModifiedBy>Kalantari, Ali Asghar</cp:lastModifiedBy>
  <dcterms:created xsi:type="dcterms:W3CDTF">2025-06-22T08:17:50Z</dcterms:created>
  <dcterms:modified xsi:type="dcterms:W3CDTF">2025-06-30T19:09:57Z</dcterms:modified>
</cp:coreProperties>
</file>