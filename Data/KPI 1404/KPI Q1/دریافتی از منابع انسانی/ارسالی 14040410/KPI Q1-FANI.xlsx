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دکستاپ\kpi پرسنل فصل بهار\دریافتی از منابع انسانی\جدید 14040403\"/>
    </mc:Choice>
  </mc:AlternateContent>
  <xr:revisionPtr revIDLastSave="0" documentId="13_ncr:1_{5379106C-D74D-48F9-98A3-D42B3B26A52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واحد برنامه ریزی نت" sheetId="3" r:id="rId1"/>
    <sheet name="برق و ابزاردقیق" sheetId="4" r:id="rId2"/>
    <sheet name="واحد تاسیسات" sheetId="5" r:id="rId3"/>
    <sheet name="طراحی مهندسی" sheetId="6" r:id="rId4"/>
    <sheet name="مکانیک عمومی" sheetId="7" r:id="rId5"/>
    <sheet name="واحد ماشین آلات" sheetId="8" r:id="rId6"/>
    <sheet name="واحد مکانیک" sheetId="9" r:id="rId7"/>
  </sheets>
  <definedNames>
    <definedName name="_xlnm._FilterDatabase" localSheetId="1" hidden="1">'برق و ابزاردقیق'!$A$1:$T$161</definedName>
    <definedName name="_xlnm._FilterDatabase" localSheetId="0" hidden="1">'واحد برنامه ریزی نت'!$A$1:$T$86</definedName>
    <definedName name="_xlnm._FilterDatabase" localSheetId="2" hidden="1">'واحد تاسیسات'!$A$1:$T$121</definedName>
    <definedName name="_xlnm._FilterDatabase" localSheetId="5" hidden="1">'واحد ماشین آلات'!$A$1:$T$43</definedName>
    <definedName name="_xlnm._FilterDatabase" localSheetId="6" hidden="1">'واحد مکانیک'!$A$1:$T$89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8" i="3" l="1"/>
  <c r="R38" i="3" s="1"/>
  <c r="Q39" i="3"/>
  <c r="R39" i="3" s="1"/>
  <c r="Q40" i="3"/>
  <c r="R40" i="3" s="1"/>
  <c r="Q80" i="3"/>
  <c r="R80" i="3" s="1"/>
  <c r="Q79" i="3"/>
  <c r="R79" i="3" s="1"/>
  <c r="Q78" i="3"/>
  <c r="R78" i="3" s="1"/>
  <c r="Q77" i="3"/>
  <c r="R77" i="3" s="1"/>
  <c r="Q76" i="3"/>
  <c r="R76" i="3" s="1"/>
  <c r="Q75" i="3"/>
  <c r="R75" i="3" s="1"/>
  <c r="Q74" i="3"/>
  <c r="R74" i="3" s="1"/>
  <c r="Q73" i="3"/>
  <c r="R73" i="3" s="1"/>
  <c r="Q72" i="3"/>
  <c r="R72" i="3" s="1"/>
  <c r="Q16" i="3"/>
  <c r="R16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Q46" i="3"/>
  <c r="R46" i="3" s="1"/>
  <c r="Q45" i="3"/>
  <c r="R45" i="3" s="1"/>
  <c r="Q44" i="3"/>
  <c r="R44" i="3" s="1"/>
  <c r="Q43" i="3"/>
  <c r="R43" i="3" s="1"/>
  <c r="Q42" i="3"/>
  <c r="R42" i="3" s="1"/>
  <c r="Q41" i="3"/>
  <c r="R41" i="3" s="1"/>
  <c r="Q37" i="3"/>
  <c r="R37" i="3" s="1"/>
  <c r="Q36" i="3"/>
  <c r="R36" i="3" s="1"/>
  <c r="Q35" i="3"/>
  <c r="R35" i="3" s="1"/>
  <c r="Q34" i="3"/>
  <c r="R34" i="3" s="1"/>
  <c r="Q33" i="3"/>
  <c r="R33" i="3" s="1"/>
  <c r="Q32" i="3"/>
  <c r="R32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9" i="3"/>
  <c r="R19" i="3" s="1"/>
  <c r="Q18" i="3"/>
  <c r="R18" i="3" s="1"/>
  <c r="Q6" i="3"/>
  <c r="R6" i="3" s="1"/>
  <c r="Q5" i="3"/>
  <c r="R5" i="3" s="1"/>
  <c r="T63" i="3" l="1"/>
  <c r="T72" i="3"/>
  <c r="T54" i="3"/>
  <c r="T45" i="3"/>
  <c r="T36" i="3"/>
  <c r="T27" i="3"/>
  <c r="T18" i="3"/>
  <c r="Q57" i="4"/>
  <c r="R57" i="4" s="1"/>
  <c r="Q56" i="4"/>
  <c r="R56" i="4" s="1"/>
  <c r="Q55" i="4"/>
  <c r="R55" i="4" s="1"/>
  <c r="Q54" i="4"/>
  <c r="R54" i="4" s="1"/>
  <c r="Q53" i="4"/>
  <c r="R53" i="4" s="1"/>
  <c r="Q52" i="4"/>
  <c r="R52" i="4" s="1"/>
  <c r="Q51" i="4"/>
  <c r="R51" i="4" s="1"/>
  <c r="Q50" i="4"/>
  <c r="R50" i="4" s="1"/>
  <c r="Q49" i="4"/>
  <c r="R49" i="4" s="1"/>
  <c r="Q48" i="4"/>
  <c r="R48" i="4" s="1"/>
  <c r="Q47" i="4"/>
  <c r="R47" i="4" s="1"/>
  <c r="Q46" i="4"/>
  <c r="R46" i="4" s="1"/>
  <c r="Q45" i="4"/>
  <c r="R45" i="4" s="1"/>
  <c r="Q44" i="4"/>
  <c r="R44" i="4" s="1"/>
  <c r="Q43" i="4"/>
  <c r="R43" i="4" s="1"/>
  <c r="Q42" i="4"/>
  <c r="R42" i="4" s="1"/>
  <c r="Q2" i="9"/>
  <c r="Q3" i="9"/>
  <c r="Q4" i="9"/>
  <c r="Q5" i="9"/>
  <c r="Q6" i="9"/>
  <c r="Q7" i="9"/>
  <c r="Q8" i="9"/>
  <c r="Q9" i="9"/>
  <c r="T42" i="4" l="1"/>
  <c r="T50" i="4"/>
  <c r="Q89" i="9" l="1"/>
  <c r="R89" i="9" s="1"/>
  <c r="Q88" i="9"/>
  <c r="R88" i="9" s="1"/>
  <c r="Q87" i="9"/>
  <c r="R87" i="9" s="1"/>
  <c r="Q86" i="9"/>
  <c r="R86" i="9" s="1"/>
  <c r="Q85" i="9"/>
  <c r="R85" i="9" s="1"/>
  <c r="Q84" i="9"/>
  <c r="R84" i="9" s="1"/>
  <c r="Q83" i="9"/>
  <c r="R83" i="9" s="1"/>
  <c r="Q82" i="9"/>
  <c r="R82" i="9" s="1"/>
  <c r="Q81" i="9"/>
  <c r="R81" i="9" s="1"/>
  <c r="Q80" i="9"/>
  <c r="R80" i="9" s="1"/>
  <c r="Q79" i="9"/>
  <c r="R79" i="9" s="1"/>
  <c r="Q78" i="9"/>
  <c r="R78" i="9" s="1"/>
  <c r="Q77" i="9"/>
  <c r="R77" i="9" s="1"/>
  <c r="Q76" i="9"/>
  <c r="R76" i="9" s="1"/>
  <c r="Q75" i="9"/>
  <c r="R75" i="9" s="1"/>
  <c r="Q74" i="9"/>
  <c r="R74" i="9" s="1"/>
  <c r="Q73" i="9"/>
  <c r="R73" i="9" s="1"/>
  <c r="Q72" i="9"/>
  <c r="R72" i="9" s="1"/>
  <c r="Q71" i="9"/>
  <c r="R71" i="9" s="1"/>
  <c r="Q70" i="9"/>
  <c r="R70" i="9" s="1"/>
  <c r="Q69" i="9"/>
  <c r="R69" i="9" s="1"/>
  <c r="Q68" i="9"/>
  <c r="R68" i="9" s="1"/>
  <c r="Q67" i="9"/>
  <c r="R67" i="9" s="1"/>
  <c r="Q66" i="9"/>
  <c r="R66" i="9" s="1"/>
  <c r="Q65" i="9"/>
  <c r="R65" i="9" s="1"/>
  <c r="Q64" i="9"/>
  <c r="R64" i="9" s="1"/>
  <c r="Q63" i="9"/>
  <c r="R63" i="9" s="1"/>
  <c r="Q62" i="9"/>
  <c r="R62" i="9" s="1"/>
  <c r="Q61" i="9"/>
  <c r="R61" i="9" s="1"/>
  <c r="Q60" i="9"/>
  <c r="R60" i="9" s="1"/>
  <c r="Q59" i="9"/>
  <c r="R59" i="9" s="1"/>
  <c r="Q58" i="9"/>
  <c r="R58" i="9" s="1"/>
  <c r="Q57" i="9"/>
  <c r="R57" i="9" s="1"/>
  <c r="Q56" i="9"/>
  <c r="R56" i="9" s="1"/>
  <c r="Q55" i="9"/>
  <c r="R55" i="9" s="1"/>
  <c r="Q54" i="9"/>
  <c r="R54" i="9" s="1"/>
  <c r="Q53" i="9"/>
  <c r="R53" i="9" s="1"/>
  <c r="Q52" i="9"/>
  <c r="R52" i="9" s="1"/>
  <c r="Q51" i="9"/>
  <c r="R51" i="9" s="1"/>
  <c r="Q50" i="9"/>
  <c r="R50" i="9" s="1"/>
  <c r="Q49" i="9"/>
  <c r="R49" i="9" s="1"/>
  <c r="Q48" i="9"/>
  <c r="R48" i="9" s="1"/>
  <c r="Q47" i="9"/>
  <c r="R47" i="9" s="1"/>
  <c r="Q46" i="9"/>
  <c r="R46" i="9" s="1"/>
  <c r="Q45" i="9"/>
  <c r="R45" i="9" s="1"/>
  <c r="Q44" i="9"/>
  <c r="R44" i="9" s="1"/>
  <c r="Q43" i="9"/>
  <c r="R43" i="9" s="1"/>
  <c r="Q42" i="9"/>
  <c r="R42" i="9" s="1"/>
  <c r="Q41" i="9"/>
  <c r="R41" i="9" s="1"/>
  <c r="Q40" i="9"/>
  <c r="R40" i="9" s="1"/>
  <c r="Q39" i="9"/>
  <c r="R39" i="9" s="1"/>
  <c r="Q38" i="9"/>
  <c r="R38" i="9" s="1"/>
  <c r="Q37" i="9"/>
  <c r="R37" i="9" s="1"/>
  <c r="Q36" i="9"/>
  <c r="R36" i="9" s="1"/>
  <c r="Q35" i="9"/>
  <c r="R35" i="9" s="1"/>
  <c r="Q34" i="9"/>
  <c r="R34" i="9" s="1"/>
  <c r="Q33" i="9"/>
  <c r="R33" i="9" s="1"/>
  <c r="Q32" i="9"/>
  <c r="R32" i="9" s="1"/>
  <c r="Q31" i="9"/>
  <c r="R31" i="9" s="1"/>
  <c r="Q30" i="9"/>
  <c r="R30" i="9" s="1"/>
  <c r="Q29" i="9"/>
  <c r="R29" i="9" s="1"/>
  <c r="Q28" i="9"/>
  <c r="R28" i="9" s="1"/>
  <c r="Q27" i="9"/>
  <c r="R27" i="9" s="1"/>
  <c r="Q26" i="9"/>
  <c r="R26" i="9" s="1"/>
  <c r="Q25" i="9"/>
  <c r="R25" i="9" s="1"/>
  <c r="Q24" i="9"/>
  <c r="R24" i="9" s="1"/>
  <c r="Q23" i="9"/>
  <c r="R23" i="9" s="1"/>
  <c r="Q22" i="9"/>
  <c r="R22" i="9" s="1"/>
  <c r="Q21" i="9"/>
  <c r="R21" i="9" s="1"/>
  <c r="Q20" i="9"/>
  <c r="R20" i="9" s="1"/>
  <c r="Q19" i="9"/>
  <c r="R19" i="9" s="1"/>
  <c r="Q18" i="9"/>
  <c r="R18" i="9" s="1"/>
  <c r="Q17" i="9"/>
  <c r="R17" i="9" s="1"/>
  <c r="Q16" i="9"/>
  <c r="R16" i="9" s="1"/>
  <c r="Q15" i="9"/>
  <c r="R15" i="9" s="1"/>
  <c r="Q14" i="9"/>
  <c r="R14" i="9" s="1"/>
  <c r="Q13" i="9"/>
  <c r="R13" i="9" s="1"/>
  <c r="Q12" i="9"/>
  <c r="R12" i="9" s="1"/>
  <c r="Q11" i="9"/>
  <c r="R11" i="9" s="1"/>
  <c r="Q10" i="9"/>
  <c r="R10" i="9" s="1"/>
  <c r="R9" i="9"/>
  <c r="R8" i="9"/>
  <c r="R7" i="9"/>
  <c r="R6" i="9"/>
  <c r="R5" i="9"/>
  <c r="R4" i="9"/>
  <c r="R3" i="9"/>
  <c r="R2" i="9"/>
  <c r="T50" i="9" l="1"/>
  <c r="T2" i="9"/>
  <c r="T10" i="9"/>
  <c r="T26" i="9"/>
  <c r="T34" i="9"/>
  <c r="T42" i="9"/>
  <c r="T58" i="9"/>
  <c r="T66" i="9"/>
  <c r="T74" i="9"/>
  <c r="T18" i="9"/>
  <c r="T82" i="9"/>
  <c r="Q43" i="8" l="1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Q4" i="8"/>
  <c r="R4" i="8" s="1"/>
  <c r="Q3" i="8"/>
  <c r="R3" i="8" s="1"/>
  <c r="Q2" i="8"/>
  <c r="R2" i="8" s="1"/>
  <c r="T32" i="8" l="1"/>
  <c r="T2" i="8"/>
  <c r="T38" i="8"/>
  <c r="T14" i="8"/>
  <c r="T20" i="8"/>
  <c r="T26" i="8"/>
  <c r="T8" i="8"/>
  <c r="Q25" i="7"/>
  <c r="R25" i="7" s="1"/>
  <c r="Q24" i="7"/>
  <c r="R24" i="7" s="1"/>
  <c r="Q23" i="7"/>
  <c r="R23" i="7" s="1"/>
  <c r="Q22" i="7"/>
  <c r="R22" i="7" s="1"/>
  <c r="Q21" i="7"/>
  <c r="R21" i="7" s="1"/>
  <c r="Q20" i="7"/>
  <c r="R20" i="7" s="1"/>
  <c r="Q19" i="7"/>
  <c r="R19" i="7" s="1"/>
  <c r="Q18" i="7"/>
  <c r="R18" i="7" s="1"/>
  <c r="Q17" i="7"/>
  <c r="R17" i="7" s="1"/>
  <c r="Q16" i="7"/>
  <c r="R16" i="7" s="1"/>
  <c r="Q15" i="7"/>
  <c r="R15" i="7" s="1"/>
  <c r="Q14" i="7"/>
  <c r="R14" i="7" s="1"/>
  <c r="Q13" i="7"/>
  <c r="R13" i="7" s="1"/>
  <c r="Q12" i="7"/>
  <c r="R12" i="7" s="1"/>
  <c r="Q11" i="7"/>
  <c r="R11" i="7" s="1"/>
  <c r="Q10" i="7"/>
  <c r="R10" i="7" s="1"/>
  <c r="Q9" i="7"/>
  <c r="R9" i="7" s="1"/>
  <c r="Q8" i="7"/>
  <c r="R8" i="7" s="1"/>
  <c r="Q7" i="7"/>
  <c r="R7" i="7" s="1"/>
  <c r="Q6" i="7"/>
  <c r="R6" i="7" s="1"/>
  <c r="Q5" i="7"/>
  <c r="R5" i="7" s="1"/>
  <c r="Q4" i="7"/>
  <c r="R4" i="7" s="1"/>
  <c r="Q3" i="7"/>
  <c r="R3" i="7" s="1"/>
  <c r="Q2" i="7"/>
  <c r="R2" i="7" s="1"/>
  <c r="T14" i="7" l="1"/>
  <c r="T20" i="7"/>
  <c r="T2" i="7"/>
  <c r="T8" i="7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T2" i="6" l="1"/>
  <c r="T8" i="6"/>
  <c r="Q121" i="5"/>
  <c r="R121" i="5" s="1"/>
  <c r="Q120" i="5"/>
  <c r="R120" i="5" s="1"/>
  <c r="Q119" i="5"/>
  <c r="R119" i="5" s="1"/>
  <c r="Q118" i="5"/>
  <c r="R118" i="5" s="1"/>
  <c r="Q117" i="5"/>
  <c r="R117" i="5" s="1"/>
  <c r="Q116" i="5"/>
  <c r="R116" i="5" s="1"/>
  <c r="Q115" i="5"/>
  <c r="R115" i="5" s="1"/>
  <c r="Q114" i="5"/>
  <c r="R114" i="5" s="1"/>
  <c r="Q113" i="5"/>
  <c r="R113" i="5" s="1"/>
  <c r="Q112" i="5"/>
  <c r="R112" i="5" s="1"/>
  <c r="Q111" i="5"/>
  <c r="R111" i="5" s="1"/>
  <c r="Q110" i="5"/>
  <c r="R110" i="5" s="1"/>
  <c r="Q109" i="5"/>
  <c r="R109" i="5" s="1"/>
  <c r="Q108" i="5"/>
  <c r="R108" i="5" s="1"/>
  <c r="Q107" i="5"/>
  <c r="R107" i="5" s="1"/>
  <c r="Q106" i="5"/>
  <c r="R106" i="5" s="1"/>
  <c r="Q105" i="5"/>
  <c r="R105" i="5" s="1"/>
  <c r="Q104" i="5"/>
  <c r="R104" i="5" s="1"/>
  <c r="Q103" i="5"/>
  <c r="R103" i="5" s="1"/>
  <c r="Q102" i="5"/>
  <c r="R102" i="5" s="1"/>
  <c r="Q101" i="5"/>
  <c r="R101" i="5" s="1"/>
  <c r="Q100" i="5"/>
  <c r="R100" i="5" s="1"/>
  <c r="Q99" i="5"/>
  <c r="R99" i="5" s="1"/>
  <c r="Q98" i="5"/>
  <c r="R98" i="5" s="1"/>
  <c r="Q97" i="5"/>
  <c r="R97" i="5" s="1"/>
  <c r="Q96" i="5"/>
  <c r="R96" i="5" s="1"/>
  <c r="Q95" i="5"/>
  <c r="R95" i="5" s="1"/>
  <c r="Q94" i="5"/>
  <c r="R94" i="5" s="1"/>
  <c r="Q93" i="5"/>
  <c r="R93" i="5" s="1"/>
  <c r="Q92" i="5"/>
  <c r="R92" i="5" s="1"/>
  <c r="Q91" i="5"/>
  <c r="R91" i="5" s="1"/>
  <c r="Q90" i="5"/>
  <c r="R90" i="5" s="1"/>
  <c r="Q89" i="5"/>
  <c r="R89" i="5" s="1"/>
  <c r="Q88" i="5"/>
  <c r="R88" i="5" s="1"/>
  <c r="Q87" i="5"/>
  <c r="R87" i="5" s="1"/>
  <c r="Q86" i="5"/>
  <c r="R86" i="5" s="1"/>
  <c r="Q85" i="5"/>
  <c r="R85" i="5" s="1"/>
  <c r="Q84" i="5"/>
  <c r="R84" i="5" s="1"/>
  <c r="Q83" i="5"/>
  <c r="R83" i="5" s="1"/>
  <c r="Q82" i="5"/>
  <c r="R82" i="5" s="1"/>
  <c r="Q81" i="5"/>
  <c r="R81" i="5" s="1"/>
  <c r="Q80" i="5"/>
  <c r="R80" i="5" s="1"/>
  <c r="Q79" i="5"/>
  <c r="R79" i="5" s="1"/>
  <c r="Q78" i="5"/>
  <c r="R78" i="5" s="1"/>
  <c r="Q77" i="5"/>
  <c r="R77" i="5" s="1"/>
  <c r="Q76" i="5"/>
  <c r="R76" i="5" s="1"/>
  <c r="Q75" i="5"/>
  <c r="R75" i="5" s="1"/>
  <c r="Q74" i="5"/>
  <c r="R74" i="5" s="1"/>
  <c r="Q73" i="5"/>
  <c r="R73" i="5" s="1"/>
  <c r="Q72" i="5"/>
  <c r="R72" i="5" s="1"/>
  <c r="Q71" i="5"/>
  <c r="R71" i="5" s="1"/>
  <c r="Q70" i="5"/>
  <c r="R70" i="5" s="1"/>
  <c r="Q69" i="5"/>
  <c r="R69" i="5" s="1"/>
  <c r="Q68" i="5"/>
  <c r="R68" i="5" s="1"/>
  <c r="Q67" i="5"/>
  <c r="R67" i="5" s="1"/>
  <c r="Q66" i="5"/>
  <c r="R66" i="5" s="1"/>
  <c r="Q65" i="5"/>
  <c r="R65" i="5" s="1"/>
  <c r="Q64" i="5"/>
  <c r="R64" i="5" s="1"/>
  <c r="Q63" i="5"/>
  <c r="R63" i="5" s="1"/>
  <c r="Q62" i="5"/>
  <c r="R62" i="5" s="1"/>
  <c r="Q61" i="5"/>
  <c r="R61" i="5" s="1"/>
  <c r="Q60" i="5"/>
  <c r="R60" i="5" s="1"/>
  <c r="Q59" i="5"/>
  <c r="R59" i="5" s="1"/>
  <c r="Q58" i="5"/>
  <c r="R58" i="5" s="1"/>
  <c r="Q57" i="5"/>
  <c r="R57" i="5" s="1"/>
  <c r="Q56" i="5"/>
  <c r="R56" i="5" s="1"/>
  <c r="Q55" i="5"/>
  <c r="R55" i="5" s="1"/>
  <c r="Q54" i="5"/>
  <c r="R54" i="5" s="1"/>
  <c r="Q53" i="5"/>
  <c r="R53" i="5" s="1"/>
  <c r="Q52" i="5"/>
  <c r="R52" i="5" s="1"/>
  <c r="Q51" i="5"/>
  <c r="R51" i="5" s="1"/>
  <c r="Q50" i="5"/>
  <c r="R50" i="5" s="1"/>
  <c r="Q49" i="5"/>
  <c r="R49" i="5" s="1"/>
  <c r="Q48" i="5"/>
  <c r="R48" i="5" s="1"/>
  <c r="Q47" i="5"/>
  <c r="R47" i="5" s="1"/>
  <c r="Q46" i="5"/>
  <c r="R46" i="5" s="1"/>
  <c r="Q45" i="5"/>
  <c r="R45" i="5" s="1"/>
  <c r="Q44" i="5"/>
  <c r="R44" i="5" s="1"/>
  <c r="Q43" i="5"/>
  <c r="R43" i="5" s="1"/>
  <c r="Q42" i="5"/>
  <c r="R42" i="5" s="1"/>
  <c r="Q41" i="5"/>
  <c r="R41" i="5" s="1"/>
  <c r="Q40" i="5"/>
  <c r="R40" i="5" s="1"/>
  <c r="Q39" i="5"/>
  <c r="R39" i="5" s="1"/>
  <c r="Q38" i="5"/>
  <c r="R38" i="5" s="1"/>
  <c r="Q37" i="5"/>
  <c r="R37" i="5" s="1"/>
  <c r="Q36" i="5"/>
  <c r="R36" i="5" s="1"/>
  <c r="Q35" i="5"/>
  <c r="R35" i="5" s="1"/>
  <c r="Q34" i="5"/>
  <c r="R34" i="5" s="1"/>
  <c r="Q33" i="5"/>
  <c r="R33" i="5" s="1"/>
  <c r="Q32" i="5"/>
  <c r="R32" i="5" s="1"/>
  <c r="Q31" i="5"/>
  <c r="R31" i="5" s="1"/>
  <c r="Q30" i="5"/>
  <c r="R30" i="5" s="1"/>
  <c r="Q29" i="5"/>
  <c r="R29" i="5" s="1"/>
  <c r="Q28" i="5"/>
  <c r="R28" i="5" s="1"/>
  <c r="Q27" i="5"/>
  <c r="R27" i="5" s="1"/>
  <c r="Q26" i="5"/>
  <c r="R26" i="5" s="1"/>
  <c r="Q25" i="5"/>
  <c r="R25" i="5" s="1"/>
  <c r="Q24" i="5"/>
  <c r="R24" i="5" s="1"/>
  <c r="Q23" i="5"/>
  <c r="R23" i="5" s="1"/>
  <c r="Q22" i="5"/>
  <c r="R22" i="5" s="1"/>
  <c r="Q21" i="5"/>
  <c r="R21" i="5" s="1"/>
  <c r="Q20" i="5"/>
  <c r="R20" i="5" s="1"/>
  <c r="Q19" i="5"/>
  <c r="R19" i="5" s="1"/>
  <c r="Q18" i="5"/>
  <c r="R18" i="5" s="1"/>
  <c r="Q17" i="5"/>
  <c r="R17" i="5" s="1"/>
  <c r="Q16" i="5"/>
  <c r="R16" i="5" s="1"/>
  <c r="Q15" i="5"/>
  <c r="R15" i="5" s="1"/>
  <c r="Q14" i="5"/>
  <c r="R14" i="5" s="1"/>
  <c r="Q13" i="5"/>
  <c r="R13" i="5" s="1"/>
  <c r="Q12" i="5"/>
  <c r="R12" i="5" s="1"/>
  <c r="Q11" i="5"/>
  <c r="R11" i="5" s="1"/>
  <c r="Q10" i="5"/>
  <c r="R10" i="5" s="1"/>
  <c r="Q9" i="5"/>
  <c r="R9" i="5" s="1"/>
  <c r="Q8" i="5"/>
  <c r="R8" i="5" s="1"/>
  <c r="Q7" i="5"/>
  <c r="R7" i="5" s="1"/>
  <c r="Q6" i="5"/>
  <c r="R6" i="5" s="1"/>
  <c r="Q5" i="5"/>
  <c r="R5" i="5" s="1"/>
  <c r="Q4" i="5"/>
  <c r="R4" i="5" s="1"/>
  <c r="Q3" i="5"/>
  <c r="R3" i="5" s="1"/>
  <c r="Q2" i="5"/>
  <c r="R2" i="5" s="1"/>
  <c r="T66" i="5" l="1"/>
  <c r="T10" i="5"/>
  <c r="T42" i="5"/>
  <c r="T18" i="5"/>
  <c r="T34" i="5"/>
  <c r="T82" i="5"/>
  <c r="T98" i="5"/>
  <c r="T2" i="5"/>
  <c r="T26" i="5"/>
  <c r="T58" i="5"/>
  <c r="T114" i="5"/>
  <c r="T50" i="5"/>
  <c r="T74" i="5"/>
  <c r="T90" i="5"/>
  <c r="T106" i="5"/>
  <c r="Q161" i="4"/>
  <c r="R161" i="4" s="1"/>
  <c r="Q160" i="4"/>
  <c r="R160" i="4" s="1"/>
  <c r="Q159" i="4"/>
  <c r="R159" i="4" s="1"/>
  <c r="Q158" i="4"/>
  <c r="R158" i="4" s="1"/>
  <c r="Q157" i="4"/>
  <c r="R157" i="4" s="1"/>
  <c r="Q156" i="4"/>
  <c r="R156" i="4" s="1"/>
  <c r="Q155" i="4"/>
  <c r="R155" i="4" s="1"/>
  <c r="Q154" i="4"/>
  <c r="R154" i="4" s="1"/>
  <c r="Q153" i="4"/>
  <c r="R153" i="4" s="1"/>
  <c r="Q152" i="4"/>
  <c r="R152" i="4" s="1"/>
  <c r="Q151" i="4"/>
  <c r="R151" i="4" s="1"/>
  <c r="Q150" i="4"/>
  <c r="R150" i="4" s="1"/>
  <c r="Q149" i="4"/>
  <c r="R149" i="4" s="1"/>
  <c r="Q148" i="4"/>
  <c r="R148" i="4" s="1"/>
  <c r="Q147" i="4"/>
  <c r="R147" i="4" s="1"/>
  <c r="Q146" i="4"/>
  <c r="R146" i="4" s="1"/>
  <c r="Q145" i="4"/>
  <c r="R145" i="4" s="1"/>
  <c r="Q144" i="4"/>
  <c r="R144" i="4" s="1"/>
  <c r="Q143" i="4"/>
  <c r="R143" i="4" s="1"/>
  <c r="Q142" i="4"/>
  <c r="R142" i="4" s="1"/>
  <c r="Q141" i="4"/>
  <c r="R141" i="4" s="1"/>
  <c r="Q140" i="4"/>
  <c r="R140" i="4" s="1"/>
  <c r="Q139" i="4"/>
  <c r="R139" i="4" s="1"/>
  <c r="Q138" i="4"/>
  <c r="R138" i="4" s="1"/>
  <c r="Q137" i="4"/>
  <c r="R137" i="4" s="1"/>
  <c r="Q136" i="4"/>
  <c r="R136" i="4" s="1"/>
  <c r="Q135" i="4"/>
  <c r="R135" i="4" s="1"/>
  <c r="Q134" i="4"/>
  <c r="R134" i="4" s="1"/>
  <c r="Q133" i="4"/>
  <c r="R133" i="4" s="1"/>
  <c r="Q132" i="4"/>
  <c r="R132" i="4" s="1"/>
  <c r="Q131" i="4"/>
  <c r="R131" i="4" s="1"/>
  <c r="Q130" i="4"/>
  <c r="R130" i="4" s="1"/>
  <c r="Q129" i="4"/>
  <c r="R129" i="4" s="1"/>
  <c r="Q128" i="4"/>
  <c r="R128" i="4" s="1"/>
  <c r="Q127" i="4"/>
  <c r="R127" i="4" s="1"/>
  <c r="Q126" i="4"/>
  <c r="R126" i="4" s="1"/>
  <c r="Q125" i="4"/>
  <c r="R125" i="4" s="1"/>
  <c r="Q124" i="4"/>
  <c r="R124" i="4" s="1"/>
  <c r="Q123" i="4"/>
  <c r="R123" i="4" s="1"/>
  <c r="Q122" i="4"/>
  <c r="R122" i="4" s="1"/>
  <c r="Q121" i="4"/>
  <c r="R121" i="4" s="1"/>
  <c r="Q120" i="4"/>
  <c r="R120" i="4" s="1"/>
  <c r="Q119" i="4"/>
  <c r="R119" i="4" s="1"/>
  <c r="Q118" i="4"/>
  <c r="R118" i="4" s="1"/>
  <c r="Q117" i="4"/>
  <c r="R117" i="4" s="1"/>
  <c r="Q116" i="4"/>
  <c r="R116" i="4" s="1"/>
  <c r="Q115" i="4"/>
  <c r="R115" i="4" s="1"/>
  <c r="Q114" i="4"/>
  <c r="R114" i="4" s="1"/>
  <c r="Q113" i="4"/>
  <c r="R113" i="4" s="1"/>
  <c r="Q112" i="4"/>
  <c r="R112" i="4" s="1"/>
  <c r="Q111" i="4"/>
  <c r="R111" i="4" s="1"/>
  <c r="Q110" i="4"/>
  <c r="R110" i="4" s="1"/>
  <c r="Q109" i="4"/>
  <c r="R109" i="4" s="1"/>
  <c r="Q108" i="4"/>
  <c r="R108" i="4" s="1"/>
  <c r="Q107" i="4"/>
  <c r="R107" i="4" s="1"/>
  <c r="Q106" i="4"/>
  <c r="R106" i="4" s="1"/>
  <c r="Q105" i="4"/>
  <c r="R105" i="4" s="1"/>
  <c r="Q104" i="4"/>
  <c r="R104" i="4" s="1"/>
  <c r="Q103" i="4"/>
  <c r="R103" i="4" s="1"/>
  <c r="Q102" i="4"/>
  <c r="R102" i="4" s="1"/>
  <c r="Q101" i="4"/>
  <c r="R101" i="4" s="1"/>
  <c r="Q100" i="4"/>
  <c r="R100" i="4" s="1"/>
  <c r="Q99" i="4"/>
  <c r="R99" i="4" s="1"/>
  <c r="Q98" i="4"/>
  <c r="R98" i="4" s="1"/>
  <c r="Q97" i="4"/>
  <c r="R97" i="4" s="1"/>
  <c r="Q96" i="4"/>
  <c r="R96" i="4" s="1"/>
  <c r="Q95" i="4"/>
  <c r="R95" i="4" s="1"/>
  <c r="Q94" i="4"/>
  <c r="R94" i="4" s="1"/>
  <c r="Q93" i="4"/>
  <c r="R93" i="4" s="1"/>
  <c r="Q92" i="4"/>
  <c r="R92" i="4" s="1"/>
  <c r="Q91" i="4"/>
  <c r="R91" i="4" s="1"/>
  <c r="Q90" i="4"/>
  <c r="R90" i="4" s="1"/>
  <c r="Q89" i="4"/>
  <c r="R89" i="4" s="1"/>
  <c r="Q88" i="4"/>
  <c r="R88" i="4" s="1"/>
  <c r="Q87" i="4"/>
  <c r="R87" i="4" s="1"/>
  <c r="Q86" i="4"/>
  <c r="R86" i="4" s="1"/>
  <c r="Q85" i="4"/>
  <c r="R85" i="4" s="1"/>
  <c r="Q84" i="4"/>
  <c r="R84" i="4" s="1"/>
  <c r="Q83" i="4"/>
  <c r="R83" i="4" s="1"/>
  <c r="Q82" i="4"/>
  <c r="R82" i="4" s="1"/>
  <c r="Q81" i="4"/>
  <c r="R81" i="4" s="1"/>
  <c r="Q80" i="4"/>
  <c r="R80" i="4" s="1"/>
  <c r="Q79" i="4"/>
  <c r="R79" i="4" s="1"/>
  <c r="Q78" i="4"/>
  <c r="R78" i="4" s="1"/>
  <c r="Q77" i="4"/>
  <c r="R77" i="4" s="1"/>
  <c r="Q76" i="4"/>
  <c r="R76" i="4" s="1"/>
  <c r="Q75" i="4"/>
  <c r="R75" i="4" s="1"/>
  <c r="Q74" i="4"/>
  <c r="R74" i="4" s="1"/>
  <c r="Q73" i="4"/>
  <c r="R73" i="4" s="1"/>
  <c r="Q72" i="4"/>
  <c r="R72" i="4" s="1"/>
  <c r="Q71" i="4"/>
  <c r="R71" i="4" s="1"/>
  <c r="Q70" i="4"/>
  <c r="R70" i="4" s="1"/>
  <c r="Q69" i="4"/>
  <c r="R69" i="4" s="1"/>
  <c r="Q68" i="4"/>
  <c r="R68" i="4" s="1"/>
  <c r="Q67" i="4"/>
  <c r="R67" i="4" s="1"/>
  <c r="Q66" i="4"/>
  <c r="R66" i="4" s="1"/>
  <c r="Q65" i="4"/>
  <c r="R65" i="4" s="1"/>
  <c r="Q64" i="4"/>
  <c r="R64" i="4" s="1"/>
  <c r="Q63" i="4"/>
  <c r="R63" i="4" s="1"/>
  <c r="Q62" i="4"/>
  <c r="R62" i="4" s="1"/>
  <c r="Q61" i="4"/>
  <c r="R61" i="4" s="1"/>
  <c r="Q60" i="4"/>
  <c r="R60" i="4" s="1"/>
  <c r="Q59" i="4"/>
  <c r="R59" i="4" s="1"/>
  <c r="Q58" i="4"/>
  <c r="R58" i="4" s="1"/>
  <c r="Q41" i="4"/>
  <c r="R41" i="4" s="1"/>
  <c r="Q40" i="4"/>
  <c r="R40" i="4" s="1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Q29" i="4"/>
  <c r="R29" i="4" s="1"/>
  <c r="Q28" i="4"/>
  <c r="R28" i="4" s="1"/>
  <c r="Q27" i="4"/>
  <c r="R27" i="4" s="1"/>
  <c r="Q26" i="4"/>
  <c r="R26" i="4" s="1"/>
  <c r="Q25" i="4"/>
  <c r="R25" i="4" s="1"/>
  <c r="Q24" i="4"/>
  <c r="R24" i="4" s="1"/>
  <c r="Q23" i="4"/>
  <c r="R23" i="4" s="1"/>
  <c r="Q22" i="4"/>
  <c r="R22" i="4" s="1"/>
  <c r="Q21" i="4"/>
  <c r="R21" i="4" s="1"/>
  <c r="Q20" i="4"/>
  <c r="R20" i="4" s="1"/>
  <c r="Q19" i="4"/>
  <c r="R19" i="4" s="1"/>
  <c r="Q18" i="4"/>
  <c r="R18" i="4" s="1"/>
  <c r="Q17" i="4"/>
  <c r="R17" i="4" s="1"/>
  <c r="Q16" i="4"/>
  <c r="R16" i="4" s="1"/>
  <c r="Q15" i="4"/>
  <c r="R15" i="4" s="1"/>
  <c r="Q14" i="4"/>
  <c r="R14" i="4" s="1"/>
  <c r="Q13" i="4"/>
  <c r="R13" i="4" s="1"/>
  <c r="Q12" i="4"/>
  <c r="R12" i="4" s="1"/>
  <c r="Q11" i="4"/>
  <c r="R11" i="4" s="1"/>
  <c r="Q10" i="4"/>
  <c r="R10" i="4" s="1"/>
  <c r="Q9" i="4"/>
  <c r="R9" i="4" s="1"/>
  <c r="Q8" i="4"/>
  <c r="R8" i="4" s="1"/>
  <c r="Q7" i="4"/>
  <c r="R7" i="4" s="1"/>
  <c r="Q6" i="4"/>
  <c r="R6" i="4" s="1"/>
  <c r="Q5" i="4"/>
  <c r="R5" i="4" s="1"/>
  <c r="Q4" i="4"/>
  <c r="R4" i="4" s="1"/>
  <c r="Q3" i="4"/>
  <c r="R3" i="4" s="1"/>
  <c r="Q2" i="4"/>
  <c r="R2" i="4" s="1"/>
  <c r="T2" i="4" l="1"/>
  <c r="T146" i="4"/>
  <c r="T18" i="4"/>
  <c r="T66" i="4"/>
  <c r="T114" i="4"/>
  <c r="T98" i="4"/>
  <c r="T74" i="4"/>
  <c r="T34" i="4"/>
  <c r="T82" i="4"/>
  <c r="T130" i="4"/>
  <c r="T26" i="4"/>
  <c r="T90" i="4"/>
  <c r="T138" i="4"/>
  <c r="T10" i="4"/>
  <c r="T58" i="4"/>
  <c r="T106" i="4"/>
  <c r="T122" i="4"/>
  <c r="T154" i="4"/>
  <c r="Q86" i="3"/>
  <c r="R86" i="3" s="1"/>
  <c r="Q85" i="3"/>
  <c r="R85" i="3" s="1"/>
  <c r="Q84" i="3"/>
  <c r="R84" i="3" s="1"/>
  <c r="Q83" i="3"/>
  <c r="R83" i="3" s="1"/>
  <c r="Q82" i="3"/>
  <c r="R82" i="3" s="1"/>
  <c r="Q81" i="3"/>
  <c r="R81" i="3" s="1"/>
  <c r="Q17" i="3"/>
  <c r="R17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4" i="3"/>
  <c r="R4" i="3" s="1"/>
  <c r="Q3" i="3"/>
  <c r="R3" i="3" s="1"/>
  <c r="R2" i="3"/>
  <c r="T11" i="3" l="1"/>
  <c r="T2" i="3"/>
  <c r="T81" i="3"/>
</calcChain>
</file>

<file path=xl/sharedStrings.xml><?xml version="1.0" encoding="utf-8"?>
<sst xmlns="http://schemas.openxmlformats.org/spreadsheetml/2006/main" count="6049" uniqueCount="281">
  <si>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</si>
  <si>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</si>
  <si>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</si>
  <si>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</si>
  <si>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</si>
  <si>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</si>
  <si>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</si>
  <si>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</si>
  <si>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</si>
  <si>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</si>
  <si>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</si>
  <si>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</si>
  <si>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</si>
  <si>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</si>
  <si>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</si>
  <si>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</si>
  <si>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</si>
  <si>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</si>
  <si>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</si>
  <si>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</si>
  <si>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</si>
  <si>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Q1</t>
  </si>
  <si>
    <t>فنی و مهندسی</t>
  </si>
  <si>
    <t>MainTasks</t>
  </si>
  <si>
    <t>+</t>
  </si>
  <si>
    <t>-</t>
  </si>
  <si>
    <t>نرخ تکمیل دستورالعمل‌ها</t>
  </si>
  <si>
    <t>Projects</t>
  </si>
  <si>
    <t>نرخ تکمیل پروژه‌ها</t>
  </si>
  <si>
    <t>مصطفی علیزاده</t>
  </si>
  <si>
    <t>Repair Completion Rate</t>
  </si>
  <si>
    <t>Rework Rate</t>
  </si>
  <si>
    <t>خلیل دیلمی</t>
  </si>
  <si>
    <t>مجتبی هدایت</t>
  </si>
  <si>
    <t>رضا عینلوند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</si>
  <si>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</si>
  <si>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</si>
  <si>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</si>
  <si>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</si>
  <si>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</si>
  <si>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</si>
  <si>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</si>
  <si>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</si>
  <si>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</si>
  <si>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</si>
  <si>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</si>
  <si>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</si>
  <si>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</si>
  <si>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</si>
  <si>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</si>
  <si>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Project Completion Rate</t>
  </si>
  <si>
    <t>نرخ تکمیل پروژه‌های مهندسی</t>
  </si>
  <si>
    <t>درصد پروژه‌هایی که طبق برنامه تحویل شده‌اند</t>
  </si>
  <si>
    <t>رضا زلقی</t>
  </si>
  <si>
    <t>Emergency Breakdown Rate</t>
  </si>
  <si>
    <t>سارا کرم سراجی</t>
  </si>
  <si>
    <t>كارشناس برنامه ريزي،نگهداري و تعميراتPM</t>
  </si>
  <si>
    <t xml:space="preserve">علی اصغر کلانتری </t>
  </si>
  <si>
    <t>فني و مهندسي-نت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</si>
  <si>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</si>
  <si>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</si>
  <si>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</si>
  <si>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</si>
  <si>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</si>
  <si>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</si>
  <si>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</si>
  <si>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</si>
  <si>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</si>
  <si>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</si>
  <si>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</si>
  <si>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</si>
  <si>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</si>
  <si>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</si>
  <si>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</si>
  <si>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</si>
  <si>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</si>
  <si>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</si>
  <si>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</si>
  <si>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</si>
  <si>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</si>
  <si>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</si>
  <si>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</si>
  <si>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</si>
  <si>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</si>
  <si>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</si>
  <si>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</si>
  <si>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</si>
  <si>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</si>
  <si>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</si>
  <si>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</si>
  <si>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</si>
  <si>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</si>
  <si>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</si>
  <si>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</si>
  <si>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</si>
  <si>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</si>
  <si>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</si>
  <si>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</si>
  <si>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</si>
  <si>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</si>
  <si>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</si>
  <si>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</si>
  <si>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</si>
  <si>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</si>
  <si>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</si>
  <si>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</si>
  <si>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</si>
  <si>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</si>
  <si>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</si>
  <si>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</si>
  <si>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</si>
  <si>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</si>
  <si>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</si>
  <si>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</si>
  <si>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</si>
  <si>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</si>
  <si>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</si>
  <si>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</si>
  <si>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</si>
  <si>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</si>
  <si>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</si>
  <si>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</si>
  <si>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</si>
  <si>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False Alarm Rate</t>
  </si>
  <si>
    <t>نرخ هشدارهای کاذب</t>
  </si>
  <si>
    <t>(Number of False Alarms / Total Alarms Issued) * 100</t>
  </si>
  <si>
    <t>3320</t>
  </si>
  <si>
    <t>مجتبی کرد</t>
  </si>
  <si>
    <t>تکنسین</t>
  </si>
  <si>
    <t>فني و مهندسي-برق و ابزادقیق</t>
  </si>
  <si>
    <t>نرخ تکمیل تعمیرات در موعد مقرر</t>
  </si>
  <si>
    <t>نسبت تعمیرات انجام‌شده در زمان مقرر به کل تعمیرات برنامه‌ریزی‌شده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</si>
  <si>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</si>
  <si>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</si>
  <si>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</si>
  <si>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</si>
  <si>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</si>
  <si>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نرخ تعمیرات تکراری</t>
  </si>
  <si>
    <t>نشان‌دهنده کیفیت تعمیرات اولیه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</si>
  <si>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</si>
  <si>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</si>
  <si>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</si>
  <si>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</si>
  <si>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</si>
  <si>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</si>
  <si>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</si>
  <si>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</si>
  <si>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</si>
  <si>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</si>
  <si>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</si>
  <si>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</si>
  <si>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</si>
  <si>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</si>
  <si>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</si>
  <si>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</si>
  <si>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</si>
  <si>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</si>
  <si>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</si>
  <si>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</si>
  <si>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</si>
  <si>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</si>
  <si>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</si>
  <si>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</si>
  <si>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</si>
  <si>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</si>
  <si>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</si>
  <si>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</si>
  <si>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</si>
  <si>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</si>
  <si>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</si>
  <si>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</si>
  <si>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</si>
  <si>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</si>
  <si>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</si>
  <si>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</si>
  <si>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</si>
  <si>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</si>
  <si>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</si>
  <si>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</si>
  <si>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</si>
  <si>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</si>
  <si>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</si>
  <si>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</si>
  <si>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</si>
  <si>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</si>
  <si>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</si>
  <si>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</si>
  <si>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</si>
  <si>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دانیال دیناروند</t>
  </si>
  <si>
    <t>علی یار فرجی آرپناهی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</si>
  <si>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</si>
  <si>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</si>
  <si>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</si>
  <si>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</si>
  <si>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</si>
  <si>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</si>
  <si>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</si>
  <si>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</si>
  <si>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كارشناس</t>
  </si>
  <si>
    <t>فني و مهندسي-تاسیسات</t>
  </si>
  <si>
    <t>محمد سعدی</t>
  </si>
  <si>
    <t>سر شیفت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</si>
  <si>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</si>
  <si>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</si>
  <si>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</si>
  <si>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</si>
  <si>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</si>
  <si>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</si>
  <si>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</si>
  <si>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</si>
  <si>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</si>
  <si>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</si>
  <si>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</si>
  <si>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کارگر</t>
  </si>
  <si>
    <t>عظیم حمید</t>
  </si>
  <si>
    <t>رضا آیتی نیا</t>
  </si>
  <si>
    <t>کارشناس طراحی و مهندسی</t>
  </si>
  <si>
    <t>جواد فرج اللهی</t>
  </si>
  <si>
    <t>3651</t>
  </si>
  <si>
    <t>یعقوب بدوی</t>
  </si>
  <si>
    <t xml:space="preserve"> </t>
  </si>
  <si>
    <t>مجتبی یزدیان</t>
  </si>
  <si>
    <t>سرپرست موقت تراشکاری</t>
  </si>
  <si>
    <t>مکانیک عمومی</t>
  </si>
  <si>
    <t xml:space="preserve">نرخ تکمیل کارهای انجام شده به درخواست های تعمیراتی </t>
  </si>
  <si>
    <t>نرخ تکمیل کارهای انجام شده به فرم های PM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</si>
  <si>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</si>
  <si>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</si>
  <si>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</si>
  <si>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</si>
  <si>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</si>
  <si>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</si>
  <si>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</si>
  <si>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</si>
  <si>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</si>
  <si>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</si>
  <si>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</si>
  <si>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</si>
  <si>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</si>
  <si>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</si>
  <si>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</si>
  <si>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</si>
  <si>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</si>
  <si>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</si>
  <si>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</si>
  <si>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</si>
  <si>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</si>
  <si>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</si>
  <si>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</si>
  <si>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</si>
  <si>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</si>
  <si>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</si>
  <si>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</si>
  <si>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</si>
  <si>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</si>
  <si>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</si>
  <si>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</si>
  <si>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</si>
  <si>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فني و مهندسي-مکانیک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</si>
  <si>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</si>
  <si>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</si>
  <si>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</si>
  <si>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</si>
  <si>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</si>
  <si>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</si>
  <si>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</si>
  <si>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</si>
  <si>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</si>
  <si>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</si>
  <si>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</si>
  <si>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6274</t>
  </si>
  <si>
    <t>حسین محمد باقری</t>
  </si>
  <si>
    <t>6449</t>
  </si>
  <si>
    <t>جاسم آل کثیری</t>
  </si>
  <si>
    <t>6455</t>
  </si>
  <si>
    <t>سعید دریکوندی</t>
  </si>
  <si>
    <t>6485</t>
  </si>
  <si>
    <t>علی رضا دیناروند</t>
  </si>
  <si>
    <t>نرخ پاسخگویی به تعمیرات ضروری</t>
  </si>
  <si>
    <t>100*(1- (تعداد کارهای برگشتی) / (کل کارها))</t>
  </si>
  <si>
    <t>درصد صحت کارهای انجام 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</si>
</sst>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11"/>
      <color theme="1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b/>
      <sz val="10"/>
      <color theme="0"/>
      <name val="B Titr"/>
      <charset val="178"/>
    </font>
    <font>
      <sz val="10"/>
      <name val="B Nazanin"/>
      <charset val="178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81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/>
    </xf>
    <xf numFmtId="9" fontId="6" fillId="5" borderId="1" xfId="1" applyFont="1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9" fontId="18" fillId="2" borderId="1" xfId="1" applyFont="1" applyFill="1" applyBorder="1" applyAlignment="1">
      <alignment horizontal="center"/>
    </xf>
    <xf numFmtId="0" fontId="18" fillId="2" borderId="1" xfId="0" applyFont="1" applyFill="1" applyBorder="1" applyAlignment="1">
      <alignment horizontal="right" vertical="center"/>
    </xf>
    <xf numFmtId="9" fontId="18" fillId="2" borderId="1" xfId="1" applyFont="1" applyFill="1" applyBorder="1" applyAlignment="1">
      <alignment horizontal="center" vertical="center"/>
    </xf>
    <xf numFmtId="9" fontId="19" fillId="3" borderId="1" xfId="1" applyFont="1" applyFill="1" applyBorder="1" applyAlignment="1">
      <alignment vertical="center"/>
    </xf>
    <xf numFmtId="1" fontId="19" fillId="3" borderId="1" xfId="1" applyNumberFormat="1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9" fontId="20" fillId="3" borderId="3" xfId="1" applyFon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5" fillId="5" borderId="0" xfId="0" applyNumberFormat="1" applyFont="1" applyFill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9" fontId="7" fillId="5" borderId="1" xfId="1" applyFont="1" applyFill="1" applyBorder="1" applyAlignment="1">
      <alignment horizontal="center" vertical="center" wrapText="1"/>
    </xf>
    <xf numFmtId="9" fontId="8" fillId="5" borderId="1" xfId="1" applyFont="1" applyFill="1" applyBorder="1" applyAlignment="1">
      <alignment horizontal="center" vertical="center" wrapText="1"/>
    </xf>
    <xf numFmtId="10" fontId="6" fillId="5" borderId="1" xfId="1" applyNumberFormat="1" applyFont="1" applyFill="1" applyBorder="1" applyAlignment="1">
      <alignment horizontal="center" vertical="center"/>
    </xf>
    <xf numFmtId="9" fontId="5" fillId="5" borderId="0" xfId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 readingOrder="2"/>
    </xf>
    <xf numFmtId="9" fontId="6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9" fontId="6" fillId="5" borderId="1" xfId="1" applyNumberFormat="1" applyFont="1" applyFill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E13D339D-88B6-497E-8C3D-3EE6F96641DA}"/>
  </cellStyles>
  <dxfs count="129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center" textRotation="0" indent="0" justifyLastLine="0" shrinkToFit="0" readingOrder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20B4E-B0BC-4C5D-8446-3E1C4DE9D989}" name="Table1" displayName="Table1" ref="A1:T25" totalsRowShown="0" headerRowDxfId="54" headerRowBorderDxfId="53" tableBorderDxfId="52" totalsRowBorderDxfId="51">
  <autoFilter ref="A1:T25" xr:uid="{CF93E1D0-DA74-4837-A6F2-5FCCC5703A5E}"/>
  <tableColumns count="20">
    <tableColumn id="1" xr3:uid="{A48DCF98-16AA-47F2-8B38-4006ABC30F7D}" name="ردیف" dataDxfId="50"/>
    <tableColumn id="2" xr3:uid="{DCAD93A0-8184-49E1-8338-F89E598460FC}" name="نام شرکت" dataDxfId="49"/>
    <tableColumn id="3" xr3:uid="{1358D3E3-82CA-435C-A226-5E0734FEB86D}" name="فصل" dataDxfId="48"/>
    <tableColumn id="4" xr3:uid="{44ED40D9-C285-498B-A88C-1CAF04992F8B}" name="کد پرسنلی" dataDxfId="47"/>
    <tableColumn id="5" xr3:uid="{4776158F-0C69-432F-AB65-C8ED9A663AE8}" name="نام و نام خانوادگی" dataDxfId="46"/>
    <tableColumn id="6" xr3:uid="{8BDC9AFD-BDFC-44C2-A9F1-C4DBF6DA7BBB}" name="عنوان شغلی" dataDxfId="45"/>
    <tableColumn id="7" xr3:uid="{EC477388-8DC1-4856-A51E-65D4543C1C80}" name="مدیر مستقیم" dataDxfId="44"/>
    <tableColumn id="8" xr3:uid="{6C3FF3FB-784F-42F3-9263-5AD09893C30B}" name="دپارتمان" dataDxfId="43"/>
    <tableColumn id="9" xr3:uid="{75E24AF5-397C-4F73-8714-2633D6F62FE2}" name="دسته بندی" dataDxfId="42"/>
    <tableColumn id="10" xr3:uid="{8FA23FCF-9360-4F02-B0EB-F38E2C44F9A0}" name="obj weight" dataDxfId="41" dataCellStyle="Percent"/>
    <tableColumn id="11" xr3:uid="{C7764BBC-C48B-400B-A058-86ABB698DFA4}" name="KPI En" dataDxfId="40"/>
    <tableColumn id="12" xr3:uid="{91C1BB38-EC19-43E3-9EA0-086FE12D3754}" name="KPI Fa" dataDxfId="39"/>
    <tableColumn id="13" xr3:uid="{355F1376-52C7-4635-B072-B8F570C660C0}" name="kpi INFO" dataDxfId="38"/>
    <tableColumn id="14" xr3:uid="{AF889496-C5D5-4DB4-83DC-003247BCADCC}" name="target" dataDxfId="37"/>
    <tableColumn id="15" xr3:uid="{56D77AB9-CA54-47B1-915B-12E504FBC925}" name="KPI weight" dataDxfId="36" dataCellStyle="Percent"/>
    <tableColumn id="16" xr3:uid="{B5F66BF2-6FC5-478F-A74A-D993298947DD}" name="KPI Achievement" dataDxfId="35" dataCellStyle="Percent"/>
    <tableColumn id="17" xr3:uid="{209CC960-F55B-49F7-AAF9-5E49AD26C627}" name="Percentage Achievement" dataDxfId="34" dataCellStyle="Percent">
      <calculatedColumnFormula>ROUND(IF(OR(N2="",P2=""),0,IF(AND(N2=0,P2=0),1,IF(S2="+",P2/N2,N2/P2))),2)</calculatedColumnFormula>
    </tableColumn>
    <tableColumn id="18" xr3:uid="{23F831D5-BCE2-48D8-B632-10BB27441E05}" name="Score Achievement" dataDxfId="33" dataCellStyle="Percent">
      <calculatedColumnFormula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calculatedColumnFormula>
    </tableColumn>
    <tableColumn id="19" xr3:uid="{D2A02068-D735-40DC-B161-C6394378C013}" name="type" dataDxfId="32" dataCellStyle="Percent"/>
    <tableColumn id="20" xr3:uid="{FCA2BD1D-5B23-4A7D-A134-19998CA9105E}" name="Sum" dataDxfId="31" dataCellStyle="Percent">
      <calculatedColumnFormula>SUM(R2:R25)%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9B18-F458-4A48-8BC4-CFAD9194C558}">
  <sheetPr filterMode="1">
    <tabColor rgb="FF00B050"/>
  </sheetPr>
  <dimension ref="A1:AV86"/>
  <sheetViews>
    <sheetView tabSelected="1" zoomScale="130" zoomScaleNormal="13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Q6" sqref="Q6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3"/>
    <col min="5" max="5" width="19.77734375" style="33" bestFit="1" customWidth="1"/>
    <col min="6" max="6" width="26.33203125" style="33" customWidth="1"/>
    <col min="7" max="7" width="12.44140625" style="33" customWidth="1"/>
    <col min="8" max="8" width="11.777343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20" style="33" bestFit="1" customWidth="1"/>
    <col min="13" max="13" width="51.77734375" style="33" customWidth="1"/>
    <col min="14" max="14" width="14.21875" style="33" customWidth="1"/>
    <col min="15" max="15" width="7.77734375" style="33" customWidth="1"/>
    <col min="16" max="16" width="15.77734375" style="33" bestFit="1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hidden="1" x14ac:dyDescent="0.2">
      <c r="A2" s="15">
        <v>2070</v>
      </c>
      <c r="B2" s="16" t="s">
        <v>20</v>
      </c>
      <c r="C2" s="17" t="s">
        <v>21</v>
      </c>
      <c r="D2" s="18">
        <v>3926</v>
      </c>
      <c r="E2" s="16" t="s">
        <v>55</v>
      </c>
      <c r="F2" s="19" t="s">
        <v>56</v>
      </c>
      <c r="G2" s="16" t="s">
        <v>57</v>
      </c>
      <c r="H2" s="19" t="s">
        <v>58</v>
      </c>
      <c r="I2" s="20" t="s">
        <v>23</v>
      </c>
      <c r="J2" s="21">
        <v>0.7</v>
      </c>
      <c r="K2" s="1" t="s">
        <v>59</v>
      </c>
      <c r="L2" s="2" t="s">
        <v>60</v>
      </c>
      <c r="M2" s="1" t="s">
        <v>61</v>
      </c>
      <c r="N2" s="21">
        <v>0.95</v>
      </c>
      <c r="O2" s="21">
        <v>0.2</v>
      </c>
      <c r="P2" s="21">
        <v>0.95</v>
      </c>
      <c r="Q2" s="21">
        <v>1</v>
      </c>
      <c r="R2" s="22">
        <f t="shared" ref="R2:R7" si="0">IF(AND(Q2&gt;=60%,Q2&lt;100%),Q2*((O2*J2)),IF(Q2=100%,((O2*J2)*Q2)*100%,IF(Q2&gt;100%,((J2*O2)*100%)*100%,0)))*100</f>
        <v>13.999999999999998</v>
      </c>
      <c r="S2" s="21" t="s">
        <v>24</v>
      </c>
      <c r="T2" s="23">
        <f>SUM(R2:R10)%</f>
        <v>0.79715000000000003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hidden="1" x14ac:dyDescent="0.2">
      <c r="A3" s="15">
        <v>2071</v>
      </c>
      <c r="B3" s="16" t="s">
        <v>20</v>
      </c>
      <c r="C3" s="17" t="s">
        <v>21</v>
      </c>
      <c r="D3" s="18">
        <v>3926</v>
      </c>
      <c r="E3" s="16" t="s">
        <v>55</v>
      </c>
      <c r="F3" s="19" t="s">
        <v>56</v>
      </c>
      <c r="G3" s="16" t="s">
        <v>57</v>
      </c>
      <c r="H3" s="19" t="s">
        <v>58</v>
      </c>
      <c r="I3" s="20" t="s">
        <v>23</v>
      </c>
      <c r="J3" s="21">
        <v>0.7</v>
      </c>
      <c r="K3" s="1" t="s">
        <v>62</v>
      </c>
      <c r="L3" s="2" t="s">
        <v>63</v>
      </c>
      <c r="M3" s="1" t="s">
        <v>64</v>
      </c>
      <c r="N3" s="21">
        <v>0.95</v>
      </c>
      <c r="O3" s="21">
        <v>0.2</v>
      </c>
      <c r="P3" s="25">
        <v>0.91</v>
      </c>
      <c r="Q3" s="21">
        <f>ROUND(IF(OR(N3="",P3=""),0,IF(AND(N3=0,P3=0),1,IF(S3="+",P3/N3,N3/P3))),2)</f>
        <v>0.96</v>
      </c>
      <c r="R3" s="22">
        <f t="shared" si="0"/>
        <v>13.44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hidden="1" x14ac:dyDescent="0.2">
      <c r="A4" s="15">
        <v>2074</v>
      </c>
      <c r="B4" s="16" t="s">
        <v>20</v>
      </c>
      <c r="C4" s="17" t="s">
        <v>21</v>
      </c>
      <c r="D4" s="18">
        <v>3926</v>
      </c>
      <c r="E4" s="16" t="s">
        <v>55</v>
      </c>
      <c r="F4" s="19" t="s">
        <v>56</v>
      </c>
      <c r="G4" s="16" t="s">
        <v>57</v>
      </c>
      <c r="H4" s="19" t="s">
        <v>58</v>
      </c>
      <c r="I4" s="20" t="s">
        <v>23</v>
      </c>
      <c r="J4" s="21">
        <v>0.7</v>
      </c>
      <c r="K4" s="26" t="s">
        <v>84</v>
      </c>
      <c r="L4" s="31" t="s">
        <v>85</v>
      </c>
      <c r="M4" s="26" t="s">
        <v>86</v>
      </c>
      <c r="N4" s="64">
        <v>1</v>
      </c>
      <c r="O4" s="21">
        <v>0.2</v>
      </c>
      <c r="P4" s="25">
        <v>1</v>
      </c>
      <c r="Q4" s="21">
        <f t="shared" ref="Q4:Q7" si="1">ROUND(IF(OR(N4="",P4=""),0,IF(AND(N4=0,P4=0),1,IF(S4="+",P4/N4,N4/P4))),2)</f>
        <v>1</v>
      </c>
      <c r="R4" s="22">
        <f t="shared" si="0"/>
        <v>13.999999999999998</v>
      </c>
      <c r="S4" s="21" t="s">
        <v>24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hidden="1" x14ac:dyDescent="0.2">
      <c r="A5" s="15">
        <v>2079</v>
      </c>
      <c r="B5" s="16" t="s">
        <v>20</v>
      </c>
      <c r="C5" s="17" t="s">
        <v>21</v>
      </c>
      <c r="D5" s="18">
        <v>3926</v>
      </c>
      <c r="E5" s="16" t="s">
        <v>55</v>
      </c>
      <c r="F5" s="19" t="s">
        <v>56</v>
      </c>
      <c r="G5" s="16" t="s">
        <v>57</v>
      </c>
      <c r="H5" s="19" t="s">
        <v>58</v>
      </c>
      <c r="I5" s="27" t="s">
        <v>23</v>
      </c>
      <c r="J5" s="21">
        <v>0.7</v>
      </c>
      <c r="K5" s="1" t="s">
        <v>77</v>
      </c>
      <c r="L5" s="2" t="s">
        <v>78</v>
      </c>
      <c r="M5" s="1" t="s">
        <v>79</v>
      </c>
      <c r="N5" s="64">
        <v>0.9</v>
      </c>
      <c r="O5" s="21">
        <v>0.25</v>
      </c>
      <c r="P5" s="25">
        <v>0.6</v>
      </c>
      <c r="Q5" s="29">
        <f>ROUND(IF(OR(N5="",P5=""),0,IF(AND(N5=0,P5=0),1,IF(S5="+",P5/N5,N5/P5))),2)</f>
        <v>0.67</v>
      </c>
      <c r="R5" s="30">
        <f t="shared" si="0"/>
        <v>11.725</v>
      </c>
      <c r="S5" s="29" t="s">
        <v>24</v>
      </c>
      <c r="T5" s="29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hidden="1" x14ac:dyDescent="0.2">
      <c r="A6" s="15">
        <v>2074</v>
      </c>
      <c r="B6" s="16" t="s">
        <v>20</v>
      </c>
      <c r="C6" s="17" t="s">
        <v>21</v>
      </c>
      <c r="D6" s="18">
        <v>3926</v>
      </c>
      <c r="E6" s="16" t="s">
        <v>55</v>
      </c>
      <c r="F6" s="19" t="s">
        <v>56</v>
      </c>
      <c r="G6" s="16" t="s">
        <v>57</v>
      </c>
      <c r="H6" s="19" t="s">
        <v>58</v>
      </c>
      <c r="I6" s="27" t="s">
        <v>23</v>
      </c>
      <c r="J6" s="21">
        <v>0.7</v>
      </c>
      <c r="K6" s="1" t="s">
        <v>68</v>
      </c>
      <c r="L6" s="2" t="s">
        <v>69</v>
      </c>
      <c r="M6" s="26" t="s">
        <v>70</v>
      </c>
      <c r="N6" s="21">
        <v>1</v>
      </c>
      <c r="O6" s="21">
        <v>0.15</v>
      </c>
      <c r="P6" s="25">
        <v>0.9</v>
      </c>
      <c r="Q6" s="29">
        <f>ROUND(IF(OR(N6="",P6=""),0,IF(AND(N6=0,P6=0),1,IF(S6="+",P6/N6,N6/P6))),2)</f>
        <v>0.9</v>
      </c>
      <c r="R6" s="30">
        <f t="shared" ref="R6" si="2">IF(AND(Q6&gt;=60%,Q6&lt;100%),Q6*((O6*J6)),IF(Q6=100%,((O6*J6)*Q6)*100%,IF(Q6&gt;100%,((J6*O6)*100%)*100%,0)))*100</f>
        <v>9.4499999999999993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hidden="1" x14ac:dyDescent="0.2">
      <c r="A7" s="15">
        <v>2074</v>
      </c>
      <c r="B7" s="16" t="s">
        <v>20</v>
      </c>
      <c r="C7" s="17" t="s">
        <v>21</v>
      </c>
      <c r="D7" s="18">
        <v>3926</v>
      </c>
      <c r="E7" s="16" t="s">
        <v>55</v>
      </c>
      <c r="F7" s="19" t="s">
        <v>56</v>
      </c>
      <c r="G7" s="16" t="s">
        <v>57</v>
      </c>
      <c r="H7" s="19" t="s">
        <v>58</v>
      </c>
      <c r="I7" s="27" t="s">
        <v>27</v>
      </c>
      <c r="J7" s="74">
        <v>0.3</v>
      </c>
      <c r="K7" s="75" t="s">
        <v>65</v>
      </c>
      <c r="L7" s="76" t="s">
        <v>66</v>
      </c>
      <c r="M7" s="75" t="s">
        <v>67</v>
      </c>
      <c r="N7" s="77">
        <v>1</v>
      </c>
      <c r="O7" s="74">
        <v>0.2</v>
      </c>
      <c r="P7" s="25">
        <v>0.9</v>
      </c>
      <c r="Q7" s="77">
        <f t="shared" si="1"/>
        <v>0.9</v>
      </c>
      <c r="R7" s="78">
        <f t="shared" si="0"/>
        <v>5.4</v>
      </c>
      <c r="S7" s="77" t="s">
        <v>24</v>
      </c>
      <c r="T7" s="77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hidden="1" x14ac:dyDescent="0.2">
      <c r="A8" s="15">
        <v>2074</v>
      </c>
      <c r="B8" s="16" t="s">
        <v>20</v>
      </c>
      <c r="C8" s="17" t="s">
        <v>21</v>
      </c>
      <c r="D8" s="18">
        <v>3926</v>
      </c>
      <c r="E8" s="16" t="s">
        <v>55</v>
      </c>
      <c r="F8" s="19" t="s">
        <v>56</v>
      </c>
      <c r="G8" s="16" t="s">
        <v>57</v>
      </c>
      <c r="H8" s="19" t="s">
        <v>58</v>
      </c>
      <c r="I8" s="27" t="s">
        <v>27</v>
      </c>
      <c r="J8" s="74">
        <v>0.3</v>
      </c>
      <c r="K8" s="75" t="s">
        <v>71</v>
      </c>
      <c r="L8" s="76" t="s">
        <v>72</v>
      </c>
      <c r="M8" s="75" t="s">
        <v>73</v>
      </c>
      <c r="N8" s="77">
        <v>0.95</v>
      </c>
      <c r="O8" s="74">
        <v>0.2</v>
      </c>
      <c r="P8" s="25">
        <v>0.9</v>
      </c>
      <c r="Q8" s="77">
        <f t="shared" ref="Q8:Q10" si="3">ROUND(IF(OR(N8="",P8=""),0,IF(AND(N8=0,P8=0),1,IF(S8="+",P8/N8,N8/P8))),2)</f>
        <v>0.95</v>
      </c>
      <c r="R8" s="78">
        <f t="shared" ref="R8:R10" si="4">IF(AND(Q8&gt;=60%,Q8&lt;100%),Q8*((O8*J8)),IF(Q8=100%,((O8*J8)*Q8)*100%,IF(Q8&gt;100%,((J8*O8)*100%)*100%,0)))*100</f>
        <v>5.6999999999999993</v>
      </c>
      <c r="S8" s="77" t="s">
        <v>24</v>
      </c>
      <c r="T8" s="77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hidden="1" x14ac:dyDescent="0.2">
      <c r="A9" s="15">
        <v>2075</v>
      </c>
      <c r="B9" s="16" t="s">
        <v>20</v>
      </c>
      <c r="C9" s="17" t="s">
        <v>21</v>
      </c>
      <c r="D9" s="18">
        <v>3926</v>
      </c>
      <c r="E9" s="16" t="s">
        <v>55</v>
      </c>
      <c r="F9" s="19" t="s">
        <v>56</v>
      </c>
      <c r="G9" s="16" t="s">
        <v>57</v>
      </c>
      <c r="H9" s="19" t="s">
        <v>58</v>
      </c>
      <c r="I9" s="27" t="s">
        <v>27</v>
      </c>
      <c r="J9" s="74">
        <v>0.3</v>
      </c>
      <c r="K9" s="75" t="s">
        <v>74</v>
      </c>
      <c r="L9" s="76" t="s">
        <v>26</v>
      </c>
      <c r="M9" s="75" t="s">
        <v>75</v>
      </c>
      <c r="N9" s="77">
        <v>1</v>
      </c>
      <c r="O9" s="74">
        <v>0.4</v>
      </c>
      <c r="P9" s="25">
        <v>0.35</v>
      </c>
      <c r="Q9" s="77">
        <f t="shared" si="3"/>
        <v>0.35</v>
      </c>
      <c r="R9" s="78">
        <f t="shared" si="4"/>
        <v>0</v>
      </c>
      <c r="S9" s="77" t="s">
        <v>24</v>
      </c>
      <c r="T9" s="77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hidden="1" x14ac:dyDescent="0.2">
      <c r="A10" s="15">
        <v>2076</v>
      </c>
      <c r="B10" s="16" t="s">
        <v>20</v>
      </c>
      <c r="C10" s="17" t="s">
        <v>21</v>
      </c>
      <c r="D10" s="18">
        <v>3926</v>
      </c>
      <c r="E10" s="16" t="s">
        <v>55</v>
      </c>
      <c r="F10" s="19" t="s">
        <v>56</v>
      </c>
      <c r="G10" s="16" t="s">
        <v>57</v>
      </c>
      <c r="H10" s="19" t="s">
        <v>58</v>
      </c>
      <c r="I10" s="27" t="s">
        <v>27</v>
      </c>
      <c r="J10" s="74">
        <v>0.3</v>
      </c>
      <c r="K10" s="75" t="s">
        <v>50</v>
      </c>
      <c r="L10" s="76" t="s">
        <v>28</v>
      </c>
      <c r="M10" s="75" t="s">
        <v>76</v>
      </c>
      <c r="N10" s="77">
        <v>1</v>
      </c>
      <c r="O10" s="74">
        <v>0.2</v>
      </c>
      <c r="P10" s="74">
        <v>1</v>
      </c>
      <c r="Q10" s="77">
        <f t="shared" si="3"/>
        <v>1</v>
      </c>
      <c r="R10" s="78">
        <f t="shared" si="4"/>
        <v>6</v>
      </c>
      <c r="S10" s="77" t="s">
        <v>24</v>
      </c>
      <c r="T10" s="77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hidden="1" x14ac:dyDescent="0.2">
      <c r="A11" s="15">
        <v>2080</v>
      </c>
      <c r="B11" s="16" t="s">
        <v>20</v>
      </c>
      <c r="C11" s="17" t="s">
        <v>21</v>
      </c>
      <c r="D11" s="18">
        <v>5135</v>
      </c>
      <c r="E11" s="18" t="s">
        <v>80</v>
      </c>
      <c r="F11" s="19" t="s">
        <v>56</v>
      </c>
      <c r="G11" s="16" t="s">
        <v>57</v>
      </c>
      <c r="H11" s="19" t="s">
        <v>58</v>
      </c>
      <c r="I11" s="20" t="s">
        <v>23</v>
      </c>
      <c r="J11" s="21">
        <v>1</v>
      </c>
      <c r="K11" s="26" t="s">
        <v>81</v>
      </c>
      <c r="L11" s="31" t="s">
        <v>82</v>
      </c>
      <c r="M11" s="1" t="s">
        <v>83</v>
      </c>
      <c r="N11" s="21">
        <v>0.98</v>
      </c>
      <c r="O11" s="21">
        <v>0.15</v>
      </c>
      <c r="P11" s="79">
        <v>0.98</v>
      </c>
      <c r="Q11" s="21">
        <f t="shared" ref="Q11" si="5">ROUND(IF(OR(N11="",P11=""),0,IF(AND(N11=0,P11=0),1,IF(S11="+",P11/N11,N11/P11))),2)</f>
        <v>1</v>
      </c>
      <c r="R11" s="22">
        <f t="shared" ref="R11:R71" si="6">IF(AND(Q11&gt;=60%,Q11&lt;100%),Q11*((O11*J11)),IF(Q11=100%,((O11*J11)*Q11)*100%,IF(Q11&gt;100%,((J11*O11)*100%)*100%,0)))*100</f>
        <v>15</v>
      </c>
      <c r="S11" s="21" t="s">
        <v>24</v>
      </c>
      <c r="T11" s="23">
        <f>SUM(R11:R17)%</f>
        <v>0.9345</v>
      </c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hidden="1" x14ac:dyDescent="0.2">
      <c r="A12" s="15">
        <v>2081</v>
      </c>
      <c r="B12" s="16" t="s">
        <v>20</v>
      </c>
      <c r="C12" s="17" t="s">
        <v>21</v>
      </c>
      <c r="D12" s="18">
        <v>5135</v>
      </c>
      <c r="E12" s="18" t="s">
        <v>80</v>
      </c>
      <c r="F12" s="19" t="s">
        <v>56</v>
      </c>
      <c r="G12" s="16" t="s">
        <v>57</v>
      </c>
      <c r="H12" s="19" t="s">
        <v>58</v>
      </c>
      <c r="I12" s="20" t="s">
        <v>23</v>
      </c>
      <c r="J12" s="21">
        <v>1</v>
      </c>
      <c r="K12" s="26" t="s">
        <v>84</v>
      </c>
      <c r="L12" s="31" t="s">
        <v>85</v>
      </c>
      <c r="M12" s="26" t="s">
        <v>86</v>
      </c>
      <c r="N12" s="21">
        <v>1</v>
      </c>
      <c r="O12" s="21">
        <v>0.15</v>
      </c>
      <c r="P12" s="25">
        <v>0.95</v>
      </c>
      <c r="Q12" s="21">
        <f>ROUND(IF(OR(N12="",P12=""),0,IF(AND(N12=0,P12=0),1,IF(S12="+",P12/N12,N12/P12))),2)</f>
        <v>0.95</v>
      </c>
      <c r="R12" s="22">
        <f t="shared" si="6"/>
        <v>14.249999999999998</v>
      </c>
      <c r="S12" s="21" t="s">
        <v>24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hidden="1" x14ac:dyDescent="0.2">
      <c r="A13" s="15">
        <v>2082</v>
      </c>
      <c r="B13" s="16" t="s">
        <v>20</v>
      </c>
      <c r="C13" s="17" t="s">
        <v>21</v>
      </c>
      <c r="D13" s="18">
        <v>5135</v>
      </c>
      <c r="E13" s="18" t="s">
        <v>80</v>
      </c>
      <c r="F13" s="19" t="s">
        <v>56</v>
      </c>
      <c r="G13" s="16" t="s">
        <v>57</v>
      </c>
      <c r="H13" s="19" t="s">
        <v>58</v>
      </c>
      <c r="I13" s="20" t="s">
        <v>23</v>
      </c>
      <c r="J13" s="21">
        <v>1</v>
      </c>
      <c r="K13" s="26" t="s">
        <v>87</v>
      </c>
      <c r="L13" s="31" t="s">
        <v>88</v>
      </c>
      <c r="M13" s="26" t="s">
        <v>89</v>
      </c>
      <c r="N13" s="21">
        <v>1</v>
      </c>
      <c r="O13" s="21">
        <v>0.2</v>
      </c>
      <c r="P13" s="25">
        <v>1</v>
      </c>
      <c r="Q13" s="21">
        <f t="shared" ref="Q13:Q18" si="7">ROUND(IF(OR(N13="",P13=""),0,IF(AND(N13=0,P13=0),1,IF(S13="+",P13/N13,N13/P13))),2)</f>
        <v>1</v>
      </c>
      <c r="R13" s="22">
        <f t="shared" si="6"/>
        <v>20</v>
      </c>
      <c r="S13" s="21" t="s">
        <v>24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hidden="1" x14ac:dyDescent="0.2">
      <c r="A14" s="15">
        <v>2083</v>
      </c>
      <c r="B14" s="16" t="s">
        <v>20</v>
      </c>
      <c r="C14" s="17" t="s">
        <v>21</v>
      </c>
      <c r="D14" s="18">
        <v>5135</v>
      </c>
      <c r="E14" s="18" t="s">
        <v>80</v>
      </c>
      <c r="F14" s="19" t="s">
        <v>56</v>
      </c>
      <c r="G14" s="16" t="s">
        <v>57</v>
      </c>
      <c r="H14" s="19" t="s">
        <v>58</v>
      </c>
      <c r="I14" s="20" t="s">
        <v>23</v>
      </c>
      <c r="J14" s="21">
        <v>1</v>
      </c>
      <c r="K14" s="26" t="s">
        <v>90</v>
      </c>
      <c r="L14" s="31" t="s">
        <v>91</v>
      </c>
      <c r="M14" s="26" t="s">
        <v>92</v>
      </c>
      <c r="N14" s="21">
        <v>0.99</v>
      </c>
      <c r="O14" s="21">
        <v>0.2</v>
      </c>
      <c r="P14" s="66">
        <v>0.8</v>
      </c>
      <c r="Q14" s="21">
        <f t="shared" si="7"/>
        <v>0.81</v>
      </c>
      <c r="R14" s="22">
        <f t="shared" si="6"/>
        <v>16.200000000000003</v>
      </c>
      <c r="S14" s="21" t="s">
        <v>24</v>
      </c>
      <c r="T14" s="21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hidden="1" x14ac:dyDescent="0.2">
      <c r="A15" s="15">
        <v>2084</v>
      </c>
      <c r="B15" s="16" t="s">
        <v>20</v>
      </c>
      <c r="C15" s="17" t="s">
        <v>21</v>
      </c>
      <c r="D15" s="18">
        <v>5135</v>
      </c>
      <c r="E15" s="18" t="s">
        <v>80</v>
      </c>
      <c r="F15" s="19" t="s">
        <v>56</v>
      </c>
      <c r="G15" s="16" t="s">
        <v>57</v>
      </c>
      <c r="H15" s="19" t="s">
        <v>58</v>
      </c>
      <c r="I15" s="20" t="s">
        <v>23</v>
      </c>
      <c r="J15" s="21">
        <v>1</v>
      </c>
      <c r="K15" s="26" t="s">
        <v>93</v>
      </c>
      <c r="L15" s="31" t="s">
        <v>94</v>
      </c>
      <c r="M15" s="26" t="s">
        <v>95</v>
      </c>
      <c r="N15" s="21">
        <v>1</v>
      </c>
      <c r="O15" s="21">
        <v>0.1</v>
      </c>
      <c r="P15" s="66">
        <v>1</v>
      </c>
      <c r="Q15" s="21">
        <f t="shared" si="7"/>
        <v>1</v>
      </c>
      <c r="R15" s="22">
        <f t="shared" si="6"/>
        <v>10</v>
      </c>
      <c r="S15" s="21" t="s">
        <v>24</v>
      </c>
      <c r="T15" s="21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hidden="1" x14ac:dyDescent="0.2">
      <c r="A16" s="15">
        <v>2087</v>
      </c>
      <c r="B16" s="16" t="s">
        <v>20</v>
      </c>
      <c r="C16" s="17" t="s">
        <v>21</v>
      </c>
      <c r="D16" s="18">
        <v>5135</v>
      </c>
      <c r="E16" s="18" t="s">
        <v>80</v>
      </c>
      <c r="F16" s="19" t="s">
        <v>56</v>
      </c>
      <c r="G16" s="16" t="s">
        <v>57</v>
      </c>
      <c r="H16" s="19" t="s">
        <v>58</v>
      </c>
      <c r="I16" s="27" t="s">
        <v>23</v>
      </c>
      <c r="J16" s="21">
        <v>1</v>
      </c>
      <c r="K16" s="26" t="s">
        <v>99</v>
      </c>
      <c r="L16" s="31" t="s">
        <v>100</v>
      </c>
      <c r="M16" s="26" t="s">
        <v>101</v>
      </c>
      <c r="N16" s="21">
        <v>1</v>
      </c>
      <c r="O16" s="21">
        <v>0.1</v>
      </c>
      <c r="P16" s="66">
        <v>1</v>
      </c>
      <c r="Q16" s="21">
        <f t="shared" ref="Q16" si="8">ROUND(IF(OR(N16="",P16=""),0,IF(AND(N16=0,P16=0),1,IF(S16="+",P16/N16,N16/P16))),2)</f>
        <v>1</v>
      </c>
      <c r="R16" s="22">
        <f t="shared" ref="R16" si="9">IF(AND(Q16&gt;=60%,Q16&lt;100%),Q16*((O16*J16)),IF(Q16=100%,((O16*J16)*Q16)*100%,IF(Q16&gt;100%,((J16*O16)*100%)*100%,0)))*100</f>
        <v>10</v>
      </c>
      <c r="S16" s="21" t="s">
        <v>24</v>
      </c>
      <c r="T16" s="21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hidden="1" x14ac:dyDescent="0.2">
      <c r="A17" s="15">
        <v>2085</v>
      </c>
      <c r="B17" s="16" t="s">
        <v>20</v>
      </c>
      <c r="C17" s="17" t="s">
        <v>21</v>
      </c>
      <c r="D17" s="18">
        <v>5135</v>
      </c>
      <c r="E17" s="18" t="s">
        <v>80</v>
      </c>
      <c r="F17" s="19" t="s">
        <v>56</v>
      </c>
      <c r="G17" s="16" t="s">
        <v>57</v>
      </c>
      <c r="H17" s="19" t="s">
        <v>58</v>
      </c>
      <c r="I17" s="27" t="s">
        <v>23</v>
      </c>
      <c r="J17" s="21">
        <v>1</v>
      </c>
      <c r="K17" s="27" t="s">
        <v>96</v>
      </c>
      <c r="L17" s="32" t="s">
        <v>97</v>
      </c>
      <c r="M17" s="27" t="s">
        <v>98</v>
      </c>
      <c r="N17" s="30">
        <v>5</v>
      </c>
      <c r="O17" s="29">
        <v>0.1</v>
      </c>
      <c r="P17" s="80">
        <v>4</v>
      </c>
      <c r="Q17" s="29">
        <f t="shared" si="7"/>
        <v>0.8</v>
      </c>
      <c r="R17" s="30">
        <f t="shared" si="6"/>
        <v>8.0000000000000018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2090</v>
      </c>
      <c r="B18" s="16" t="s">
        <v>20</v>
      </c>
      <c r="C18" s="17" t="s">
        <v>21</v>
      </c>
      <c r="D18" s="18">
        <v>5300</v>
      </c>
      <c r="E18" s="18" t="s">
        <v>102</v>
      </c>
      <c r="F18" s="19" t="s">
        <v>56</v>
      </c>
      <c r="G18" s="16" t="s">
        <v>57</v>
      </c>
      <c r="H18" s="19" t="s">
        <v>58</v>
      </c>
      <c r="I18" s="20" t="s">
        <v>23</v>
      </c>
      <c r="J18" s="21">
        <v>0.7</v>
      </c>
      <c r="K18" s="1" t="s">
        <v>59</v>
      </c>
      <c r="L18" s="2" t="s">
        <v>60</v>
      </c>
      <c r="M18" s="1" t="s">
        <v>61</v>
      </c>
      <c r="N18" s="21">
        <v>0.95</v>
      </c>
      <c r="O18" s="21">
        <v>0.2</v>
      </c>
      <c r="P18" s="21">
        <v>0.95</v>
      </c>
      <c r="Q18" s="21">
        <f t="shared" si="7"/>
        <v>1</v>
      </c>
      <c r="R18" s="22">
        <f t="shared" si="6"/>
        <v>13.999999999999998</v>
      </c>
      <c r="S18" s="21" t="s">
        <v>24</v>
      </c>
      <c r="T18" s="23">
        <f>SUM(R18:R26)%</f>
        <v>0.94600000000000006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2091</v>
      </c>
      <c r="B19" s="16" t="s">
        <v>20</v>
      </c>
      <c r="C19" s="17" t="s">
        <v>21</v>
      </c>
      <c r="D19" s="18">
        <v>5300</v>
      </c>
      <c r="E19" s="18" t="s">
        <v>102</v>
      </c>
      <c r="F19" s="19" t="s">
        <v>56</v>
      </c>
      <c r="G19" s="16" t="s">
        <v>57</v>
      </c>
      <c r="H19" s="19" t="s">
        <v>58</v>
      </c>
      <c r="I19" s="20" t="s">
        <v>23</v>
      </c>
      <c r="J19" s="21">
        <v>0.7</v>
      </c>
      <c r="K19" s="1" t="s">
        <v>62</v>
      </c>
      <c r="L19" s="2" t="s">
        <v>63</v>
      </c>
      <c r="M19" s="1" t="s">
        <v>64</v>
      </c>
      <c r="N19" s="21">
        <v>0.95</v>
      </c>
      <c r="O19" s="21">
        <v>0.2</v>
      </c>
      <c r="P19" s="25">
        <v>0.95</v>
      </c>
      <c r="Q19" s="21">
        <f>ROUND(IF(OR(N19="",P19=""),0,IF(AND(N19=0,P19=0),1,IF(S19="+",P19/N19,N19/P19))),2)</f>
        <v>1</v>
      </c>
      <c r="R19" s="22">
        <f t="shared" si="6"/>
        <v>13.999999999999998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2092</v>
      </c>
      <c r="B20" s="16" t="s">
        <v>20</v>
      </c>
      <c r="C20" s="17" t="s">
        <v>21</v>
      </c>
      <c r="D20" s="18">
        <v>5300</v>
      </c>
      <c r="E20" s="18" t="s">
        <v>102</v>
      </c>
      <c r="F20" s="19" t="s">
        <v>56</v>
      </c>
      <c r="G20" s="16" t="s">
        <v>57</v>
      </c>
      <c r="H20" s="19" t="s">
        <v>58</v>
      </c>
      <c r="I20" s="20" t="s">
        <v>23</v>
      </c>
      <c r="J20" s="21">
        <v>0.7</v>
      </c>
      <c r="K20" s="26" t="s">
        <v>84</v>
      </c>
      <c r="L20" s="31" t="s">
        <v>85</v>
      </c>
      <c r="M20" s="26" t="s">
        <v>86</v>
      </c>
      <c r="N20" s="64">
        <v>1</v>
      </c>
      <c r="O20" s="21">
        <v>0.2</v>
      </c>
      <c r="P20" s="25">
        <v>1</v>
      </c>
      <c r="Q20" s="21">
        <f t="shared" ref="Q20" si="10">ROUND(IF(OR(N20="",P20=""),0,IF(AND(N20=0,P20=0),1,IF(S20="+",P20/N20,N20/P20))),2)</f>
        <v>1</v>
      </c>
      <c r="R20" s="22">
        <f t="shared" si="6"/>
        <v>13.999999999999998</v>
      </c>
      <c r="S20" s="21" t="s">
        <v>24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2093</v>
      </c>
      <c r="B21" s="16" t="s">
        <v>20</v>
      </c>
      <c r="C21" s="17" t="s">
        <v>21</v>
      </c>
      <c r="D21" s="18">
        <v>5300</v>
      </c>
      <c r="E21" s="18" t="s">
        <v>102</v>
      </c>
      <c r="F21" s="19" t="s">
        <v>56</v>
      </c>
      <c r="G21" s="16" t="s">
        <v>57</v>
      </c>
      <c r="H21" s="19" t="s">
        <v>58</v>
      </c>
      <c r="I21" s="27" t="s">
        <v>23</v>
      </c>
      <c r="J21" s="21">
        <v>0.7</v>
      </c>
      <c r="K21" s="1" t="s">
        <v>77</v>
      </c>
      <c r="L21" s="2" t="s">
        <v>78</v>
      </c>
      <c r="M21" s="1" t="s">
        <v>79</v>
      </c>
      <c r="N21" s="64">
        <v>0.9</v>
      </c>
      <c r="O21" s="21">
        <v>0.25</v>
      </c>
      <c r="P21" s="25">
        <v>0.9</v>
      </c>
      <c r="Q21" s="29">
        <f>ROUND(IF(OR(N21="",P21=""),0,IF(AND(N21=0,P21=0),1,IF(S21="+",P21/N21,N21/P21))),2)</f>
        <v>1</v>
      </c>
      <c r="R21" s="30">
        <f t="shared" si="6"/>
        <v>17.5</v>
      </c>
      <c r="S21" s="29" t="s">
        <v>24</v>
      </c>
      <c r="T21" s="29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2094</v>
      </c>
      <c r="B22" s="16" t="s">
        <v>20</v>
      </c>
      <c r="C22" s="17" t="s">
        <v>21</v>
      </c>
      <c r="D22" s="18">
        <v>5300</v>
      </c>
      <c r="E22" s="18" t="s">
        <v>102</v>
      </c>
      <c r="F22" s="19" t="s">
        <v>56</v>
      </c>
      <c r="G22" s="16" t="s">
        <v>57</v>
      </c>
      <c r="H22" s="19" t="s">
        <v>58</v>
      </c>
      <c r="I22" s="27" t="s">
        <v>23</v>
      </c>
      <c r="J22" s="21">
        <v>0.7</v>
      </c>
      <c r="K22" s="1" t="s">
        <v>68</v>
      </c>
      <c r="L22" s="2" t="s">
        <v>69</v>
      </c>
      <c r="M22" s="26" t="s">
        <v>70</v>
      </c>
      <c r="N22" s="21">
        <v>1</v>
      </c>
      <c r="O22" s="21">
        <v>0.15</v>
      </c>
      <c r="P22" s="25">
        <v>1</v>
      </c>
      <c r="Q22" s="29">
        <f>ROUND(IF(OR(N22="",P22=""),0,IF(AND(N22=0,P22=0),1,IF(S22="+",P22/N22,N22/P22))),2)</f>
        <v>1</v>
      </c>
      <c r="R22" s="30">
        <f t="shared" si="6"/>
        <v>10.5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2095</v>
      </c>
      <c r="B23" s="16" t="s">
        <v>20</v>
      </c>
      <c r="C23" s="17" t="s">
        <v>21</v>
      </c>
      <c r="D23" s="18">
        <v>5300</v>
      </c>
      <c r="E23" s="18" t="s">
        <v>102</v>
      </c>
      <c r="F23" s="19" t="s">
        <v>56</v>
      </c>
      <c r="G23" s="16" t="s">
        <v>57</v>
      </c>
      <c r="H23" s="19" t="s">
        <v>58</v>
      </c>
      <c r="I23" s="27" t="s">
        <v>27</v>
      </c>
      <c r="J23" s="74">
        <v>0.3</v>
      </c>
      <c r="K23" s="75" t="s">
        <v>65</v>
      </c>
      <c r="L23" s="76" t="s">
        <v>66</v>
      </c>
      <c r="M23" s="75" t="s">
        <v>67</v>
      </c>
      <c r="N23" s="77">
        <v>1</v>
      </c>
      <c r="O23" s="74">
        <v>0.2</v>
      </c>
      <c r="P23" s="74">
        <v>0.9</v>
      </c>
      <c r="Q23" s="77">
        <f t="shared" ref="Q23:Q27" si="11">ROUND(IF(OR(N23="",P23=""),0,IF(AND(N23=0,P23=0),1,IF(S23="+",P23/N23,N23/P23))),2)</f>
        <v>0.9</v>
      </c>
      <c r="R23" s="78">
        <f t="shared" si="6"/>
        <v>5.4</v>
      </c>
      <c r="S23" s="77" t="s">
        <v>24</v>
      </c>
      <c r="T23" s="77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2096</v>
      </c>
      <c r="B24" s="16" t="s">
        <v>20</v>
      </c>
      <c r="C24" s="17" t="s">
        <v>21</v>
      </c>
      <c r="D24" s="18">
        <v>5300</v>
      </c>
      <c r="E24" s="18" t="s">
        <v>102</v>
      </c>
      <c r="F24" s="19" t="s">
        <v>56</v>
      </c>
      <c r="G24" s="16" t="s">
        <v>57</v>
      </c>
      <c r="H24" s="19" t="s">
        <v>58</v>
      </c>
      <c r="I24" s="27" t="s">
        <v>27</v>
      </c>
      <c r="J24" s="74">
        <v>0.3</v>
      </c>
      <c r="K24" s="75" t="s">
        <v>71</v>
      </c>
      <c r="L24" s="76" t="s">
        <v>72</v>
      </c>
      <c r="M24" s="75" t="s">
        <v>73</v>
      </c>
      <c r="N24" s="77">
        <v>0.95</v>
      </c>
      <c r="O24" s="74">
        <v>0.2</v>
      </c>
      <c r="P24" s="74">
        <v>0.95</v>
      </c>
      <c r="Q24" s="77">
        <f t="shared" si="11"/>
        <v>1</v>
      </c>
      <c r="R24" s="78">
        <f t="shared" si="6"/>
        <v>6</v>
      </c>
      <c r="S24" s="77" t="s">
        <v>24</v>
      </c>
      <c r="T24" s="77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2097</v>
      </c>
      <c r="B25" s="16" t="s">
        <v>20</v>
      </c>
      <c r="C25" s="17" t="s">
        <v>21</v>
      </c>
      <c r="D25" s="18">
        <v>5300</v>
      </c>
      <c r="E25" s="18" t="s">
        <v>102</v>
      </c>
      <c r="F25" s="19" t="s">
        <v>56</v>
      </c>
      <c r="G25" s="16" t="s">
        <v>57</v>
      </c>
      <c r="H25" s="19" t="s">
        <v>58</v>
      </c>
      <c r="I25" s="27" t="s">
        <v>27</v>
      </c>
      <c r="J25" s="74">
        <v>0.3</v>
      </c>
      <c r="K25" s="75" t="s">
        <v>74</v>
      </c>
      <c r="L25" s="76" t="s">
        <v>26</v>
      </c>
      <c r="M25" s="75" t="s">
        <v>75</v>
      </c>
      <c r="N25" s="77">
        <v>1</v>
      </c>
      <c r="O25" s="74">
        <v>0.4</v>
      </c>
      <c r="P25" s="74">
        <v>0.6</v>
      </c>
      <c r="Q25" s="77">
        <f t="shared" si="11"/>
        <v>0.6</v>
      </c>
      <c r="R25" s="78">
        <f t="shared" si="6"/>
        <v>7.1999999999999993</v>
      </c>
      <c r="S25" s="77" t="s">
        <v>24</v>
      </c>
      <c r="T25" s="77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2098</v>
      </c>
      <c r="B26" s="16" t="s">
        <v>20</v>
      </c>
      <c r="C26" s="17" t="s">
        <v>21</v>
      </c>
      <c r="D26" s="18">
        <v>5300</v>
      </c>
      <c r="E26" s="18" t="s">
        <v>102</v>
      </c>
      <c r="F26" s="19" t="s">
        <v>56</v>
      </c>
      <c r="G26" s="16" t="s">
        <v>57</v>
      </c>
      <c r="H26" s="19" t="s">
        <v>58</v>
      </c>
      <c r="I26" s="27" t="s">
        <v>27</v>
      </c>
      <c r="J26" s="74">
        <v>0.3</v>
      </c>
      <c r="K26" s="75" t="s">
        <v>50</v>
      </c>
      <c r="L26" s="76" t="s">
        <v>28</v>
      </c>
      <c r="M26" s="75" t="s">
        <v>76</v>
      </c>
      <c r="N26" s="77">
        <v>1</v>
      </c>
      <c r="O26" s="74">
        <v>0.2</v>
      </c>
      <c r="P26" s="74">
        <v>1</v>
      </c>
      <c r="Q26" s="77">
        <f t="shared" si="11"/>
        <v>1</v>
      </c>
      <c r="R26" s="78">
        <f t="shared" si="6"/>
        <v>6</v>
      </c>
      <c r="S26" s="77" t="s">
        <v>24</v>
      </c>
      <c r="T26" s="77"/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hidden="1" x14ac:dyDescent="0.2">
      <c r="A27" s="15">
        <v>2100</v>
      </c>
      <c r="B27" s="16" t="s">
        <v>20</v>
      </c>
      <c r="C27" s="17" t="s">
        <v>21</v>
      </c>
      <c r="D27" s="18">
        <v>5814</v>
      </c>
      <c r="E27" s="18" t="s">
        <v>103</v>
      </c>
      <c r="F27" s="19" t="s">
        <v>56</v>
      </c>
      <c r="G27" s="16" t="s">
        <v>57</v>
      </c>
      <c r="H27" s="19" t="s">
        <v>58</v>
      </c>
      <c r="I27" s="20" t="s">
        <v>23</v>
      </c>
      <c r="J27" s="21">
        <v>0.7</v>
      </c>
      <c r="K27" s="1" t="s">
        <v>59</v>
      </c>
      <c r="L27" s="2" t="s">
        <v>60</v>
      </c>
      <c r="M27" s="1" t="s">
        <v>61</v>
      </c>
      <c r="N27" s="21">
        <v>0.95</v>
      </c>
      <c r="O27" s="21">
        <v>0.2</v>
      </c>
      <c r="P27" s="21">
        <v>0.95</v>
      </c>
      <c r="Q27" s="21">
        <f t="shared" si="11"/>
        <v>1</v>
      </c>
      <c r="R27" s="22">
        <f t="shared" si="6"/>
        <v>13.999999999999998</v>
      </c>
      <c r="S27" s="21" t="s">
        <v>24</v>
      </c>
      <c r="T27" s="23">
        <f>SUM(R27:R35)%</f>
        <v>0.93649999999999989</v>
      </c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hidden="1" x14ac:dyDescent="0.2">
      <c r="A28" s="15">
        <v>2101</v>
      </c>
      <c r="B28" s="16" t="s">
        <v>20</v>
      </c>
      <c r="C28" s="17" t="s">
        <v>21</v>
      </c>
      <c r="D28" s="18">
        <v>5814</v>
      </c>
      <c r="E28" s="18" t="s">
        <v>103</v>
      </c>
      <c r="F28" s="19" t="s">
        <v>56</v>
      </c>
      <c r="G28" s="16" t="s">
        <v>57</v>
      </c>
      <c r="H28" s="19" t="s">
        <v>58</v>
      </c>
      <c r="I28" s="20" t="s">
        <v>23</v>
      </c>
      <c r="J28" s="21">
        <v>0.7</v>
      </c>
      <c r="K28" s="1" t="s">
        <v>62</v>
      </c>
      <c r="L28" s="2" t="s">
        <v>63</v>
      </c>
      <c r="M28" s="1" t="s">
        <v>64</v>
      </c>
      <c r="N28" s="21">
        <v>0.95</v>
      </c>
      <c r="O28" s="21">
        <v>0.2</v>
      </c>
      <c r="P28" s="25">
        <v>0.9</v>
      </c>
      <c r="Q28" s="21">
        <f>ROUND(IF(OR(N28="",P28=""),0,IF(AND(N28=0,P28=0),1,IF(S28="+",P28/N28,N28/P28))),2)</f>
        <v>0.95</v>
      </c>
      <c r="R28" s="22">
        <f t="shared" si="6"/>
        <v>13.299999999999997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hidden="1" x14ac:dyDescent="0.2">
      <c r="A29" s="15">
        <v>2102</v>
      </c>
      <c r="B29" s="16" t="s">
        <v>20</v>
      </c>
      <c r="C29" s="17" t="s">
        <v>21</v>
      </c>
      <c r="D29" s="18">
        <v>5814</v>
      </c>
      <c r="E29" s="18" t="s">
        <v>103</v>
      </c>
      <c r="F29" s="19" t="s">
        <v>56</v>
      </c>
      <c r="G29" s="16" t="s">
        <v>57</v>
      </c>
      <c r="H29" s="19" t="s">
        <v>58</v>
      </c>
      <c r="I29" s="20" t="s">
        <v>23</v>
      </c>
      <c r="J29" s="21">
        <v>0.7</v>
      </c>
      <c r="K29" s="26" t="s">
        <v>84</v>
      </c>
      <c r="L29" s="31" t="s">
        <v>85</v>
      </c>
      <c r="M29" s="26" t="s">
        <v>86</v>
      </c>
      <c r="N29" s="64">
        <v>1</v>
      </c>
      <c r="O29" s="21">
        <v>0.2</v>
      </c>
      <c r="P29" s="25">
        <v>1</v>
      </c>
      <c r="Q29" s="21">
        <f t="shared" ref="Q29" si="12">ROUND(IF(OR(N29="",P29=""),0,IF(AND(N29=0,P29=0),1,IF(S29="+",P29/N29,N29/P29))),2)</f>
        <v>1</v>
      </c>
      <c r="R29" s="22">
        <f t="shared" si="6"/>
        <v>13.999999999999998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hidden="1" x14ac:dyDescent="0.2">
      <c r="A30" s="15">
        <v>2103</v>
      </c>
      <c r="B30" s="16" t="s">
        <v>20</v>
      </c>
      <c r="C30" s="17" t="s">
        <v>21</v>
      </c>
      <c r="D30" s="18">
        <v>5814</v>
      </c>
      <c r="E30" s="18" t="s">
        <v>103</v>
      </c>
      <c r="F30" s="19" t="s">
        <v>56</v>
      </c>
      <c r="G30" s="16" t="s">
        <v>57</v>
      </c>
      <c r="H30" s="19" t="s">
        <v>58</v>
      </c>
      <c r="I30" s="27" t="s">
        <v>23</v>
      </c>
      <c r="J30" s="21">
        <v>0.7</v>
      </c>
      <c r="K30" s="1" t="s">
        <v>77</v>
      </c>
      <c r="L30" s="2" t="s">
        <v>78</v>
      </c>
      <c r="M30" s="1" t="s">
        <v>79</v>
      </c>
      <c r="N30" s="64">
        <v>0.9</v>
      </c>
      <c r="O30" s="21">
        <v>0.25</v>
      </c>
      <c r="P30" s="25">
        <v>0.7</v>
      </c>
      <c r="Q30" s="29">
        <f>ROUND(IF(OR(N30="",P30=""),0,IF(AND(N30=0,P30=0),1,IF(S30="+",P30/N30,N30/P30))),2)</f>
        <v>0.78</v>
      </c>
      <c r="R30" s="30">
        <f t="shared" si="6"/>
        <v>13.649999999999999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hidden="1" x14ac:dyDescent="0.2">
      <c r="A31" s="15">
        <v>2104</v>
      </c>
      <c r="B31" s="16" t="s">
        <v>20</v>
      </c>
      <c r="C31" s="17" t="s">
        <v>21</v>
      </c>
      <c r="D31" s="18">
        <v>5814</v>
      </c>
      <c r="E31" s="18" t="s">
        <v>103</v>
      </c>
      <c r="F31" s="19" t="s">
        <v>56</v>
      </c>
      <c r="G31" s="16" t="s">
        <v>57</v>
      </c>
      <c r="H31" s="19" t="s">
        <v>58</v>
      </c>
      <c r="I31" s="27" t="s">
        <v>23</v>
      </c>
      <c r="J31" s="21">
        <v>0.7</v>
      </c>
      <c r="K31" s="1" t="s">
        <v>68</v>
      </c>
      <c r="L31" s="2" t="s">
        <v>69</v>
      </c>
      <c r="M31" s="26" t="s">
        <v>70</v>
      </c>
      <c r="N31" s="21">
        <v>1</v>
      </c>
      <c r="O31" s="21">
        <v>0.15</v>
      </c>
      <c r="P31" s="25">
        <v>1</v>
      </c>
      <c r="Q31" s="29">
        <f>ROUND(IF(OR(N31="",P31=""),0,IF(AND(N31=0,P31=0),1,IF(S31="+",P31/N31,N31/P31))),2)</f>
        <v>1</v>
      </c>
      <c r="R31" s="30">
        <f t="shared" si="6"/>
        <v>10.5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hidden="1" x14ac:dyDescent="0.2">
      <c r="A32" s="15">
        <v>2104</v>
      </c>
      <c r="B32" s="16" t="s">
        <v>20</v>
      </c>
      <c r="C32" s="17" t="s">
        <v>21</v>
      </c>
      <c r="D32" s="18">
        <v>5814</v>
      </c>
      <c r="E32" s="18" t="s">
        <v>103</v>
      </c>
      <c r="F32" s="19" t="s">
        <v>56</v>
      </c>
      <c r="G32" s="16" t="s">
        <v>57</v>
      </c>
      <c r="H32" s="19" t="s">
        <v>58</v>
      </c>
      <c r="I32" s="27" t="s">
        <v>27</v>
      </c>
      <c r="J32" s="74">
        <v>0.3</v>
      </c>
      <c r="K32" s="75" t="s">
        <v>65</v>
      </c>
      <c r="L32" s="76" t="s">
        <v>66</v>
      </c>
      <c r="M32" s="75" t="s">
        <v>67</v>
      </c>
      <c r="N32" s="77">
        <v>1</v>
      </c>
      <c r="O32" s="74">
        <v>0.2</v>
      </c>
      <c r="P32" s="25">
        <v>1</v>
      </c>
      <c r="Q32" s="77">
        <f t="shared" ref="Q32:Q36" si="13">ROUND(IF(OR(N32="",P32=""),0,IF(AND(N32=0,P32=0),1,IF(S32="+",P32/N32,N32/P32))),2)</f>
        <v>1</v>
      </c>
      <c r="R32" s="78">
        <f t="shared" si="6"/>
        <v>6</v>
      </c>
      <c r="S32" s="77" t="s">
        <v>24</v>
      </c>
      <c r="T32" s="77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hidden="1" x14ac:dyDescent="0.2">
      <c r="A33" s="15">
        <v>2104</v>
      </c>
      <c r="B33" s="16" t="s">
        <v>20</v>
      </c>
      <c r="C33" s="17" t="s">
        <v>21</v>
      </c>
      <c r="D33" s="18">
        <v>5814</v>
      </c>
      <c r="E33" s="18" t="s">
        <v>103</v>
      </c>
      <c r="F33" s="19" t="s">
        <v>56</v>
      </c>
      <c r="G33" s="16" t="s">
        <v>57</v>
      </c>
      <c r="H33" s="19" t="s">
        <v>58</v>
      </c>
      <c r="I33" s="27" t="s">
        <v>27</v>
      </c>
      <c r="J33" s="74">
        <v>0.3</v>
      </c>
      <c r="K33" s="75" t="s">
        <v>71</v>
      </c>
      <c r="L33" s="76" t="s">
        <v>72</v>
      </c>
      <c r="M33" s="75" t="s">
        <v>73</v>
      </c>
      <c r="N33" s="77">
        <v>0.95</v>
      </c>
      <c r="O33" s="74">
        <v>0.2</v>
      </c>
      <c r="P33" s="25">
        <v>0.95</v>
      </c>
      <c r="Q33" s="77">
        <f t="shared" si="13"/>
        <v>1</v>
      </c>
      <c r="R33" s="78">
        <f t="shared" si="6"/>
        <v>6</v>
      </c>
      <c r="S33" s="77" t="s">
        <v>24</v>
      </c>
      <c r="T33" s="77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hidden="1" x14ac:dyDescent="0.2">
      <c r="A34" s="15">
        <v>2104</v>
      </c>
      <c r="B34" s="16" t="s">
        <v>20</v>
      </c>
      <c r="C34" s="17" t="s">
        <v>21</v>
      </c>
      <c r="D34" s="18">
        <v>5814</v>
      </c>
      <c r="E34" s="18" t="s">
        <v>103</v>
      </c>
      <c r="F34" s="19" t="s">
        <v>56</v>
      </c>
      <c r="G34" s="16" t="s">
        <v>57</v>
      </c>
      <c r="H34" s="19" t="s">
        <v>58</v>
      </c>
      <c r="I34" s="27" t="s">
        <v>27</v>
      </c>
      <c r="J34" s="74">
        <v>0.3</v>
      </c>
      <c r="K34" s="75" t="s">
        <v>74</v>
      </c>
      <c r="L34" s="76" t="s">
        <v>26</v>
      </c>
      <c r="M34" s="75" t="s">
        <v>75</v>
      </c>
      <c r="N34" s="77">
        <v>1</v>
      </c>
      <c r="O34" s="74">
        <v>0.4</v>
      </c>
      <c r="P34" s="25">
        <v>0.85</v>
      </c>
      <c r="Q34" s="77">
        <f t="shared" si="13"/>
        <v>0.85</v>
      </c>
      <c r="R34" s="78">
        <f t="shared" si="6"/>
        <v>10.199999999999999</v>
      </c>
      <c r="S34" s="77" t="s">
        <v>24</v>
      </c>
      <c r="T34" s="77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hidden="1" x14ac:dyDescent="0.2">
      <c r="A35" s="15">
        <v>2104</v>
      </c>
      <c r="B35" s="16" t="s">
        <v>20</v>
      </c>
      <c r="C35" s="17" t="s">
        <v>21</v>
      </c>
      <c r="D35" s="18">
        <v>5814</v>
      </c>
      <c r="E35" s="18" t="s">
        <v>103</v>
      </c>
      <c r="F35" s="19" t="s">
        <v>56</v>
      </c>
      <c r="G35" s="16" t="s">
        <v>57</v>
      </c>
      <c r="H35" s="19" t="s">
        <v>58</v>
      </c>
      <c r="I35" s="27" t="s">
        <v>27</v>
      </c>
      <c r="J35" s="74">
        <v>0.3</v>
      </c>
      <c r="K35" s="75" t="s">
        <v>50</v>
      </c>
      <c r="L35" s="76" t="s">
        <v>28</v>
      </c>
      <c r="M35" s="75" t="s">
        <v>76</v>
      </c>
      <c r="N35" s="77">
        <v>1</v>
      </c>
      <c r="O35" s="74">
        <v>0.2</v>
      </c>
      <c r="P35" s="74">
        <v>1</v>
      </c>
      <c r="Q35" s="77">
        <f t="shared" si="13"/>
        <v>1</v>
      </c>
      <c r="R35" s="78">
        <f t="shared" si="6"/>
        <v>6</v>
      </c>
      <c r="S35" s="77" t="s">
        <v>24</v>
      </c>
      <c r="T35" s="77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hidden="1" x14ac:dyDescent="0.2">
      <c r="A36" s="15">
        <v>2110</v>
      </c>
      <c r="B36" s="16" t="s">
        <v>20</v>
      </c>
      <c r="C36" s="17" t="s">
        <v>21</v>
      </c>
      <c r="D36" s="18">
        <v>6150</v>
      </c>
      <c r="E36" s="18" t="s">
        <v>104</v>
      </c>
      <c r="F36" s="19" t="s">
        <v>56</v>
      </c>
      <c r="G36" s="16" t="s">
        <v>57</v>
      </c>
      <c r="H36" s="19" t="s">
        <v>58</v>
      </c>
      <c r="I36" s="20" t="s">
        <v>23</v>
      </c>
      <c r="J36" s="21">
        <v>0.7</v>
      </c>
      <c r="K36" s="1" t="s">
        <v>59</v>
      </c>
      <c r="L36" s="2" t="s">
        <v>60</v>
      </c>
      <c r="M36" s="1" t="s">
        <v>61</v>
      </c>
      <c r="N36" s="21">
        <v>0.95</v>
      </c>
      <c r="O36" s="21">
        <v>0.2</v>
      </c>
      <c r="P36" s="21">
        <v>0.95</v>
      </c>
      <c r="Q36" s="21">
        <f t="shared" si="13"/>
        <v>1</v>
      </c>
      <c r="R36" s="22">
        <f t="shared" si="6"/>
        <v>13.999999999999998</v>
      </c>
      <c r="S36" s="21" t="s">
        <v>24</v>
      </c>
      <c r="T36" s="23">
        <f>SUM(R36:R44)%</f>
        <v>0.81174999999999986</v>
      </c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hidden="1" x14ac:dyDescent="0.2">
      <c r="A37" s="15">
        <v>2111</v>
      </c>
      <c r="B37" s="16" t="s">
        <v>20</v>
      </c>
      <c r="C37" s="17" t="s">
        <v>21</v>
      </c>
      <c r="D37" s="18">
        <v>6150</v>
      </c>
      <c r="E37" s="18" t="s">
        <v>104</v>
      </c>
      <c r="F37" s="19" t="s">
        <v>56</v>
      </c>
      <c r="G37" s="16" t="s">
        <v>57</v>
      </c>
      <c r="H37" s="19" t="s">
        <v>58</v>
      </c>
      <c r="I37" s="20" t="s">
        <v>23</v>
      </c>
      <c r="J37" s="21">
        <v>0.7</v>
      </c>
      <c r="K37" s="1" t="s">
        <v>62</v>
      </c>
      <c r="L37" s="2" t="s">
        <v>63</v>
      </c>
      <c r="M37" s="1" t="s">
        <v>64</v>
      </c>
      <c r="N37" s="21">
        <v>0.95</v>
      </c>
      <c r="O37" s="21">
        <v>0.2</v>
      </c>
      <c r="P37" s="21">
        <v>0.95</v>
      </c>
      <c r="Q37" s="21">
        <f>ROUND(IF(OR(N37="",P37=""),0,IF(AND(N37=0,P37=0),1,IF(S37="+",P37/N37,N37/P37))),2)</f>
        <v>1</v>
      </c>
      <c r="R37" s="22">
        <f t="shared" si="6"/>
        <v>13.999999999999998</v>
      </c>
      <c r="S37" s="21" t="s">
        <v>24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hidden="1" x14ac:dyDescent="0.2">
      <c r="A38" s="15">
        <v>2112</v>
      </c>
      <c r="B38" s="16" t="s">
        <v>20</v>
      </c>
      <c r="C38" s="17" t="s">
        <v>21</v>
      </c>
      <c r="D38" s="18">
        <v>6150</v>
      </c>
      <c r="E38" s="18" t="s">
        <v>104</v>
      </c>
      <c r="F38" s="19" t="s">
        <v>56</v>
      </c>
      <c r="G38" s="16" t="s">
        <v>57</v>
      </c>
      <c r="H38" s="19" t="s">
        <v>58</v>
      </c>
      <c r="I38" s="20" t="s">
        <v>23</v>
      </c>
      <c r="J38" s="21">
        <v>0.7</v>
      </c>
      <c r="K38" s="26" t="s">
        <v>84</v>
      </c>
      <c r="L38" s="31" t="s">
        <v>85</v>
      </c>
      <c r="M38" s="26" t="s">
        <v>86</v>
      </c>
      <c r="N38" s="64">
        <v>1</v>
      </c>
      <c r="O38" s="21">
        <v>0.2</v>
      </c>
      <c r="P38" s="21">
        <v>1</v>
      </c>
      <c r="Q38" s="21">
        <f t="shared" ref="Q38:Q40" si="14">ROUND(IF(OR(N38="",P38=""),0,IF(AND(N38=0,P38=0),1,IF(S38="+",P38/N38,N38/P38))),2)</f>
        <v>1</v>
      </c>
      <c r="R38" s="22">
        <f t="shared" si="6"/>
        <v>13.999999999999998</v>
      </c>
      <c r="S38" s="21" t="s">
        <v>24</v>
      </c>
      <c r="T38" s="21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hidden="1" x14ac:dyDescent="0.2">
      <c r="A39" s="15">
        <v>2113</v>
      </c>
      <c r="B39" s="16" t="s">
        <v>20</v>
      </c>
      <c r="C39" s="17" t="s">
        <v>21</v>
      </c>
      <c r="D39" s="18">
        <v>6150</v>
      </c>
      <c r="E39" s="18" t="s">
        <v>104</v>
      </c>
      <c r="F39" s="19" t="s">
        <v>56</v>
      </c>
      <c r="G39" s="16" t="s">
        <v>57</v>
      </c>
      <c r="H39" s="19" t="s">
        <v>58</v>
      </c>
      <c r="I39" s="27" t="s">
        <v>23</v>
      </c>
      <c r="J39" s="21">
        <v>0.7</v>
      </c>
      <c r="K39" s="1" t="s">
        <v>77</v>
      </c>
      <c r="L39" s="2" t="s">
        <v>78</v>
      </c>
      <c r="M39" s="1" t="s">
        <v>79</v>
      </c>
      <c r="N39" s="64">
        <v>0.9</v>
      </c>
      <c r="O39" s="21">
        <v>0.25</v>
      </c>
      <c r="P39" s="21">
        <v>0.55000000000000004</v>
      </c>
      <c r="Q39" s="21">
        <f t="shared" si="14"/>
        <v>0.61</v>
      </c>
      <c r="R39" s="30">
        <f t="shared" si="6"/>
        <v>10.674999999999999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hidden="1" x14ac:dyDescent="0.2">
      <c r="A40" s="15">
        <v>2114</v>
      </c>
      <c r="B40" s="16" t="s">
        <v>20</v>
      </c>
      <c r="C40" s="17" t="s">
        <v>21</v>
      </c>
      <c r="D40" s="18">
        <v>6150</v>
      </c>
      <c r="E40" s="18" t="s">
        <v>104</v>
      </c>
      <c r="F40" s="19" t="s">
        <v>56</v>
      </c>
      <c r="G40" s="16" t="s">
        <v>57</v>
      </c>
      <c r="H40" s="19" t="s">
        <v>58</v>
      </c>
      <c r="I40" s="27" t="s">
        <v>23</v>
      </c>
      <c r="J40" s="21">
        <v>0.7</v>
      </c>
      <c r="K40" s="1" t="s">
        <v>68</v>
      </c>
      <c r="L40" s="2" t="s">
        <v>69</v>
      </c>
      <c r="M40" s="26" t="s">
        <v>70</v>
      </c>
      <c r="N40" s="21">
        <v>1</v>
      </c>
      <c r="O40" s="21">
        <v>0.15</v>
      </c>
      <c r="P40" s="21">
        <v>1</v>
      </c>
      <c r="Q40" s="21">
        <f t="shared" si="14"/>
        <v>1</v>
      </c>
      <c r="R40" s="30">
        <f t="shared" si="6"/>
        <v>10.5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hidden="1" x14ac:dyDescent="0.2">
      <c r="A41" s="15">
        <v>2114</v>
      </c>
      <c r="B41" s="16" t="s">
        <v>20</v>
      </c>
      <c r="C41" s="17" t="s">
        <v>21</v>
      </c>
      <c r="D41" s="18">
        <v>6150</v>
      </c>
      <c r="E41" s="18" t="s">
        <v>104</v>
      </c>
      <c r="F41" s="19" t="s">
        <v>56</v>
      </c>
      <c r="G41" s="16" t="s">
        <v>57</v>
      </c>
      <c r="H41" s="19" t="s">
        <v>58</v>
      </c>
      <c r="I41" s="27" t="s">
        <v>27</v>
      </c>
      <c r="J41" s="74">
        <v>0.3</v>
      </c>
      <c r="K41" s="75" t="s">
        <v>65</v>
      </c>
      <c r="L41" s="76" t="s">
        <v>66</v>
      </c>
      <c r="M41" s="75" t="s">
        <v>67</v>
      </c>
      <c r="N41" s="77">
        <v>1</v>
      </c>
      <c r="O41" s="74">
        <v>0.2</v>
      </c>
      <c r="P41" s="74">
        <v>1</v>
      </c>
      <c r="Q41" s="77">
        <f t="shared" ref="Q41:Q45" si="15">ROUND(IF(OR(N41="",P41=""),0,IF(AND(N41=0,P41=0),1,IF(S41="+",P41/N41,N41/P41))),2)</f>
        <v>1</v>
      </c>
      <c r="R41" s="78">
        <f t="shared" si="6"/>
        <v>6</v>
      </c>
      <c r="S41" s="77" t="s">
        <v>24</v>
      </c>
      <c r="T41" s="77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hidden="1" x14ac:dyDescent="0.2">
      <c r="A42" s="15">
        <v>2114</v>
      </c>
      <c r="B42" s="16" t="s">
        <v>20</v>
      </c>
      <c r="C42" s="17" t="s">
        <v>21</v>
      </c>
      <c r="D42" s="18">
        <v>6150</v>
      </c>
      <c r="E42" s="18" t="s">
        <v>104</v>
      </c>
      <c r="F42" s="19" t="s">
        <v>56</v>
      </c>
      <c r="G42" s="16" t="s">
        <v>57</v>
      </c>
      <c r="H42" s="19" t="s">
        <v>58</v>
      </c>
      <c r="I42" s="27" t="s">
        <v>27</v>
      </c>
      <c r="J42" s="74">
        <v>0.3</v>
      </c>
      <c r="K42" s="75" t="s">
        <v>71</v>
      </c>
      <c r="L42" s="76" t="s">
        <v>72</v>
      </c>
      <c r="M42" s="75" t="s">
        <v>73</v>
      </c>
      <c r="N42" s="77">
        <v>0.95</v>
      </c>
      <c r="O42" s="74">
        <v>0.2</v>
      </c>
      <c r="P42" s="74">
        <v>0.95</v>
      </c>
      <c r="Q42" s="77">
        <f t="shared" si="15"/>
        <v>1</v>
      </c>
      <c r="R42" s="78">
        <f t="shared" si="6"/>
        <v>6</v>
      </c>
      <c r="S42" s="77" t="s">
        <v>24</v>
      </c>
      <c r="T42" s="77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hidden="1" x14ac:dyDescent="0.2">
      <c r="A43" s="15">
        <v>2114</v>
      </c>
      <c r="B43" s="16" t="s">
        <v>20</v>
      </c>
      <c r="C43" s="17" t="s">
        <v>21</v>
      </c>
      <c r="D43" s="18">
        <v>6150</v>
      </c>
      <c r="E43" s="18" t="s">
        <v>104</v>
      </c>
      <c r="F43" s="19" t="s">
        <v>56</v>
      </c>
      <c r="G43" s="16" t="s">
        <v>57</v>
      </c>
      <c r="H43" s="19" t="s">
        <v>58</v>
      </c>
      <c r="I43" s="27" t="s">
        <v>27</v>
      </c>
      <c r="J43" s="74">
        <v>0.3</v>
      </c>
      <c r="K43" s="75" t="s">
        <v>74</v>
      </c>
      <c r="L43" s="76" t="s">
        <v>26</v>
      </c>
      <c r="M43" s="75" t="s">
        <v>75</v>
      </c>
      <c r="N43" s="77">
        <v>1</v>
      </c>
      <c r="O43" s="74">
        <v>0.4</v>
      </c>
      <c r="P43" s="74">
        <v>0.55000000000000004</v>
      </c>
      <c r="Q43" s="77">
        <f t="shared" si="15"/>
        <v>0.55000000000000004</v>
      </c>
      <c r="R43" s="78">
        <f t="shared" si="6"/>
        <v>0</v>
      </c>
      <c r="S43" s="77" t="s">
        <v>24</v>
      </c>
      <c r="T43" s="77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hidden="1" x14ac:dyDescent="0.2">
      <c r="A44" s="15">
        <v>2114</v>
      </c>
      <c r="B44" s="16" t="s">
        <v>20</v>
      </c>
      <c r="C44" s="17" t="s">
        <v>21</v>
      </c>
      <c r="D44" s="18">
        <v>6150</v>
      </c>
      <c r="E44" s="18" t="s">
        <v>104</v>
      </c>
      <c r="F44" s="19" t="s">
        <v>56</v>
      </c>
      <c r="G44" s="16" t="s">
        <v>57</v>
      </c>
      <c r="H44" s="19" t="s">
        <v>58</v>
      </c>
      <c r="I44" s="27" t="s">
        <v>27</v>
      </c>
      <c r="J44" s="74">
        <v>0.3</v>
      </c>
      <c r="K44" s="75" t="s">
        <v>50</v>
      </c>
      <c r="L44" s="76" t="s">
        <v>28</v>
      </c>
      <c r="M44" s="75" t="s">
        <v>76</v>
      </c>
      <c r="N44" s="77">
        <v>1</v>
      </c>
      <c r="O44" s="74">
        <v>0.2</v>
      </c>
      <c r="P44" s="74">
        <v>1</v>
      </c>
      <c r="Q44" s="77">
        <f t="shared" si="15"/>
        <v>1</v>
      </c>
      <c r="R44" s="78">
        <f t="shared" si="6"/>
        <v>6</v>
      </c>
      <c r="S44" s="77" t="s">
        <v>24</v>
      </c>
      <c r="T44" s="77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hidden="1" x14ac:dyDescent="0.2">
      <c r="A45" s="15">
        <v>2120</v>
      </c>
      <c r="B45" s="16" t="s">
        <v>20</v>
      </c>
      <c r="C45" s="17" t="s">
        <v>21</v>
      </c>
      <c r="D45" s="18">
        <v>6246</v>
      </c>
      <c r="E45" s="18" t="s">
        <v>105</v>
      </c>
      <c r="F45" s="19" t="s">
        <v>56</v>
      </c>
      <c r="G45" s="16" t="s">
        <v>57</v>
      </c>
      <c r="H45" s="19" t="s">
        <v>58</v>
      </c>
      <c r="I45" s="20" t="s">
        <v>23</v>
      </c>
      <c r="J45" s="21">
        <v>0.7</v>
      </c>
      <c r="K45" s="1" t="s">
        <v>59</v>
      </c>
      <c r="L45" s="2" t="s">
        <v>60</v>
      </c>
      <c r="M45" s="1" t="s">
        <v>61</v>
      </c>
      <c r="N45" s="21">
        <v>0.95</v>
      </c>
      <c r="O45" s="21">
        <v>0.2</v>
      </c>
      <c r="P45" s="21">
        <v>0.95</v>
      </c>
      <c r="Q45" s="21">
        <f t="shared" si="15"/>
        <v>1</v>
      </c>
      <c r="R45" s="22">
        <f t="shared" si="6"/>
        <v>13.999999999999998</v>
      </c>
      <c r="S45" s="21" t="s">
        <v>24</v>
      </c>
      <c r="T45" s="23">
        <f>SUM(R45:R53)%</f>
        <v>0.56499999999999995</v>
      </c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hidden="1" x14ac:dyDescent="0.2">
      <c r="A46" s="15">
        <v>2121</v>
      </c>
      <c r="B46" s="16" t="s">
        <v>20</v>
      </c>
      <c r="C46" s="17" t="s">
        <v>21</v>
      </c>
      <c r="D46" s="18">
        <v>6246</v>
      </c>
      <c r="E46" s="18" t="s">
        <v>105</v>
      </c>
      <c r="F46" s="19" t="s">
        <v>56</v>
      </c>
      <c r="G46" s="16" t="s">
        <v>57</v>
      </c>
      <c r="H46" s="19" t="s">
        <v>58</v>
      </c>
      <c r="I46" s="20" t="s">
        <v>23</v>
      </c>
      <c r="J46" s="21">
        <v>0.7</v>
      </c>
      <c r="K46" s="1" t="s">
        <v>62</v>
      </c>
      <c r="L46" s="2" t="s">
        <v>63</v>
      </c>
      <c r="M46" s="1" t="s">
        <v>64</v>
      </c>
      <c r="N46" s="21">
        <v>0.95</v>
      </c>
      <c r="O46" s="21">
        <v>0.2</v>
      </c>
      <c r="P46" s="71">
        <v>0.2</v>
      </c>
      <c r="Q46" s="21">
        <f>ROUND(IF(OR(N46="",P46=""),0,IF(AND(N46=0,P46=0),1,IF(S46="+",P46/N46,N46/P46))),2)</f>
        <v>0.21</v>
      </c>
      <c r="R46" s="22">
        <f t="shared" si="6"/>
        <v>0</v>
      </c>
      <c r="S46" s="21" t="s">
        <v>24</v>
      </c>
      <c r="T46" s="21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hidden="1" x14ac:dyDescent="0.2">
      <c r="A47" s="15">
        <v>2122</v>
      </c>
      <c r="B47" s="16" t="s">
        <v>20</v>
      </c>
      <c r="C47" s="17" t="s">
        <v>21</v>
      </c>
      <c r="D47" s="18">
        <v>6246</v>
      </c>
      <c r="E47" s="18" t="s">
        <v>105</v>
      </c>
      <c r="F47" s="19" t="s">
        <v>56</v>
      </c>
      <c r="G47" s="16" t="s">
        <v>57</v>
      </c>
      <c r="H47" s="19" t="s">
        <v>58</v>
      </c>
      <c r="I47" s="20" t="s">
        <v>23</v>
      </c>
      <c r="J47" s="21">
        <v>0.7</v>
      </c>
      <c r="K47" s="26" t="s">
        <v>84</v>
      </c>
      <c r="L47" s="31" t="s">
        <v>85</v>
      </c>
      <c r="M47" s="26" t="s">
        <v>86</v>
      </c>
      <c r="N47" s="64">
        <v>1</v>
      </c>
      <c r="O47" s="21">
        <v>0.2</v>
      </c>
      <c r="P47" s="21">
        <v>1</v>
      </c>
      <c r="Q47" s="21">
        <f t="shared" ref="Q47" si="16">ROUND(IF(OR(N47="",P47=""),0,IF(AND(N47=0,P47=0),1,IF(S47="+",P47/N47,N47/P47))),2)</f>
        <v>1</v>
      </c>
      <c r="R47" s="22">
        <f t="shared" si="6"/>
        <v>13.999999999999998</v>
      </c>
      <c r="S47" s="21" t="s">
        <v>24</v>
      </c>
      <c r="T47" s="21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hidden="1" x14ac:dyDescent="0.2">
      <c r="A48" s="15">
        <v>2123</v>
      </c>
      <c r="B48" s="16" t="s">
        <v>20</v>
      </c>
      <c r="C48" s="17" t="s">
        <v>21</v>
      </c>
      <c r="D48" s="18">
        <v>6246</v>
      </c>
      <c r="E48" s="18" t="s">
        <v>105</v>
      </c>
      <c r="F48" s="19" t="s">
        <v>56</v>
      </c>
      <c r="G48" s="16" t="s">
        <v>57</v>
      </c>
      <c r="H48" s="19" t="s">
        <v>58</v>
      </c>
      <c r="I48" s="27" t="s">
        <v>23</v>
      </c>
      <c r="J48" s="21">
        <v>0.7</v>
      </c>
      <c r="K48" s="1" t="s">
        <v>77</v>
      </c>
      <c r="L48" s="2" t="s">
        <v>78</v>
      </c>
      <c r="M48" s="1" t="s">
        <v>79</v>
      </c>
      <c r="N48" s="64">
        <v>0.9</v>
      </c>
      <c r="O48" s="21">
        <v>0.25</v>
      </c>
      <c r="P48" s="21">
        <v>0</v>
      </c>
      <c r="Q48" s="29">
        <f>ROUND(IF(OR(N48="",P48=""),0,IF(AND(N48=0,P48=0),1,IF(S48="+",P48/N48,N48/P48))),2)</f>
        <v>0</v>
      </c>
      <c r="R48" s="30">
        <f t="shared" si="6"/>
        <v>0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hidden="1" x14ac:dyDescent="0.2">
      <c r="A49" s="15">
        <v>2124</v>
      </c>
      <c r="B49" s="16" t="s">
        <v>20</v>
      </c>
      <c r="C49" s="17" t="s">
        <v>21</v>
      </c>
      <c r="D49" s="18">
        <v>6246</v>
      </c>
      <c r="E49" s="18" t="s">
        <v>105</v>
      </c>
      <c r="F49" s="19" t="s">
        <v>56</v>
      </c>
      <c r="G49" s="16" t="s">
        <v>57</v>
      </c>
      <c r="H49" s="19" t="s">
        <v>58</v>
      </c>
      <c r="I49" s="27" t="s">
        <v>23</v>
      </c>
      <c r="J49" s="21">
        <v>0.7</v>
      </c>
      <c r="K49" s="1" t="s">
        <v>68</v>
      </c>
      <c r="L49" s="2" t="s">
        <v>69</v>
      </c>
      <c r="M49" s="26" t="s">
        <v>70</v>
      </c>
      <c r="N49" s="21">
        <v>1</v>
      </c>
      <c r="O49" s="21">
        <v>0.15</v>
      </c>
      <c r="P49" s="21">
        <v>1</v>
      </c>
      <c r="Q49" s="29">
        <f>ROUND(IF(OR(N49="",P49=""),0,IF(AND(N49=0,P49=0),1,IF(S49="+",P49/N49,N49/P49))),2)</f>
        <v>1</v>
      </c>
      <c r="R49" s="30">
        <f t="shared" si="6"/>
        <v>10.5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hidden="1" x14ac:dyDescent="0.2">
      <c r="A50" s="15">
        <v>2124</v>
      </c>
      <c r="B50" s="16" t="s">
        <v>20</v>
      </c>
      <c r="C50" s="17" t="s">
        <v>21</v>
      </c>
      <c r="D50" s="18">
        <v>6246</v>
      </c>
      <c r="E50" s="18" t="s">
        <v>105</v>
      </c>
      <c r="F50" s="19" t="s">
        <v>56</v>
      </c>
      <c r="G50" s="16" t="s">
        <v>57</v>
      </c>
      <c r="H50" s="19" t="s">
        <v>58</v>
      </c>
      <c r="I50" s="27" t="s">
        <v>27</v>
      </c>
      <c r="J50" s="74">
        <v>0.3</v>
      </c>
      <c r="K50" s="75" t="s">
        <v>65</v>
      </c>
      <c r="L50" s="76" t="s">
        <v>66</v>
      </c>
      <c r="M50" s="75" t="s">
        <v>67</v>
      </c>
      <c r="N50" s="77">
        <v>1</v>
      </c>
      <c r="O50" s="74">
        <v>0.2</v>
      </c>
      <c r="P50" s="74">
        <v>1</v>
      </c>
      <c r="Q50" s="77">
        <f t="shared" ref="Q50:Q54" si="17">ROUND(IF(OR(N50="",P50=""),0,IF(AND(N50=0,P50=0),1,IF(S50="+",P50/N50,N50/P50))),2)</f>
        <v>1</v>
      </c>
      <c r="R50" s="78">
        <f t="shared" si="6"/>
        <v>6</v>
      </c>
      <c r="S50" s="77" t="s">
        <v>24</v>
      </c>
      <c r="T50" s="77"/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hidden="1" x14ac:dyDescent="0.2">
      <c r="A51" s="15">
        <v>2124</v>
      </c>
      <c r="B51" s="16" t="s">
        <v>20</v>
      </c>
      <c r="C51" s="17" t="s">
        <v>21</v>
      </c>
      <c r="D51" s="18">
        <v>6246</v>
      </c>
      <c r="E51" s="18" t="s">
        <v>105</v>
      </c>
      <c r="F51" s="19" t="s">
        <v>56</v>
      </c>
      <c r="G51" s="16" t="s">
        <v>57</v>
      </c>
      <c r="H51" s="19" t="s">
        <v>58</v>
      </c>
      <c r="I51" s="27" t="s">
        <v>27</v>
      </c>
      <c r="J51" s="74">
        <v>0.3</v>
      </c>
      <c r="K51" s="75" t="s">
        <v>71</v>
      </c>
      <c r="L51" s="76" t="s">
        <v>72</v>
      </c>
      <c r="M51" s="75" t="s">
        <v>73</v>
      </c>
      <c r="N51" s="77">
        <v>0.95</v>
      </c>
      <c r="O51" s="74">
        <v>0.2</v>
      </c>
      <c r="P51" s="74">
        <v>0.95</v>
      </c>
      <c r="Q51" s="77">
        <f t="shared" si="17"/>
        <v>1</v>
      </c>
      <c r="R51" s="78">
        <f t="shared" si="6"/>
        <v>6</v>
      </c>
      <c r="S51" s="77" t="s">
        <v>24</v>
      </c>
      <c r="T51" s="77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hidden="1" x14ac:dyDescent="0.2">
      <c r="A52" s="15">
        <v>2124</v>
      </c>
      <c r="B52" s="16" t="s">
        <v>20</v>
      </c>
      <c r="C52" s="17" t="s">
        <v>21</v>
      </c>
      <c r="D52" s="18">
        <v>6246</v>
      </c>
      <c r="E52" s="18" t="s">
        <v>105</v>
      </c>
      <c r="F52" s="19" t="s">
        <v>56</v>
      </c>
      <c r="G52" s="16" t="s">
        <v>57</v>
      </c>
      <c r="H52" s="19" t="s">
        <v>58</v>
      </c>
      <c r="I52" s="27" t="s">
        <v>27</v>
      </c>
      <c r="J52" s="74">
        <v>0.3</v>
      </c>
      <c r="K52" s="75" t="s">
        <v>74</v>
      </c>
      <c r="L52" s="76" t="s">
        <v>26</v>
      </c>
      <c r="M52" s="75" t="s">
        <v>75</v>
      </c>
      <c r="N52" s="77">
        <v>1</v>
      </c>
      <c r="O52" s="74">
        <v>0.4</v>
      </c>
      <c r="P52" s="74">
        <v>0</v>
      </c>
      <c r="Q52" s="77">
        <f t="shared" si="17"/>
        <v>0</v>
      </c>
      <c r="R52" s="78">
        <f t="shared" si="6"/>
        <v>0</v>
      </c>
      <c r="S52" s="77" t="s">
        <v>24</v>
      </c>
      <c r="T52" s="77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hidden="1" x14ac:dyDescent="0.2">
      <c r="A53" s="15">
        <v>2124</v>
      </c>
      <c r="B53" s="16" t="s">
        <v>20</v>
      </c>
      <c r="C53" s="17" t="s">
        <v>21</v>
      </c>
      <c r="D53" s="18">
        <v>6246</v>
      </c>
      <c r="E53" s="18" t="s">
        <v>105</v>
      </c>
      <c r="F53" s="19" t="s">
        <v>56</v>
      </c>
      <c r="G53" s="16" t="s">
        <v>57</v>
      </c>
      <c r="H53" s="19" t="s">
        <v>58</v>
      </c>
      <c r="I53" s="27" t="s">
        <v>27</v>
      </c>
      <c r="J53" s="74">
        <v>0.3</v>
      </c>
      <c r="K53" s="75" t="s">
        <v>50</v>
      </c>
      <c r="L53" s="76" t="s">
        <v>28</v>
      </c>
      <c r="M53" s="75" t="s">
        <v>76</v>
      </c>
      <c r="N53" s="77">
        <v>1</v>
      </c>
      <c r="O53" s="74">
        <v>0.2</v>
      </c>
      <c r="P53" s="74">
        <v>1</v>
      </c>
      <c r="Q53" s="77">
        <f t="shared" si="17"/>
        <v>1</v>
      </c>
      <c r="R53" s="78">
        <f t="shared" si="6"/>
        <v>6</v>
      </c>
      <c r="S53" s="77" t="s">
        <v>24</v>
      </c>
      <c r="T53" s="77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hidden="1" x14ac:dyDescent="0.2">
      <c r="A54" s="15">
        <v>2130</v>
      </c>
      <c r="B54" s="16" t="s">
        <v>20</v>
      </c>
      <c r="C54" s="17" t="s">
        <v>21</v>
      </c>
      <c r="D54" s="18">
        <v>6329</v>
      </c>
      <c r="E54" s="18" t="s">
        <v>106</v>
      </c>
      <c r="F54" s="19" t="s">
        <v>56</v>
      </c>
      <c r="G54" s="16" t="s">
        <v>57</v>
      </c>
      <c r="H54" s="19" t="s">
        <v>58</v>
      </c>
      <c r="I54" s="20" t="s">
        <v>23</v>
      </c>
      <c r="J54" s="21">
        <v>0.7</v>
      </c>
      <c r="K54" s="1" t="s">
        <v>59</v>
      </c>
      <c r="L54" s="2" t="s">
        <v>60</v>
      </c>
      <c r="M54" s="1" t="s">
        <v>61</v>
      </c>
      <c r="N54" s="21">
        <v>0.95</v>
      </c>
      <c r="O54" s="21">
        <v>0.2</v>
      </c>
      <c r="P54" s="21">
        <v>0.95</v>
      </c>
      <c r="Q54" s="21">
        <f t="shared" si="17"/>
        <v>1</v>
      </c>
      <c r="R54" s="22">
        <f t="shared" si="6"/>
        <v>13.999999999999998</v>
      </c>
      <c r="S54" s="21" t="s">
        <v>24</v>
      </c>
      <c r="T54" s="23">
        <f>SUM(R54:R62)%</f>
        <v>0.92574999999999985</v>
      </c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hidden="1" x14ac:dyDescent="0.2">
      <c r="A55" s="15">
        <v>2131</v>
      </c>
      <c r="B55" s="16" t="s">
        <v>20</v>
      </c>
      <c r="C55" s="17" t="s">
        <v>21</v>
      </c>
      <c r="D55" s="18">
        <v>6329</v>
      </c>
      <c r="E55" s="18" t="s">
        <v>106</v>
      </c>
      <c r="F55" s="19" t="s">
        <v>56</v>
      </c>
      <c r="G55" s="16" t="s">
        <v>57</v>
      </c>
      <c r="H55" s="19" t="s">
        <v>58</v>
      </c>
      <c r="I55" s="20" t="s">
        <v>23</v>
      </c>
      <c r="J55" s="21">
        <v>0.7</v>
      </c>
      <c r="K55" s="1" t="s">
        <v>62</v>
      </c>
      <c r="L55" s="2" t="s">
        <v>63</v>
      </c>
      <c r="M55" s="1" t="s">
        <v>64</v>
      </c>
      <c r="N55" s="21">
        <v>0.95</v>
      </c>
      <c r="O55" s="21">
        <v>0.2</v>
      </c>
      <c r="P55" s="25">
        <v>0.98</v>
      </c>
      <c r="Q55" s="21">
        <f>ROUND(IF(OR(N55="",P55=""),0,IF(AND(N55=0,P55=0),1,IF(S55="+",P55/N55,N55/P55))),2)</f>
        <v>1.03</v>
      </c>
      <c r="R55" s="22">
        <f t="shared" si="6"/>
        <v>13.999999999999998</v>
      </c>
      <c r="S55" s="21" t="s">
        <v>24</v>
      </c>
      <c r="T55" s="21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hidden="1" x14ac:dyDescent="0.2">
      <c r="A56" s="15">
        <v>2132</v>
      </c>
      <c r="B56" s="16" t="s">
        <v>20</v>
      </c>
      <c r="C56" s="17" t="s">
        <v>21</v>
      </c>
      <c r="D56" s="18">
        <v>6329</v>
      </c>
      <c r="E56" s="18" t="s">
        <v>106</v>
      </c>
      <c r="F56" s="19" t="s">
        <v>56</v>
      </c>
      <c r="G56" s="16" t="s">
        <v>57</v>
      </c>
      <c r="H56" s="19" t="s">
        <v>58</v>
      </c>
      <c r="I56" s="20" t="s">
        <v>23</v>
      </c>
      <c r="J56" s="21">
        <v>0.7</v>
      </c>
      <c r="K56" s="26" t="s">
        <v>84</v>
      </c>
      <c r="L56" s="31" t="s">
        <v>85</v>
      </c>
      <c r="M56" s="26" t="s">
        <v>86</v>
      </c>
      <c r="N56" s="64">
        <v>1</v>
      </c>
      <c r="O56" s="21">
        <v>0.2</v>
      </c>
      <c r="P56" s="28">
        <v>1</v>
      </c>
      <c r="Q56" s="21">
        <f t="shared" ref="Q56" si="18">ROUND(IF(OR(N56="",P56=""),0,IF(AND(N56=0,P56=0),1,IF(S56="+",P56/N56,N56/P56))),2)</f>
        <v>1</v>
      </c>
      <c r="R56" s="22">
        <f t="shared" si="6"/>
        <v>13.999999999999998</v>
      </c>
      <c r="S56" s="21" t="s">
        <v>24</v>
      </c>
      <c r="T56" s="21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hidden="1" x14ac:dyDescent="0.2">
      <c r="A57" s="15">
        <v>2133</v>
      </c>
      <c r="B57" s="16" t="s">
        <v>20</v>
      </c>
      <c r="C57" s="17" t="s">
        <v>21</v>
      </c>
      <c r="D57" s="18">
        <v>6329</v>
      </c>
      <c r="E57" s="18" t="s">
        <v>106</v>
      </c>
      <c r="F57" s="19" t="s">
        <v>56</v>
      </c>
      <c r="G57" s="16" t="s">
        <v>57</v>
      </c>
      <c r="H57" s="19" t="s">
        <v>58</v>
      </c>
      <c r="I57" s="27" t="s">
        <v>23</v>
      </c>
      <c r="J57" s="21">
        <v>0.7</v>
      </c>
      <c r="K57" s="1" t="s">
        <v>77</v>
      </c>
      <c r="L57" s="2" t="s">
        <v>78</v>
      </c>
      <c r="M57" s="1" t="s">
        <v>79</v>
      </c>
      <c r="N57" s="64">
        <v>0.9</v>
      </c>
      <c r="O57" s="21">
        <v>0.25</v>
      </c>
      <c r="P57" s="28">
        <v>0.55000000000000004</v>
      </c>
      <c r="Q57" s="29">
        <f>ROUND(IF(OR(N57="",P57=""),0,IF(AND(N57=0,P57=0),1,IF(S57="+",P57/N57,N57/P57))),2)</f>
        <v>0.61</v>
      </c>
      <c r="R57" s="30">
        <f t="shared" si="6"/>
        <v>10.674999999999999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hidden="1" x14ac:dyDescent="0.2">
      <c r="A58" s="15">
        <v>2133</v>
      </c>
      <c r="B58" s="16" t="s">
        <v>20</v>
      </c>
      <c r="C58" s="17" t="s">
        <v>21</v>
      </c>
      <c r="D58" s="18">
        <v>6329</v>
      </c>
      <c r="E58" s="18" t="s">
        <v>106</v>
      </c>
      <c r="F58" s="19" t="s">
        <v>56</v>
      </c>
      <c r="G58" s="16" t="s">
        <v>57</v>
      </c>
      <c r="H58" s="19" t="s">
        <v>58</v>
      </c>
      <c r="I58" s="27" t="s">
        <v>23</v>
      </c>
      <c r="J58" s="21">
        <v>0.7</v>
      </c>
      <c r="K58" s="1" t="s">
        <v>68</v>
      </c>
      <c r="L58" s="2" t="s">
        <v>69</v>
      </c>
      <c r="M58" s="26" t="s">
        <v>70</v>
      </c>
      <c r="N58" s="21">
        <v>1</v>
      </c>
      <c r="O58" s="21">
        <v>0.15</v>
      </c>
      <c r="P58" s="28">
        <v>1</v>
      </c>
      <c r="Q58" s="29">
        <f>ROUND(IF(OR(N58="",P58=""),0,IF(AND(N58=0,P58=0),1,IF(S58="+",P58/N58,N58/P58))),2)</f>
        <v>1</v>
      </c>
      <c r="R58" s="30">
        <f t="shared" si="6"/>
        <v>10.5</v>
      </c>
      <c r="S58" s="29" t="s">
        <v>24</v>
      </c>
      <c r="T58" s="29"/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hidden="1" x14ac:dyDescent="0.2">
      <c r="A59" s="15">
        <v>2133</v>
      </c>
      <c r="B59" s="16" t="s">
        <v>20</v>
      </c>
      <c r="C59" s="17" t="s">
        <v>21</v>
      </c>
      <c r="D59" s="18">
        <v>6329</v>
      </c>
      <c r="E59" s="18" t="s">
        <v>106</v>
      </c>
      <c r="F59" s="19" t="s">
        <v>56</v>
      </c>
      <c r="G59" s="16" t="s">
        <v>57</v>
      </c>
      <c r="H59" s="19" t="s">
        <v>58</v>
      </c>
      <c r="I59" s="27" t="s">
        <v>27</v>
      </c>
      <c r="J59" s="74">
        <v>0.3</v>
      </c>
      <c r="K59" s="75" t="s">
        <v>65</v>
      </c>
      <c r="L59" s="76" t="s">
        <v>66</v>
      </c>
      <c r="M59" s="75" t="s">
        <v>67</v>
      </c>
      <c r="N59" s="77">
        <v>1</v>
      </c>
      <c r="O59" s="74">
        <v>0.2</v>
      </c>
      <c r="P59" s="74">
        <v>0.95</v>
      </c>
      <c r="Q59" s="77">
        <f t="shared" ref="Q59:Q63" si="19">ROUND(IF(OR(N59="",P59=""),0,IF(AND(N59=0,P59=0),1,IF(S59="+",P59/N59,N59/P59))),2)</f>
        <v>0.95</v>
      </c>
      <c r="R59" s="78">
        <f t="shared" si="6"/>
        <v>5.6999999999999993</v>
      </c>
      <c r="S59" s="77" t="s">
        <v>24</v>
      </c>
      <c r="T59" s="77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hidden="1" x14ac:dyDescent="0.2">
      <c r="A60" s="15">
        <v>2133</v>
      </c>
      <c r="B60" s="16" t="s">
        <v>20</v>
      </c>
      <c r="C60" s="17" t="s">
        <v>21</v>
      </c>
      <c r="D60" s="18">
        <v>6329</v>
      </c>
      <c r="E60" s="18" t="s">
        <v>106</v>
      </c>
      <c r="F60" s="19" t="s">
        <v>56</v>
      </c>
      <c r="G60" s="16" t="s">
        <v>57</v>
      </c>
      <c r="H60" s="19" t="s">
        <v>58</v>
      </c>
      <c r="I60" s="27" t="s">
        <v>27</v>
      </c>
      <c r="J60" s="74">
        <v>0.3</v>
      </c>
      <c r="K60" s="75" t="s">
        <v>71</v>
      </c>
      <c r="L60" s="76" t="s">
        <v>72</v>
      </c>
      <c r="M60" s="75" t="s">
        <v>73</v>
      </c>
      <c r="N60" s="77">
        <v>0.95</v>
      </c>
      <c r="O60" s="74">
        <v>0.2</v>
      </c>
      <c r="P60" s="74">
        <v>0.9</v>
      </c>
      <c r="Q60" s="77">
        <f t="shared" si="19"/>
        <v>0.95</v>
      </c>
      <c r="R60" s="78">
        <f t="shared" si="6"/>
        <v>5.6999999999999993</v>
      </c>
      <c r="S60" s="77" t="s">
        <v>24</v>
      </c>
      <c r="T60" s="77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hidden="1" x14ac:dyDescent="0.2">
      <c r="A61" s="15">
        <v>2133</v>
      </c>
      <c r="B61" s="16" t="s">
        <v>20</v>
      </c>
      <c r="C61" s="17" t="s">
        <v>21</v>
      </c>
      <c r="D61" s="18">
        <v>6329</v>
      </c>
      <c r="E61" s="18" t="s">
        <v>106</v>
      </c>
      <c r="F61" s="19" t="s">
        <v>56</v>
      </c>
      <c r="G61" s="16" t="s">
        <v>57</v>
      </c>
      <c r="H61" s="19" t="s">
        <v>58</v>
      </c>
      <c r="I61" s="27" t="s">
        <v>27</v>
      </c>
      <c r="J61" s="74">
        <v>0.3</v>
      </c>
      <c r="K61" s="75" t="s">
        <v>74</v>
      </c>
      <c r="L61" s="76" t="s">
        <v>26</v>
      </c>
      <c r="M61" s="75" t="s">
        <v>75</v>
      </c>
      <c r="N61" s="77">
        <v>1</v>
      </c>
      <c r="O61" s="74">
        <v>0.4</v>
      </c>
      <c r="P61" s="74">
        <v>1</v>
      </c>
      <c r="Q61" s="77">
        <f t="shared" si="19"/>
        <v>1</v>
      </c>
      <c r="R61" s="78">
        <f t="shared" si="6"/>
        <v>12</v>
      </c>
      <c r="S61" s="77" t="s">
        <v>24</v>
      </c>
      <c r="T61" s="77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hidden="1" x14ac:dyDescent="0.2">
      <c r="A62" s="15">
        <v>2133</v>
      </c>
      <c r="B62" s="16" t="s">
        <v>20</v>
      </c>
      <c r="C62" s="17" t="s">
        <v>21</v>
      </c>
      <c r="D62" s="18">
        <v>6329</v>
      </c>
      <c r="E62" s="18" t="s">
        <v>106</v>
      </c>
      <c r="F62" s="19" t="s">
        <v>56</v>
      </c>
      <c r="G62" s="16" t="s">
        <v>57</v>
      </c>
      <c r="H62" s="19" t="s">
        <v>58</v>
      </c>
      <c r="I62" s="27" t="s">
        <v>27</v>
      </c>
      <c r="J62" s="74">
        <v>0.3</v>
      </c>
      <c r="K62" s="75" t="s">
        <v>50</v>
      </c>
      <c r="L62" s="76" t="s">
        <v>28</v>
      </c>
      <c r="M62" s="75" t="s">
        <v>76</v>
      </c>
      <c r="N62" s="77">
        <v>1</v>
      </c>
      <c r="O62" s="74">
        <v>0.2</v>
      </c>
      <c r="P62" s="74">
        <v>1</v>
      </c>
      <c r="Q62" s="77">
        <f t="shared" si="19"/>
        <v>1</v>
      </c>
      <c r="R62" s="78">
        <f t="shared" si="6"/>
        <v>6</v>
      </c>
      <c r="S62" s="77" t="s">
        <v>24</v>
      </c>
      <c r="T62" s="77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hidden="1" x14ac:dyDescent="0.2">
      <c r="A63" s="15">
        <v>2140</v>
      </c>
      <c r="B63" s="16" t="s">
        <v>20</v>
      </c>
      <c r="C63" s="17" t="s">
        <v>21</v>
      </c>
      <c r="D63" s="18">
        <v>6331</v>
      </c>
      <c r="E63" s="18" t="s">
        <v>107</v>
      </c>
      <c r="F63" s="19" t="s">
        <v>56</v>
      </c>
      <c r="G63" s="16" t="s">
        <v>57</v>
      </c>
      <c r="H63" s="19" t="s">
        <v>58</v>
      </c>
      <c r="I63" s="20" t="s">
        <v>23</v>
      </c>
      <c r="J63" s="21">
        <v>0.7</v>
      </c>
      <c r="K63" s="1" t="s">
        <v>59</v>
      </c>
      <c r="L63" s="2" t="s">
        <v>60</v>
      </c>
      <c r="M63" s="1" t="s">
        <v>61</v>
      </c>
      <c r="N63" s="21">
        <v>0.95</v>
      </c>
      <c r="O63" s="21">
        <v>0.2</v>
      </c>
      <c r="P63" s="21">
        <v>0.95</v>
      </c>
      <c r="Q63" s="21">
        <f t="shared" si="19"/>
        <v>1</v>
      </c>
      <c r="R63" s="22">
        <f t="shared" si="6"/>
        <v>13.999999999999998</v>
      </c>
      <c r="S63" s="21" t="s">
        <v>24</v>
      </c>
      <c r="T63" s="23">
        <f>SUM(R63:R71)%</f>
        <v>0.81449999999999989</v>
      </c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hidden="1" x14ac:dyDescent="0.2">
      <c r="A64" s="15">
        <v>2141</v>
      </c>
      <c r="B64" s="16" t="s">
        <v>20</v>
      </c>
      <c r="C64" s="17" t="s">
        <v>21</v>
      </c>
      <c r="D64" s="18">
        <v>6331</v>
      </c>
      <c r="E64" s="18" t="s">
        <v>107</v>
      </c>
      <c r="F64" s="19" t="s">
        <v>56</v>
      </c>
      <c r="G64" s="16" t="s">
        <v>57</v>
      </c>
      <c r="H64" s="19" t="s">
        <v>58</v>
      </c>
      <c r="I64" s="20" t="s">
        <v>23</v>
      </c>
      <c r="J64" s="21">
        <v>0.7</v>
      </c>
      <c r="K64" s="1" t="s">
        <v>62</v>
      </c>
      <c r="L64" s="2" t="s">
        <v>63</v>
      </c>
      <c r="M64" s="1" t="s">
        <v>64</v>
      </c>
      <c r="N64" s="21">
        <v>0.95</v>
      </c>
      <c r="O64" s="21">
        <v>0.2</v>
      </c>
      <c r="P64" s="25">
        <v>0.95</v>
      </c>
      <c r="Q64" s="21">
        <f>ROUND(IF(OR(N64="",P64=""),0,IF(AND(N64=0,P64=0),1,IF(S64="+",P64/N64,N64/P64))),2)</f>
        <v>1</v>
      </c>
      <c r="R64" s="22">
        <f t="shared" si="6"/>
        <v>13.999999999999998</v>
      </c>
      <c r="S64" s="21" t="s">
        <v>24</v>
      </c>
      <c r="T64" s="21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hidden="1" x14ac:dyDescent="0.2">
      <c r="A65" s="15">
        <v>2142</v>
      </c>
      <c r="B65" s="16" t="s">
        <v>20</v>
      </c>
      <c r="C65" s="17" t="s">
        <v>21</v>
      </c>
      <c r="D65" s="18">
        <v>6331</v>
      </c>
      <c r="E65" s="18" t="s">
        <v>107</v>
      </c>
      <c r="F65" s="19" t="s">
        <v>56</v>
      </c>
      <c r="G65" s="16" t="s">
        <v>57</v>
      </c>
      <c r="H65" s="19" t="s">
        <v>58</v>
      </c>
      <c r="I65" s="20" t="s">
        <v>23</v>
      </c>
      <c r="J65" s="21">
        <v>0.7</v>
      </c>
      <c r="K65" s="26" t="s">
        <v>84</v>
      </c>
      <c r="L65" s="31" t="s">
        <v>85</v>
      </c>
      <c r="M65" s="26" t="s">
        <v>86</v>
      </c>
      <c r="N65" s="64">
        <v>1</v>
      </c>
      <c r="O65" s="21">
        <v>0.2</v>
      </c>
      <c r="P65" s="25">
        <v>1</v>
      </c>
      <c r="Q65" s="21">
        <f t="shared" ref="Q65" si="20">ROUND(IF(OR(N65="",P65=""),0,IF(AND(N65=0,P65=0),1,IF(S65="+",P65/N65,N65/P65))),2)</f>
        <v>1</v>
      </c>
      <c r="R65" s="22">
        <f t="shared" si="6"/>
        <v>13.999999999999998</v>
      </c>
      <c r="S65" s="21" t="s">
        <v>24</v>
      </c>
      <c r="T65" s="21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hidden="1" x14ac:dyDescent="0.2">
      <c r="A66" s="15">
        <v>2143</v>
      </c>
      <c r="B66" s="16" t="s">
        <v>20</v>
      </c>
      <c r="C66" s="17" t="s">
        <v>21</v>
      </c>
      <c r="D66" s="18">
        <v>6331</v>
      </c>
      <c r="E66" s="18" t="s">
        <v>107</v>
      </c>
      <c r="F66" s="19" t="s">
        <v>56</v>
      </c>
      <c r="G66" s="16" t="s">
        <v>57</v>
      </c>
      <c r="H66" s="19" t="s">
        <v>58</v>
      </c>
      <c r="I66" s="27" t="s">
        <v>23</v>
      </c>
      <c r="J66" s="21">
        <v>0.7</v>
      </c>
      <c r="K66" s="1" t="s">
        <v>77</v>
      </c>
      <c r="L66" s="2" t="s">
        <v>78</v>
      </c>
      <c r="M66" s="1" t="s">
        <v>79</v>
      </c>
      <c r="N66" s="64">
        <v>0.9</v>
      </c>
      <c r="O66" s="21">
        <v>0.25</v>
      </c>
      <c r="P66" s="25">
        <v>0</v>
      </c>
      <c r="Q66" s="29">
        <f>ROUND(IF(OR(N66="",P66=""),0,IF(AND(N66=0,P66=0),1,IF(S66="+",P66/N66,N66/P66))),2)</f>
        <v>0</v>
      </c>
      <c r="R66" s="30">
        <f t="shared" si="6"/>
        <v>0</v>
      </c>
      <c r="S66" s="29" t="s">
        <v>24</v>
      </c>
      <c r="T66" s="29"/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hidden="1" x14ac:dyDescent="0.2">
      <c r="A67" s="15">
        <v>2144</v>
      </c>
      <c r="B67" s="16" t="s">
        <v>20</v>
      </c>
      <c r="C67" s="17" t="s">
        <v>21</v>
      </c>
      <c r="D67" s="18">
        <v>6331</v>
      </c>
      <c r="E67" s="18" t="s">
        <v>107</v>
      </c>
      <c r="F67" s="19" t="s">
        <v>56</v>
      </c>
      <c r="G67" s="16" t="s">
        <v>57</v>
      </c>
      <c r="H67" s="19" t="s">
        <v>58</v>
      </c>
      <c r="I67" s="27" t="s">
        <v>23</v>
      </c>
      <c r="J67" s="21">
        <v>0.7</v>
      </c>
      <c r="K67" s="1" t="s">
        <v>68</v>
      </c>
      <c r="L67" s="2" t="s">
        <v>69</v>
      </c>
      <c r="M67" s="26" t="s">
        <v>70</v>
      </c>
      <c r="N67" s="21">
        <v>1</v>
      </c>
      <c r="O67" s="21">
        <v>0.15</v>
      </c>
      <c r="P67" s="25">
        <v>0.9</v>
      </c>
      <c r="Q67" s="29">
        <f>ROUND(IF(OR(N67="",P67=""),0,IF(AND(N67=0,P67=0),1,IF(S67="+",P67/N67,N67/P67))),2)</f>
        <v>0.9</v>
      </c>
      <c r="R67" s="30">
        <f t="shared" si="6"/>
        <v>9.4499999999999993</v>
      </c>
      <c r="S67" s="29" t="s">
        <v>24</v>
      </c>
      <c r="T67" s="29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hidden="1" x14ac:dyDescent="0.2">
      <c r="A68" s="15">
        <v>2145</v>
      </c>
      <c r="B68" s="16" t="s">
        <v>20</v>
      </c>
      <c r="C68" s="17" t="s">
        <v>21</v>
      </c>
      <c r="D68" s="18">
        <v>6331</v>
      </c>
      <c r="E68" s="18" t="s">
        <v>107</v>
      </c>
      <c r="F68" s="19" t="s">
        <v>56</v>
      </c>
      <c r="G68" s="16" t="s">
        <v>57</v>
      </c>
      <c r="H68" s="19" t="s">
        <v>58</v>
      </c>
      <c r="I68" s="27" t="s">
        <v>27</v>
      </c>
      <c r="J68" s="74">
        <v>0.3</v>
      </c>
      <c r="K68" s="75" t="s">
        <v>65</v>
      </c>
      <c r="L68" s="76" t="s">
        <v>66</v>
      </c>
      <c r="M68" s="75" t="s">
        <v>67</v>
      </c>
      <c r="N68" s="77">
        <v>1</v>
      </c>
      <c r="O68" s="74">
        <v>0.2</v>
      </c>
      <c r="P68" s="74">
        <v>1</v>
      </c>
      <c r="Q68" s="77">
        <f t="shared" ref="Q68:Q72" si="21">ROUND(IF(OR(N68="",P68=""),0,IF(AND(N68=0,P68=0),1,IF(S68="+",P68/N68,N68/P68))),2)</f>
        <v>1</v>
      </c>
      <c r="R68" s="78">
        <f t="shared" si="6"/>
        <v>6</v>
      </c>
      <c r="S68" s="77" t="s">
        <v>24</v>
      </c>
      <c r="T68" s="77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hidden="1" x14ac:dyDescent="0.2">
      <c r="A69" s="15">
        <v>2146</v>
      </c>
      <c r="B69" s="16" t="s">
        <v>20</v>
      </c>
      <c r="C69" s="17" t="s">
        <v>21</v>
      </c>
      <c r="D69" s="18">
        <v>6331</v>
      </c>
      <c r="E69" s="18" t="s">
        <v>107</v>
      </c>
      <c r="F69" s="19" t="s">
        <v>56</v>
      </c>
      <c r="G69" s="16" t="s">
        <v>57</v>
      </c>
      <c r="H69" s="19" t="s">
        <v>58</v>
      </c>
      <c r="I69" s="27" t="s">
        <v>27</v>
      </c>
      <c r="J69" s="74">
        <v>0.3</v>
      </c>
      <c r="K69" s="75" t="s">
        <v>71</v>
      </c>
      <c r="L69" s="76" t="s">
        <v>72</v>
      </c>
      <c r="M69" s="75" t="s">
        <v>73</v>
      </c>
      <c r="N69" s="77">
        <v>0.95</v>
      </c>
      <c r="O69" s="74">
        <v>0.2</v>
      </c>
      <c r="P69" s="74">
        <v>0.95</v>
      </c>
      <c r="Q69" s="77">
        <f t="shared" si="21"/>
        <v>1</v>
      </c>
      <c r="R69" s="78">
        <f t="shared" si="6"/>
        <v>6</v>
      </c>
      <c r="S69" s="77" t="s">
        <v>24</v>
      </c>
      <c r="T69" s="77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hidden="1" x14ac:dyDescent="0.2">
      <c r="A70" s="15">
        <v>2147</v>
      </c>
      <c r="B70" s="16" t="s">
        <v>20</v>
      </c>
      <c r="C70" s="17" t="s">
        <v>21</v>
      </c>
      <c r="D70" s="18">
        <v>6331</v>
      </c>
      <c r="E70" s="18" t="s">
        <v>107</v>
      </c>
      <c r="F70" s="19" t="s">
        <v>56</v>
      </c>
      <c r="G70" s="16" t="s">
        <v>57</v>
      </c>
      <c r="H70" s="19" t="s">
        <v>58</v>
      </c>
      <c r="I70" s="27" t="s">
        <v>27</v>
      </c>
      <c r="J70" s="74">
        <v>0.3</v>
      </c>
      <c r="K70" s="75" t="s">
        <v>74</v>
      </c>
      <c r="L70" s="76" t="s">
        <v>26</v>
      </c>
      <c r="M70" s="75" t="s">
        <v>75</v>
      </c>
      <c r="N70" s="77">
        <v>1</v>
      </c>
      <c r="O70" s="74">
        <v>0.4</v>
      </c>
      <c r="P70" s="74">
        <v>1</v>
      </c>
      <c r="Q70" s="77">
        <f t="shared" si="21"/>
        <v>1</v>
      </c>
      <c r="R70" s="78">
        <f t="shared" si="6"/>
        <v>12</v>
      </c>
      <c r="S70" s="77" t="s">
        <v>24</v>
      </c>
      <c r="T70" s="77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hidden="1" x14ac:dyDescent="0.2">
      <c r="A71" s="15">
        <v>2148</v>
      </c>
      <c r="B71" s="16" t="s">
        <v>20</v>
      </c>
      <c r="C71" s="17" t="s">
        <v>21</v>
      </c>
      <c r="D71" s="18">
        <v>6331</v>
      </c>
      <c r="E71" s="18" t="s">
        <v>107</v>
      </c>
      <c r="F71" s="19" t="s">
        <v>56</v>
      </c>
      <c r="G71" s="16" t="s">
        <v>57</v>
      </c>
      <c r="H71" s="19" t="s">
        <v>58</v>
      </c>
      <c r="I71" s="27" t="s">
        <v>27</v>
      </c>
      <c r="J71" s="74">
        <v>0.3</v>
      </c>
      <c r="K71" s="75" t="s">
        <v>50</v>
      </c>
      <c r="L71" s="76" t="s">
        <v>28</v>
      </c>
      <c r="M71" s="75" t="s">
        <v>76</v>
      </c>
      <c r="N71" s="77">
        <v>1</v>
      </c>
      <c r="O71" s="74">
        <v>0.2</v>
      </c>
      <c r="P71" s="74">
        <v>1</v>
      </c>
      <c r="Q71" s="77">
        <f t="shared" si="21"/>
        <v>1</v>
      </c>
      <c r="R71" s="78">
        <f t="shared" si="6"/>
        <v>6</v>
      </c>
      <c r="S71" s="77" t="s">
        <v>24</v>
      </c>
      <c r="T71" s="77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hidden="1" x14ac:dyDescent="0.2">
      <c r="A72" s="15">
        <v>2150</v>
      </c>
      <c r="B72" s="16" t="s">
        <v>20</v>
      </c>
      <c r="C72" s="17" t="s">
        <v>21</v>
      </c>
      <c r="D72" s="18">
        <v>6364</v>
      </c>
      <c r="E72" s="18" t="s">
        <v>108</v>
      </c>
      <c r="F72" s="19" t="s">
        <v>56</v>
      </c>
      <c r="G72" s="16" t="s">
        <v>57</v>
      </c>
      <c r="H72" s="19" t="s">
        <v>58</v>
      </c>
      <c r="I72" s="20" t="s">
        <v>23</v>
      </c>
      <c r="J72" s="21">
        <v>0.7</v>
      </c>
      <c r="K72" s="1" t="s">
        <v>59</v>
      </c>
      <c r="L72" s="2" t="s">
        <v>60</v>
      </c>
      <c r="M72" s="1" t="s">
        <v>61</v>
      </c>
      <c r="N72" s="21">
        <v>0.95</v>
      </c>
      <c r="O72" s="21">
        <v>0.2</v>
      </c>
      <c r="P72" s="21">
        <v>0.95</v>
      </c>
      <c r="Q72" s="21">
        <f t="shared" si="21"/>
        <v>1</v>
      </c>
      <c r="R72" s="22">
        <f t="shared" ref="R72:R80" si="22">IF(AND(Q72&gt;=60%,Q72&lt;100%),Q72*((O72*J72)),IF(Q72=100%,((O72*J72)*Q72)*100%,IF(Q72&gt;100%,((J72*O72)*100%)*100%,0)))*100</f>
        <v>13.999999999999998</v>
      </c>
      <c r="S72" s="21" t="s">
        <v>24</v>
      </c>
      <c r="T72" s="23">
        <f>SUM(R72:R80)%</f>
        <v>0.70499999999999996</v>
      </c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hidden="1" x14ac:dyDescent="0.2">
      <c r="A73" s="15">
        <v>2151</v>
      </c>
      <c r="B73" s="16" t="s">
        <v>20</v>
      </c>
      <c r="C73" s="17" t="s">
        <v>21</v>
      </c>
      <c r="D73" s="18">
        <v>6364</v>
      </c>
      <c r="E73" s="18" t="s">
        <v>108</v>
      </c>
      <c r="F73" s="19" t="s">
        <v>56</v>
      </c>
      <c r="G73" s="16" t="s">
        <v>57</v>
      </c>
      <c r="H73" s="19" t="s">
        <v>58</v>
      </c>
      <c r="I73" s="20" t="s">
        <v>23</v>
      </c>
      <c r="J73" s="21">
        <v>0.7</v>
      </c>
      <c r="K73" s="1" t="s">
        <v>62</v>
      </c>
      <c r="L73" s="2" t="s">
        <v>63</v>
      </c>
      <c r="M73" s="1" t="s">
        <v>64</v>
      </c>
      <c r="N73" s="21">
        <v>0.95</v>
      </c>
      <c r="O73" s="21">
        <v>0.2</v>
      </c>
      <c r="P73" s="21">
        <v>0.95</v>
      </c>
      <c r="Q73" s="21">
        <f>ROUND(IF(OR(N73="",P73=""),0,IF(AND(N73=0,P73=0),1,IF(S73="+",P73/N73,N73/P73))),2)</f>
        <v>1</v>
      </c>
      <c r="R73" s="22">
        <f t="shared" si="22"/>
        <v>13.999999999999998</v>
      </c>
      <c r="S73" s="21" t="s">
        <v>24</v>
      </c>
      <c r="T73" s="21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hidden="1" x14ac:dyDescent="0.2">
      <c r="A74" s="15">
        <v>2152</v>
      </c>
      <c r="B74" s="16" t="s">
        <v>20</v>
      </c>
      <c r="C74" s="17" t="s">
        <v>21</v>
      </c>
      <c r="D74" s="18">
        <v>6364</v>
      </c>
      <c r="E74" s="18" t="s">
        <v>108</v>
      </c>
      <c r="F74" s="19" t="s">
        <v>56</v>
      </c>
      <c r="G74" s="16" t="s">
        <v>57</v>
      </c>
      <c r="H74" s="19" t="s">
        <v>58</v>
      </c>
      <c r="I74" s="20" t="s">
        <v>23</v>
      </c>
      <c r="J74" s="21">
        <v>0.7</v>
      </c>
      <c r="K74" s="26" t="s">
        <v>84</v>
      </c>
      <c r="L74" s="31" t="s">
        <v>85</v>
      </c>
      <c r="M74" s="26" t="s">
        <v>86</v>
      </c>
      <c r="N74" s="64">
        <v>1</v>
      </c>
      <c r="O74" s="21">
        <v>0.2</v>
      </c>
      <c r="P74" s="28">
        <v>1</v>
      </c>
      <c r="Q74" s="21">
        <f t="shared" ref="Q74" si="23">ROUND(IF(OR(N74="",P74=""),0,IF(AND(N74=0,P74=0),1,IF(S74="+",P74/N74,N74/P74))),2)</f>
        <v>1</v>
      </c>
      <c r="R74" s="22">
        <f t="shared" si="22"/>
        <v>13.999999999999998</v>
      </c>
      <c r="S74" s="21" t="s">
        <v>24</v>
      </c>
      <c r="T74" s="21"/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hidden="1" x14ac:dyDescent="0.2">
      <c r="A75" s="15">
        <v>2153</v>
      </c>
      <c r="B75" s="16" t="s">
        <v>20</v>
      </c>
      <c r="C75" s="17" t="s">
        <v>21</v>
      </c>
      <c r="D75" s="18">
        <v>6364</v>
      </c>
      <c r="E75" s="18" t="s">
        <v>108</v>
      </c>
      <c r="F75" s="19" t="s">
        <v>56</v>
      </c>
      <c r="G75" s="16" t="s">
        <v>57</v>
      </c>
      <c r="H75" s="19" t="s">
        <v>58</v>
      </c>
      <c r="I75" s="27" t="s">
        <v>23</v>
      </c>
      <c r="J75" s="21">
        <v>0.7</v>
      </c>
      <c r="K75" s="1" t="s">
        <v>77</v>
      </c>
      <c r="L75" s="2" t="s">
        <v>78</v>
      </c>
      <c r="M75" s="1" t="s">
        <v>79</v>
      </c>
      <c r="N75" s="64">
        <v>0.9</v>
      </c>
      <c r="O75" s="21">
        <v>0.25</v>
      </c>
      <c r="P75" s="28">
        <v>0.17</v>
      </c>
      <c r="Q75" s="29">
        <f>ROUND(IF(OR(N75="",P75=""),0,IF(AND(N75=0,P75=0),1,IF(S75="+",P75/N75,N75/P75))),2)</f>
        <v>0.19</v>
      </c>
      <c r="R75" s="30">
        <f t="shared" si="22"/>
        <v>0</v>
      </c>
      <c r="S75" s="29" t="s">
        <v>24</v>
      </c>
      <c r="T75" s="29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hidden="1" x14ac:dyDescent="0.2">
      <c r="A76" s="15">
        <v>2154</v>
      </c>
      <c r="B76" s="16" t="s">
        <v>20</v>
      </c>
      <c r="C76" s="17" t="s">
        <v>21</v>
      </c>
      <c r="D76" s="18">
        <v>6364</v>
      </c>
      <c r="E76" s="18" t="s">
        <v>108</v>
      </c>
      <c r="F76" s="19" t="s">
        <v>56</v>
      </c>
      <c r="G76" s="16" t="s">
        <v>57</v>
      </c>
      <c r="H76" s="19" t="s">
        <v>58</v>
      </c>
      <c r="I76" s="27" t="s">
        <v>23</v>
      </c>
      <c r="J76" s="21">
        <v>0.7</v>
      </c>
      <c r="K76" s="1" t="s">
        <v>68</v>
      </c>
      <c r="L76" s="2" t="s">
        <v>69</v>
      </c>
      <c r="M76" s="26" t="s">
        <v>70</v>
      </c>
      <c r="N76" s="21">
        <v>1</v>
      </c>
      <c r="O76" s="21">
        <v>0.15</v>
      </c>
      <c r="P76" s="28">
        <v>1</v>
      </c>
      <c r="Q76" s="29">
        <f>ROUND(IF(OR(N76="",P76=""),0,IF(AND(N76=0,P76=0),1,IF(S76="+",P76/N76,N76/P76))),2)</f>
        <v>1</v>
      </c>
      <c r="R76" s="30">
        <f t="shared" si="22"/>
        <v>10.5</v>
      </c>
      <c r="S76" s="29" t="s">
        <v>24</v>
      </c>
      <c r="T76" s="29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hidden="1" x14ac:dyDescent="0.2">
      <c r="A77" s="15">
        <v>2154</v>
      </c>
      <c r="B77" s="16" t="s">
        <v>20</v>
      </c>
      <c r="C77" s="17" t="s">
        <v>21</v>
      </c>
      <c r="D77" s="18">
        <v>6364</v>
      </c>
      <c r="E77" s="18" t="s">
        <v>108</v>
      </c>
      <c r="F77" s="19" t="s">
        <v>56</v>
      </c>
      <c r="G77" s="16" t="s">
        <v>57</v>
      </c>
      <c r="H77" s="19" t="s">
        <v>58</v>
      </c>
      <c r="I77" s="27" t="s">
        <v>27</v>
      </c>
      <c r="J77" s="74">
        <v>0.3</v>
      </c>
      <c r="K77" s="75" t="s">
        <v>65</v>
      </c>
      <c r="L77" s="76" t="s">
        <v>66</v>
      </c>
      <c r="M77" s="75" t="s">
        <v>67</v>
      </c>
      <c r="N77" s="77">
        <v>1</v>
      </c>
      <c r="O77" s="74">
        <v>0.2</v>
      </c>
      <c r="P77" s="74">
        <v>1</v>
      </c>
      <c r="Q77" s="77">
        <f t="shared" ref="Q77:Q80" si="24">ROUND(IF(OR(N77="",P77=""),0,IF(AND(N77=0,P77=0),1,IF(S77="+",P77/N77,N77/P77))),2)</f>
        <v>1</v>
      </c>
      <c r="R77" s="78">
        <f t="shared" si="22"/>
        <v>6</v>
      </c>
      <c r="S77" s="77" t="s">
        <v>24</v>
      </c>
      <c r="T77" s="77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hidden="1" x14ac:dyDescent="0.2">
      <c r="A78" s="15">
        <v>2154</v>
      </c>
      <c r="B78" s="16" t="s">
        <v>20</v>
      </c>
      <c r="C78" s="17" t="s">
        <v>21</v>
      </c>
      <c r="D78" s="18">
        <v>6364</v>
      </c>
      <c r="E78" s="18" t="s">
        <v>108</v>
      </c>
      <c r="F78" s="19" t="s">
        <v>56</v>
      </c>
      <c r="G78" s="16" t="s">
        <v>57</v>
      </c>
      <c r="H78" s="19" t="s">
        <v>58</v>
      </c>
      <c r="I78" s="27" t="s">
        <v>27</v>
      </c>
      <c r="J78" s="74">
        <v>0.3</v>
      </c>
      <c r="K78" s="75" t="s">
        <v>71</v>
      </c>
      <c r="L78" s="76" t="s">
        <v>72</v>
      </c>
      <c r="M78" s="75" t="s">
        <v>73</v>
      </c>
      <c r="N78" s="77">
        <v>0.95</v>
      </c>
      <c r="O78" s="74">
        <v>0.2</v>
      </c>
      <c r="P78" s="74">
        <v>0.95</v>
      </c>
      <c r="Q78" s="77">
        <f t="shared" si="24"/>
        <v>1</v>
      </c>
      <c r="R78" s="78">
        <f t="shared" si="22"/>
        <v>6</v>
      </c>
      <c r="S78" s="77" t="s">
        <v>24</v>
      </c>
      <c r="T78" s="77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hidden="1" x14ac:dyDescent="0.2">
      <c r="A79" s="15">
        <v>2154</v>
      </c>
      <c r="B79" s="16" t="s">
        <v>20</v>
      </c>
      <c r="C79" s="17" t="s">
        <v>21</v>
      </c>
      <c r="D79" s="18">
        <v>6364</v>
      </c>
      <c r="E79" s="18" t="s">
        <v>108</v>
      </c>
      <c r="F79" s="19" t="s">
        <v>56</v>
      </c>
      <c r="G79" s="16" t="s">
        <v>57</v>
      </c>
      <c r="H79" s="19" t="s">
        <v>58</v>
      </c>
      <c r="I79" s="27" t="s">
        <v>27</v>
      </c>
      <c r="J79" s="74">
        <v>0.3</v>
      </c>
      <c r="K79" s="75" t="s">
        <v>74</v>
      </c>
      <c r="L79" s="76" t="s">
        <v>26</v>
      </c>
      <c r="M79" s="75" t="s">
        <v>75</v>
      </c>
      <c r="N79" s="77">
        <v>1</v>
      </c>
      <c r="O79" s="74">
        <v>0.4</v>
      </c>
      <c r="P79" s="74">
        <v>0.17</v>
      </c>
      <c r="Q79" s="77">
        <f t="shared" si="24"/>
        <v>0.17</v>
      </c>
      <c r="R79" s="78">
        <f t="shared" si="22"/>
        <v>0</v>
      </c>
      <c r="S79" s="77" t="s">
        <v>24</v>
      </c>
      <c r="T79" s="77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hidden="1" x14ac:dyDescent="0.2">
      <c r="A80" s="15">
        <v>2154</v>
      </c>
      <c r="B80" s="16" t="s">
        <v>20</v>
      </c>
      <c r="C80" s="17" t="s">
        <v>21</v>
      </c>
      <c r="D80" s="18">
        <v>6364</v>
      </c>
      <c r="E80" s="18" t="s">
        <v>108</v>
      </c>
      <c r="F80" s="19" t="s">
        <v>56</v>
      </c>
      <c r="G80" s="16" t="s">
        <v>57</v>
      </c>
      <c r="H80" s="19" t="s">
        <v>58</v>
      </c>
      <c r="I80" s="27" t="s">
        <v>27</v>
      </c>
      <c r="J80" s="74">
        <v>0.3</v>
      </c>
      <c r="K80" s="75" t="s">
        <v>50</v>
      </c>
      <c r="L80" s="76" t="s">
        <v>28</v>
      </c>
      <c r="M80" s="75" t="s">
        <v>76</v>
      </c>
      <c r="N80" s="77">
        <v>1</v>
      </c>
      <c r="O80" s="74">
        <v>0.2</v>
      </c>
      <c r="P80" s="74">
        <v>1</v>
      </c>
      <c r="Q80" s="77">
        <f t="shared" si="24"/>
        <v>1</v>
      </c>
      <c r="R80" s="78">
        <f t="shared" si="22"/>
        <v>6</v>
      </c>
      <c r="S80" s="77" t="s">
        <v>24</v>
      </c>
      <c r="T80" s="77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hidden="1" x14ac:dyDescent="0.2">
      <c r="A81" s="15">
        <v>2160</v>
      </c>
      <c r="B81" s="16" t="s">
        <v>20</v>
      </c>
      <c r="C81" s="17" t="s">
        <v>21</v>
      </c>
      <c r="D81" s="18">
        <v>6373</v>
      </c>
      <c r="E81" s="18" t="s">
        <v>109</v>
      </c>
      <c r="F81" s="19" t="s">
        <v>56</v>
      </c>
      <c r="G81" s="16" t="s">
        <v>57</v>
      </c>
      <c r="H81" s="19" t="s">
        <v>58</v>
      </c>
      <c r="I81" s="20" t="s">
        <v>23</v>
      </c>
      <c r="J81" s="21">
        <v>1</v>
      </c>
      <c r="K81" s="26" t="s">
        <v>110</v>
      </c>
      <c r="L81" s="31" t="s">
        <v>111</v>
      </c>
      <c r="M81" s="1" t="s">
        <v>112</v>
      </c>
      <c r="N81" s="21">
        <v>1</v>
      </c>
      <c r="O81" s="21">
        <v>0.2</v>
      </c>
      <c r="P81" s="79">
        <v>0.85</v>
      </c>
      <c r="Q81" s="21">
        <f t="shared" ref="Q81" si="25">ROUND(IF(OR(N81="",P81=""),0,IF(AND(N81=0,P81=0),1,IF(S81="+",P81/N81,N81/P81))),2)</f>
        <v>0.85</v>
      </c>
      <c r="R81" s="22">
        <f t="shared" ref="R81:R86" si="26">IF(AND(Q81&gt;=60%,Q81&lt;100%),Q81*((O81*J81)),IF(Q81=100%,((O81*J81)*Q81)*100%,IF(Q81&gt;100%,((J81*O81)*100%)*100%,0)))*100</f>
        <v>17</v>
      </c>
      <c r="S81" s="21" t="s">
        <v>24</v>
      </c>
      <c r="T81" s="23">
        <f>SUM(R81:R86)%</f>
        <v>0.90349999999999997</v>
      </c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hidden="1" x14ac:dyDescent="0.2">
      <c r="A82" s="15">
        <v>2161</v>
      </c>
      <c r="B82" s="16" t="s">
        <v>20</v>
      </c>
      <c r="C82" s="17" t="s">
        <v>21</v>
      </c>
      <c r="D82" s="18">
        <v>6373</v>
      </c>
      <c r="E82" s="18" t="s">
        <v>109</v>
      </c>
      <c r="F82" s="19" t="s">
        <v>56</v>
      </c>
      <c r="G82" s="16" t="s">
        <v>57</v>
      </c>
      <c r="H82" s="19" t="s">
        <v>58</v>
      </c>
      <c r="I82" s="20" t="s">
        <v>23</v>
      </c>
      <c r="J82" s="21">
        <v>1</v>
      </c>
      <c r="K82" s="26" t="s">
        <v>113</v>
      </c>
      <c r="L82" s="31" t="s">
        <v>114</v>
      </c>
      <c r="M82" s="26" t="s">
        <v>115</v>
      </c>
      <c r="N82" s="24">
        <v>12</v>
      </c>
      <c r="O82" s="21">
        <v>0.2</v>
      </c>
      <c r="P82" s="24">
        <v>14</v>
      </c>
      <c r="Q82" s="21">
        <f>ROUND(IF(OR(N82="",P82=""),0,IF(AND(N82=0,P82=0),1,IF(S82="+",P82/N82,N82/P82))),2)</f>
        <v>0.86</v>
      </c>
      <c r="R82" s="22">
        <f t="shared" si="26"/>
        <v>17.200000000000003</v>
      </c>
      <c r="S82" s="21" t="s">
        <v>25</v>
      </c>
      <c r="T82" s="21"/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hidden="1" x14ac:dyDescent="0.2">
      <c r="A83" s="15">
        <v>2162</v>
      </c>
      <c r="B83" s="16" t="s">
        <v>20</v>
      </c>
      <c r="C83" s="17" t="s">
        <v>21</v>
      </c>
      <c r="D83" s="18">
        <v>6373</v>
      </c>
      <c r="E83" s="18" t="s">
        <v>109</v>
      </c>
      <c r="F83" s="19" t="s">
        <v>56</v>
      </c>
      <c r="G83" s="16" t="s">
        <v>57</v>
      </c>
      <c r="H83" s="19" t="s">
        <v>58</v>
      </c>
      <c r="I83" s="20" t="s">
        <v>23</v>
      </c>
      <c r="J83" s="21">
        <v>1</v>
      </c>
      <c r="K83" s="26" t="s">
        <v>116</v>
      </c>
      <c r="L83" s="31" t="s">
        <v>117</v>
      </c>
      <c r="M83" s="26" t="s">
        <v>118</v>
      </c>
      <c r="N83" s="21">
        <v>0.95</v>
      </c>
      <c r="O83" s="21">
        <v>0.15</v>
      </c>
      <c r="P83" s="25">
        <v>0.9</v>
      </c>
      <c r="Q83" s="21">
        <f t="shared" ref="Q83:Q86" si="27">ROUND(IF(OR(N83="",P83=""),0,IF(AND(N83=0,P83=0),1,IF(S83="+",P83/N83,N83/P83))),2)</f>
        <v>0.95</v>
      </c>
      <c r="R83" s="22">
        <f t="shared" si="26"/>
        <v>14.249999999999998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hidden="1" x14ac:dyDescent="0.2">
      <c r="A84" s="15">
        <v>2163</v>
      </c>
      <c r="B84" s="16" t="s">
        <v>20</v>
      </c>
      <c r="C84" s="17" t="s">
        <v>21</v>
      </c>
      <c r="D84" s="18">
        <v>6373</v>
      </c>
      <c r="E84" s="18" t="s">
        <v>109</v>
      </c>
      <c r="F84" s="19" t="s">
        <v>56</v>
      </c>
      <c r="G84" s="16" t="s">
        <v>57</v>
      </c>
      <c r="H84" s="19" t="s">
        <v>58</v>
      </c>
      <c r="I84" s="20" t="s">
        <v>23</v>
      </c>
      <c r="J84" s="21">
        <v>1</v>
      </c>
      <c r="K84" s="26" t="s">
        <v>119</v>
      </c>
      <c r="L84" s="31" t="s">
        <v>120</v>
      </c>
      <c r="M84" s="26" t="s">
        <v>121</v>
      </c>
      <c r="N84" s="25">
        <v>0.95</v>
      </c>
      <c r="O84" s="21">
        <v>0.2</v>
      </c>
      <c r="P84" s="65">
        <v>0.85</v>
      </c>
      <c r="Q84" s="21">
        <f t="shared" si="27"/>
        <v>0.89</v>
      </c>
      <c r="R84" s="22">
        <f t="shared" si="26"/>
        <v>17.8</v>
      </c>
      <c r="S84" s="21" t="s">
        <v>24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hidden="1" x14ac:dyDescent="0.2">
      <c r="A85" s="15">
        <v>2164</v>
      </c>
      <c r="B85" s="16" t="s">
        <v>20</v>
      </c>
      <c r="C85" s="17" t="s">
        <v>21</v>
      </c>
      <c r="D85" s="18">
        <v>6373</v>
      </c>
      <c r="E85" s="18" t="s">
        <v>109</v>
      </c>
      <c r="F85" s="19" t="s">
        <v>56</v>
      </c>
      <c r="G85" s="16" t="s">
        <v>57</v>
      </c>
      <c r="H85" s="19" t="s">
        <v>58</v>
      </c>
      <c r="I85" s="20" t="s">
        <v>23</v>
      </c>
      <c r="J85" s="21">
        <v>1</v>
      </c>
      <c r="K85" s="26" t="s">
        <v>122</v>
      </c>
      <c r="L85" s="31" t="s">
        <v>85</v>
      </c>
      <c r="M85" s="26" t="s">
        <v>86</v>
      </c>
      <c r="N85" s="64">
        <v>0.9</v>
      </c>
      <c r="O85" s="21">
        <v>0.15</v>
      </c>
      <c r="P85" s="80">
        <v>0.85</v>
      </c>
      <c r="Q85" s="21">
        <f t="shared" si="27"/>
        <v>0.94</v>
      </c>
      <c r="R85" s="22">
        <f t="shared" si="26"/>
        <v>14.099999999999998</v>
      </c>
      <c r="S85" s="21" t="s">
        <v>24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hidden="1" x14ac:dyDescent="0.2">
      <c r="A86" s="15">
        <v>2165</v>
      </c>
      <c r="B86" s="16" t="s">
        <v>20</v>
      </c>
      <c r="C86" s="17" t="s">
        <v>21</v>
      </c>
      <c r="D86" s="18">
        <v>6373</v>
      </c>
      <c r="E86" s="18" t="s">
        <v>109</v>
      </c>
      <c r="F86" s="19" t="s">
        <v>56</v>
      </c>
      <c r="G86" s="16" t="s">
        <v>57</v>
      </c>
      <c r="H86" s="19" t="s">
        <v>58</v>
      </c>
      <c r="I86" s="27" t="s">
        <v>23</v>
      </c>
      <c r="J86" s="21">
        <v>1</v>
      </c>
      <c r="K86" s="27" t="s">
        <v>123</v>
      </c>
      <c r="L86" s="32" t="s">
        <v>124</v>
      </c>
      <c r="M86" s="27" t="s">
        <v>125</v>
      </c>
      <c r="N86" s="28">
        <v>0.05</v>
      </c>
      <c r="O86" s="29">
        <v>0.1</v>
      </c>
      <c r="P86" s="80">
        <v>0.05</v>
      </c>
      <c r="Q86" s="29">
        <f t="shared" si="27"/>
        <v>1</v>
      </c>
      <c r="R86" s="30">
        <f t="shared" si="26"/>
        <v>10</v>
      </c>
      <c r="S86" s="29" t="s">
        <v>25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</sheetData>
  <autoFilter ref="A1:T86" xr:uid="{7EF4661B-8CB2-466F-8DBB-EB69CD48EE90}">
    <filterColumn colId="4">
      <filters>
        <filter val="الهام احمدیان"/>
      </filters>
    </filterColumn>
  </autoFilter>
  <conditionalFormatting sqref="I1:I4 K1:M4 K7:M14 I7:I15 K17:M17 K81:M86 I81:I86">
    <cfRule type="cellIs" dxfId="128" priority="39" operator="equal">
      <formula>"maintasks"</formula>
    </cfRule>
  </conditionalFormatting>
  <conditionalFormatting sqref="K5:M5 I5:I6">
    <cfRule type="cellIs" dxfId="127" priority="36" operator="equal">
      <formula>"maintasks"</formula>
    </cfRule>
  </conditionalFormatting>
  <conditionalFormatting sqref="K6:L6">
    <cfRule type="cellIs" dxfId="126" priority="35" operator="equal">
      <formula>"maintasks"</formula>
    </cfRule>
  </conditionalFormatting>
  <conditionalFormatting sqref="I18:I20 K18:M19 K23:M26 I23:I26">
    <cfRule type="cellIs" dxfId="125" priority="34" operator="equal">
      <formula>"maintasks"</formula>
    </cfRule>
  </conditionalFormatting>
  <conditionalFormatting sqref="K21:M21 I21:I22">
    <cfRule type="cellIs" dxfId="124" priority="33" operator="equal">
      <formula>"maintasks"</formula>
    </cfRule>
  </conditionalFormatting>
  <conditionalFormatting sqref="K22:L22">
    <cfRule type="cellIs" dxfId="123" priority="32" operator="equal">
      <formula>"maintasks"</formula>
    </cfRule>
  </conditionalFormatting>
  <conditionalFormatting sqref="I27:I29 K27:M28 K32:M35 I32:I35">
    <cfRule type="cellIs" dxfId="122" priority="31" operator="equal">
      <formula>"maintasks"</formula>
    </cfRule>
  </conditionalFormatting>
  <conditionalFormatting sqref="K30:M30 I30:I31">
    <cfRule type="cellIs" dxfId="121" priority="30" operator="equal">
      <formula>"maintasks"</formula>
    </cfRule>
  </conditionalFormatting>
  <conditionalFormatting sqref="K31:L31">
    <cfRule type="cellIs" dxfId="120" priority="29" operator="equal">
      <formula>"maintasks"</formula>
    </cfRule>
  </conditionalFormatting>
  <conditionalFormatting sqref="I36:I38 K36:M37 K41:M44 I41:I44">
    <cfRule type="cellIs" dxfId="119" priority="28" operator="equal">
      <formula>"maintasks"</formula>
    </cfRule>
  </conditionalFormatting>
  <conditionalFormatting sqref="K39:M39 I39:I40">
    <cfRule type="cellIs" dxfId="118" priority="27" operator="equal">
      <formula>"maintasks"</formula>
    </cfRule>
  </conditionalFormatting>
  <conditionalFormatting sqref="K40:L40">
    <cfRule type="cellIs" dxfId="117" priority="26" operator="equal">
      <formula>"maintasks"</formula>
    </cfRule>
  </conditionalFormatting>
  <conditionalFormatting sqref="I45:I47 K45:M46 K50:M53 I50:I53">
    <cfRule type="cellIs" dxfId="116" priority="25" operator="equal">
      <formula>"maintasks"</formula>
    </cfRule>
  </conditionalFormatting>
  <conditionalFormatting sqref="K48:M48 I48:I49">
    <cfRule type="cellIs" dxfId="115" priority="24" operator="equal">
      <formula>"maintasks"</formula>
    </cfRule>
  </conditionalFormatting>
  <conditionalFormatting sqref="K49:L49">
    <cfRule type="cellIs" dxfId="114" priority="23" operator="equal">
      <formula>"maintasks"</formula>
    </cfRule>
  </conditionalFormatting>
  <conditionalFormatting sqref="I54:I56 K54:M55 K59:M62 I59:I62">
    <cfRule type="cellIs" dxfId="113" priority="22" operator="equal">
      <formula>"maintasks"</formula>
    </cfRule>
  </conditionalFormatting>
  <conditionalFormatting sqref="K57:M57 I57:I58">
    <cfRule type="cellIs" dxfId="112" priority="21" operator="equal">
      <formula>"maintasks"</formula>
    </cfRule>
  </conditionalFormatting>
  <conditionalFormatting sqref="K58:L58">
    <cfRule type="cellIs" dxfId="111" priority="20" operator="equal">
      <formula>"maintasks"</formula>
    </cfRule>
  </conditionalFormatting>
  <conditionalFormatting sqref="I63:I65 K63:M64 K68:M71 I68:I71">
    <cfRule type="cellIs" dxfId="110" priority="19" operator="equal">
      <formula>"maintasks"</formula>
    </cfRule>
  </conditionalFormatting>
  <conditionalFormatting sqref="K66:M66 I66:I67">
    <cfRule type="cellIs" dxfId="109" priority="18" operator="equal">
      <formula>"maintasks"</formula>
    </cfRule>
  </conditionalFormatting>
  <conditionalFormatting sqref="K67:L67">
    <cfRule type="cellIs" dxfId="108" priority="17" operator="equal">
      <formula>"maintasks"</formula>
    </cfRule>
  </conditionalFormatting>
  <conditionalFormatting sqref="K29:M29">
    <cfRule type="cellIs" dxfId="107" priority="12" operator="equal">
      <formula>"maintasks"</formula>
    </cfRule>
  </conditionalFormatting>
  <conditionalFormatting sqref="K38:M38">
    <cfRule type="cellIs" dxfId="106" priority="11" operator="equal">
      <formula>"maintasks"</formula>
    </cfRule>
  </conditionalFormatting>
  <conditionalFormatting sqref="K47:M47">
    <cfRule type="cellIs" dxfId="105" priority="10" operator="equal">
      <formula>"maintasks"</formula>
    </cfRule>
  </conditionalFormatting>
  <conditionalFormatting sqref="K20:M20">
    <cfRule type="cellIs" dxfId="104" priority="13" operator="equal">
      <formula>"maintasks"</formula>
    </cfRule>
  </conditionalFormatting>
  <conditionalFormatting sqref="K56:M56">
    <cfRule type="cellIs" dxfId="103" priority="9" operator="equal">
      <formula>"maintasks"</formula>
    </cfRule>
  </conditionalFormatting>
  <conditionalFormatting sqref="K65:M65">
    <cfRule type="cellIs" dxfId="102" priority="8" operator="equal">
      <formula>"maintasks"</formula>
    </cfRule>
  </conditionalFormatting>
  <conditionalFormatting sqref="K75:M75 I75:I76">
    <cfRule type="cellIs" dxfId="101" priority="3" operator="equal">
      <formula>"maintasks"</formula>
    </cfRule>
  </conditionalFormatting>
  <conditionalFormatting sqref="I16:I17">
    <cfRule type="cellIs" dxfId="100" priority="6" operator="equal">
      <formula>"maintasks"</formula>
    </cfRule>
  </conditionalFormatting>
  <conditionalFormatting sqref="K15:M16">
    <cfRule type="cellIs" dxfId="99" priority="5" operator="equal">
      <formula>"maintasks"</formula>
    </cfRule>
  </conditionalFormatting>
  <conditionalFormatting sqref="K74:M74">
    <cfRule type="cellIs" dxfId="98" priority="1" operator="equal">
      <formula>"maintasks"</formula>
    </cfRule>
  </conditionalFormatting>
  <conditionalFormatting sqref="I72:I74 K72:M73 K77:M80 I77:I80">
    <cfRule type="cellIs" dxfId="97" priority="4" operator="equal">
      <formula>"maintasks"</formula>
    </cfRule>
  </conditionalFormatting>
  <conditionalFormatting sqref="K76:L76">
    <cfRule type="cellIs" dxfId="96" priority="2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887A-DAB7-47A2-A55D-5C282577C26D}">
  <sheetPr>
    <tabColor rgb="FF00B050"/>
  </sheetPr>
  <dimension ref="A1:AV161"/>
  <sheetViews>
    <sheetView zoomScale="130" zoomScaleNormal="13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5" sqref="P5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5"/>
    <col min="5" max="5" width="19.77734375" style="33" bestFit="1" customWidth="1"/>
    <col min="6" max="6" width="16.44140625" style="33" customWidth="1"/>
    <col min="7" max="7" width="12.5546875" style="33" customWidth="1"/>
    <col min="8" max="8" width="18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8.88671875" style="33" bestFit="1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21</v>
      </c>
      <c r="D2" s="34" t="s">
        <v>126</v>
      </c>
      <c r="E2" s="16" t="s">
        <v>127</v>
      </c>
      <c r="F2" s="19" t="s">
        <v>128</v>
      </c>
      <c r="G2" s="16" t="s">
        <v>29</v>
      </c>
      <c r="H2" s="19" t="s">
        <v>129</v>
      </c>
      <c r="I2" s="20" t="s">
        <v>23</v>
      </c>
      <c r="J2" s="21">
        <v>0.8</v>
      </c>
      <c r="K2" s="26" t="s">
        <v>30</v>
      </c>
      <c r="L2" s="31" t="s">
        <v>130</v>
      </c>
      <c r="M2" s="1" t="s">
        <v>131</v>
      </c>
      <c r="N2" s="21">
        <v>0.95</v>
      </c>
      <c r="O2" s="21">
        <v>0.15</v>
      </c>
      <c r="P2" s="21">
        <v>0.95</v>
      </c>
      <c r="Q2" s="21">
        <f t="shared" ref="Q2:Q10" si="0">ROUND(IF(OR(N2="",P2=""),0,IF(AND(N2=0,P2=0),1,IF(S2="+",P2/N2,N2/P2))),2)</f>
        <v>1</v>
      </c>
      <c r="R2" s="22">
        <f t="shared" ref="R2:R41" si="1">IF(AND(Q2&gt;=60%,Q2&lt;100%),Q2*((O2*J2)),IF(Q2=100%,((O2*J2)*Q2)*100%,IF(Q2&gt;100%,((J2*O2)*100%)*100%,0)))*100</f>
        <v>12</v>
      </c>
      <c r="S2" s="21" t="s">
        <v>24</v>
      </c>
      <c r="T2" s="23">
        <f>SUM(R2:R9)%</f>
        <v>0.85040000000000004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21</v>
      </c>
      <c r="D3" s="34" t="s">
        <v>126</v>
      </c>
      <c r="E3" s="16" t="s">
        <v>127</v>
      </c>
      <c r="F3" s="19" t="s">
        <v>128</v>
      </c>
      <c r="G3" s="16" t="s">
        <v>29</v>
      </c>
      <c r="H3" s="19" t="s">
        <v>129</v>
      </c>
      <c r="I3" s="20" t="s">
        <v>23</v>
      </c>
      <c r="J3" s="21">
        <v>0.8</v>
      </c>
      <c r="K3" s="26" t="s">
        <v>132</v>
      </c>
      <c r="L3" s="31" t="s">
        <v>133</v>
      </c>
      <c r="M3" s="26" t="s">
        <v>134</v>
      </c>
      <c r="N3" s="21">
        <v>0.95</v>
      </c>
      <c r="O3" s="21">
        <v>0.15</v>
      </c>
      <c r="P3" s="25">
        <v>0.96</v>
      </c>
      <c r="Q3" s="21">
        <f t="shared" si="0"/>
        <v>1.01</v>
      </c>
      <c r="R3" s="22">
        <f t="shared" si="1"/>
        <v>12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21</v>
      </c>
      <c r="D4" s="34" t="s">
        <v>126</v>
      </c>
      <c r="E4" s="16" t="s">
        <v>127</v>
      </c>
      <c r="F4" s="19" t="s">
        <v>128</v>
      </c>
      <c r="G4" s="16" t="s">
        <v>29</v>
      </c>
      <c r="H4" s="19" t="s">
        <v>129</v>
      </c>
      <c r="I4" s="20" t="s">
        <v>23</v>
      </c>
      <c r="J4" s="21">
        <v>0.8</v>
      </c>
      <c r="K4" s="26" t="s">
        <v>54</v>
      </c>
      <c r="L4" s="31" t="s">
        <v>135</v>
      </c>
      <c r="M4" s="26" t="s">
        <v>136</v>
      </c>
      <c r="N4" s="25">
        <v>0.05</v>
      </c>
      <c r="O4" s="21">
        <v>0.1</v>
      </c>
      <c r="P4" s="66">
        <v>0.11</v>
      </c>
      <c r="Q4" s="21">
        <f t="shared" si="0"/>
        <v>0.45</v>
      </c>
      <c r="R4" s="22">
        <f t="shared" si="1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21</v>
      </c>
      <c r="D5" s="34" t="s">
        <v>126</v>
      </c>
      <c r="E5" s="16" t="s">
        <v>127</v>
      </c>
      <c r="F5" s="19" t="s">
        <v>128</v>
      </c>
      <c r="G5" s="16" t="s">
        <v>29</v>
      </c>
      <c r="H5" s="19" t="s">
        <v>129</v>
      </c>
      <c r="I5" s="20" t="s">
        <v>23</v>
      </c>
      <c r="J5" s="21">
        <v>0.8</v>
      </c>
      <c r="K5" s="26" t="s">
        <v>31</v>
      </c>
      <c r="L5" s="31" t="s">
        <v>137</v>
      </c>
      <c r="M5" s="26" t="s">
        <v>138</v>
      </c>
      <c r="N5" s="64">
        <v>0.05</v>
      </c>
      <c r="O5" s="21">
        <v>0.1</v>
      </c>
      <c r="P5" s="28">
        <v>0.05</v>
      </c>
      <c r="Q5" s="21">
        <f t="shared" si="0"/>
        <v>1</v>
      </c>
      <c r="R5" s="22">
        <f t="shared" si="1"/>
        <v>8.0000000000000018</v>
      </c>
      <c r="S5" s="21" t="s">
        <v>25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21</v>
      </c>
      <c r="D6" s="34" t="s">
        <v>126</v>
      </c>
      <c r="E6" s="16" t="s">
        <v>127</v>
      </c>
      <c r="F6" s="19" t="s">
        <v>128</v>
      </c>
      <c r="G6" s="16" t="s">
        <v>29</v>
      </c>
      <c r="H6" s="19" t="s">
        <v>129</v>
      </c>
      <c r="I6" s="27" t="s">
        <v>23</v>
      </c>
      <c r="J6" s="21">
        <v>0.8</v>
      </c>
      <c r="K6" s="27" t="s">
        <v>139</v>
      </c>
      <c r="L6" s="32" t="s">
        <v>140</v>
      </c>
      <c r="M6" s="27" t="s">
        <v>141</v>
      </c>
      <c r="N6" s="28">
        <v>0.9</v>
      </c>
      <c r="O6" s="29">
        <v>0.2</v>
      </c>
      <c r="P6" s="28">
        <v>0.85</v>
      </c>
      <c r="Q6" s="29">
        <f t="shared" si="0"/>
        <v>0.94</v>
      </c>
      <c r="R6" s="30">
        <f t="shared" si="1"/>
        <v>15.040000000000003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21</v>
      </c>
      <c r="D7" s="34" t="s">
        <v>126</v>
      </c>
      <c r="E7" s="16" t="s">
        <v>127</v>
      </c>
      <c r="F7" s="19" t="s">
        <v>128</v>
      </c>
      <c r="G7" s="16" t="s">
        <v>29</v>
      </c>
      <c r="H7" s="19" t="s">
        <v>129</v>
      </c>
      <c r="I7" s="27" t="s">
        <v>23</v>
      </c>
      <c r="J7" s="21">
        <v>0.8</v>
      </c>
      <c r="K7" s="27" t="s">
        <v>142</v>
      </c>
      <c r="L7" s="32" t="s">
        <v>143</v>
      </c>
      <c r="M7" s="27" t="s">
        <v>144</v>
      </c>
      <c r="N7" s="28">
        <v>1</v>
      </c>
      <c r="O7" s="29">
        <v>0.1</v>
      </c>
      <c r="P7" s="28">
        <v>1</v>
      </c>
      <c r="Q7" s="29">
        <f t="shared" si="0"/>
        <v>1</v>
      </c>
      <c r="R7" s="30">
        <f t="shared" si="1"/>
        <v>8.0000000000000018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21</v>
      </c>
      <c r="D8" s="34" t="s">
        <v>126</v>
      </c>
      <c r="E8" s="16" t="s">
        <v>127</v>
      </c>
      <c r="F8" s="19" t="s">
        <v>128</v>
      </c>
      <c r="G8" s="16" t="s">
        <v>29</v>
      </c>
      <c r="H8" s="19" t="s">
        <v>129</v>
      </c>
      <c r="I8" s="27" t="s">
        <v>23</v>
      </c>
      <c r="J8" s="21">
        <v>0.8</v>
      </c>
      <c r="K8" s="27" t="s">
        <v>145</v>
      </c>
      <c r="L8" s="32" t="s">
        <v>146</v>
      </c>
      <c r="M8" s="6" t="s">
        <v>147</v>
      </c>
      <c r="N8" s="28">
        <v>0.9</v>
      </c>
      <c r="O8" s="29">
        <v>0.2</v>
      </c>
      <c r="P8" s="67">
        <v>0.90900000000000003</v>
      </c>
      <c r="Q8" s="29">
        <f t="shared" si="0"/>
        <v>1.01</v>
      </c>
      <c r="R8" s="30">
        <f t="shared" si="1"/>
        <v>16.000000000000004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21</v>
      </c>
      <c r="D9" s="34" t="s">
        <v>126</v>
      </c>
      <c r="E9" s="16" t="s">
        <v>127</v>
      </c>
      <c r="F9" s="19" t="s">
        <v>128</v>
      </c>
      <c r="G9" s="16" t="s">
        <v>29</v>
      </c>
      <c r="H9" s="19" t="s">
        <v>129</v>
      </c>
      <c r="I9" s="27" t="s">
        <v>27</v>
      </c>
      <c r="J9" s="28">
        <v>0.2</v>
      </c>
      <c r="K9" s="27" t="s">
        <v>148</v>
      </c>
      <c r="L9" s="32" t="s">
        <v>149</v>
      </c>
      <c r="M9" s="6" t="s">
        <v>150</v>
      </c>
      <c r="N9" s="28">
        <v>1</v>
      </c>
      <c r="O9" s="29">
        <v>1</v>
      </c>
      <c r="P9" s="28">
        <v>0.7</v>
      </c>
      <c r="Q9" s="29">
        <f t="shared" si="0"/>
        <v>0.7</v>
      </c>
      <c r="R9" s="30">
        <f t="shared" si="1"/>
        <v>13.999999999999998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21</v>
      </c>
      <c r="D10" s="34">
        <v>3752</v>
      </c>
      <c r="E10" s="16" t="s">
        <v>151</v>
      </c>
      <c r="F10" s="19" t="s">
        <v>128</v>
      </c>
      <c r="G10" s="16" t="s">
        <v>29</v>
      </c>
      <c r="H10" s="19" t="s">
        <v>129</v>
      </c>
      <c r="I10" s="20" t="s">
        <v>23</v>
      </c>
      <c r="J10" s="21">
        <v>0.8</v>
      </c>
      <c r="K10" s="26" t="s">
        <v>30</v>
      </c>
      <c r="L10" s="31" t="s">
        <v>130</v>
      </c>
      <c r="M10" s="1" t="s">
        <v>131</v>
      </c>
      <c r="N10" s="21">
        <v>0.95</v>
      </c>
      <c r="O10" s="21">
        <v>0.15</v>
      </c>
      <c r="P10" s="21">
        <v>0.95</v>
      </c>
      <c r="Q10" s="21">
        <f t="shared" si="0"/>
        <v>1</v>
      </c>
      <c r="R10" s="22">
        <f t="shared" si="1"/>
        <v>12</v>
      </c>
      <c r="S10" s="21" t="s">
        <v>24</v>
      </c>
      <c r="T10" s="23">
        <f>SUM(R10:R17)%</f>
        <v>0.66720000000000002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21</v>
      </c>
      <c r="D11" s="34">
        <v>3752</v>
      </c>
      <c r="E11" s="16" t="s">
        <v>151</v>
      </c>
      <c r="F11" s="19" t="s">
        <v>128</v>
      </c>
      <c r="G11" s="16" t="s">
        <v>29</v>
      </c>
      <c r="H11" s="19" t="s">
        <v>129</v>
      </c>
      <c r="I11" s="20" t="s">
        <v>23</v>
      </c>
      <c r="J11" s="21">
        <v>0.8</v>
      </c>
      <c r="K11" s="26" t="s">
        <v>132</v>
      </c>
      <c r="L11" s="31" t="s">
        <v>133</v>
      </c>
      <c r="M11" s="26" t="s">
        <v>134</v>
      </c>
      <c r="N11" s="21">
        <v>0.95</v>
      </c>
      <c r="O11" s="21">
        <v>0.15</v>
      </c>
      <c r="P11" s="25">
        <v>0.95</v>
      </c>
      <c r="Q11" s="21">
        <f t="shared" ref="Q11:Q18" si="2">ROUND(IF(OR(N11="",P11=""),0,IF(AND(N11=0,P11=0),1,IF(S11="+",P11/N11,N11/P11))),2)</f>
        <v>1</v>
      </c>
      <c r="R11" s="22">
        <f t="shared" si="1"/>
        <v>12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21</v>
      </c>
      <c r="D12" s="34">
        <v>3752</v>
      </c>
      <c r="E12" s="16" t="s">
        <v>151</v>
      </c>
      <c r="F12" s="19" t="s">
        <v>128</v>
      </c>
      <c r="G12" s="16" t="s">
        <v>29</v>
      </c>
      <c r="H12" s="19" t="s">
        <v>129</v>
      </c>
      <c r="I12" s="20" t="s">
        <v>23</v>
      </c>
      <c r="J12" s="21">
        <v>0.8</v>
      </c>
      <c r="K12" s="26" t="s">
        <v>54</v>
      </c>
      <c r="L12" s="31" t="s">
        <v>135</v>
      </c>
      <c r="M12" s="26" t="s">
        <v>136</v>
      </c>
      <c r="N12" s="25">
        <v>0.05</v>
      </c>
      <c r="O12" s="21">
        <v>0.1</v>
      </c>
      <c r="P12" s="66">
        <v>0.11</v>
      </c>
      <c r="Q12" s="21">
        <f t="shared" si="2"/>
        <v>0.45</v>
      </c>
      <c r="R12" s="22">
        <f t="shared" si="1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21</v>
      </c>
      <c r="D13" s="34">
        <v>3752</v>
      </c>
      <c r="E13" s="16" t="s">
        <v>151</v>
      </c>
      <c r="F13" s="19" t="s">
        <v>128</v>
      </c>
      <c r="G13" s="16" t="s">
        <v>29</v>
      </c>
      <c r="H13" s="19" t="s">
        <v>129</v>
      </c>
      <c r="I13" s="20" t="s">
        <v>23</v>
      </c>
      <c r="J13" s="21">
        <v>0.8</v>
      </c>
      <c r="K13" s="26" t="s">
        <v>31</v>
      </c>
      <c r="L13" s="31" t="s">
        <v>137</v>
      </c>
      <c r="M13" s="26" t="s">
        <v>138</v>
      </c>
      <c r="N13" s="25">
        <v>0.05</v>
      </c>
      <c r="O13" s="21">
        <v>0.1</v>
      </c>
      <c r="P13" s="28">
        <v>0.05</v>
      </c>
      <c r="Q13" s="21">
        <f t="shared" si="2"/>
        <v>1</v>
      </c>
      <c r="R13" s="22">
        <f t="shared" si="1"/>
        <v>8.0000000000000018</v>
      </c>
      <c r="S13" s="21" t="s">
        <v>25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21</v>
      </c>
      <c r="D14" s="34">
        <v>3752</v>
      </c>
      <c r="E14" s="16" t="s">
        <v>151</v>
      </c>
      <c r="F14" s="19" t="s">
        <v>128</v>
      </c>
      <c r="G14" s="16" t="s">
        <v>29</v>
      </c>
      <c r="H14" s="19" t="s">
        <v>129</v>
      </c>
      <c r="I14" s="27" t="s">
        <v>23</v>
      </c>
      <c r="J14" s="21">
        <v>0.8</v>
      </c>
      <c r="K14" s="27" t="s">
        <v>139</v>
      </c>
      <c r="L14" s="32" t="s">
        <v>140</v>
      </c>
      <c r="M14" s="27" t="s">
        <v>141</v>
      </c>
      <c r="N14" s="28">
        <v>0.9</v>
      </c>
      <c r="O14" s="29">
        <v>0.2</v>
      </c>
      <c r="P14" s="28">
        <v>0.6</v>
      </c>
      <c r="Q14" s="29">
        <f t="shared" si="2"/>
        <v>0.67</v>
      </c>
      <c r="R14" s="30">
        <f t="shared" si="1"/>
        <v>10.720000000000002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21</v>
      </c>
      <c r="D15" s="34">
        <v>3752</v>
      </c>
      <c r="E15" s="16" t="s">
        <v>151</v>
      </c>
      <c r="F15" s="19" t="s">
        <v>128</v>
      </c>
      <c r="G15" s="16" t="s">
        <v>29</v>
      </c>
      <c r="H15" s="19" t="s">
        <v>129</v>
      </c>
      <c r="I15" s="27" t="s">
        <v>23</v>
      </c>
      <c r="J15" s="21">
        <v>0.8</v>
      </c>
      <c r="K15" s="27" t="s">
        <v>142</v>
      </c>
      <c r="L15" s="32" t="s">
        <v>143</v>
      </c>
      <c r="M15" s="27" t="s">
        <v>144</v>
      </c>
      <c r="N15" s="28">
        <v>1</v>
      </c>
      <c r="O15" s="29">
        <v>0.1</v>
      </c>
      <c r="P15" s="28">
        <v>1</v>
      </c>
      <c r="Q15" s="29">
        <f t="shared" si="2"/>
        <v>1</v>
      </c>
      <c r="R15" s="30">
        <f t="shared" si="1"/>
        <v>8.0000000000000018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21</v>
      </c>
      <c r="D16" s="34">
        <v>3752</v>
      </c>
      <c r="E16" s="16" t="s">
        <v>151</v>
      </c>
      <c r="F16" s="19" t="s">
        <v>128</v>
      </c>
      <c r="G16" s="16" t="s">
        <v>29</v>
      </c>
      <c r="H16" s="19" t="s">
        <v>129</v>
      </c>
      <c r="I16" s="27" t="s">
        <v>23</v>
      </c>
      <c r="J16" s="21">
        <v>0.8</v>
      </c>
      <c r="K16" s="27" t="s">
        <v>145</v>
      </c>
      <c r="L16" s="32" t="s">
        <v>146</v>
      </c>
      <c r="M16" s="6" t="s">
        <v>147</v>
      </c>
      <c r="N16" s="28">
        <v>0.9</v>
      </c>
      <c r="O16" s="29">
        <v>0.2</v>
      </c>
      <c r="P16" s="67">
        <v>0.90900000000000003</v>
      </c>
      <c r="Q16" s="29">
        <f t="shared" si="2"/>
        <v>1.01</v>
      </c>
      <c r="R16" s="30">
        <f t="shared" si="1"/>
        <v>16.000000000000004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21</v>
      </c>
      <c r="D17" s="34">
        <v>3752</v>
      </c>
      <c r="E17" s="16" t="s">
        <v>151</v>
      </c>
      <c r="F17" s="19" t="s">
        <v>128</v>
      </c>
      <c r="G17" s="16" t="s">
        <v>29</v>
      </c>
      <c r="H17" s="19" t="s">
        <v>129</v>
      </c>
      <c r="I17" s="27" t="s">
        <v>27</v>
      </c>
      <c r="J17" s="28">
        <v>0.2</v>
      </c>
      <c r="K17" s="27" t="s">
        <v>148</v>
      </c>
      <c r="L17" s="32" t="s">
        <v>149</v>
      </c>
      <c r="M17" s="6" t="s">
        <v>150</v>
      </c>
      <c r="N17" s="28">
        <v>1</v>
      </c>
      <c r="O17" s="29">
        <v>1</v>
      </c>
      <c r="P17" s="28">
        <v>0.4</v>
      </c>
      <c r="Q17" s="29">
        <f t="shared" si="2"/>
        <v>0.4</v>
      </c>
      <c r="R17" s="30">
        <f t="shared" si="1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21</v>
      </c>
      <c r="D18" s="34">
        <v>3838</v>
      </c>
      <c r="E18" s="16" t="s">
        <v>152</v>
      </c>
      <c r="F18" s="19" t="s">
        <v>153</v>
      </c>
      <c r="G18" s="16" t="s">
        <v>29</v>
      </c>
      <c r="H18" s="19" t="s">
        <v>129</v>
      </c>
      <c r="I18" s="20" t="s">
        <v>23</v>
      </c>
      <c r="J18" s="21">
        <v>0.8</v>
      </c>
      <c r="K18" s="26" t="s">
        <v>30</v>
      </c>
      <c r="L18" s="31" t="s">
        <v>130</v>
      </c>
      <c r="M18" s="1" t="s">
        <v>131</v>
      </c>
      <c r="N18" s="21">
        <v>0.95</v>
      </c>
      <c r="O18" s="21">
        <v>0.15</v>
      </c>
      <c r="P18" s="21">
        <v>0.95</v>
      </c>
      <c r="Q18" s="21">
        <f t="shared" si="2"/>
        <v>1</v>
      </c>
      <c r="R18" s="22">
        <f t="shared" si="1"/>
        <v>12</v>
      </c>
      <c r="S18" s="21" t="s">
        <v>24</v>
      </c>
      <c r="T18" s="23">
        <f>SUM(R18:R25)%</f>
        <v>0.86040000000000005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21</v>
      </c>
      <c r="D19" s="34">
        <v>3838</v>
      </c>
      <c r="E19" s="16" t="s">
        <v>152</v>
      </c>
      <c r="F19" s="19" t="s">
        <v>153</v>
      </c>
      <c r="G19" s="16" t="s">
        <v>29</v>
      </c>
      <c r="H19" s="19" t="s">
        <v>129</v>
      </c>
      <c r="I19" s="20" t="s">
        <v>23</v>
      </c>
      <c r="J19" s="21">
        <v>0.8</v>
      </c>
      <c r="K19" s="26" t="s">
        <v>132</v>
      </c>
      <c r="L19" s="31" t="s">
        <v>133</v>
      </c>
      <c r="M19" s="26" t="s">
        <v>134</v>
      </c>
      <c r="N19" s="21">
        <v>0.95</v>
      </c>
      <c r="O19" s="21">
        <v>0.15</v>
      </c>
      <c r="P19" s="25">
        <v>0.95</v>
      </c>
      <c r="Q19" s="21">
        <f t="shared" ref="Q19:Q26" si="3">ROUND(IF(OR(N19="",P19=""),0,IF(AND(N19=0,P19=0),1,IF(S19="+",P19/N19,N19/P19))),2)</f>
        <v>1</v>
      </c>
      <c r="R19" s="22">
        <f t="shared" si="1"/>
        <v>12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21</v>
      </c>
      <c r="D20" s="34">
        <v>3838</v>
      </c>
      <c r="E20" s="16" t="s">
        <v>152</v>
      </c>
      <c r="F20" s="19" t="s">
        <v>153</v>
      </c>
      <c r="G20" s="16" t="s">
        <v>29</v>
      </c>
      <c r="H20" s="19" t="s">
        <v>129</v>
      </c>
      <c r="I20" s="20" t="s">
        <v>23</v>
      </c>
      <c r="J20" s="21">
        <v>0.8</v>
      </c>
      <c r="K20" s="26" t="s">
        <v>54</v>
      </c>
      <c r="L20" s="31" t="s">
        <v>135</v>
      </c>
      <c r="M20" s="26" t="s">
        <v>136</v>
      </c>
      <c r="N20" s="25">
        <v>0.05</v>
      </c>
      <c r="O20" s="21">
        <v>0.1</v>
      </c>
      <c r="P20" s="66">
        <v>0.11</v>
      </c>
      <c r="Q20" s="21">
        <f t="shared" si="3"/>
        <v>0.45</v>
      </c>
      <c r="R20" s="22">
        <f t="shared" si="1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21</v>
      </c>
      <c r="D21" s="34">
        <v>3838</v>
      </c>
      <c r="E21" s="16" t="s">
        <v>152</v>
      </c>
      <c r="F21" s="19" t="s">
        <v>153</v>
      </c>
      <c r="G21" s="16" t="s">
        <v>29</v>
      </c>
      <c r="H21" s="19" t="s">
        <v>129</v>
      </c>
      <c r="I21" s="20" t="s">
        <v>23</v>
      </c>
      <c r="J21" s="21">
        <v>0.8</v>
      </c>
      <c r="K21" s="26" t="s">
        <v>31</v>
      </c>
      <c r="L21" s="31" t="s">
        <v>137</v>
      </c>
      <c r="M21" s="26" t="s">
        <v>138</v>
      </c>
      <c r="N21" s="25">
        <v>0.05</v>
      </c>
      <c r="O21" s="21">
        <v>0.1</v>
      </c>
      <c r="P21" s="28">
        <v>0.05</v>
      </c>
      <c r="Q21" s="21">
        <f t="shared" si="3"/>
        <v>1</v>
      </c>
      <c r="R21" s="22">
        <f t="shared" si="1"/>
        <v>8.0000000000000018</v>
      </c>
      <c r="S21" s="21" t="s">
        <v>25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21</v>
      </c>
      <c r="D22" s="34">
        <v>3838</v>
      </c>
      <c r="E22" s="16" t="s">
        <v>152</v>
      </c>
      <c r="F22" s="19" t="s">
        <v>153</v>
      </c>
      <c r="G22" s="16" t="s">
        <v>29</v>
      </c>
      <c r="H22" s="19" t="s">
        <v>129</v>
      </c>
      <c r="I22" s="27" t="s">
        <v>23</v>
      </c>
      <c r="J22" s="21">
        <v>0.8</v>
      </c>
      <c r="K22" s="27" t="s">
        <v>139</v>
      </c>
      <c r="L22" s="32" t="s">
        <v>140</v>
      </c>
      <c r="M22" s="27" t="s">
        <v>141</v>
      </c>
      <c r="N22" s="28">
        <v>0.9</v>
      </c>
      <c r="O22" s="29">
        <v>0.2</v>
      </c>
      <c r="P22" s="28">
        <v>0.85</v>
      </c>
      <c r="Q22" s="29">
        <f t="shared" si="3"/>
        <v>0.94</v>
      </c>
      <c r="R22" s="30">
        <f t="shared" si="1"/>
        <v>15.040000000000003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21</v>
      </c>
      <c r="D23" s="34">
        <v>3838</v>
      </c>
      <c r="E23" s="16" t="s">
        <v>152</v>
      </c>
      <c r="F23" s="19" t="s">
        <v>153</v>
      </c>
      <c r="G23" s="16" t="s">
        <v>29</v>
      </c>
      <c r="H23" s="19" t="s">
        <v>129</v>
      </c>
      <c r="I23" s="27" t="s">
        <v>23</v>
      </c>
      <c r="J23" s="21">
        <v>0.8</v>
      </c>
      <c r="K23" s="27" t="s">
        <v>142</v>
      </c>
      <c r="L23" s="32" t="s">
        <v>143</v>
      </c>
      <c r="M23" s="27" t="s">
        <v>144</v>
      </c>
      <c r="N23" s="28">
        <v>1</v>
      </c>
      <c r="O23" s="29">
        <v>0.1</v>
      </c>
      <c r="P23" s="28">
        <v>1</v>
      </c>
      <c r="Q23" s="29">
        <f t="shared" si="3"/>
        <v>1</v>
      </c>
      <c r="R23" s="30">
        <f t="shared" si="1"/>
        <v>8.0000000000000018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21</v>
      </c>
      <c r="D24" s="34">
        <v>3838</v>
      </c>
      <c r="E24" s="16" t="s">
        <v>152</v>
      </c>
      <c r="F24" s="19" t="s">
        <v>153</v>
      </c>
      <c r="G24" s="16" t="s">
        <v>29</v>
      </c>
      <c r="H24" s="19" t="s">
        <v>129</v>
      </c>
      <c r="I24" s="27" t="s">
        <v>23</v>
      </c>
      <c r="J24" s="21">
        <v>0.8</v>
      </c>
      <c r="K24" s="27" t="s">
        <v>145</v>
      </c>
      <c r="L24" s="32" t="s">
        <v>146</v>
      </c>
      <c r="M24" s="6" t="s">
        <v>147</v>
      </c>
      <c r="N24" s="28">
        <v>0.9</v>
      </c>
      <c r="O24" s="29">
        <v>0.2</v>
      </c>
      <c r="P24" s="67">
        <v>0.90900000000000003</v>
      </c>
      <c r="Q24" s="29">
        <f t="shared" si="3"/>
        <v>1.01</v>
      </c>
      <c r="R24" s="30">
        <f t="shared" si="1"/>
        <v>16.000000000000004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21</v>
      </c>
      <c r="D25" s="34">
        <v>3838</v>
      </c>
      <c r="E25" s="16" t="s">
        <v>152</v>
      </c>
      <c r="F25" s="19" t="s">
        <v>153</v>
      </c>
      <c r="G25" s="16" t="s">
        <v>29</v>
      </c>
      <c r="H25" s="19" t="s">
        <v>129</v>
      </c>
      <c r="I25" s="27" t="s">
        <v>27</v>
      </c>
      <c r="J25" s="28">
        <v>0.2</v>
      </c>
      <c r="K25" s="27" t="s">
        <v>148</v>
      </c>
      <c r="L25" s="32" t="s">
        <v>149</v>
      </c>
      <c r="M25" s="6" t="s">
        <v>150</v>
      </c>
      <c r="N25" s="28">
        <v>1</v>
      </c>
      <c r="O25" s="29">
        <v>1</v>
      </c>
      <c r="P25" s="28">
        <v>0.75</v>
      </c>
      <c r="Q25" s="29">
        <f t="shared" si="3"/>
        <v>0.75</v>
      </c>
      <c r="R25" s="30">
        <f t="shared" si="1"/>
        <v>15.000000000000002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21</v>
      </c>
      <c r="D26" s="34">
        <v>5221</v>
      </c>
      <c r="E26" s="16" t="s">
        <v>154</v>
      </c>
      <c r="F26" s="19" t="s">
        <v>155</v>
      </c>
      <c r="G26" s="16" t="s">
        <v>29</v>
      </c>
      <c r="H26" s="19" t="s">
        <v>129</v>
      </c>
      <c r="I26" s="20" t="s">
        <v>23</v>
      </c>
      <c r="J26" s="21">
        <v>1</v>
      </c>
      <c r="K26" s="26" t="s">
        <v>156</v>
      </c>
      <c r="L26" s="31" t="s">
        <v>157</v>
      </c>
      <c r="M26" s="1" t="s">
        <v>158</v>
      </c>
      <c r="N26" s="21">
        <v>1</v>
      </c>
      <c r="O26" s="21">
        <v>0.2</v>
      </c>
      <c r="P26" s="21">
        <v>0.9</v>
      </c>
      <c r="Q26" s="21">
        <f t="shared" si="3"/>
        <v>0.9</v>
      </c>
      <c r="R26" s="22">
        <f t="shared" si="1"/>
        <v>18.000000000000004</v>
      </c>
      <c r="S26" s="21" t="s">
        <v>24</v>
      </c>
      <c r="T26" s="23">
        <f>SUM(R26:R33)%</f>
        <v>0.63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2071</v>
      </c>
      <c r="B27" s="16" t="s">
        <v>20</v>
      </c>
      <c r="C27" s="17" t="s">
        <v>21</v>
      </c>
      <c r="D27" s="34">
        <v>5221</v>
      </c>
      <c r="E27" s="16" t="s">
        <v>154</v>
      </c>
      <c r="F27" s="19" t="s">
        <v>155</v>
      </c>
      <c r="G27" s="16" t="s">
        <v>29</v>
      </c>
      <c r="H27" s="19" t="s">
        <v>129</v>
      </c>
      <c r="I27" s="20" t="s">
        <v>23</v>
      </c>
      <c r="J27" s="21">
        <v>1</v>
      </c>
      <c r="K27" s="26" t="s">
        <v>159</v>
      </c>
      <c r="L27" s="31" t="s">
        <v>160</v>
      </c>
      <c r="M27" s="26" t="s">
        <v>161</v>
      </c>
      <c r="N27" s="28">
        <v>1</v>
      </c>
      <c r="O27" s="21">
        <v>0.1</v>
      </c>
      <c r="P27" s="21">
        <v>0.7</v>
      </c>
      <c r="Q27" s="21">
        <f>ROUND(IF(OR(N27="",P27=""),0,IF(AND(N27=0,P27=0),1,IF(S27="+",P27/N27,N27/P27))),2)</f>
        <v>0.7</v>
      </c>
      <c r="R27" s="22">
        <f t="shared" si="1"/>
        <v>6.9999999999999991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2072</v>
      </c>
      <c r="B28" s="16" t="s">
        <v>20</v>
      </c>
      <c r="C28" s="17" t="s">
        <v>21</v>
      </c>
      <c r="D28" s="34">
        <v>5221</v>
      </c>
      <c r="E28" s="16" t="s">
        <v>154</v>
      </c>
      <c r="F28" s="19" t="s">
        <v>155</v>
      </c>
      <c r="G28" s="16" t="s">
        <v>29</v>
      </c>
      <c r="H28" s="19" t="s">
        <v>129</v>
      </c>
      <c r="I28" s="20" t="s">
        <v>23</v>
      </c>
      <c r="J28" s="21">
        <v>1</v>
      </c>
      <c r="K28" s="26" t="s">
        <v>162</v>
      </c>
      <c r="L28" s="31" t="s">
        <v>163</v>
      </c>
      <c r="M28" s="26" t="s">
        <v>164</v>
      </c>
      <c r="N28" s="21">
        <v>0</v>
      </c>
      <c r="O28" s="21">
        <v>0.1</v>
      </c>
      <c r="P28" s="21">
        <v>0</v>
      </c>
      <c r="Q28" s="21">
        <f t="shared" ref="Q28:Q34" si="4">ROUND(IF(OR(N28="",P28=""),0,IF(AND(N28=0,P28=0),1,IF(S28="+",P28/N28,N28/P28))),2)</f>
        <v>1</v>
      </c>
      <c r="R28" s="22">
        <f t="shared" si="1"/>
        <v>10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2073</v>
      </c>
      <c r="B29" s="16" t="s">
        <v>20</v>
      </c>
      <c r="C29" s="17" t="s">
        <v>21</v>
      </c>
      <c r="D29" s="34">
        <v>5221</v>
      </c>
      <c r="E29" s="16" t="s">
        <v>154</v>
      </c>
      <c r="F29" s="19" t="s">
        <v>155</v>
      </c>
      <c r="G29" s="16" t="s">
        <v>29</v>
      </c>
      <c r="H29" s="19" t="s">
        <v>129</v>
      </c>
      <c r="I29" s="20" t="s">
        <v>23</v>
      </c>
      <c r="J29" s="21">
        <v>1</v>
      </c>
      <c r="K29" s="26" t="s">
        <v>165</v>
      </c>
      <c r="L29" s="31" t="s">
        <v>166</v>
      </c>
      <c r="M29" s="26" t="s">
        <v>167</v>
      </c>
      <c r="N29" s="28">
        <v>0.9</v>
      </c>
      <c r="O29" s="21">
        <v>0.1</v>
      </c>
      <c r="P29" s="72">
        <v>0.5</v>
      </c>
      <c r="Q29" s="21">
        <f t="shared" si="4"/>
        <v>0.56000000000000005</v>
      </c>
      <c r="R29" s="22">
        <f t="shared" si="1"/>
        <v>0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2075</v>
      </c>
      <c r="B30" s="16" t="s">
        <v>20</v>
      </c>
      <c r="C30" s="17" t="s">
        <v>21</v>
      </c>
      <c r="D30" s="34">
        <v>5221</v>
      </c>
      <c r="E30" s="16" t="s">
        <v>154</v>
      </c>
      <c r="F30" s="19" t="s">
        <v>155</v>
      </c>
      <c r="G30" s="16" t="s">
        <v>29</v>
      </c>
      <c r="H30" s="19" t="s">
        <v>129</v>
      </c>
      <c r="I30" s="27" t="s">
        <v>23</v>
      </c>
      <c r="J30" s="21">
        <v>1</v>
      </c>
      <c r="K30" s="27" t="s">
        <v>168</v>
      </c>
      <c r="L30" s="32" t="s">
        <v>133</v>
      </c>
      <c r="M30" s="27" t="s">
        <v>169</v>
      </c>
      <c r="N30" s="21">
        <v>0.95</v>
      </c>
      <c r="O30" s="29">
        <v>0.1</v>
      </c>
      <c r="P30" s="28">
        <v>0.5</v>
      </c>
      <c r="Q30" s="29">
        <f t="shared" si="4"/>
        <v>0.53</v>
      </c>
      <c r="R30" s="30">
        <f t="shared" si="1"/>
        <v>0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21</v>
      </c>
      <c r="D31" s="34">
        <v>5221</v>
      </c>
      <c r="E31" s="16" t="s">
        <v>154</v>
      </c>
      <c r="F31" s="19" t="s">
        <v>155</v>
      </c>
      <c r="G31" s="16" t="s">
        <v>29</v>
      </c>
      <c r="H31" s="19" t="s">
        <v>129</v>
      </c>
      <c r="I31" s="27" t="s">
        <v>23</v>
      </c>
      <c r="J31" s="21">
        <v>1</v>
      </c>
      <c r="K31" s="27" t="s">
        <v>170</v>
      </c>
      <c r="L31" s="32" t="s">
        <v>171</v>
      </c>
      <c r="M31" s="27" t="s">
        <v>172</v>
      </c>
      <c r="N31" s="28">
        <v>1</v>
      </c>
      <c r="O31" s="29">
        <v>0.1</v>
      </c>
      <c r="P31" s="28">
        <v>1</v>
      </c>
      <c r="Q31" s="29">
        <f t="shared" si="4"/>
        <v>1</v>
      </c>
      <c r="R31" s="30">
        <f t="shared" si="1"/>
        <v>10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2077</v>
      </c>
      <c r="B32" s="16" t="s">
        <v>20</v>
      </c>
      <c r="C32" s="17" t="s">
        <v>21</v>
      </c>
      <c r="D32" s="34">
        <v>5221</v>
      </c>
      <c r="E32" s="16" t="s">
        <v>154</v>
      </c>
      <c r="F32" s="19" t="s">
        <v>155</v>
      </c>
      <c r="G32" s="16" t="s">
        <v>29</v>
      </c>
      <c r="H32" s="19" t="s">
        <v>129</v>
      </c>
      <c r="I32" s="27" t="s">
        <v>23</v>
      </c>
      <c r="J32" s="21">
        <v>1</v>
      </c>
      <c r="K32" s="27" t="s">
        <v>173</v>
      </c>
      <c r="L32" s="32" t="s">
        <v>174</v>
      </c>
      <c r="M32" s="6" t="s">
        <v>175</v>
      </c>
      <c r="N32" s="28">
        <v>1</v>
      </c>
      <c r="O32" s="29">
        <v>0.2</v>
      </c>
      <c r="P32" s="28">
        <v>0.9</v>
      </c>
      <c r="Q32" s="29">
        <f t="shared" si="4"/>
        <v>0.9</v>
      </c>
      <c r="R32" s="30">
        <f t="shared" si="1"/>
        <v>18.000000000000004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2078</v>
      </c>
      <c r="B33" s="16" t="s">
        <v>20</v>
      </c>
      <c r="C33" s="17" t="s">
        <v>21</v>
      </c>
      <c r="D33" s="34">
        <v>5221</v>
      </c>
      <c r="E33" s="16" t="s">
        <v>154</v>
      </c>
      <c r="F33" s="19" t="s">
        <v>155</v>
      </c>
      <c r="G33" s="16" t="s">
        <v>29</v>
      </c>
      <c r="H33" s="19" t="s">
        <v>129</v>
      </c>
      <c r="I33" s="27" t="s">
        <v>23</v>
      </c>
      <c r="J33" s="21">
        <v>1</v>
      </c>
      <c r="K33" s="27" t="s">
        <v>176</v>
      </c>
      <c r="L33" s="32" t="s">
        <v>177</v>
      </c>
      <c r="M33" s="6" t="s">
        <v>178</v>
      </c>
      <c r="N33" s="28">
        <v>0.95</v>
      </c>
      <c r="O33" s="29">
        <v>0.1</v>
      </c>
      <c r="P33" s="28">
        <v>0.5</v>
      </c>
      <c r="Q33" s="29">
        <f t="shared" si="4"/>
        <v>0.53</v>
      </c>
      <c r="R33" s="30">
        <f t="shared" si="1"/>
        <v>0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21</v>
      </c>
      <c r="D34" s="34">
        <v>5318</v>
      </c>
      <c r="E34" s="16" t="s">
        <v>179</v>
      </c>
      <c r="F34" s="19" t="s">
        <v>155</v>
      </c>
      <c r="G34" s="16" t="s">
        <v>29</v>
      </c>
      <c r="H34" s="19" t="s">
        <v>129</v>
      </c>
      <c r="I34" s="20" t="s">
        <v>23</v>
      </c>
      <c r="J34" s="21">
        <v>0.8</v>
      </c>
      <c r="K34" s="26" t="s">
        <v>30</v>
      </c>
      <c r="L34" s="31" t="s">
        <v>130</v>
      </c>
      <c r="M34" s="1" t="s">
        <v>131</v>
      </c>
      <c r="N34" s="21">
        <v>0.95</v>
      </c>
      <c r="O34" s="21">
        <v>0.15</v>
      </c>
      <c r="P34" s="21">
        <v>0.95</v>
      </c>
      <c r="Q34" s="21">
        <f t="shared" si="4"/>
        <v>1</v>
      </c>
      <c r="R34" s="22">
        <f t="shared" si="1"/>
        <v>12</v>
      </c>
      <c r="S34" s="21" t="s">
        <v>24</v>
      </c>
      <c r="T34" s="23">
        <f>SUM(R34:R41)%</f>
        <v>0.71040000000000003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21</v>
      </c>
      <c r="D35" s="34">
        <v>5318</v>
      </c>
      <c r="E35" s="16" t="s">
        <v>179</v>
      </c>
      <c r="F35" s="19" t="s">
        <v>155</v>
      </c>
      <c r="G35" s="16" t="s">
        <v>29</v>
      </c>
      <c r="H35" s="19" t="s">
        <v>129</v>
      </c>
      <c r="I35" s="20" t="s">
        <v>23</v>
      </c>
      <c r="J35" s="21">
        <v>0.8</v>
      </c>
      <c r="K35" s="26" t="s">
        <v>132</v>
      </c>
      <c r="L35" s="31" t="s">
        <v>133</v>
      </c>
      <c r="M35" s="26" t="s">
        <v>134</v>
      </c>
      <c r="N35" s="21">
        <v>0.95</v>
      </c>
      <c r="O35" s="21">
        <v>0.15</v>
      </c>
      <c r="P35" s="25">
        <v>0.95</v>
      </c>
      <c r="Q35" s="21">
        <f t="shared" ref="Q35:Q57" si="5">ROUND(IF(OR(N35="",P35=""),0,IF(AND(N35=0,P35=0),1,IF(S35="+",P35/N35,N35/P35))),2)</f>
        <v>1</v>
      </c>
      <c r="R35" s="22">
        <f t="shared" si="1"/>
        <v>12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21</v>
      </c>
      <c r="D36" s="34">
        <v>5318</v>
      </c>
      <c r="E36" s="16" t="s">
        <v>179</v>
      </c>
      <c r="F36" s="19" t="s">
        <v>155</v>
      </c>
      <c r="G36" s="16" t="s">
        <v>29</v>
      </c>
      <c r="H36" s="19" t="s">
        <v>129</v>
      </c>
      <c r="I36" s="20" t="s">
        <v>23</v>
      </c>
      <c r="J36" s="21">
        <v>0.8</v>
      </c>
      <c r="K36" s="26" t="s">
        <v>54</v>
      </c>
      <c r="L36" s="31" t="s">
        <v>135</v>
      </c>
      <c r="M36" s="26" t="s">
        <v>136</v>
      </c>
      <c r="N36" s="25">
        <v>0.05</v>
      </c>
      <c r="O36" s="21">
        <v>0.1</v>
      </c>
      <c r="P36" s="66">
        <v>0.11</v>
      </c>
      <c r="Q36" s="21">
        <f t="shared" si="5"/>
        <v>0.45</v>
      </c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21</v>
      </c>
      <c r="D37" s="34">
        <v>5318</v>
      </c>
      <c r="E37" s="16" t="s">
        <v>179</v>
      </c>
      <c r="F37" s="19" t="s">
        <v>155</v>
      </c>
      <c r="G37" s="16" t="s">
        <v>29</v>
      </c>
      <c r="H37" s="19" t="s">
        <v>129</v>
      </c>
      <c r="I37" s="20" t="s">
        <v>23</v>
      </c>
      <c r="J37" s="21">
        <v>0.8</v>
      </c>
      <c r="K37" s="26" t="s">
        <v>31</v>
      </c>
      <c r="L37" s="31" t="s">
        <v>137</v>
      </c>
      <c r="M37" s="26" t="s">
        <v>138</v>
      </c>
      <c r="N37" s="25">
        <v>0.05</v>
      </c>
      <c r="O37" s="21">
        <v>0.1</v>
      </c>
      <c r="P37" s="28">
        <v>0.05</v>
      </c>
      <c r="Q37" s="21">
        <f t="shared" si="5"/>
        <v>1</v>
      </c>
      <c r="R37" s="22">
        <f t="shared" si="1"/>
        <v>8.0000000000000018</v>
      </c>
      <c r="S37" s="21" t="s">
        <v>25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21</v>
      </c>
      <c r="D38" s="34">
        <v>5318</v>
      </c>
      <c r="E38" s="16" t="s">
        <v>179</v>
      </c>
      <c r="F38" s="19" t="s">
        <v>155</v>
      </c>
      <c r="G38" s="16" t="s">
        <v>29</v>
      </c>
      <c r="H38" s="19" t="s">
        <v>129</v>
      </c>
      <c r="I38" s="27" t="s">
        <v>23</v>
      </c>
      <c r="J38" s="21">
        <v>0.8</v>
      </c>
      <c r="K38" s="27" t="s">
        <v>139</v>
      </c>
      <c r="L38" s="32" t="s">
        <v>140</v>
      </c>
      <c r="M38" s="27" t="s">
        <v>141</v>
      </c>
      <c r="N38" s="28">
        <v>0.9</v>
      </c>
      <c r="O38" s="29">
        <v>0.2</v>
      </c>
      <c r="P38" s="28">
        <v>0.85</v>
      </c>
      <c r="Q38" s="29">
        <f t="shared" si="5"/>
        <v>0.94</v>
      </c>
      <c r="R38" s="30">
        <f t="shared" si="1"/>
        <v>15.040000000000003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21</v>
      </c>
      <c r="D39" s="34">
        <v>5318</v>
      </c>
      <c r="E39" s="16" t="s">
        <v>179</v>
      </c>
      <c r="F39" s="19" t="s">
        <v>155</v>
      </c>
      <c r="G39" s="16" t="s">
        <v>29</v>
      </c>
      <c r="H39" s="19" t="s">
        <v>129</v>
      </c>
      <c r="I39" s="27" t="s">
        <v>23</v>
      </c>
      <c r="J39" s="21">
        <v>0.8</v>
      </c>
      <c r="K39" s="27" t="s">
        <v>142</v>
      </c>
      <c r="L39" s="32" t="s">
        <v>143</v>
      </c>
      <c r="M39" s="27" t="s">
        <v>144</v>
      </c>
      <c r="N39" s="28">
        <v>1</v>
      </c>
      <c r="O39" s="29">
        <v>0.1</v>
      </c>
      <c r="P39" s="28">
        <v>1</v>
      </c>
      <c r="Q39" s="29">
        <f t="shared" si="5"/>
        <v>1</v>
      </c>
      <c r="R39" s="30">
        <f t="shared" si="1"/>
        <v>8.0000000000000018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21</v>
      </c>
      <c r="D40" s="34">
        <v>5318</v>
      </c>
      <c r="E40" s="16" t="s">
        <v>179</v>
      </c>
      <c r="F40" s="19" t="s">
        <v>155</v>
      </c>
      <c r="G40" s="16" t="s">
        <v>29</v>
      </c>
      <c r="H40" s="19" t="s">
        <v>129</v>
      </c>
      <c r="I40" s="27" t="s">
        <v>23</v>
      </c>
      <c r="J40" s="21">
        <v>0.8</v>
      </c>
      <c r="K40" s="27" t="s">
        <v>145</v>
      </c>
      <c r="L40" s="32" t="s">
        <v>146</v>
      </c>
      <c r="M40" s="6" t="s">
        <v>147</v>
      </c>
      <c r="N40" s="28">
        <v>0.9</v>
      </c>
      <c r="O40" s="29">
        <v>0.2</v>
      </c>
      <c r="P40" s="67">
        <v>0.90900000000000003</v>
      </c>
      <c r="Q40" s="29">
        <f t="shared" si="5"/>
        <v>1.01</v>
      </c>
      <c r="R40" s="30">
        <f t="shared" si="1"/>
        <v>16.000000000000004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21</v>
      </c>
      <c r="D41" s="34">
        <v>5318</v>
      </c>
      <c r="E41" s="16" t="s">
        <v>179</v>
      </c>
      <c r="F41" s="19" t="s">
        <v>155</v>
      </c>
      <c r="G41" s="16" t="s">
        <v>29</v>
      </c>
      <c r="H41" s="19" t="s">
        <v>129</v>
      </c>
      <c r="I41" s="27" t="s">
        <v>27</v>
      </c>
      <c r="J41" s="28">
        <v>0.2</v>
      </c>
      <c r="K41" s="27" t="s">
        <v>148</v>
      </c>
      <c r="L41" s="32" t="s">
        <v>149</v>
      </c>
      <c r="M41" s="6" t="s">
        <v>150</v>
      </c>
      <c r="N41" s="28">
        <v>1</v>
      </c>
      <c r="O41" s="29">
        <v>1</v>
      </c>
      <c r="P41" s="28">
        <v>0.5</v>
      </c>
      <c r="Q41" s="29">
        <f t="shared" si="5"/>
        <v>0.5</v>
      </c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21</v>
      </c>
      <c r="D42" s="34">
        <v>5325</v>
      </c>
      <c r="E42" s="16" t="s">
        <v>180</v>
      </c>
      <c r="F42" s="19" t="s">
        <v>155</v>
      </c>
      <c r="G42" s="16" t="s">
        <v>29</v>
      </c>
      <c r="H42" s="19" t="s">
        <v>129</v>
      </c>
      <c r="I42" s="20" t="s">
        <v>23</v>
      </c>
      <c r="J42" s="21">
        <v>1</v>
      </c>
      <c r="K42" s="26" t="s">
        <v>156</v>
      </c>
      <c r="L42" s="31" t="s">
        <v>157</v>
      </c>
      <c r="M42" s="1" t="s">
        <v>158</v>
      </c>
      <c r="N42" s="21">
        <v>1</v>
      </c>
      <c r="O42" s="21">
        <v>0.2</v>
      </c>
      <c r="P42" s="21">
        <v>0.9</v>
      </c>
      <c r="Q42" s="21">
        <f t="shared" si="5"/>
        <v>0.9</v>
      </c>
      <c r="R42" s="22">
        <f t="shared" ref="R42:R57" si="6">IF(AND(Q42&gt;=60%,Q42&lt;100%),Q42*((O42*J42)),IF(Q42=100%,((O42*J42)*Q42)*100%,IF(Q42&gt;100%,((J42*O42)*100%)*100%,0)))*100</f>
        <v>18.000000000000004</v>
      </c>
      <c r="S42" s="21" t="s">
        <v>24</v>
      </c>
      <c r="T42" s="23">
        <f t="shared" ref="T42" si="7">SUM(R42:R49)%</f>
        <v>0.63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2071</v>
      </c>
      <c r="B43" s="16" t="s">
        <v>20</v>
      </c>
      <c r="C43" s="17" t="s">
        <v>21</v>
      </c>
      <c r="D43" s="34">
        <v>5325</v>
      </c>
      <c r="E43" s="16" t="s">
        <v>180</v>
      </c>
      <c r="F43" s="19" t="s">
        <v>155</v>
      </c>
      <c r="G43" s="16" t="s">
        <v>29</v>
      </c>
      <c r="H43" s="19" t="s">
        <v>129</v>
      </c>
      <c r="I43" s="20" t="s">
        <v>23</v>
      </c>
      <c r="J43" s="21">
        <v>1</v>
      </c>
      <c r="K43" s="26" t="s">
        <v>159</v>
      </c>
      <c r="L43" s="31" t="s">
        <v>160</v>
      </c>
      <c r="M43" s="26" t="s">
        <v>161</v>
      </c>
      <c r="N43" s="28">
        <v>1</v>
      </c>
      <c r="O43" s="21">
        <v>0.1</v>
      </c>
      <c r="P43" s="21">
        <v>0.7</v>
      </c>
      <c r="Q43" s="21">
        <f t="shared" si="5"/>
        <v>0.7</v>
      </c>
      <c r="R43" s="22">
        <f t="shared" si="6"/>
        <v>6.9999999999999991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2072</v>
      </c>
      <c r="B44" s="16" t="s">
        <v>20</v>
      </c>
      <c r="C44" s="17" t="s">
        <v>21</v>
      </c>
      <c r="D44" s="34">
        <v>5325</v>
      </c>
      <c r="E44" s="16" t="s">
        <v>180</v>
      </c>
      <c r="F44" s="19" t="s">
        <v>155</v>
      </c>
      <c r="G44" s="16" t="s">
        <v>29</v>
      </c>
      <c r="H44" s="19" t="s">
        <v>129</v>
      </c>
      <c r="I44" s="20" t="s">
        <v>23</v>
      </c>
      <c r="J44" s="21">
        <v>1</v>
      </c>
      <c r="K44" s="26" t="s">
        <v>162</v>
      </c>
      <c r="L44" s="31" t="s">
        <v>163</v>
      </c>
      <c r="M44" s="26" t="s">
        <v>164</v>
      </c>
      <c r="N44" s="21">
        <v>0</v>
      </c>
      <c r="O44" s="21">
        <v>0.1</v>
      </c>
      <c r="P44" s="21">
        <v>0</v>
      </c>
      <c r="Q44" s="21">
        <f t="shared" si="5"/>
        <v>1</v>
      </c>
      <c r="R44" s="22">
        <f t="shared" si="6"/>
        <v>10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2073</v>
      </c>
      <c r="B45" s="16" t="s">
        <v>20</v>
      </c>
      <c r="C45" s="17" t="s">
        <v>21</v>
      </c>
      <c r="D45" s="34">
        <v>5325</v>
      </c>
      <c r="E45" s="16" t="s">
        <v>180</v>
      </c>
      <c r="F45" s="19" t="s">
        <v>155</v>
      </c>
      <c r="G45" s="16" t="s">
        <v>29</v>
      </c>
      <c r="H45" s="19" t="s">
        <v>129</v>
      </c>
      <c r="I45" s="20" t="s">
        <v>23</v>
      </c>
      <c r="J45" s="21">
        <v>1</v>
      </c>
      <c r="K45" s="26" t="s">
        <v>165</v>
      </c>
      <c r="L45" s="31" t="s">
        <v>166</v>
      </c>
      <c r="M45" s="26" t="s">
        <v>167</v>
      </c>
      <c r="N45" s="28">
        <v>0.9</v>
      </c>
      <c r="O45" s="21">
        <v>0.1</v>
      </c>
      <c r="P45" s="72">
        <v>0.5</v>
      </c>
      <c r="Q45" s="21">
        <f t="shared" si="5"/>
        <v>0.56000000000000005</v>
      </c>
      <c r="R45" s="22">
        <f t="shared" si="6"/>
        <v>0</v>
      </c>
      <c r="S45" s="21" t="s">
        <v>24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21</v>
      </c>
      <c r="D46" s="34">
        <v>5325</v>
      </c>
      <c r="E46" s="16" t="s">
        <v>180</v>
      </c>
      <c r="F46" s="19" t="s">
        <v>155</v>
      </c>
      <c r="G46" s="16" t="s">
        <v>29</v>
      </c>
      <c r="H46" s="19" t="s">
        <v>129</v>
      </c>
      <c r="I46" s="27" t="s">
        <v>23</v>
      </c>
      <c r="J46" s="21">
        <v>1</v>
      </c>
      <c r="K46" s="27" t="s">
        <v>168</v>
      </c>
      <c r="L46" s="32" t="s">
        <v>133</v>
      </c>
      <c r="M46" s="27" t="s">
        <v>169</v>
      </c>
      <c r="N46" s="21">
        <v>0.95</v>
      </c>
      <c r="O46" s="29">
        <v>0.1</v>
      </c>
      <c r="P46" s="28">
        <v>0.5</v>
      </c>
      <c r="Q46" s="29">
        <f t="shared" si="5"/>
        <v>0.53</v>
      </c>
      <c r="R46" s="30">
        <f t="shared" si="6"/>
        <v>0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21</v>
      </c>
      <c r="D47" s="34">
        <v>5325</v>
      </c>
      <c r="E47" s="16" t="s">
        <v>180</v>
      </c>
      <c r="F47" s="19" t="s">
        <v>155</v>
      </c>
      <c r="G47" s="16" t="s">
        <v>29</v>
      </c>
      <c r="H47" s="19" t="s">
        <v>129</v>
      </c>
      <c r="I47" s="27" t="s">
        <v>23</v>
      </c>
      <c r="J47" s="21">
        <v>1</v>
      </c>
      <c r="K47" s="27" t="s">
        <v>170</v>
      </c>
      <c r="L47" s="32" t="s">
        <v>171</v>
      </c>
      <c r="M47" s="27" t="s">
        <v>172</v>
      </c>
      <c r="N47" s="28">
        <v>1</v>
      </c>
      <c r="O47" s="29">
        <v>0.1</v>
      </c>
      <c r="P47" s="28">
        <v>1</v>
      </c>
      <c r="Q47" s="29">
        <f t="shared" si="5"/>
        <v>1</v>
      </c>
      <c r="R47" s="30">
        <f t="shared" si="6"/>
        <v>10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21</v>
      </c>
      <c r="D48" s="34">
        <v>5325</v>
      </c>
      <c r="E48" s="16" t="s">
        <v>180</v>
      </c>
      <c r="F48" s="19" t="s">
        <v>155</v>
      </c>
      <c r="G48" s="16" t="s">
        <v>29</v>
      </c>
      <c r="H48" s="19" t="s">
        <v>129</v>
      </c>
      <c r="I48" s="27" t="s">
        <v>23</v>
      </c>
      <c r="J48" s="21">
        <v>1</v>
      </c>
      <c r="K48" s="27" t="s">
        <v>173</v>
      </c>
      <c r="L48" s="32" t="s">
        <v>174</v>
      </c>
      <c r="M48" s="6" t="s">
        <v>175</v>
      </c>
      <c r="N48" s="28">
        <v>1</v>
      </c>
      <c r="O48" s="29">
        <v>0.2</v>
      </c>
      <c r="P48" s="28">
        <v>0.9</v>
      </c>
      <c r="Q48" s="29">
        <f t="shared" si="5"/>
        <v>0.9</v>
      </c>
      <c r="R48" s="30">
        <f t="shared" si="6"/>
        <v>18.000000000000004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21</v>
      </c>
      <c r="D49" s="34">
        <v>5325</v>
      </c>
      <c r="E49" s="16" t="s">
        <v>180</v>
      </c>
      <c r="F49" s="19" t="s">
        <v>155</v>
      </c>
      <c r="G49" s="16" t="s">
        <v>29</v>
      </c>
      <c r="H49" s="19" t="s">
        <v>129</v>
      </c>
      <c r="I49" s="27" t="s">
        <v>23</v>
      </c>
      <c r="J49" s="21">
        <v>1</v>
      </c>
      <c r="K49" s="27" t="s">
        <v>176</v>
      </c>
      <c r="L49" s="32" t="s">
        <v>177</v>
      </c>
      <c r="M49" s="6" t="s">
        <v>178</v>
      </c>
      <c r="N49" s="28">
        <v>0.95</v>
      </c>
      <c r="O49" s="29">
        <v>0.1</v>
      </c>
      <c r="P49" s="28">
        <v>0.5</v>
      </c>
      <c r="Q49" s="29">
        <f t="shared" si="5"/>
        <v>0.53</v>
      </c>
      <c r="R49" s="30">
        <f t="shared" si="6"/>
        <v>0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21</v>
      </c>
      <c r="D50" s="34">
        <v>5566</v>
      </c>
      <c r="E50" s="16" t="s">
        <v>181</v>
      </c>
      <c r="F50" s="19" t="s">
        <v>155</v>
      </c>
      <c r="G50" s="16" t="s">
        <v>29</v>
      </c>
      <c r="H50" s="19" t="s">
        <v>129</v>
      </c>
      <c r="I50" s="20" t="s">
        <v>23</v>
      </c>
      <c r="J50" s="21">
        <v>1</v>
      </c>
      <c r="K50" s="26" t="s">
        <v>156</v>
      </c>
      <c r="L50" s="31" t="s">
        <v>157</v>
      </c>
      <c r="M50" s="1" t="s">
        <v>158</v>
      </c>
      <c r="N50" s="21">
        <v>1</v>
      </c>
      <c r="O50" s="21">
        <v>0.2</v>
      </c>
      <c r="P50" s="21">
        <v>0.9</v>
      </c>
      <c r="Q50" s="21">
        <f t="shared" si="5"/>
        <v>0.9</v>
      </c>
      <c r="R50" s="22">
        <f t="shared" si="6"/>
        <v>18.000000000000004</v>
      </c>
      <c r="S50" s="21" t="s">
        <v>24</v>
      </c>
      <c r="T50" s="23">
        <f t="shared" ref="T50" si="8">SUM(R50:R57)%</f>
        <v>0.63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2071</v>
      </c>
      <c r="B51" s="16" t="s">
        <v>20</v>
      </c>
      <c r="C51" s="17" t="s">
        <v>21</v>
      </c>
      <c r="D51" s="34">
        <v>5566</v>
      </c>
      <c r="E51" s="16" t="s">
        <v>181</v>
      </c>
      <c r="F51" s="19" t="s">
        <v>155</v>
      </c>
      <c r="G51" s="16" t="s">
        <v>29</v>
      </c>
      <c r="H51" s="19" t="s">
        <v>129</v>
      </c>
      <c r="I51" s="20" t="s">
        <v>23</v>
      </c>
      <c r="J51" s="21">
        <v>1</v>
      </c>
      <c r="K51" s="26" t="s">
        <v>159</v>
      </c>
      <c r="L51" s="31" t="s">
        <v>160</v>
      </c>
      <c r="M51" s="26" t="s">
        <v>161</v>
      </c>
      <c r="N51" s="28">
        <v>1</v>
      </c>
      <c r="O51" s="21">
        <v>0.1</v>
      </c>
      <c r="P51" s="21">
        <v>0.7</v>
      </c>
      <c r="Q51" s="21">
        <f t="shared" si="5"/>
        <v>0.7</v>
      </c>
      <c r="R51" s="22">
        <f t="shared" si="6"/>
        <v>6.9999999999999991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2072</v>
      </c>
      <c r="B52" s="16" t="s">
        <v>20</v>
      </c>
      <c r="C52" s="17" t="s">
        <v>21</v>
      </c>
      <c r="D52" s="34">
        <v>5566</v>
      </c>
      <c r="E52" s="16" t="s">
        <v>181</v>
      </c>
      <c r="F52" s="19" t="s">
        <v>155</v>
      </c>
      <c r="G52" s="16" t="s">
        <v>29</v>
      </c>
      <c r="H52" s="19" t="s">
        <v>129</v>
      </c>
      <c r="I52" s="20" t="s">
        <v>23</v>
      </c>
      <c r="J52" s="21">
        <v>1</v>
      </c>
      <c r="K52" s="26" t="s">
        <v>162</v>
      </c>
      <c r="L52" s="31" t="s">
        <v>163</v>
      </c>
      <c r="M52" s="26" t="s">
        <v>164</v>
      </c>
      <c r="N52" s="21">
        <v>0</v>
      </c>
      <c r="O52" s="21">
        <v>0.1</v>
      </c>
      <c r="P52" s="21">
        <v>0</v>
      </c>
      <c r="Q52" s="21">
        <f t="shared" si="5"/>
        <v>1</v>
      </c>
      <c r="R52" s="22">
        <f t="shared" si="6"/>
        <v>10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2073</v>
      </c>
      <c r="B53" s="16" t="s">
        <v>20</v>
      </c>
      <c r="C53" s="17" t="s">
        <v>21</v>
      </c>
      <c r="D53" s="34">
        <v>5566</v>
      </c>
      <c r="E53" s="16" t="s">
        <v>181</v>
      </c>
      <c r="F53" s="19" t="s">
        <v>155</v>
      </c>
      <c r="G53" s="16" t="s">
        <v>29</v>
      </c>
      <c r="H53" s="19" t="s">
        <v>129</v>
      </c>
      <c r="I53" s="20" t="s">
        <v>23</v>
      </c>
      <c r="J53" s="21">
        <v>1</v>
      </c>
      <c r="K53" s="26" t="s">
        <v>165</v>
      </c>
      <c r="L53" s="31" t="s">
        <v>166</v>
      </c>
      <c r="M53" s="26" t="s">
        <v>167</v>
      </c>
      <c r="N53" s="28">
        <v>0.9</v>
      </c>
      <c r="O53" s="21">
        <v>0.1</v>
      </c>
      <c r="P53" s="72">
        <v>0.5</v>
      </c>
      <c r="Q53" s="21">
        <f t="shared" si="5"/>
        <v>0.56000000000000005</v>
      </c>
      <c r="R53" s="22">
        <f t="shared" si="6"/>
        <v>0</v>
      </c>
      <c r="S53" s="21" t="s">
        <v>24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2075</v>
      </c>
      <c r="B54" s="16" t="s">
        <v>20</v>
      </c>
      <c r="C54" s="17" t="s">
        <v>21</v>
      </c>
      <c r="D54" s="34">
        <v>5566</v>
      </c>
      <c r="E54" s="16" t="s">
        <v>181</v>
      </c>
      <c r="F54" s="19" t="s">
        <v>155</v>
      </c>
      <c r="G54" s="16" t="s">
        <v>29</v>
      </c>
      <c r="H54" s="19" t="s">
        <v>129</v>
      </c>
      <c r="I54" s="27" t="s">
        <v>23</v>
      </c>
      <c r="J54" s="21">
        <v>1</v>
      </c>
      <c r="K54" s="27" t="s">
        <v>168</v>
      </c>
      <c r="L54" s="32" t="s">
        <v>133</v>
      </c>
      <c r="M54" s="27" t="s">
        <v>169</v>
      </c>
      <c r="N54" s="21">
        <v>0.95</v>
      </c>
      <c r="O54" s="29">
        <v>0.1</v>
      </c>
      <c r="P54" s="28">
        <v>0.5</v>
      </c>
      <c r="Q54" s="29">
        <f t="shared" si="5"/>
        <v>0.53</v>
      </c>
      <c r="R54" s="30">
        <f t="shared" si="6"/>
        <v>0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2076</v>
      </c>
      <c r="B55" s="16" t="s">
        <v>20</v>
      </c>
      <c r="C55" s="17" t="s">
        <v>21</v>
      </c>
      <c r="D55" s="34">
        <v>5566</v>
      </c>
      <c r="E55" s="16" t="s">
        <v>181</v>
      </c>
      <c r="F55" s="19" t="s">
        <v>155</v>
      </c>
      <c r="G55" s="16" t="s">
        <v>29</v>
      </c>
      <c r="H55" s="19" t="s">
        <v>129</v>
      </c>
      <c r="I55" s="27" t="s">
        <v>23</v>
      </c>
      <c r="J55" s="21">
        <v>1</v>
      </c>
      <c r="K55" s="27" t="s">
        <v>170</v>
      </c>
      <c r="L55" s="32" t="s">
        <v>171</v>
      </c>
      <c r="M55" s="27" t="s">
        <v>172</v>
      </c>
      <c r="N55" s="28">
        <v>1</v>
      </c>
      <c r="O55" s="29">
        <v>0.1</v>
      </c>
      <c r="P55" s="28">
        <v>1</v>
      </c>
      <c r="Q55" s="29">
        <f t="shared" si="5"/>
        <v>1</v>
      </c>
      <c r="R55" s="30">
        <f t="shared" si="6"/>
        <v>10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2077</v>
      </c>
      <c r="B56" s="16" t="s">
        <v>20</v>
      </c>
      <c r="C56" s="17" t="s">
        <v>21</v>
      </c>
      <c r="D56" s="34">
        <v>5566</v>
      </c>
      <c r="E56" s="16" t="s">
        <v>181</v>
      </c>
      <c r="F56" s="19" t="s">
        <v>155</v>
      </c>
      <c r="G56" s="16" t="s">
        <v>29</v>
      </c>
      <c r="H56" s="19" t="s">
        <v>129</v>
      </c>
      <c r="I56" s="27" t="s">
        <v>23</v>
      </c>
      <c r="J56" s="21">
        <v>1</v>
      </c>
      <c r="K56" s="27" t="s">
        <v>173</v>
      </c>
      <c r="L56" s="32" t="s">
        <v>174</v>
      </c>
      <c r="M56" s="6" t="s">
        <v>175</v>
      </c>
      <c r="N56" s="28">
        <v>1</v>
      </c>
      <c r="O56" s="29">
        <v>0.2</v>
      </c>
      <c r="P56" s="28">
        <v>0.9</v>
      </c>
      <c r="Q56" s="29">
        <f t="shared" si="5"/>
        <v>0.9</v>
      </c>
      <c r="R56" s="30">
        <f t="shared" si="6"/>
        <v>18.000000000000004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2078</v>
      </c>
      <c r="B57" s="16" t="s">
        <v>20</v>
      </c>
      <c r="C57" s="17" t="s">
        <v>21</v>
      </c>
      <c r="D57" s="34">
        <v>5566</v>
      </c>
      <c r="E57" s="16" t="s">
        <v>181</v>
      </c>
      <c r="F57" s="19" t="s">
        <v>155</v>
      </c>
      <c r="G57" s="16" t="s">
        <v>29</v>
      </c>
      <c r="H57" s="19" t="s">
        <v>129</v>
      </c>
      <c r="I57" s="27" t="s">
        <v>23</v>
      </c>
      <c r="J57" s="21">
        <v>1</v>
      </c>
      <c r="K57" s="27" t="s">
        <v>176</v>
      </c>
      <c r="L57" s="32" t="s">
        <v>177</v>
      </c>
      <c r="M57" s="6" t="s">
        <v>178</v>
      </c>
      <c r="N57" s="28">
        <v>0.95</v>
      </c>
      <c r="O57" s="29">
        <v>0.1</v>
      </c>
      <c r="P57" s="28">
        <v>0.5</v>
      </c>
      <c r="Q57" s="29">
        <f t="shared" si="5"/>
        <v>0.53</v>
      </c>
      <c r="R57" s="30">
        <f t="shared" si="6"/>
        <v>0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21</v>
      </c>
      <c r="D58" s="34">
        <v>5569</v>
      </c>
      <c r="E58" s="16" t="s">
        <v>182</v>
      </c>
      <c r="F58" s="19" t="s">
        <v>155</v>
      </c>
      <c r="G58" s="16" t="s">
        <v>29</v>
      </c>
      <c r="H58" s="19" t="s">
        <v>129</v>
      </c>
      <c r="I58" s="20" t="s">
        <v>23</v>
      </c>
      <c r="J58" s="21">
        <v>0.8</v>
      </c>
      <c r="K58" s="26" t="s">
        <v>30</v>
      </c>
      <c r="L58" s="31" t="s">
        <v>130</v>
      </c>
      <c r="M58" s="1" t="s">
        <v>131</v>
      </c>
      <c r="N58" s="21">
        <v>0.95</v>
      </c>
      <c r="O58" s="21">
        <v>0.15</v>
      </c>
      <c r="P58" s="21">
        <v>0.95</v>
      </c>
      <c r="Q58" s="21">
        <f>ROUND(IF(OR(N58="",P58=""),0,IF(AND(N58=0,P58=0),1,IF(S58="+",P58/N58,N58/P58))),2)</f>
        <v>1</v>
      </c>
      <c r="R58" s="22">
        <f t="shared" ref="R58:R114" si="9">IF(AND(Q58&gt;=60%,Q58&lt;100%),Q58*((O58*J58)),IF(Q58=100%,((O58*J58)*Q58)*100%,IF(Q58&gt;100%,((J58*O58)*100%)*100%,0)))*100</f>
        <v>12</v>
      </c>
      <c r="S58" s="21" t="s">
        <v>24</v>
      </c>
      <c r="T58" s="23">
        <f>SUM(R58:R65)%</f>
        <v>0.81279999999999997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21</v>
      </c>
      <c r="D59" s="34">
        <v>5569</v>
      </c>
      <c r="E59" s="16" t="s">
        <v>182</v>
      </c>
      <c r="F59" s="19" t="s">
        <v>155</v>
      </c>
      <c r="G59" s="16" t="s">
        <v>29</v>
      </c>
      <c r="H59" s="19" t="s">
        <v>129</v>
      </c>
      <c r="I59" s="20" t="s">
        <v>23</v>
      </c>
      <c r="J59" s="21">
        <v>0.8</v>
      </c>
      <c r="K59" s="26" t="s">
        <v>132</v>
      </c>
      <c r="L59" s="31" t="s">
        <v>133</v>
      </c>
      <c r="M59" s="26" t="s">
        <v>134</v>
      </c>
      <c r="N59" s="21">
        <v>0.95</v>
      </c>
      <c r="O59" s="21">
        <v>0.15</v>
      </c>
      <c r="P59" s="25">
        <v>0.95</v>
      </c>
      <c r="Q59" s="21">
        <f t="shared" ref="Q59:Q65" si="10">ROUND(IF(OR(N59="",P59=""),0,IF(AND(N59=0,P59=0),1,IF(S59="+",P59/N59,N59/P59))),2)</f>
        <v>1</v>
      </c>
      <c r="R59" s="22">
        <f t="shared" si="9"/>
        <v>12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21</v>
      </c>
      <c r="D60" s="34">
        <v>5569</v>
      </c>
      <c r="E60" s="16" t="s">
        <v>182</v>
      </c>
      <c r="F60" s="19" t="s">
        <v>155</v>
      </c>
      <c r="G60" s="16" t="s">
        <v>29</v>
      </c>
      <c r="H60" s="19" t="s">
        <v>129</v>
      </c>
      <c r="I60" s="20" t="s">
        <v>23</v>
      </c>
      <c r="J60" s="21">
        <v>0.8</v>
      </c>
      <c r="K60" s="26" t="s">
        <v>54</v>
      </c>
      <c r="L60" s="31" t="s">
        <v>135</v>
      </c>
      <c r="M60" s="26" t="s">
        <v>136</v>
      </c>
      <c r="N60" s="25">
        <v>0.05</v>
      </c>
      <c r="O60" s="21">
        <v>0.1</v>
      </c>
      <c r="P60" s="66">
        <v>0.11</v>
      </c>
      <c r="Q60" s="21">
        <f t="shared" si="10"/>
        <v>0.45</v>
      </c>
      <c r="R60" s="22">
        <f t="shared" si="9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21</v>
      </c>
      <c r="D61" s="34">
        <v>5569</v>
      </c>
      <c r="E61" s="16" t="s">
        <v>182</v>
      </c>
      <c r="F61" s="19" t="s">
        <v>155</v>
      </c>
      <c r="G61" s="16" t="s">
        <v>29</v>
      </c>
      <c r="H61" s="19" t="s">
        <v>129</v>
      </c>
      <c r="I61" s="20" t="s">
        <v>23</v>
      </c>
      <c r="J61" s="21">
        <v>0.8</v>
      </c>
      <c r="K61" s="26" t="s">
        <v>31</v>
      </c>
      <c r="L61" s="31" t="s">
        <v>137</v>
      </c>
      <c r="M61" s="26" t="s">
        <v>138</v>
      </c>
      <c r="N61" s="25">
        <v>0.05</v>
      </c>
      <c r="O61" s="21">
        <v>0.1</v>
      </c>
      <c r="P61" s="28">
        <v>0.05</v>
      </c>
      <c r="Q61" s="21">
        <f t="shared" si="10"/>
        <v>1</v>
      </c>
      <c r="R61" s="22">
        <f t="shared" si="9"/>
        <v>8.0000000000000018</v>
      </c>
      <c r="S61" s="21" t="s">
        <v>25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21</v>
      </c>
      <c r="D62" s="34">
        <v>5569</v>
      </c>
      <c r="E62" s="16" t="s">
        <v>182</v>
      </c>
      <c r="F62" s="19" t="s">
        <v>155</v>
      </c>
      <c r="G62" s="16" t="s">
        <v>29</v>
      </c>
      <c r="H62" s="19" t="s">
        <v>129</v>
      </c>
      <c r="I62" s="27" t="s">
        <v>23</v>
      </c>
      <c r="J62" s="21">
        <v>0.8</v>
      </c>
      <c r="K62" s="27" t="s">
        <v>139</v>
      </c>
      <c r="L62" s="32" t="s">
        <v>140</v>
      </c>
      <c r="M62" s="27" t="s">
        <v>141</v>
      </c>
      <c r="N62" s="28">
        <v>0.9</v>
      </c>
      <c r="O62" s="29">
        <v>0.2</v>
      </c>
      <c r="P62" s="28">
        <v>0.75</v>
      </c>
      <c r="Q62" s="29">
        <f t="shared" si="10"/>
        <v>0.83</v>
      </c>
      <c r="R62" s="30">
        <f t="shared" si="9"/>
        <v>13.280000000000003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21</v>
      </c>
      <c r="D63" s="34">
        <v>5569</v>
      </c>
      <c r="E63" s="16" t="s">
        <v>182</v>
      </c>
      <c r="F63" s="19" t="s">
        <v>155</v>
      </c>
      <c r="G63" s="16" t="s">
        <v>29</v>
      </c>
      <c r="H63" s="19" t="s">
        <v>129</v>
      </c>
      <c r="I63" s="27" t="s">
        <v>23</v>
      </c>
      <c r="J63" s="21">
        <v>0.8</v>
      </c>
      <c r="K63" s="27" t="s">
        <v>142</v>
      </c>
      <c r="L63" s="32" t="s">
        <v>143</v>
      </c>
      <c r="M63" s="27" t="s">
        <v>144</v>
      </c>
      <c r="N63" s="28">
        <v>1</v>
      </c>
      <c r="O63" s="29">
        <v>0.1</v>
      </c>
      <c r="P63" s="28">
        <v>1</v>
      </c>
      <c r="Q63" s="29">
        <f t="shared" si="10"/>
        <v>1</v>
      </c>
      <c r="R63" s="30">
        <f t="shared" si="9"/>
        <v>8.0000000000000018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21</v>
      </c>
      <c r="D64" s="34">
        <v>5569</v>
      </c>
      <c r="E64" s="16" t="s">
        <v>182</v>
      </c>
      <c r="F64" s="19" t="s">
        <v>155</v>
      </c>
      <c r="G64" s="16" t="s">
        <v>29</v>
      </c>
      <c r="H64" s="19" t="s">
        <v>129</v>
      </c>
      <c r="I64" s="27" t="s">
        <v>23</v>
      </c>
      <c r="J64" s="21">
        <v>0.8</v>
      </c>
      <c r="K64" s="27" t="s">
        <v>145</v>
      </c>
      <c r="L64" s="32" t="s">
        <v>146</v>
      </c>
      <c r="M64" s="6" t="s">
        <v>147</v>
      </c>
      <c r="N64" s="28">
        <v>0.9</v>
      </c>
      <c r="O64" s="29">
        <v>0.2</v>
      </c>
      <c r="P64" s="67">
        <v>0.90900000000000003</v>
      </c>
      <c r="Q64" s="29">
        <f t="shared" si="10"/>
        <v>1.01</v>
      </c>
      <c r="R64" s="30">
        <f t="shared" si="9"/>
        <v>16.000000000000004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21</v>
      </c>
      <c r="D65" s="34">
        <v>5569</v>
      </c>
      <c r="E65" s="16" t="s">
        <v>182</v>
      </c>
      <c r="F65" s="19" t="s">
        <v>155</v>
      </c>
      <c r="G65" s="16" t="s">
        <v>29</v>
      </c>
      <c r="H65" s="19" t="s">
        <v>129</v>
      </c>
      <c r="I65" s="27" t="s">
        <v>27</v>
      </c>
      <c r="J65" s="28">
        <v>0.2</v>
      </c>
      <c r="K65" s="27" t="s">
        <v>148</v>
      </c>
      <c r="L65" s="32" t="s">
        <v>149</v>
      </c>
      <c r="M65" s="6" t="s">
        <v>150</v>
      </c>
      <c r="N65" s="28">
        <v>1</v>
      </c>
      <c r="O65" s="29">
        <v>1</v>
      </c>
      <c r="P65" s="28">
        <v>0.6</v>
      </c>
      <c r="Q65" s="29">
        <f t="shared" si="10"/>
        <v>0.6</v>
      </c>
      <c r="R65" s="30">
        <f t="shared" si="9"/>
        <v>12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21</v>
      </c>
      <c r="D66" s="34">
        <v>6019</v>
      </c>
      <c r="E66" s="16" t="s">
        <v>183</v>
      </c>
      <c r="F66" s="19" t="s">
        <v>184</v>
      </c>
      <c r="G66" s="16" t="s">
        <v>29</v>
      </c>
      <c r="H66" s="19" t="s">
        <v>129</v>
      </c>
      <c r="I66" s="20" t="s">
        <v>23</v>
      </c>
      <c r="J66" s="21">
        <v>0.8</v>
      </c>
      <c r="K66" s="26" t="s">
        <v>30</v>
      </c>
      <c r="L66" s="31" t="s">
        <v>130</v>
      </c>
      <c r="M66" s="1" t="s">
        <v>131</v>
      </c>
      <c r="N66" s="21">
        <v>0.95</v>
      </c>
      <c r="O66" s="21">
        <v>0.15</v>
      </c>
      <c r="P66" s="21">
        <v>0.95</v>
      </c>
      <c r="Q66" s="21">
        <f>ROUND(IF(OR(N66="",P66=""),0,IF(AND(N66=0,P66=0),1,IF(S66="+",P66/N66,N66/P66))),2)</f>
        <v>1</v>
      </c>
      <c r="R66" s="22">
        <f t="shared" si="9"/>
        <v>12</v>
      </c>
      <c r="S66" s="21" t="s">
        <v>24</v>
      </c>
      <c r="T66" s="23">
        <f>SUM(R66:R73)%</f>
        <v>0.68480000000000008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21</v>
      </c>
      <c r="D67" s="34">
        <v>6019</v>
      </c>
      <c r="E67" s="16" t="s">
        <v>183</v>
      </c>
      <c r="F67" s="19" t="s">
        <v>153</v>
      </c>
      <c r="G67" s="16" t="s">
        <v>29</v>
      </c>
      <c r="H67" s="19" t="s">
        <v>129</v>
      </c>
      <c r="I67" s="20" t="s">
        <v>23</v>
      </c>
      <c r="J67" s="21">
        <v>0.8</v>
      </c>
      <c r="K67" s="26" t="s">
        <v>132</v>
      </c>
      <c r="L67" s="31" t="s">
        <v>133</v>
      </c>
      <c r="M67" s="26" t="s">
        <v>134</v>
      </c>
      <c r="N67" s="21">
        <v>0.95</v>
      </c>
      <c r="O67" s="21">
        <v>0.15</v>
      </c>
      <c r="P67" s="25">
        <v>0.95</v>
      </c>
      <c r="Q67" s="21">
        <f t="shared" ref="Q67:Q73" si="11">ROUND(IF(OR(N67="",P67=""),0,IF(AND(N67=0,P67=0),1,IF(S67="+",P67/N67,N67/P67))),2)</f>
        <v>1</v>
      </c>
      <c r="R67" s="22">
        <f t="shared" si="9"/>
        <v>12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21</v>
      </c>
      <c r="D68" s="34">
        <v>6019</v>
      </c>
      <c r="E68" s="16" t="s">
        <v>183</v>
      </c>
      <c r="F68" s="19" t="s">
        <v>153</v>
      </c>
      <c r="G68" s="16" t="s">
        <v>29</v>
      </c>
      <c r="H68" s="19" t="s">
        <v>129</v>
      </c>
      <c r="I68" s="20" t="s">
        <v>23</v>
      </c>
      <c r="J68" s="21">
        <v>0.8</v>
      </c>
      <c r="K68" s="26" t="s">
        <v>54</v>
      </c>
      <c r="L68" s="31" t="s">
        <v>135</v>
      </c>
      <c r="M68" s="26" t="s">
        <v>136</v>
      </c>
      <c r="N68" s="25">
        <v>0.05</v>
      </c>
      <c r="O68" s="21">
        <v>0.1</v>
      </c>
      <c r="P68" s="66">
        <v>0.11</v>
      </c>
      <c r="Q68" s="21">
        <f t="shared" si="11"/>
        <v>0.45</v>
      </c>
      <c r="R68" s="22">
        <f t="shared" si="9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21</v>
      </c>
      <c r="D69" s="34">
        <v>6019</v>
      </c>
      <c r="E69" s="16" t="s">
        <v>183</v>
      </c>
      <c r="F69" s="19" t="s">
        <v>153</v>
      </c>
      <c r="G69" s="16" t="s">
        <v>29</v>
      </c>
      <c r="H69" s="19" t="s">
        <v>129</v>
      </c>
      <c r="I69" s="20" t="s">
        <v>23</v>
      </c>
      <c r="J69" s="21">
        <v>0.8</v>
      </c>
      <c r="K69" s="26" t="s">
        <v>31</v>
      </c>
      <c r="L69" s="31" t="s">
        <v>137</v>
      </c>
      <c r="M69" s="26" t="s">
        <v>138</v>
      </c>
      <c r="N69" s="25">
        <v>0.05</v>
      </c>
      <c r="O69" s="21">
        <v>0.1</v>
      </c>
      <c r="P69" s="28">
        <v>0.05</v>
      </c>
      <c r="Q69" s="21">
        <f t="shared" si="11"/>
        <v>1</v>
      </c>
      <c r="R69" s="22">
        <f t="shared" si="9"/>
        <v>8.0000000000000018</v>
      </c>
      <c r="S69" s="21" t="s">
        <v>25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21</v>
      </c>
      <c r="D70" s="34">
        <v>6019</v>
      </c>
      <c r="E70" s="16" t="s">
        <v>183</v>
      </c>
      <c r="F70" s="19" t="s">
        <v>153</v>
      </c>
      <c r="G70" s="16" t="s">
        <v>29</v>
      </c>
      <c r="H70" s="19" t="s">
        <v>129</v>
      </c>
      <c r="I70" s="27" t="s">
        <v>23</v>
      </c>
      <c r="J70" s="21">
        <v>0.8</v>
      </c>
      <c r="K70" s="27" t="s">
        <v>139</v>
      </c>
      <c r="L70" s="32" t="s">
        <v>140</v>
      </c>
      <c r="M70" s="27" t="s">
        <v>141</v>
      </c>
      <c r="N70" s="28">
        <v>0.9</v>
      </c>
      <c r="O70" s="29">
        <v>0.2</v>
      </c>
      <c r="P70" s="28">
        <v>0.7</v>
      </c>
      <c r="Q70" s="29">
        <f t="shared" si="11"/>
        <v>0.78</v>
      </c>
      <c r="R70" s="30">
        <f t="shared" si="9"/>
        <v>12.480000000000002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21</v>
      </c>
      <c r="D71" s="34">
        <v>6019</v>
      </c>
      <c r="E71" s="16" t="s">
        <v>183</v>
      </c>
      <c r="F71" s="19" t="s">
        <v>153</v>
      </c>
      <c r="G71" s="16" t="s">
        <v>29</v>
      </c>
      <c r="H71" s="19" t="s">
        <v>129</v>
      </c>
      <c r="I71" s="27" t="s">
        <v>23</v>
      </c>
      <c r="J71" s="21">
        <v>0.8</v>
      </c>
      <c r="K71" s="27" t="s">
        <v>142</v>
      </c>
      <c r="L71" s="32" t="s">
        <v>143</v>
      </c>
      <c r="M71" s="27" t="s">
        <v>144</v>
      </c>
      <c r="N71" s="28">
        <v>1</v>
      </c>
      <c r="O71" s="29">
        <v>0.1</v>
      </c>
      <c r="P71" s="28">
        <v>1</v>
      </c>
      <c r="Q71" s="29">
        <f t="shared" si="11"/>
        <v>1</v>
      </c>
      <c r="R71" s="30">
        <f t="shared" si="9"/>
        <v>8.0000000000000018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21</v>
      </c>
      <c r="D72" s="34">
        <v>6019</v>
      </c>
      <c r="E72" s="16" t="s">
        <v>183</v>
      </c>
      <c r="F72" s="19" t="s">
        <v>153</v>
      </c>
      <c r="G72" s="16" t="s">
        <v>29</v>
      </c>
      <c r="H72" s="19" t="s">
        <v>129</v>
      </c>
      <c r="I72" s="27" t="s">
        <v>23</v>
      </c>
      <c r="J72" s="21">
        <v>0.8</v>
      </c>
      <c r="K72" s="27" t="s">
        <v>145</v>
      </c>
      <c r="L72" s="32" t="s">
        <v>146</v>
      </c>
      <c r="M72" s="6" t="s">
        <v>147</v>
      </c>
      <c r="N72" s="28">
        <v>0.9</v>
      </c>
      <c r="O72" s="29">
        <v>0.2</v>
      </c>
      <c r="P72" s="67">
        <v>0.90900000000000003</v>
      </c>
      <c r="Q72" s="29">
        <f t="shared" si="11"/>
        <v>1.01</v>
      </c>
      <c r="R72" s="30">
        <f t="shared" si="9"/>
        <v>16.000000000000004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21</v>
      </c>
      <c r="D73" s="34">
        <v>6019</v>
      </c>
      <c r="E73" s="16" t="s">
        <v>183</v>
      </c>
      <c r="F73" s="19" t="s">
        <v>153</v>
      </c>
      <c r="G73" s="16" t="s">
        <v>29</v>
      </c>
      <c r="H73" s="19" t="s">
        <v>129</v>
      </c>
      <c r="I73" s="27" t="s">
        <v>27</v>
      </c>
      <c r="J73" s="28">
        <v>0.2</v>
      </c>
      <c r="K73" s="27" t="s">
        <v>148</v>
      </c>
      <c r="L73" s="32" t="s">
        <v>149</v>
      </c>
      <c r="M73" s="6" t="s">
        <v>150</v>
      </c>
      <c r="N73" s="28">
        <v>1</v>
      </c>
      <c r="O73" s="29">
        <v>1</v>
      </c>
      <c r="P73" s="28">
        <v>0.5</v>
      </c>
      <c r="Q73" s="29">
        <f t="shared" si="11"/>
        <v>0.5</v>
      </c>
      <c r="R73" s="30">
        <f t="shared" si="9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21</v>
      </c>
      <c r="D74" s="34">
        <v>6149</v>
      </c>
      <c r="E74" s="16" t="s">
        <v>185</v>
      </c>
      <c r="F74" s="19" t="s">
        <v>155</v>
      </c>
      <c r="G74" s="16" t="s">
        <v>29</v>
      </c>
      <c r="H74" s="19" t="s">
        <v>129</v>
      </c>
      <c r="I74" s="20" t="s">
        <v>23</v>
      </c>
      <c r="J74" s="21">
        <v>0.8</v>
      </c>
      <c r="K74" s="26" t="s">
        <v>30</v>
      </c>
      <c r="L74" s="31" t="s">
        <v>130</v>
      </c>
      <c r="M74" s="1" t="s">
        <v>131</v>
      </c>
      <c r="N74" s="21">
        <v>0.95</v>
      </c>
      <c r="O74" s="21">
        <v>0.15</v>
      </c>
      <c r="P74" s="21">
        <v>0.95</v>
      </c>
      <c r="Q74" s="21">
        <f>ROUND(IF(OR(N74="",P74=""),0,IF(AND(N74=0,P74=0),1,IF(S74="+",P74/N74,N74/P74))),2)</f>
        <v>1</v>
      </c>
      <c r="R74" s="22">
        <f t="shared" si="9"/>
        <v>12</v>
      </c>
      <c r="S74" s="21" t="s">
        <v>24</v>
      </c>
      <c r="T74" s="23">
        <f>SUM(R74:R81)%</f>
        <v>0.80480000000000007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2072</v>
      </c>
      <c r="B75" s="16" t="s">
        <v>20</v>
      </c>
      <c r="C75" s="17" t="s">
        <v>21</v>
      </c>
      <c r="D75" s="34">
        <v>6149</v>
      </c>
      <c r="E75" s="16" t="s">
        <v>185</v>
      </c>
      <c r="F75" s="19" t="s">
        <v>155</v>
      </c>
      <c r="G75" s="16" t="s">
        <v>29</v>
      </c>
      <c r="H75" s="19" t="s">
        <v>129</v>
      </c>
      <c r="I75" s="20" t="s">
        <v>23</v>
      </c>
      <c r="J75" s="21">
        <v>0.8</v>
      </c>
      <c r="K75" s="26" t="s">
        <v>132</v>
      </c>
      <c r="L75" s="31" t="s">
        <v>133</v>
      </c>
      <c r="M75" s="26" t="s">
        <v>134</v>
      </c>
      <c r="N75" s="21">
        <v>0.95</v>
      </c>
      <c r="O75" s="21">
        <v>0.15</v>
      </c>
      <c r="P75" s="25">
        <v>0.95</v>
      </c>
      <c r="Q75" s="21">
        <f t="shared" ref="Q75:Q81" si="12">ROUND(IF(OR(N75="",P75=""),0,IF(AND(N75=0,P75=0),1,IF(S75="+",P75/N75,N75/P75))),2)</f>
        <v>1</v>
      </c>
      <c r="R75" s="22">
        <f t="shared" si="9"/>
        <v>12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2073</v>
      </c>
      <c r="B76" s="16" t="s">
        <v>20</v>
      </c>
      <c r="C76" s="17" t="s">
        <v>21</v>
      </c>
      <c r="D76" s="34">
        <v>6149</v>
      </c>
      <c r="E76" s="16" t="s">
        <v>185</v>
      </c>
      <c r="F76" s="19" t="s">
        <v>155</v>
      </c>
      <c r="G76" s="16" t="s">
        <v>29</v>
      </c>
      <c r="H76" s="19" t="s">
        <v>129</v>
      </c>
      <c r="I76" s="20" t="s">
        <v>23</v>
      </c>
      <c r="J76" s="21">
        <v>0.8</v>
      </c>
      <c r="K76" s="26" t="s">
        <v>54</v>
      </c>
      <c r="L76" s="31" t="s">
        <v>135</v>
      </c>
      <c r="M76" s="26" t="s">
        <v>136</v>
      </c>
      <c r="N76" s="25">
        <v>0.05</v>
      </c>
      <c r="O76" s="21">
        <v>0.1</v>
      </c>
      <c r="P76" s="66">
        <v>0.11</v>
      </c>
      <c r="Q76" s="21">
        <f t="shared" si="12"/>
        <v>0.45</v>
      </c>
      <c r="R76" s="22">
        <f t="shared" si="9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2074</v>
      </c>
      <c r="B77" s="16" t="s">
        <v>20</v>
      </c>
      <c r="C77" s="17" t="s">
        <v>21</v>
      </c>
      <c r="D77" s="34">
        <v>6149</v>
      </c>
      <c r="E77" s="16" t="s">
        <v>185</v>
      </c>
      <c r="F77" s="19" t="s">
        <v>155</v>
      </c>
      <c r="G77" s="16" t="s">
        <v>29</v>
      </c>
      <c r="H77" s="19" t="s">
        <v>129</v>
      </c>
      <c r="I77" s="20" t="s">
        <v>23</v>
      </c>
      <c r="J77" s="21">
        <v>0.8</v>
      </c>
      <c r="K77" s="26" t="s">
        <v>31</v>
      </c>
      <c r="L77" s="31" t="s">
        <v>137</v>
      </c>
      <c r="M77" s="26" t="s">
        <v>138</v>
      </c>
      <c r="N77" s="25">
        <v>0.05</v>
      </c>
      <c r="O77" s="21">
        <v>0.1</v>
      </c>
      <c r="P77" s="28">
        <v>0.05</v>
      </c>
      <c r="Q77" s="21">
        <f t="shared" si="12"/>
        <v>1</v>
      </c>
      <c r="R77" s="22">
        <f t="shared" si="9"/>
        <v>8.0000000000000018</v>
      </c>
      <c r="S77" s="21" t="s">
        <v>25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2075</v>
      </c>
      <c r="B78" s="16" t="s">
        <v>20</v>
      </c>
      <c r="C78" s="17" t="s">
        <v>21</v>
      </c>
      <c r="D78" s="34">
        <v>6149</v>
      </c>
      <c r="E78" s="16" t="s">
        <v>185</v>
      </c>
      <c r="F78" s="19" t="s">
        <v>155</v>
      </c>
      <c r="G78" s="16" t="s">
        <v>29</v>
      </c>
      <c r="H78" s="19" t="s">
        <v>129</v>
      </c>
      <c r="I78" s="27" t="s">
        <v>23</v>
      </c>
      <c r="J78" s="21">
        <v>0.8</v>
      </c>
      <c r="K78" s="27" t="s">
        <v>139</v>
      </c>
      <c r="L78" s="32" t="s">
        <v>140</v>
      </c>
      <c r="M78" s="27" t="s">
        <v>141</v>
      </c>
      <c r="N78" s="28">
        <v>0.9</v>
      </c>
      <c r="O78" s="29">
        <v>0.2</v>
      </c>
      <c r="P78" s="28">
        <v>0.7</v>
      </c>
      <c r="Q78" s="29">
        <f t="shared" si="12"/>
        <v>0.78</v>
      </c>
      <c r="R78" s="30">
        <f t="shared" si="9"/>
        <v>12.480000000000002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2076</v>
      </c>
      <c r="B79" s="16" t="s">
        <v>20</v>
      </c>
      <c r="C79" s="17" t="s">
        <v>21</v>
      </c>
      <c r="D79" s="34">
        <v>6149</v>
      </c>
      <c r="E79" s="16" t="s">
        <v>185</v>
      </c>
      <c r="F79" s="19" t="s">
        <v>155</v>
      </c>
      <c r="G79" s="16" t="s">
        <v>29</v>
      </c>
      <c r="H79" s="19" t="s">
        <v>129</v>
      </c>
      <c r="I79" s="27" t="s">
        <v>23</v>
      </c>
      <c r="J79" s="21">
        <v>0.8</v>
      </c>
      <c r="K79" s="27" t="s">
        <v>142</v>
      </c>
      <c r="L79" s="32" t="s">
        <v>143</v>
      </c>
      <c r="M79" s="27" t="s">
        <v>144</v>
      </c>
      <c r="N79" s="28">
        <v>1</v>
      </c>
      <c r="O79" s="29">
        <v>0.1</v>
      </c>
      <c r="P79" s="28">
        <v>1</v>
      </c>
      <c r="Q79" s="29">
        <f t="shared" si="12"/>
        <v>1</v>
      </c>
      <c r="R79" s="30">
        <f t="shared" si="9"/>
        <v>8.0000000000000018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2077</v>
      </c>
      <c r="B80" s="16" t="s">
        <v>20</v>
      </c>
      <c r="C80" s="17" t="s">
        <v>21</v>
      </c>
      <c r="D80" s="34">
        <v>6149</v>
      </c>
      <c r="E80" s="16" t="s">
        <v>185</v>
      </c>
      <c r="F80" s="19" t="s">
        <v>155</v>
      </c>
      <c r="G80" s="16" t="s">
        <v>29</v>
      </c>
      <c r="H80" s="19" t="s">
        <v>129</v>
      </c>
      <c r="I80" s="27" t="s">
        <v>23</v>
      </c>
      <c r="J80" s="21">
        <v>0.8</v>
      </c>
      <c r="K80" s="27" t="s">
        <v>145</v>
      </c>
      <c r="L80" s="32" t="s">
        <v>146</v>
      </c>
      <c r="M80" s="6" t="s">
        <v>147</v>
      </c>
      <c r="N80" s="28">
        <v>0.9</v>
      </c>
      <c r="O80" s="29">
        <v>0.2</v>
      </c>
      <c r="P80" s="67">
        <v>0.90900000000000003</v>
      </c>
      <c r="Q80" s="29">
        <f t="shared" si="12"/>
        <v>1.01</v>
      </c>
      <c r="R80" s="30">
        <f t="shared" si="9"/>
        <v>16.000000000000004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2078</v>
      </c>
      <c r="B81" s="16" t="s">
        <v>20</v>
      </c>
      <c r="C81" s="17" t="s">
        <v>21</v>
      </c>
      <c r="D81" s="34">
        <v>6149</v>
      </c>
      <c r="E81" s="16" t="s">
        <v>185</v>
      </c>
      <c r="F81" s="19" t="s">
        <v>155</v>
      </c>
      <c r="G81" s="16" t="s">
        <v>29</v>
      </c>
      <c r="H81" s="19" t="s">
        <v>129</v>
      </c>
      <c r="I81" s="27" t="s">
        <v>27</v>
      </c>
      <c r="J81" s="28">
        <v>0.2</v>
      </c>
      <c r="K81" s="27" t="s">
        <v>148</v>
      </c>
      <c r="L81" s="32" t="s">
        <v>149</v>
      </c>
      <c r="M81" s="6" t="s">
        <v>150</v>
      </c>
      <c r="N81" s="28">
        <v>1</v>
      </c>
      <c r="O81" s="29">
        <v>1</v>
      </c>
      <c r="P81" s="28">
        <v>0.6</v>
      </c>
      <c r="Q81" s="29">
        <f t="shared" si="12"/>
        <v>0.6</v>
      </c>
      <c r="R81" s="30">
        <f t="shared" si="9"/>
        <v>12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21</v>
      </c>
      <c r="D82" s="34">
        <v>6234</v>
      </c>
      <c r="E82" s="16" t="s">
        <v>186</v>
      </c>
      <c r="F82" s="19" t="s">
        <v>155</v>
      </c>
      <c r="G82" s="16" t="s">
        <v>29</v>
      </c>
      <c r="H82" s="19" t="s">
        <v>129</v>
      </c>
      <c r="I82" s="20" t="s">
        <v>23</v>
      </c>
      <c r="J82" s="21">
        <v>0.8</v>
      </c>
      <c r="K82" s="26" t="s">
        <v>30</v>
      </c>
      <c r="L82" s="31" t="s">
        <v>130</v>
      </c>
      <c r="M82" s="1" t="s">
        <v>131</v>
      </c>
      <c r="N82" s="21">
        <v>0.95</v>
      </c>
      <c r="O82" s="21">
        <v>0.15</v>
      </c>
      <c r="P82" s="21">
        <v>0.95</v>
      </c>
      <c r="Q82" s="21">
        <f>ROUND(IF(OR(N82="",P82=""),0,IF(AND(N82=0,P82=0),1,IF(S82="+",P82/N82,N82/P82))),2)</f>
        <v>1</v>
      </c>
      <c r="R82" s="22">
        <f t="shared" si="9"/>
        <v>12</v>
      </c>
      <c r="S82" s="21" t="s">
        <v>24</v>
      </c>
      <c r="T82" s="23">
        <f>SUM(R82:R89)%</f>
        <v>0.86240000000000006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2072</v>
      </c>
      <c r="B83" s="16" t="s">
        <v>20</v>
      </c>
      <c r="C83" s="17" t="s">
        <v>21</v>
      </c>
      <c r="D83" s="34">
        <v>6234</v>
      </c>
      <c r="E83" s="16" t="s">
        <v>186</v>
      </c>
      <c r="F83" s="19" t="s">
        <v>155</v>
      </c>
      <c r="G83" s="16" t="s">
        <v>29</v>
      </c>
      <c r="H83" s="19" t="s">
        <v>129</v>
      </c>
      <c r="I83" s="20" t="s">
        <v>23</v>
      </c>
      <c r="J83" s="21">
        <v>0.8</v>
      </c>
      <c r="K83" s="26" t="s">
        <v>132</v>
      </c>
      <c r="L83" s="31" t="s">
        <v>133</v>
      </c>
      <c r="M83" s="26" t="s">
        <v>134</v>
      </c>
      <c r="N83" s="21">
        <v>0.95</v>
      </c>
      <c r="O83" s="21">
        <v>0.15</v>
      </c>
      <c r="P83" s="25">
        <v>0.95</v>
      </c>
      <c r="Q83" s="21">
        <f t="shared" ref="Q83:Q89" si="13">ROUND(IF(OR(N83="",P83=""),0,IF(AND(N83=0,P83=0),1,IF(S83="+",P83/N83,N83/P83))),2)</f>
        <v>1</v>
      </c>
      <c r="R83" s="22">
        <f t="shared" si="9"/>
        <v>12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2073</v>
      </c>
      <c r="B84" s="16" t="s">
        <v>20</v>
      </c>
      <c r="C84" s="17" t="s">
        <v>21</v>
      </c>
      <c r="D84" s="34">
        <v>6234</v>
      </c>
      <c r="E84" s="16" t="s">
        <v>186</v>
      </c>
      <c r="F84" s="19" t="s">
        <v>155</v>
      </c>
      <c r="G84" s="16" t="s">
        <v>29</v>
      </c>
      <c r="H84" s="19" t="s">
        <v>129</v>
      </c>
      <c r="I84" s="20" t="s">
        <v>23</v>
      </c>
      <c r="J84" s="21">
        <v>0.8</v>
      </c>
      <c r="K84" s="26" t="s">
        <v>54</v>
      </c>
      <c r="L84" s="31" t="s">
        <v>135</v>
      </c>
      <c r="M84" s="26" t="s">
        <v>136</v>
      </c>
      <c r="N84" s="25">
        <v>0.05</v>
      </c>
      <c r="O84" s="21">
        <v>0.1</v>
      </c>
      <c r="P84" s="66">
        <v>0.11</v>
      </c>
      <c r="Q84" s="21">
        <f t="shared" si="13"/>
        <v>0.45</v>
      </c>
      <c r="R84" s="22">
        <f t="shared" si="9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2074</v>
      </c>
      <c r="B85" s="16" t="s">
        <v>20</v>
      </c>
      <c r="C85" s="17" t="s">
        <v>21</v>
      </c>
      <c r="D85" s="34">
        <v>6234</v>
      </c>
      <c r="E85" s="16" t="s">
        <v>186</v>
      </c>
      <c r="F85" s="19" t="s">
        <v>155</v>
      </c>
      <c r="G85" s="16" t="s">
        <v>29</v>
      </c>
      <c r="H85" s="19" t="s">
        <v>129</v>
      </c>
      <c r="I85" s="20" t="s">
        <v>23</v>
      </c>
      <c r="J85" s="21">
        <v>0.8</v>
      </c>
      <c r="K85" s="26" t="s">
        <v>31</v>
      </c>
      <c r="L85" s="31" t="s">
        <v>137</v>
      </c>
      <c r="M85" s="26" t="s">
        <v>138</v>
      </c>
      <c r="N85" s="25">
        <v>0.05</v>
      </c>
      <c r="O85" s="21">
        <v>0.1</v>
      </c>
      <c r="P85" s="28">
        <v>0.05</v>
      </c>
      <c r="Q85" s="21">
        <f t="shared" si="13"/>
        <v>1</v>
      </c>
      <c r="R85" s="22">
        <f t="shared" si="9"/>
        <v>8.0000000000000018</v>
      </c>
      <c r="S85" s="21" t="s">
        <v>25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2075</v>
      </c>
      <c r="B86" s="16" t="s">
        <v>20</v>
      </c>
      <c r="C86" s="17" t="s">
        <v>21</v>
      </c>
      <c r="D86" s="34">
        <v>6234</v>
      </c>
      <c r="E86" s="16" t="s">
        <v>186</v>
      </c>
      <c r="F86" s="19" t="s">
        <v>155</v>
      </c>
      <c r="G86" s="16" t="s">
        <v>29</v>
      </c>
      <c r="H86" s="19" t="s">
        <v>129</v>
      </c>
      <c r="I86" s="27" t="s">
        <v>23</v>
      </c>
      <c r="J86" s="21">
        <v>0.8</v>
      </c>
      <c r="K86" s="27" t="s">
        <v>139</v>
      </c>
      <c r="L86" s="32" t="s">
        <v>140</v>
      </c>
      <c r="M86" s="27" t="s">
        <v>141</v>
      </c>
      <c r="N86" s="28">
        <v>0.9</v>
      </c>
      <c r="O86" s="29">
        <v>0.2</v>
      </c>
      <c r="P86" s="28">
        <v>0.8</v>
      </c>
      <c r="Q86" s="29">
        <f t="shared" si="13"/>
        <v>0.89</v>
      </c>
      <c r="R86" s="30">
        <f t="shared" si="9"/>
        <v>14.240000000000002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2076</v>
      </c>
      <c r="B87" s="16" t="s">
        <v>20</v>
      </c>
      <c r="C87" s="17" t="s">
        <v>21</v>
      </c>
      <c r="D87" s="34">
        <v>6234</v>
      </c>
      <c r="E87" s="16" t="s">
        <v>186</v>
      </c>
      <c r="F87" s="19" t="s">
        <v>155</v>
      </c>
      <c r="G87" s="16" t="s">
        <v>29</v>
      </c>
      <c r="H87" s="19" t="s">
        <v>129</v>
      </c>
      <c r="I87" s="27" t="s">
        <v>23</v>
      </c>
      <c r="J87" s="21">
        <v>0.8</v>
      </c>
      <c r="K87" s="27" t="s">
        <v>142</v>
      </c>
      <c r="L87" s="32" t="s">
        <v>143</v>
      </c>
      <c r="M87" s="27" t="s">
        <v>144</v>
      </c>
      <c r="N87" s="28">
        <v>1</v>
      </c>
      <c r="O87" s="29">
        <v>0.1</v>
      </c>
      <c r="P87" s="28">
        <v>1</v>
      </c>
      <c r="Q87" s="29">
        <f t="shared" si="13"/>
        <v>1</v>
      </c>
      <c r="R87" s="30">
        <f t="shared" si="9"/>
        <v>8.0000000000000018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2077</v>
      </c>
      <c r="B88" s="16" t="s">
        <v>20</v>
      </c>
      <c r="C88" s="17" t="s">
        <v>21</v>
      </c>
      <c r="D88" s="34">
        <v>6234</v>
      </c>
      <c r="E88" s="16" t="s">
        <v>186</v>
      </c>
      <c r="F88" s="19" t="s">
        <v>155</v>
      </c>
      <c r="G88" s="16" t="s">
        <v>29</v>
      </c>
      <c r="H88" s="19" t="s">
        <v>129</v>
      </c>
      <c r="I88" s="27" t="s">
        <v>23</v>
      </c>
      <c r="J88" s="21">
        <v>0.8</v>
      </c>
      <c r="K88" s="27" t="s">
        <v>145</v>
      </c>
      <c r="L88" s="32" t="s">
        <v>146</v>
      </c>
      <c r="M88" s="6" t="s">
        <v>147</v>
      </c>
      <c r="N88" s="28">
        <v>0.9</v>
      </c>
      <c r="O88" s="29">
        <v>0.2</v>
      </c>
      <c r="P88" s="67">
        <v>0.90900000000000003</v>
      </c>
      <c r="Q88" s="29">
        <f t="shared" si="13"/>
        <v>1.01</v>
      </c>
      <c r="R88" s="30">
        <f t="shared" si="9"/>
        <v>16.000000000000004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2078</v>
      </c>
      <c r="B89" s="16" t="s">
        <v>20</v>
      </c>
      <c r="C89" s="17" t="s">
        <v>21</v>
      </c>
      <c r="D89" s="34">
        <v>6234</v>
      </c>
      <c r="E89" s="16" t="s">
        <v>186</v>
      </c>
      <c r="F89" s="19" t="s">
        <v>155</v>
      </c>
      <c r="G89" s="16" t="s">
        <v>29</v>
      </c>
      <c r="H89" s="19" t="s">
        <v>129</v>
      </c>
      <c r="I89" s="27" t="s">
        <v>27</v>
      </c>
      <c r="J89" s="28">
        <v>0.2</v>
      </c>
      <c r="K89" s="27" t="s">
        <v>148</v>
      </c>
      <c r="L89" s="32" t="s">
        <v>149</v>
      </c>
      <c r="M89" s="6" t="s">
        <v>150</v>
      </c>
      <c r="N89" s="28">
        <v>1</v>
      </c>
      <c r="O89" s="29">
        <v>1</v>
      </c>
      <c r="P89" s="28">
        <v>0.8</v>
      </c>
      <c r="Q89" s="29">
        <f t="shared" si="13"/>
        <v>0.8</v>
      </c>
      <c r="R89" s="30">
        <f t="shared" si="9"/>
        <v>16.000000000000004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2070</v>
      </c>
      <c r="B90" s="16" t="s">
        <v>20</v>
      </c>
      <c r="C90" s="17" t="s">
        <v>21</v>
      </c>
      <c r="D90" s="34">
        <v>6273</v>
      </c>
      <c r="E90" s="16" t="s">
        <v>187</v>
      </c>
      <c r="F90" s="19" t="s">
        <v>128</v>
      </c>
      <c r="G90" s="16" t="s">
        <v>29</v>
      </c>
      <c r="H90" s="19" t="s">
        <v>129</v>
      </c>
      <c r="I90" s="20" t="s">
        <v>23</v>
      </c>
      <c r="J90" s="21">
        <v>0.8</v>
      </c>
      <c r="K90" s="26" t="s">
        <v>30</v>
      </c>
      <c r="L90" s="31" t="s">
        <v>130</v>
      </c>
      <c r="M90" s="1" t="s">
        <v>131</v>
      </c>
      <c r="N90" s="21">
        <v>0.95</v>
      </c>
      <c r="O90" s="21">
        <v>0.15</v>
      </c>
      <c r="P90" s="21">
        <v>0.95</v>
      </c>
      <c r="Q90" s="21">
        <f>ROUND(IF(OR(N90="",P90=""),0,IF(AND(N90=0,P90=0),1,IF(S90="+",P90/N90,N90/P90))),2)</f>
        <v>1</v>
      </c>
      <c r="R90" s="22">
        <f t="shared" si="9"/>
        <v>12</v>
      </c>
      <c r="S90" s="21" t="s">
        <v>24</v>
      </c>
      <c r="T90" s="23">
        <f>SUM(R90:R97)%</f>
        <v>0.67520000000000013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2072</v>
      </c>
      <c r="B91" s="16" t="s">
        <v>20</v>
      </c>
      <c r="C91" s="17" t="s">
        <v>21</v>
      </c>
      <c r="D91" s="34">
        <v>6273</v>
      </c>
      <c r="E91" s="16" t="s">
        <v>187</v>
      </c>
      <c r="F91" s="19" t="s">
        <v>128</v>
      </c>
      <c r="G91" s="16" t="s">
        <v>29</v>
      </c>
      <c r="H91" s="19" t="s">
        <v>129</v>
      </c>
      <c r="I91" s="20" t="s">
        <v>23</v>
      </c>
      <c r="J91" s="21">
        <v>0.8</v>
      </c>
      <c r="K91" s="26" t="s">
        <v>132</v>
      </c>
      <c r="L91" s="31" t="s">
        <v>133</v>
      </c>
      <c r="M91" s="26" t="s">
        <v>134</v>
      </c>
      <c r="N91" s="21">
        <v>0.95</v>
      </c>
      <c r="O91" s="21">
        <v>0.15</v>
      </c>
      <c r="P91" s="25">
        <v>0.95</v>
      </c>
      <c r="Q91" s="21">
        <f t="shared" ref="Q91:Q97" si="14">ROUND(IF(OR(N91="",P91=""),0,IF(AND(N91=0,P91=0),1,IF(S91="+",P91/N91,N91/P91))),2)</f>
        <v>1</v>
      </c>
      <c r="R91" s="22">
        <f t="shared" si="9"/>
        <v>12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2073</v>
      </c>
      <c r="B92" s="16" t="s">
        <v>20</v>
      </c>
      <c r="C92" s="17" t="s">
        <v>21</v>
      </c>
      <c r="D92" s="34">
        <v>6273</v>
      </c>
      <c r="E92" s="16" t="s">
        <v>187</v>
      </c>
      <c r="F92" s="19" t="s">
        <v>128</v>
      </c>
      <c r="G92" s="16" t="s">
        <v>29</v>
      </c>
      <c r="H92" s="19" t="s">
        <v>129</v>
      </c>
      <c r="I92" s="20" t="s">
        <v>23</v>
      </c>
      <c r="J92" s="21">
        <v>0.8</v>
      </c>
      <c r="K92" s="26" t="s">
        <v>54</v>
      </c>
      <c r="L92" s="31" t="s">
        <v>135</v>
      </c>
      <c r="M92" s="26" t="s">
        <v>136</v>
      </c>
      <c r="N92" s="25">
        <v>0.05</v>
      </c>
      <c r="O92" s="21">
        <v>0.1</v>
      </c>
      <c r="P92" s="66">
        <v>0.11</v>
      </c>
      <c r="Q92" s="21">
        <f t="shared" si="14"/>
        <v>0.45</v>
      </c>
      <c r="R92" s="22">
        <f t="shared" si="9"/>
        <v>0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2074</v>
      </c>
      <c r="B93" s="16" t="s">
        <v>20</v>
      </c>
      <c r="C93" s="17" t="s">
        <v>21</v>
      </c>
      <c r="D93" s="34">
        <v>6273</v>
      </c>
      <c r="E93" s="16" t="s">
        <v>187</v>
      </c>
      <c r="F93" s="19" t="s">
        <v>128</v>
      </c>
      <c r="G93" s="16" t="s">
        <v>29</v>
      </c>
      <c r="H93" s="19" t="s">
        <v>129</v>
      </c>
      <c r="I93" s="20" t="s">
        <v>23</v>
      </c>
      <c r="J93" s="21">
        <v>0.8</v>
      </c>
      <c r="K93" s="26" t="s">
        <v>31</v>
      </c>
      <c r="L93" s="31" t="s">
        <v>137</v>
      </c>
      <c r="M93" s="26" t="s">
        <v>138</v>
      </c>
      <c r="N93" s="25">
        <v>0.05</v>
      </c>
      <c r="O93" s="21">
        <v>0.1</v>
      </c>
      <c r="P93" s="28">
        <v>0.05</v>
      </c>
      <c r="Q93" s="21">
        <f t="shared" si="14"/>
        <v>1</v>
      </c>
      <c r="R93" s="22">
        <f t="shared" si="9"/>
        <v>8.0000000000000018</v>
      </c>
      <c r="S93" s="21" t="s">
        <v>25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2075</v>
      </c>
      <c r="B94" s="16" t="s">
        <v>20</v>
      </c>
      <c r="C94" s="17" t="s">
        <v>21</v>
      </c>
      <c r="D94" s="34">
        <v>6273</v>
      </c>
      <c r="E94" s="16" t="s">
        <v>187</v>
      </c>
      <c r="F94" s="19" t="s">
        <v>128</v>
      </c>
      <c r="G94" s="16" t="s">
        <v>29</v>
      </c>
      <c r="H94" s="19" t="s">
        <v>129</v>
      </c>
      <c r="I94" s="27" t="s">
        <v>23</v>
      </c>
      <c r="J94" s="21">
        <v>0.8</v>
      </c>
      <c r="K94" s="27" t="s">
        <v>139</v>
      </c>
      <c r="L94" s="32" t="s">
        <v>140</v>
      </c>
      <c r="M94" s="27" t="s">
        <v>141</v>
      </c>
      <c r="N94" s="28">
        <v>0.9</v>
      </c>
      <c r="O94" s="29">
        <v>0.2</v>
      </c>
      <c r="P94" s="28">
        <v>0.65</v>
      </c>
      <c r="Q94" s="29">
        <f t="shared" si="14"/>
        <v>0.72</v>
      </c>
      <c r="R94" s="30">
        <f t="shared" si="9"/>
        <v>11.520000000000003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2076</v>
      </c>
      <c r="B95" s="16" t="s">
        <v>20</v>
      </c>
      <c r="C95" s="17" t="s">
        <v>21</v>
      </c>
      <c r="D95" s="34">
        <v>6273</v>
      </c>
      <c r="E95" s="16" t="s">
        <v>187</v>
      </c>
      <c r="F95" s="19" t="s">
        <v>128</v>
      </c>
      <c r="G95" s="16" t="s">
        <v>29</v>
      </c>
      <c r="H95" s="19" t="s">
        <v>129</v>
      </c>
      <c r="I95" s="27" t="s">
        <v>23</v>
      </c>
      <c r="J95" s="21">
        <v>0.8</v>
      </c>
      <c r="K95" s="27" t="s">
        <v>142</v>
      </c>
      <c r="L95" s="32" t="s">
        <v>143</v>
      </c>
      <c r="M95" s="27" t="s">
        <v>144</v>
      </c>
      <c r="N95" s="28">
        <v>1</v>
      </c>
      <c r="O95" s="29">
        <v>0.1</v>
      </c>
      <c r="P95" s="28">
        <v>1</v>
      </c>
      <c r="Q95" s="29">
        <f t="shared" si="14"/>
        <v>1</v>
      </c>
      <c r="R95" s="30">
        <f t="shared" si="9"/>
        <v>8.0000000000000018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2077</v>
      </c>
      <c r="B96" s="16" t="s">
        <v>20</v>
      </c>
      <c r="C96" s="17" t="s">
        <v>21</v>
      </c>
      <c r="D96" s="34">
        <v>6273</v>
      </c>
      <c r="E96" s="16" t="s">
        <v>187</v>
      </c>
      <c r="F96" s="19" t="s">
        <v>128</v>
      </c>
      <c r="G96" s="16" t="s">
        <v>29</v>
      </c>
      <c r="H96" s="19" t="s">
        <v>129</v>
      </c>
      <c r="I96" s="27" t="s">
        <v>23</v>
      </c>
      <c r="J96" s="21">
        <v>0.8</v>
      </c>
      <c r="K96" s="27" t="s">
        <v>145</v>
      </c>
      <c r="L96" s="32" t="s">
        <v>146</v>
      </c>
      <c r="M96" s="6" t="s">
        <v>147</v>
      </c>
      <c r="N96" s="28">
        <v>0.9</v>
      </c>
      <c r="O96" s="29">
        <v>0.2</v>
      </c>
      <c r="P96" s="67">
        <v>0.90900000000000003</v>
      </c>
      <c r="Q96" s="29">
        <f t="shared" si="14"/>
        <v>1.01</v>
      </c>
      <c r="R96" s="30">
        <f t="shared" si="9"/>
        <v>16.000000000000004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2078</v>
      </c>
      <c r="B97" s="16" t="s">
        <v>20</v>
      </c>
      <c r="C97" s="17" t="s">
        <v>21</v>
      </c>
      <c r="D97" s="34">
        <v>6273</v>
      </c>
      <c r="E97" s="16" t="s">
        <v>187</v>
      </c>
      <c r="F97" s="19" t="s">
        <v>128</v>
      </c>
      <c r="G97" s="16" t="s">
        <v>29</v>
      </c>
      <c r="H97" s="19" t="s">
        <v>129</v>
      </c>
      <c r="I97" s="27" t="s">
        <v>27</v>
      </c>
      <c r="J97" s="28">
        <v>0.2</v>
      </c>
      <c r="K97" s="27" t="s">
        <v>148</v>
      </c>
      <c r="L97" s="32" t="s">
        <v>149</v>
      </c>
      <c r="M97" s="6" t="s">
        <v>150</v>
      </c>
      <c r="N97" s="28">
        <v>1</v>
      </c>
      <c r="O97" s="29">
        <v>1</v>
      </c>
      <c r="P97" s="28">
        <v>0.5</v>
      </c>
      <c r="Q97" s="29">
        <f t="shared" si="14"/>
        <v>0.5</v>
      </c>
      <c r="R97" s="30">
        <f t="shared" si="9"/>
        <v>0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2070</v>
      </c>
      <c r="B98" s="16" t="s">
        <v>20</v>
      </c>
      <c r="C98" s="17" t="s">
        <v>21</v>
      </c>
      <c r="D98" s="34">
        <v>6296</v>
      </c>
      <c r="E98" s="16" t="s">
        <v>188</v>
      </c>
      <c r="F98" s="19" t="s">
        <v>128</v>
      </c>
      <c r="G98" s="16" t="s">
        <v>29</v>
      </c>
      <c r="H98" s="19" t="s">
        <v>129</v>
      </c>
      <c r="I98" s="20" t="s">
        <v>23</v>
      </c>
      <c r="J98" s="21">
        <v>0.8</v>
      </c>
      <c r="K98" s="26" t="s">
        <v>30</v>
      </c>
      <c r="L98" s="31" t="s">
        <v>130</v>
      </c>
      <c r="M98" s="1" t="s">
        <v>131</v>
      </c>
      <c r="N98" s="21">
        <v>0.95</v>
      </c>
      <c r="O98" s="21">
        <v>0.15</v>
      </c>
      <c r="P98" s="21">
        <v>0.95</v>
      </c>
      <c r="Q98" s="21">
        <f>ROUND(IF(OR(N98="",P98=""),0,IF(AND(N98=0,P98=0),1,IF(S98="+",P98/N98,N98/P98))),2)</f>
        <v>1</v>
      </c>
      <c r="R98" s="22">
        <f t="shared" si="9"/>
        <v>12</v>
      </c>
      <c r="S98" s="21" t="s">
        <v>24</v>
      </c>
      <c r="T98" s="23">
        <f>SUM(R98:R105)%</f>
        <v>0.68480000000000008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2072</v>
      </c>
      <c r="B99" s="16" t="s">
        <v>20</v>
      </c>
      <c r="C99" s="17" t="s">
        <v>21</v>
      </c>
      <c r="D99" s="34">
        <v>6296</v>
      </c>
      <c r="E99" s="16" t="s">
        <v>188</v>
      </c>
      <c r="F99" s="19" t="s">
        <v>128</v>
      </c>
      <c r="G99" s="16" t="s">
        <v>29</v>
      </c>
      <c r="H99" s="19" t="s">
        <v>129</v>
      </c>
      <c r="I99" s="20" t="s">
        <v>23</v>
      </c>
      <c r="J99" s="21">
        <v>0.8</v>
      </c>
      <c r="K99" s="26" t="s">
        <v>132</v>
      </c>
      <c r="L99" s="31" t="s">
        <v>133</v>
      </c>
      <c r="M99" s="26" t="s">
        <v>134</v>
      </c>
      <c r="N99" s="21">
        <v>0.95</v>
      </c>
      <c r="O99" s="21">
        <v>0.15</v>
      </c>
      <c r="P99" s="25">
        <v>0.95</v>
      </c>
      <c r="Q99" s="21">
        <f t="shared" ref="Q99:Q105" si="15">ROUND(IF(OR(N99="",P99=""),0,IF(AND(N99=0,P99=0),1,IF(S99="+",P99/N99,N99/P99))),2)</f>
        <v>1</v>
      </c>
      <c r="R99" s="22">
        <f t="shared" si="9"/>
        <v>12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2073</v>
      </c>
      <c r="B100" s="16" t="s">
        <v>20</v>
      </c>
      <c r="C100" s="17" t="s">
        <v>21</v>
      </c>
      <c r="D100" s="34">
        <v>6296</v>
      </c>
      <c r="E100" s="16" t="s">
        <v>188</v>
      </c>
      <c r="F100" s="19" t="s">
        <v>128</v>
      </c>
      <c r="G100" s="16" t="s">
        <v>29</v>
      </c>
      <c r="H100" s="19" t="s">
        <v>129</v>
      </c>
      <c r="I100" s="20" t="s">
        <v>23</v>
      </c>
      <c r="J100" s="21">
        <v>0.8</v>
      </c>
      <c r="K100" s="26" t="s">
        <v>54</v>
      </c>
      <c r="L100" s="31" t="s">
        <v>135</v>
      </c>
      <c r="M100" s="26" t="s">
        <v>136</v>
      </c>
      <c r="N100" s="25">
        <v>0.05</v>
      </c>
      <c r="O100" s="21">
        <v>0.1</v>
      </c>
      <c r="P100" s="66">
        <v>0.11</v>
      </c>
      <c r="Q100" s="21">
        <f t="shared" si="15"/>
        <v>0.45</v>
      </c>
      <c r="R100" s="22">
        <f t="shared" si="9"/>
        <v>0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2074</v>
      </c>
      <c r="B101" s="16" t="s">
        <v>20</v>
      </c>
      <c r="C101" s="17" t="s">
        <v>21</v>
      </c>
      <c r="D101" s="34">
        <v>6296</v>
      </c>
      <c r="E101" s="16" t="s">
        <v>188</v>
      </c>
      <c r="F101" s="19" t="s">
        <v>128</v>
      </c>
      <c r="G101" s="16" t="s">
        <v>29</v>
      </c>
      <c r="H101" s="19" t="s">
        <v>129</v>
      </c>
      <c r="I101" s="20" t="s">
        <v>23</v>
      </c>
      <c r="J101" s="21">
        <v>0.8</v>
      </c>
      <c r="K101" s="26" t="s">
        <v>31</v>
      </c>
      <c r="L101" s="31" t="s">
        <v>137</v>
      </c>
      <c r="M101" s="26" t="s">
        <v>138</v>
      </c>
      <c r="N101" s="25">
        <v>0.05</v>
      </c>
      <c r="O101" s="21">
        <v>0.1</v>
      </c>
      <c r="P101" s="28">
        <v>0.05</v>
      </c>
      <c r="Q101" s="21">
        <f t="shared" si="15"/>
        <v>1</v>
      </c>
      <c r="R101" s="22">
        <f t="shared" si="9"/>
        <v>8.0000000000000018</v>
      </c>
      <c r="S101" s="21" t="s">
        <v>25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2075</v>
      </c>
      <c r="B102" s="16" t="s">
        <v>20</v>
      </c>
      <c r="C102" s="17" t="s">
        <v>21</v>
      </c>
      <c r="D102" s="34">
        <v>6296</v>
      </c>
      <c r="E102" s="16" t="s">
        <v>188</v>
      </c>
      <c r="F102" s="19" t="s">
        <v>128</v>
      </c>
      <c r="G102" s="16" t="s">
        <v>29</v>
      </c>
      <c r="H102" s="19" t="s">
        <v>129</v>
      </c>
      <c r="I102" s="27" t="s">
        <v>23</v>
      </c>
      <c r="J102" s="21">
        <v>0.8</v>
      </c>
      <c r="K102" s="27" t="s">
        <v>139</v>
      </c>
      <c r="L102" s="32" t="s">
        <v>140</v>
      </c>
      <c r="M102" s="27" t="s">
        <v>141</v>
      </c>
      <c r="N102" s="28">
        <v>0.9</v>
      </c>
      <c r="O102" s="29">
        <v>0.2</v>
      </c>
      <c r="P102" s="28">
        <v>0.7</v>
      </c>
      <c r="Q102" s="29">
        <f t="shared" si="15"/>
        <v>0.78</v>
      </c>
      <c r="R102" s="30">
        <f t="shared" si="9"/>
        <v>12.480000000000002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2076</v>
      </c>
      <c r="B103" s="16" t="s">
        <v>20</v>
      </c>
      <c r="C103" s="17" t="s">
        <v>21</v>
      </c>
      <c r="D103" s="34">
        <v>6296</v>
      </c>
      <c r="E103" s="16" t="s">
        <v>188</v>
      </c>
      <c r="F103" s="19" t="s">
        <v>128</v>
      </c>
      <c r="G103" s="16" t="s">
        <v>29</v>
      </c>
      <c r="H103" s="19" t="s">
        <v>129</v>
      </c>
      <c r="I103" s="27" t="s">
        <v>23</v>
      </c>
      <c r="J103" s="21">
        <v>0.8</v>
      </c>
      <c r="K103" s="27" t="s">
        <v>142</v>
      </c>
      <c r="L103" s="32" t="s">
        <v>143</v>
      </c>
      <c r="M103" s="27" t="s">
        <v>144</v>
      </c>
      <c r="N103" s="28">
        <v>1</v>
      </c>
      <c r="O103" s="29">
        <v>0.1</v>
      </c>
      <c r="P103" s="28">
        <v>1</v>
      </c>
      <c r="Q103" s="29">
        <f t="shared" si="15"/>
        <v>1</v>
      </c>
      <c r="R103" s="30">
        <f t="shared" si="9"/>
        <v>8.0000000000000018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2077</v>
      </c>
      <c r="B104" s="16" t="s">
        <v>20</v>
      </c>
      <c r="C104" s="17" t="s">
        <v>21</v>
      </c>
      <c r="D104" s="34">
        <v>6296</v>
      </c>
      <c r="E104" s="16" t="s">
        <v>188</v>
      </c>
      <c r="F104" s="19" t="s">
        <v>128</v>
      </c>
      <c r="G104" s="16" t="s">
        <v>29</v>
      </c>
      <c r="H104" s="19" t="s">
        <v>129</v>
      </c>
      <c r="I104" s="27" t="s">
        <v>23</v>
      </c>
      <c r="J104" s="21">
        <v>0.8</v>
      </c>
      <c r="K104" s="27" t="s">
        <v>145</v>
      </c>
      <c r="L104" s="32" t="s">
        <v>146</v>
      </c>
      <c r="M104" s="6" t="s">
        <v>147</v>
      </c>
      <c r="N104" s="28">
        <v>0.9</v>
      </c>
      <c r="O104" s="29">
        <v>0.2</v>
      </c>
      <c r="P104" s="67">
        <v>0.90900000000000003</v>
      </c>
      <c r="Q104" s="29">
        <f t="shared" si="15"/>
        <v>1.01</v>
      </c>
      <c r="R104" s="30">
        <f t="shared" si="9"/>
        <v>16.000000000000004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2078</v>
      </c>
      <c r="B105" s="16" t="s">
        <v>20</v>
      </c>
      <c r="C105" s="17" t="s">
        <v>21</v>
      </c>
      <c r="D105" s="34">
        <v>6296</v>
      </c>
      <c r="E105" s="16" t="s">
        <v>188</v>
      </c>
      <c r="F105" s="19" t="s">
        <v>128</v>
      </c>
      <c r="G105" s="16" t="s">
        <v>29</v>
      </c>
      <c r="H105" s="19" t="s">
        <v>129</v>
      </c>
      <c r="I105" s="27" t="s">
        <v>27</v>
      </c>
      <c r="J105" s="28">
        <v>0.2</v>
      </c>
      <c r="K105" s="27" t="s">
        <v>148</v>
      </c>
      <c r="L105" s="32" t="s">
        <v>149</v>
      </c>
      <c r="M105" s="6" t="s">
        <v>150</v>
      </c>
      <c r="N105" s="28">
        <v>1</v>
      </c>
      <c r="O105" s="29">
        <v>1</v>
      </c>
      <c r="P105" s="28">
        <v>0.5</v>
      </c>
      <c r="Q105" s="29">
        <f t="shared" si="15"/>
        <v>0.5</v>
      </c>
      <c r="R105" s="30">
        <f t="shared" si="9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2070</v>
      </c>
      <c r="B106" s="16" t="s">
        <v>20</v>
      </c>
      <c r="C106" s="17" t="s">
        <v>21</v>
      </c>
      <c r="D106" s="34">
        <v>6348</v>
      </c>
      <c r="E106" s="16" t="s">
        <v>189</v>
      </c>
      <c r="F106" s="19" t="s">
        <v>155</v>
      </c>
      <c r="G106" s="16" t="s">
        <v>29</v>
      </c>
      <c r="H106" s="19" t="s">
        <v>129</v>
      </c>
      <c r="I106" s="20" t="s">
        <v>23</v>
      </c>
      <c r="J106" s="21">
        <v>0.8</v>
      </c>
      <c r="K106" s="26" t="s">
        <v>30</v>
      </c>
      <c r="L106" s="31" t="s">
        <v>130</v>
      </c>
      <c r="M106" s="1" t="s">
        <v>131</v>
      </c>
      <c r="N106" s="21">
        <v>0.95</v>
      </c>
      <c r="O106" s="21">
        <v>0.15</v>
      </c>
      <c r="P106" s="21">
        <v>0.95</v>
      </c>
      <c r="Q106" s="21">
        <f>ROUND(IF(OR(N106="",P106=""),0,IF(AND(N106=0,P106=0),1,IF(S106="+",P106/N106,N106/P106))),2)</f>
        <v>1</v>
      </c>
      <c r="R106" s="22">
        <f t="shared" si="9"/>
        <v>12</v>
      </c>
      <c r="S106" s="21" t="s">
        <v>24</v>
      </c>
      <c r="T106" s="23">
        <f>SUM(R106:R113)%</f>
        <v>0.83279999999999998</v>
      </c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2072</v>
      </c>
      <c r="B107" s="16" t="s">
        <v>20</v>
      </c>
      <c r="C107" s="17" t="s">
        <v>21</v>
      </c>
      <c r="D107" s="34">
        <v>6348</v>
      </c>
      <c r="E107" s="16" t="s">
        <v>189</v>
      </c>
      <c r="F107" s="19" t="s">
        <v>155</v>
      </c>
      <c r="G107" s="16" t="s">
        <v>29</v>
      </c>
      <c r="H107" s="19" t="s">
        <v>129</v>
      </c>
      <c r="I107" s="20" t="s">
        <v>23</v>
      </c>
      <c r="J107" s="21">
        <v>0.8</v>
      </c>
      <c r="K107" s="26" t="s">
        <v>132</v>
      </c>
      <c r="L107" s="31" t="s">
        <v>133</v>
      </c>
      <c r="M107" s="26" t="s">
        <v>134</v>
      </c>
      <c r="N107" s="21">
        <v>0.95</v>
      </c>
      <c r="O107" s="21">
        <v>0.15</v>
      </c>
      <c r="P107" s="25">
        <v>0.95</v>
      </c>
      <c r="Q107" s="21">
        <f t="shared" ref="Q107:Q113" si="16">ROUND(IF(OR(N107="",P107=""),0,IF(AND(N107=0,P107=0),1,IF(S107="+",P107/N107,N107/P107))),2)</f>
        <v>1</v>
      </c>
      <c r="R107" s="22">
        <f t="shared" si="9"/>
        <v>12</v>
      </c>
      <c r="S107" s="21" t="s">
        <v>24</v>
      </c>
      <c r="T107" s="21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2073</v>
      </c>
      <c r="B108" s="16" t="s">
        <v>20</v>
      </c>
      <c r="C108" s="17" t="s">
        <v>21</v>
      </c>
      <c r="D108" s="34">
        <v>6348</v>
      </c>
      <c r="E108" s="16" t="s">
        <v>189</v>
      </c>
      <c r="F108" s="19" t="s">
        <v>155</v>
      </c>
      <c r="G108" s="16" t="s">
        <v>29</v>
      </c>
      <c r="H108" s="19" t="s">
        <v>129</v>
      </c>
      <c r="I108" s="20" t="s">
        <v>23</v>
      </c>
      <c r="J108" s="21">
        <v>0.8</v>
      </c>
      <c r="K108" s="26" t="s">
        <v>54</v>
      </c>
      <c r="L108" s="31" t="s">
        <v>135</v>
      </c>
      <c r="M108" s="26" t="s">
        <v>136</v>
      </c>
      <c r="N108" s="25">
        <v>0.05</v>
      </c>
      <c r="O108" s="21">
        <v>0.1</v>
      </c>
      <c r="P108" s="66">
        <v>0.11</v>
      </c>
      <c r="Q108" s="21">
        <f t="shared" si="16"/>
        <v>0.45</v>
      </c>
      <c r="R108" s="22">
        <f t="shared" si="9"/>
        <v>0</v>
      </c>
      <c r="S108" s="21" t="s">
        <v>25</v>
      </c>
      <c r="T108" s="21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2074</v>
      </c>
      <c r="B109" s="16" t="s">
        <v>20</v>
      </c>
      <c r="C109" s="17" t="s">
        <v>21</v>
      </c>
      <c r="D109" s="34">
        <v>6348</v>
      </c>
      <c r="E109" s="16" t="s">
        <v>189</v>
      </c>
      <c r="F109" s="19" t="s">
        <v>155</v>
      </c>
      <c r="G109" s="16" t="s">
        <v>29</v>
      </c>
      <c r="H109" s="19" t="s">
        <v>129</v>
      </c>
      <c r="I109" s="20" t="s">
        <v>23</v>
      </c>
      <c r="J109" s="21">
        <v>0.8</v>
      </c>
      <c r="K109" s="26" t="s">
        <v>31</v>
      </c>
      <c r="L109" s="31" t="s">
        <v>137</v>
      </c>
      <c r="M109" s="26" t="s">
        <v>138</v>
      </c>
      <c r="N109" s="25">
        <v>0.05</v>
      </c>
      <c r="O109" s="21">
        <v>0.1</v>
      </c>
      <c r="P109" s="28">
        <v>0.05</v>
      </c>
      <c r="Q109" s="21">
        <f t="shared" si="16"/>
        <v>1</v>
      </c>
      <c r="R109" s="22">
        <f t="shared" si="9"/>
        <v>8.0000000000000018</v>
      </c>
      <c r="S109" s="21" t="s">
        <v>25</v>
      </c>
      <c r="T109" s="21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2075</v>
      </c>
      <c r="B110" s="16" t="s">
        <v>20</v>
      </c>
      <c r="C110" s="17" t="s">
        <v>21</v>
      </c>
      <c r="D110" s="34">
        <v>6348</v>
      </c>
      <c r="E110" s="16" t="s">
        <v>189</v>
      </c>
      <c r="F110" s="19" t="s">
        <v>155</v>
      </c>
      <c r="G110" s="16" t="s">
        <v>29</v>
      </c>
      <c r="H110" s="19" t="s">
        <v>129</v>
      </c>
      <c r="I110" s="27" t="s">
        <v>23</v>
      </c>
      <c r="J110" s="21">
        <v>0.8</v>
      </c>
      <c r="K110" s="27" t="s">
        <v>139</v>
      </c>
      <c r="L110" s="32" t="s">
        <v>140</v>
      </c>
      <c r="M110" s="27" t="s">
        <v>141</v>
      </c>
      <c r="N110" s="28">
        <v>0.9</v>
      </c>
      <c r="O110" s="29">
        <v>0.2</v>
      </c>
      <c r="P110" s="28">
        <v>0.75</v>
      </c>
      <c r="Q110" s="29">
        <f t="shared" si="16"/>
        <v>0.83</v>
      </c>
      <c r="R110" s="30">
        <f t="shared" si="9"/>
        <v>13.280000000000003</v>
      </c>
      <c r="S110" s="29" t="s">
        <v>24</v>
      </c>
      <c r="T110" s="29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2076</v>
      </c>
      <c r="B111" s="16" t="s">
        <v>20</v>
      </c>
      <c r="C111" s="17" t="s">
        <v>21</v>
      </c>
      <c r="D111" s="34">
        <v>6348</v>
      </c>
      <c r="E111" s="16" t="s">
        <v>189</v>
      </c>
      <c r="F111" s="19" t="s">
        <v>155</v>
      </c>
      <c r="G111" s="16" t="s">
        <v>29</v>
      </c>
      <c r="H111" s="19" t="s">
        <v>129</v>
      </c>
      <c r="I111" s="27" t="s">
        <v>23</v>
      </c>
      <c r="J111" s="21">
        <v>0.8</v>
      </c>
      <c r="K111" s="27" t="s">
        <v>142</v>
      </c>
      <c r="L111" s="32" t="s">
        <v>143</v>
      </c>
      <c r="M111" s="27" t="s">
        <v>144</v>
      </c>
      <c r="N111" s="28">
        <v>1</v>
      </c>
      <c r="O111" s="29">
        <v>0.1</v>
      </c>
      <c r="P111" s="28">
        <v>1</v>
      </c>
      <c r="Q111" s="29">
        <f t="shared" si="16"/>
        <v>1</v>
      </c>
      <c r="R111" s="30">
        <f t="shared" si="9"/>
        <v>8.0000000000000018</v>
      </c>
      <c r="S111" s="29" t="s">
        <v>24</v>
      </c>
      <c r="T111" s="29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>
        <v>2077</v>
      </c>
      <c r="B112" s="16" t="s">
        <v>20</v>
      </c>
      <c r="C112" s="17" t="s">
        <v>21</v>
      </c>
      <c r="D112" s="34">
        <v>6348</v>
      </c>
      <c r="E112" s="16" t="s">
        <v>189</v>
      </c>
      <c r="F112" s="19" t="s">
        <v>155</v>
      </c>
      <c r="G112" s="16" t="s">
        <v>29</v>
      </c>
      <c r="H112" s="19" t="s">
        <v>129</v>
      </c>
      <c r="I112" s="27" t="s">
        <v>23</v>
      </c>
      <c r="J112" s="21">
        <v>0.8</v>
      </c>
      <c r="K112" s="27" t="s">
        <v>145</v>
      </c>
      <c r="L112" s="32" t="s">
        <v>146</v>
      </c>
      <c r="M112" s="6" t="s">
        <v>147</v>
      </c>
      <c r="N112" s="28">
        <v>0.9</v>
      </c>
      <c r="O112" s="29">
        <v>0.2</v>
      </c>
      <c r="P112" s="67">
        <v>0.90900000000000003</v>
      </c>
      <c r="Q112" s="29">
        <f t="shared" si="16"/>
        <v>1.01</v>
      </c>
      <c r="R112" s="30">
        <f t="shared" si="9"/>
        <v>16.000000000000004</v>
      </c>
      <c r="S112" s="29" t="s">
        <v>24</v>
      </c>
      <c r="T112" s="29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2078</v>
      </c>
      <c r="B113" s="16" t="s">
        <v>20</v>
      </c>
      <c r="C113" s="17" t="s">
        <v>21</v>
      </c>
      <c r="D113" s="34">
        <v>6348</v>
      </c>
      <c r="E113" s="16" t="s">
        <v>189</v>
      </c>
      <c r="F113" s="19" t="s">
        <v>155</v>
      </c>
      <c r="G113" s="16" t="s">
        <v>29</v>
      </c>
      <c r="H113" s="19" t="s">
        <v>129</v>
      </c>
      <c r="I113" s="27" t="s">
        <v>27</v>
      </c>
      <c r="J113" s="28">
        <v>0.2</v>
      </c>
      <c r="K113" s="27" t="s">
        <v>148</v>
      </c>
      <c r="L113" s="32" t="s">
        <v>149</v>
      </c>
      <c r="M113" s="6" t="s">
        <v>150</v>
      </c>
      <c r="N113" s="28">
        <v>1</v>
      </c>
      <c r="O113" s="29">
        <v>1</v>
      </c>
      <c r="P113" s="28">
        <v>0.7</v>
      </c>
      <c r="Q113" s="29">
        <f t="shared" si="16"/>
        <v>0.7</v>
      </c>
      <c r="R113" s="30">
        <f t="shared" si="9"/>
        <v>13.999999999999998</v>
      </c>
      <c r="S113" s="29" t="s">
        <v>24</v>
      </c>
      <c r="T113" s="29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5" customFormat="1" ht="21.6" x14ac:dyDescent="0.2">
      <c r="A114" s="15">
        <v>2070</v>
      </c>
      <c r="B114" s="16" t="s">
        <v>20</v>
      </c>
      <c r="C114" s="17" t="s">
        <v>21</v>
      </c>
      <c r="D114" s="34">
        <v>6424</v>
      </c>
      <c r="E114" s="16" t="s">
        <v>190</v>
      </c>
      <c r="F114" s="19" t="s">
        <v>128</v>
      </c>
      <c r="G114" s="16" t="s">
        <v>29</v>
      </c>
      <c r="H114" s="19" t="s">
        <v>129</v>
      </c>
      <c r="I114" s="20" t="s">
        <v>23</v>
      </c>
      <c r="J114" s="21">
        <v>0.8</v>
      </c>
      <c r="K114" s="26" t="s">
        <v>30</v>
      </c>
      <c r="L114" s="31" t="s">
        <v>130</v>
      </c>
      <c r="M114" s="1" t="s">
        <v>131</v>
      </c>
      <c r="N114" s="21">
        <v>0.95</v>
      </c>
      <c r="O114" s="21">
        <v>0.15</v>
      </c>
      <c r="P114" s="21">
        <v>0.95</v>
      </c>
      <c r="Q114" s="21">
        <f>ROUND(IF(OR(N114="",P114=""),0,IF(AND(N114=0,P114=0),1,IF(S114="+",P114/N114,N114/P114))),2)</f>
        <v>1</v>
      </c>
      <c r="R114" s="22">
        <f t="shared" si="9"/>
        <v>12</v>
      </c>
      <c r="S114" s="21" t="s">
        <v>24</v>
      </c>
      <c r="T114" s="23">
        <f>SUM(R114:R121)%</f>
        <v>0.81480000000000008</v>
      </c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5" customFormat="1" ht="21.6" x14ac:dyDescent="0.2">
      <c r="A115" s="15">
        <v>2072</v>
      </c>
      <c r="B115" s="16" t="s">
        <v>20</v>
      </c>
      <c r="C115" s="17" t="s">
        <v>21</v>
      </c>
      <c r="D115" s="34">
        <v>6426</v>
      </c>
      <c r="E115" s="16" t="s">
        <v>190</v>
      </c>
      <c r="F115" s="19" t="s">
        <v>128</v>
      </c>
      <c r="G115" s="16" t="s">
        <v>29</v>
      </c>
      <c r="H115" s="19" t="s">
        <v>129</v>
      </c>
      <c r="I115" s="20" t="s">
        <v>23</v>
      </c>
      <c r="J115" s="21">
        <v>0.8</v>
      </c>
      <c r="K115" s="26" t="s">
        <v>132</v>
      </c>
      <c r="L115" s="31" t="s">
        <v>133</v>
      </c>
      <c r="M115" s="26" t="s">
        <v>134</v>
      </c>
      <c r="N115" s="21">
        <v>0.95</v>
      </c>
      <c r="O115" s="21">
        <v>0.15</v>
      </c>
      <c r="P115" s="25">
        <v>0.95</v>
      </c>
      <c r="Q115" s="21">
        <f t="shared" ref="Q115:Q121" si="17">ROUND(IF(OR(N115="",P115=""),0,IF(AND(N115=0,P115=0),1,IF(S115="+",P115/N115,N115/P115))),2)</f>
        <v>1</v>
      </c>
      <c r="R115" s="22">
        <f t="shared" ref="R115:R161" si="18">IF(AND(Q115&gt;=60%,Q115&lt;100%),Q115*((O115*J115)),IF(Q115=100%,((O115*J115)*Q115)*100%,IF(Q115&gt;100%,((J115*O115)*100%)*100%,0)))*100</f>
        <v>12</v>
      </c>
      <c r="S115" s="21" t="s">
        <v>24</v>
      </c>
      <c r="T115" s="21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5" customFormat="1" ht="21.6" x14ac:dyDescent="0.2">
      <c r="A116" s="15">
        <v>2073</v>
      </c>
      <c r="B116" s="16" t="s">
        <v>20</v>
      </c>
      <c r="C116" s="17" t="s">
        <v>21</v>
      </c>
      <c r="D116" s="34">
        <v>6427</v>
      </c>
      <c r="E116" s="16" t="s">
        <v>190</v>
      </c>
      <c r="F116" s="19" t="s">
        <v>128</v>
      </c>
      <c r="G116" s="16" t="s">
        <v>29</v>
      </c>
      <c r="H116" s="19" t="s">
        <v>129</v>
      </c>
      <c r="I116" s="20" t="s">
        <v>23</v>
      </c>
      <c r="J116" s="21">
        <v>0.8</v>
      </c>
      <c r="K116" s="26" t="s">
        <v>54</v>
      </c>
      <c r="L116" s="31" t="s">
        <v>135</v>
      </c>
      <c r="M116" s="26" t="s">
        <v>136</v>
      </c>
      <c r="N116" s="25">
        <v>0.05</v>
      </c>
      <c r="O116" s="21">
        <v>0.1</v>
      </c>
      <c r="P116" s="66">
        <v>0.11</v>
      </c>
      <c r="Q116" s="21">
        <f t="shared" si="17"/>
        <v>0.45</v>
      </c>
      <c r="R116" s="22">
        <f t="shared" si="18"/>
        <v>0</v>
      </c>
      <c r="S116" s="21" t="s">
        <v>25</v>
      </c>
      <c r="T116" s="21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5" customFormat="1" ht="21.6" x14ac:dyDescent="0.2">
      <c r="A117" s="15">
        <v>2074</v>
      </c>
      <c r="B117" s="16" t="s">
        <v>20</v>
      </c>
      <c r="C117" s="17" t="s">
        <v>21</v>
      </c>
      <c r="D117" s="34">
        <v>6428</v>
      </c>
      <c r="E117" s="16" t="s">
        <v>190</v>
      </c>
      <c r="F117" s="19" t="s">
        <v>128</v>
      </c>
      <c r="G117" s="16" t="s">
        <v>29</v>
      </c>
      <c r="H117" s="19" t="s">
        <v>129</v>
      </c>
      <c r="I117" s="20" t="s">
        <v>23</v>
      </c>
      <c r="J117" s="21">
        <v>0.8</v>
      </c>
      <c r="K117" s="26" t="s">
        <v>31</v>
      </c>
      <c r="L117" s="31" t="s">
        <v>137</v>
      </c>
      <c r="M117" s="26" t="s">
        <v>138</v>
      </c>
      <c r="N117" s="25">
        <v>0.05</v>
      </c>
      <c r="O117" s="21">
        <v>0.1</v>
      </c>
      <c r="P117" s="28">
        <v>0.05</v>
      </c>
      <c r="Q117" s="21">
        <f t="shared" si="17"/>
        <v>1</v>
      </c>
      <c r="R117" s="22">
        <f t="shared" si="18"/>
        <v>8.0000000000000018</v>
      </c>
      <c r="S117" s="21" t="s">
        <v>25</v>
      </c>
      <c r="T117" s="21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5" customFormat="1" ht="21.6" x14ac:dyDescent="0.2">
      <c r="A118" s="15">
        <v>2075</v>
      </c>
      <c r="B118" s="16" t="s">
        <v>20</v>
      </c>
      <c r="C118" s="17" t="s">
        <v>21</v>
      </c>
      <c r="D118" s="34">
        <v>6429</v>
      </c>
      <c r="E118" s="16" t="s">
        <v>190</v>
      </c>
      <c r="F118" s="19" t="s">
        <v>128</v>
      </c>
      <c r="G118" s="16" t="s">
        <v>29</v>
      </c>
      <c r="H118" s="19" t="s">
        <v>129</v>
      </c>
      <c r="I118" s="27" t="s">
        <v>23</v>
      </c>
      <c r="J118" s="21">
        <v>0.8</v>
      </c>
      <c r="K118" s="27" t="s">
        <v>139</v>
      </c>
      <c r="L118" s="32" t="s">
        <v>140</v>
      </c>
      <c r="M118" s="27" t="s">
        <v>141</v>
      </c>
      <c r="N118" s="28">
        <v>0.9</v>
      </c>
      <c r="O118" s="29">
        <v>0.2</v>
      </c>
      <c r="P118" s="28">
        <v>0.7</v>
      </c>
      <c r="Q118" s="29">
        <f t="shared" si="17"/>
        <v>0.78</v>
      </c>
      <c r="R118" s="30">
        <f t="shared" si="18"/>
        <v>12.480000000000002</v>
      </c>
      <c r="S118" s="29" t="s">
        <v>24</v>
      </c>
      <c r="T118" s="29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s="5" customFormat="1" ht="21.6" x14ac:dyDescent="0.2">
      <c r="A119" s="15">
        <v>2076</v>
      </c>
      <c r="B119" s="16" t="s">
        <v>20</v>
      </c>
      <c r="C119" s="17" t="s">
        <v>21</v>
      </c>
      <c r="D119" s="34">
        <v>6430</v>
      </c>
      <c r="E119" s="16" t="s">
        <v>190</v>
      </c>
      <c r="F119" s="19" t="s">
        <v>128</v>
      </c>
      <c r="G119" s="16" t="s">
        <v>29</v>
      </c>
      <c r="H119" s="19" t="s">
        <v>129</v>
      </c>
      <c r="I119" s="27" t="s">
        <v>23</v>
      </c>
      <c r="J119" s="21">
        <v>0.8</v>
      </c>
      <c r="K119" s="27" t="s">
        <v>142</v>
      </c>
      <c r="L119" s="32" t="s">
        <v>143</v>
      </c>
      <c r="M119" s="27" t="s">
        <v>144</v>
      </c>
      <c r="N119" s="28">
        <v>1</v>
      </c>
      <c r="O119" s="29">
        <v>0.1</v>
      </c>
      <c r="P119" s="28">
        <v>1</v>
      </c>
      <c r="Q119" s="29">
        <f t="shared" si="17"/>
        <v>1</v>
      </c>
      <c r="R119" s="30">
        <f t="shared" si="18"/>
        <v>8.0000000000000018</v>
      </c>
      <c r="S119" s="29" t="s">
        <v>24</v>
      </c>
      <c r="T119" s="29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s="5" customFormat="1" ht="21.6" x14ac:dyDescent="0.2">
      <c r="A120" s="15">
        <v>2077</v>
      </c>
      <c r="B120" s="16" t="s">
        <v>20</v>
      </c>
      <c r="C120" s="17" t="s">
        <v>21</v>
      </c>
      <c r="D120" s="34">
        <v>6431</v>
      </c>
      <c r="E120" s="16" t="s">
        <v>190</v>
      </c>
      <c r="F120" s="19" t="s">
        <v>128</v>
      </c>
      <c r="G120" s="16" t="s">
        <v>29</v>
      </c>
      <c r="H120" s="19" t="s">
        <v>129</v>
      </c>
      <c r="I120" s="27" t="s">
        <v>23</v>
      </c>
      <c r="J120" s="21">
        <v>0.8</v>
      </c>
      <c r="K120" s="27" t="s">
        <v>145</v>
      </c>
      <c r="L120" s="32" t="s">
        <v>146</v>
      </c>
      <c r="M120" s="6" t="s">
        <v>147</v>
      </c>
      <c r="N120" s="28">
        <v>0.9</v>
      </c>
      <c r="O120" s="29">
        <v>0.2</v>
      </c>
      <c r="P120" s="67">
        <v>0.90900000000000003</v>
      </c>
      <c r="Q120" s="29">
        <f t="shared" si="17"/>
        <v>1.01</v>
      </c>
      <c r="R120" s="30">
        <f t="shared" si="18"/>
        <v>16.000000000000004</v>
      </c>
      <c r="S120" s="29" t="s">
        <v>24</v>
      </c>
      <c r="T120" s="29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s="5" customFormat="1" ht="21.6" x14ac:dyDescent="0.2">
      <c r="A121" s="15">
        <v>2078</v>
      </c>
      <c r="B121" s="16" t="s">
        <v>20</v>
      </c>
      <c r="C121" s="17" t="s">
        <v>21</v>
      </c>
      <c r="D121" s="34">
        <v>6432</v>
      </c>
      <c r="E121" s="16" t="s">
        <v>190</v>
      </c>
      <c r="F121" s="19" t="s">
        <v>128</v>
      </c>
      <c r="G121" s="16" t="s">
        <v>29</v>
      </c>
      <c r="H121" s="19" t="s">
        <v>129</v>
      </c>
      <c r="I121" s="27" t="s">
        <v>27</v>
      </c>
      <c r="J121" s="28">
        <v>0.2</v>
      </c>
      <c r="K121" s="27" t="s">
        <v>148</v>
      </c>
      <c r="L121" s="32" t="s">
        <v>149</v>
      </c>
      <c r="M121" s="6" t="s">
        <v>150</v>
      </c>
      <c r="N121" s="28">
        <v>1</v>
      </c>
      <c r="O121" s="29">
        <v>1</v>
      </c>
      <c r="P121" s="28">
        <v>0.65</v>
      </c>
      <c r="Q121" s="29">
        <f t="shared" si="17"/>
        <v>0.65</v>
      </c>
      <c r="R121" s="30">
        <f t="shared" si="18"/>
        <v>13</v>
      </c>
      <c r="S121" s="29" t="s">
        <v>24</v>
      </c>
      <c r="T121" s="29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s="5" customFormat="1" ht="21.6" x14ac:dyDescent="0.2">
      <c r="A122" s="15">
        <v>2070</v>
      </c>
      <c r="B122" s="16" t="s">
        <v>20</v>
      </c>
      <c r="C122" s="17" t="s">
        <v>21</v>
      </c>
      <c r="D122" s="34">
        <v>3751</v>
      </c>
      <c r="E122" s="16" t="s">
        <v>191</v>
      </c>
      <c r="F122" s="19" t="s">
        <v>128</v>
      </c>
      <c r="G122" s="16" t="s">
        <v>29</v>
      </c>
      <c r="H122" s="19" t="s">
        <v>129</v>
      </c>
      <c r="I122" s="20" t="s">
        <v>23</v>
      </c>
      <c r="J122" s="21">
        <v>0.8</v>
      </c>
      <c r="K122" s="26" t="s">
        <v>30</v>
      </c>
      <c r="L122" s="31" t="s">
        <v>130</v>
      </c>
      <c r="M122" s="1" t="s">
        <v>131</v>
      </c>
      <c r="N122" s="21">
        <v>0.95</v>
      </c>
      <c r="O122" s="21">
        <v>0.15</v>
      </c>
      <c r="P122" s="21">
        <v>0.95</v>
      </c>
      <c r="Q122" s="21">
        <f>ROUND(IF(OR(N122="",P122=""),0,IF(AND(N122=0,P122=0),1,IF(S122="+",P122/N122,N122/P122))),2)</f>
        <v>1</v>
      </c>
      <c r="R122" s="22">
        <f t="shared" si="18"/>
        <v>12</v>
      </c>
      <c r="S122" s="21" t="s">
        <v>24</v>
      </c>
      <c r="T122" s="23">
        <f>SUM(R122:R129)%</f>
        <v>0.67520000000000013</v>
      </c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s="5" customFormat="1" ht="21.6" x14ac:dyDescent="0.2">
      <c r="A123" s="15">
        <v>2072</v>
      </c>
      <c r="B123" s="16" t="s">
        <v>20</v>
      </c>
      <c r="C123" s="17" t="s">
        <v>21</v>
      </c>
      <c r="D123" s="34">
        <v>3751</v>
      </c>
      <c r="E123" s="16" t="s">
        <v>191</v>
      </c>
      <c r="F123" s="19" t="s">
        <v>128</v>
      </c>
      <c r="G123" s="16" t="s">
        <v>29</v>
      </c>
      <c r="H123" s="19" t="s">
        <v>129</v>
      </c>
      <c r="I123" s="20" t="s">
        <v>23</v>
      </c>
      <c r="J123" s="21">
        <v>0.8</v>
      </c>
      <c r="K123" s="26" t="s">
        <v>132</v>
      </c>
      <c r="L123" s="31" t="s">
        <v>133</v>
      </c>
      <c r="M123" s="26" t="s">
        <v>134</v>
      </c>
      <c r="N123" s="21">
        <v>0.95</v>
      </c>
      <c r="O123" s="21">
        <v>0.15</v>
      </c>
      <c r="P123" s="25">
        <v>0.95</v>
      </c>
      <c r="Q123" s="21">
        <f t="shared" ref="Q123:Q129" si="19">ROUND(IF(OR(N123="",P123=""),0,IF(AND(N123=0,P123=0),1,IF(S123="+",P123/N123,N123/P123))),2)</f>
        <v>1</v>
      </c>
      <c r="R123" s="22">
        <f t="shared" si="18"/>
        <v>12</v>
      </c>
      <c r="S123" s="21" t="s">
        <v>24</v>
      </c>
      <c r="T123" s="21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s="5" customFormat="1" ht="21.6" x14ac:dyDescent="0.2">
      <c r="A124" s="15">
        <v>2073</v>
      </c>
      <c r="B124" s="16" t="s">
        <v>20</v>
      </c>
      <c r="C124" s="17" t="s">
        <v>21</v>
      </c>
      <c r="D124" s="34">
        <v>3751</v>
      </c>
      <c r="E124" s="16" t="s">
        <v>191</v>
      </c>
      <c r="F124" s="19" t="s">
        <v>128</v>
      </c>
      <c r="G124" s="16" t="s">
        <v>29</v>
      </c>
      <c r="H124" s="19" t="s">
        <v>129</v>
      </c>
      <c r="I124" s="20" t="s">
        <v>23</v>
      </c>
      <c r="J124" s="21">
        <v>0.8</v>
      </c>
      <c r="K124" s="26" t="s">
        <v>54</v>
      </c>
      <c r="L124" s="31" t="s">
        <v>135</v>
      </c>
      <c r="M124" s="26" t="s">
        <v>136</v>
      </c>
      <c r="N124" s="25">
        <v>0.05</v>
      </c>
      <c r="O124" s="21">
        <v>0.1</v>
      </c>
      <c r="P124" s="66">
        <v>0.11</v>
      </c>
      <c r="Q124" s="21">
        <f t="shared" si="19"/>
        <v>0.45</v>
      </c>
      <c r="R124" s="22">
        <f t="shared" si="18"/>
        <v>0</v>
      </c>
      <c r="S124" s="21" t="s">
        <v>25</v>
      </c>
      <c r="T124" s="21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s="5" customFormat="1" ht="21.6" x14ac:dyDescent="0.2">
      <c r="A125" s="15">
        <v>2074</v>
      </c>
      <c r="B125" s="16" t="s">
        <v>20</v>
      </c>
      <c r="C125" s="17" t="s">
        <v>21</v>
      </c>
      <c r="D125" s="34">
        <v>3751</v>
      </c>
      <c r="E125" s="16" t="s">
        <v>191</v>
      </c>
      <c r="F125" s="19" t="s">
        <v>128</v>
      </c>
      <c r="G125" s="16" t="s">
        <v>29</v>
      </c>
      <c r="H125" s="19" t="s">
        <v>129</v>
      </c>
      <c r="I125" s="20" t="s">
        <v>23</v>
      </c>
      <c r="J125" s="21">
        <v>0.8</v>
      </c>
      <c r="K125" s="26" t="s">
        <v>31</v>
      </c>
      <c r="L125" s="31" t="s">
        <v>137</v>
      </c>
      <c r="M125" s="26" t="s">
        <v>138</v>
      </c>
      <c r="N125" s="25">
        <v>0.05</v>
      </c>
      <c r="O125" s="21">
        <v>0.1</v>
      </c>
      <c r="P125" s="28">
        <v>0.05</v>
      </c>
      <c r="Q125" s="21">
        <f t="shared" si="19"/>
        <v>1</v>
      </c>
      <c r="R125" s="22">
        <f t="shared" si="18"/>
        <v>8.0000000000000018</v>
      </c>
      <c r="S125" s="21" t="s">
        <v>25</v>
      </c>
      <c r="T125" s="21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s="5" customFormat="1" ht="21.6" x14ac:dyDescent="0.2">
      <c r="A126" s="15">
        <v>2075</v>
      </c>
      <c r="B126" s="16" t="s">
        <v>20</v>
      </c>
      <c r="C126" s="17" t="s">
        <v>21</v>
      </c>
      <c r="D126" s="34">
        <v>3751</v>
      </c>
      <c r="E126" s="16" t="s">
        <v>191</v>
      </c>
      <c r="F126" s="19" t="s">
        <v>128</v>
      </c>
      <c r="G126" s="16" t="s">
        <v>29</v>
      </c>
      <c r="H126" s="19" t="s">
        <v>129</v>
      </c>
      <c r="I126" s="27" t="s">
        <v>23</v>
      </c>
      <c r="J126" s="21">
        <v>0.8</v>
      </c>
      <c r="K126" s="27" t="s">
        <v>139</v>
      </c>
      <c r="L126" s="32" t="s">
        <v>140</v>
      </c>
      <c r="M126" s="27" t="s">
        <v>141</v>
      </c>
      <c r="N126" s="28">
        <v>0.9</v>
      </c>
      <c r="O126" s="29">
        <v>0.2</v>
      </c>
      <c r="P126" s="28">
        <v>0.65</v>
      </c>
      <c r="Q126" s="29">
        <f t="shared" si="19"/>
        <v>0.72</v>
      </c>
      <c r="R126" s="30">
        <f t="shared" si="18"/>
        <v>11.520000000000003</v>
      </c>
      <c r="S126" s="29" t="s">
        <v>24</v>
      </c>
      <c r="T126" s="29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s="5" customFormat="1" ht="21.6" x14ac:dyDescent="0.2">
      <c r="A127" s="15">
        <v>2076</v>
      </c>
      <c r="B127" s="16" t="s">
        <v>20</v>
      </c>
      <c r="C127" s="17" t="s">
        <v>21</v>
      </c>
      <c r="D127" s="34">
        <v>3751</v>
      </c>
      <c r="E127" s="16" t="s">
        <v>191</v>
      </c>
      <c r="F127" s="19" t="s">
        <v>128</v>
      </c>
      <c r="G127" s="16" t="s">
        <v>29</v>
      </c>
      <c r="H127" s="19" t="s">
        <v>129</v>
      </c>
      <c r="I127" s="27" t="s">
        <v>23</v>
      </c>
      <c r="J127" s="21">
        <v>0.8</v>
      </c>
      <c r="K127" s="27" t="s">
        <v>142</v>
      </c>
      <c r="L127" s="32" t="s">
        <v>143</v>
      </c>
      <c r="M127" s="27" t="s">
        <v>144</v>
      </c>
      <c r="N127" s="28">
        <v>1</v>
      </c>
      <c r="O127" s="29">
        <v>0.1</v>
      </c>
      <c r="P127" s="28">
        <v>1</v>
      </c>
      <c r="Q127" s="29">
        <f t="shared" si="19"/>
        <v>1</v>
      </c>
      <c r="R127" s="30">
        <f t="shared" si="18"/>
        <v>8.0000000000000018</v>
      </c>
      <c r="S127" s="29" t="s">
        <v>24</v>
      </c>
      <c r="T127" s="29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s="5" customFormat="1" ht="21.6" x14ac:dyDescent="0.2">
      <c r="A128" s="15">
        <v>2077</v>
      </c>
      <c r="B128" s="16" t="s">
        <v>20</v>
      </c>
      <c r="C128" s="17" t="s">
        <v>21</v>
      </c>
      <c r="D128" s="34">
        <v>3751</v>
      </c>
      <c r="E128" s="16" t="s">
        <v>191</v>
      </c>
      <c r="F128" s="19" t="s">
        <v>128</v>
      </c>
      <c r="G128" s="16" t="s">
        <v>29</v>
      </c>
      <c r="H128" s="19" t="s">
        <v>129</v>
      </c>
      <c r="I128" s="27" t="s">
        <v>23</v>
      </c>
      <c r="J128" s="21">
        <v>0.8</v>
      </c>
      <c r="K128" s="27" t="s">
        <v>145</v>
      </c>
      <c r="L128" s="32" t="s">
        <v>146</v>
      </c>
      <c r="M128" s="6" t="s">
        <v>147</v>
      </c>
      <c r="N128" s="28">
        <v>0.9</v>
      </c>
      <c r="O128" s="29">
        <v>0.2</v>
      </c>
      <c r="P128" s="67">
        <v>0.90900000000000003</v>
      </c>
      <c r="Q128" s="29">
        <f t="shared" si="19"/>
        <v>1.01</v>
      </c>
      <c r="R128" s="30">
        <f t="shared" si="18"/>
        <v>16.000000000000004</v>
      </c>
      <c r="S128" s="29" t="s">
        <v>24</v>
      </c>
      <c r="T128" s="29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s="5" customFormat="1" ht="21.6" x14ac:dyDescent="0.2">
      <c r="A129" s="15">
        <v>2078</v>
      </c>
      <c r="B129" s="16" t="s">
        <v>20</v>
      </c>
      <c r="C129" s="17" t="s">
        <v>21</v>
      </c>
      <c r="D129" s="34">
        <v>3751</v>
      </c>
      <c r="E129" s="16" t="s">
        <v>191</v>
      </c>
      <c r="F129" s="19" t="s">
        <v>128</v>
      </c>
      <c r="G129" s="16" t="s">
        <v>29</v>
      </c>
      <c r="H129" s="19" t="s">
        <v>129</v>
      </c>
      <c r="I129" s="27" t="s">
        <v>27</v>
      </c>
      <c r="J129" s="28">
        <v>0.2</v>
      </c>
      <c r="K129" s="27" t="s">
        <v>148</v>
      </c>
      <c r="L129" s="32" t="s">
        <v>149</v>
      </c>
      <c r="M129" s="6" t="s">
        <v>150</v>
      </c>
      <c r="N129" s="28">
        <v>1</v>
      </c>
      <c r="O129" s="29">
        <v>1</v>
      </c>
      <c r="P129" s="28">
        <v>0.4</v>
      </c>
      <c r="Q129" s="29">
        <f t="shared" si="19"/>
        <v>0.4</v>
      </c>
      <c r="R129" s="30">
        <f t="shared" si="18"/>
        <v>0</v>
      </c>
      <c r="S129" s="29" t="s">
        <v>24</v>
      </c>
      <c r="T129" s="29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s="5" customFormat="1" ht="21.6" x14ac:dyDescent="0.2">
      <c r="A130" s="15">
        <v>2070</v>
      </c>
      <c r="B130" s="16" t="s">
        <v>20</v>
      </c>
      <c r="C130" s="17" t="s">
        <v>21</v>
      </c>
      <c r="D130" s="34">
        <v>6245</v>
      </c>
      <c r="E130" s="16" t="s">
        <v>192</v>
      </c>
      <c r="F130" s="19" t="s">
        <v>155</v>
      </c>
      <c r="G130" s="16" t="s">
        <v>29</v>
      </c>
      <c r="H130" s="19" t="s">
        <v>129</v>
      </c>
      <c r="I130" s="20" t="s">
        <v>23</v>
      </c>
      <c r="J130" s="21">
        <v>0.8</v>
      </c>
      <c r="K130" s="26" t="s">
        <v>30</v>
      </c>
      <c r="L130" s="31" t="s">
        <v>130</v>
      </c>
      <c r="M130" s="1" t="s">
        <v>131</v>
      </c>
      <c r="N130" s="21">
        <v>0.95</v>
      </c>
      <c r="O130" s="21">
        <v>0.15</v>
      </c>
      <c r="P130" s="21">
        <v>0.95</v>
      </c>
      <c r="Q130" s="21">
        <f>ROUND(IF(OR(N130="",P130=""),0,IF(AND(N130=0,P130=0),1,IF(S130="+",P130/N130,N130/P130))),2)</f>
        <v>1</v>
      </c>
      <c r="R130" s="22">
        <f t="shared" si="18"/>
        <v>12</v>
      </c>
      <c r="S130" s="21" t="s">
        <v>24</v>
      </c>
      <c r="T130" s="23">
        <f>SUM(R130:R137)%</f>
        <v>0.86240000000000006</v>
      </c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s="5" customFormat="1" ht="21.6" x14ac:dyDescent="0.2">
      <c r="A131" s="15">
        <v>2072</v>
      </c>
      <c r="B131" s="16" t="s">
        <v>20</v>
      </c>
      <c r="C131" s="17" t="s">
        <v>21</v>
      </c>
      <c r="D131" s="34">
        <v>6245</v>
      </c>
      <c r="E131" s="16" t="s">
        <v>192</v>
      </c>
      <c r="F131" s="19" t="s">
        <v>155</v>
      </c>
      <c r="G131" s="16" t="s">
        <v>29</v>
      </c>
      <c r="H131" s="19" t="s">
        <v>129</v>
      </c>
      <c r="I131" s="20" t="s">
        <v>23</v>
      </c>
      <c r="J131" s="21">
        <v>0.8</v>
      </c>
      <c r="K131" s="26" t="s">
        <v>132</v>
      </c>
      <c r="L131" s="31" t="s">
        <v>133</v>
      </c>
      <c r="M131" s="26" t="s">
        <v>134</v>
      </c>
      <c r="N131" s="21">
        <v>0.95</v>
      </c>
      <c r="O131" s="21">
        <v>0.15</v>
      </c>
      <c r="P131" s="25">
        <v>0.95</v>
      </c>
      <c r="Q131" s="21">
        <f t="shared" ref="Q131:Q137" si="20">ROUND(IF(OR(N131="",P131=""),0,IF(AND(N131=0,P131=0),1,IF(S131="+",P131/N131,N131/P131))),2)</f>
        <v>1</v>
      </c>
      <c r="R131" s="22">
        <f t="shared" si="18"/>
        <v>12</v>
      </c>
      <c r="S131" s="21" t="s">
        <v>24</v>
      </c>
      <c r="T131" s="21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s="5" customFormat="1" ht="21.6" x14ac:dyDescent="0.2">
      <c r="A132" s="15">
        <v>2073</v>
      </c>
      <c r="B132" s="16" t="s">
        <v>20</v>
      </c>
      <c r="C132" s="17" t="s">
        <v>21</v>
      </c>
      <c r="D132" s="34">
        <v>6245</v>
      </c>
      <c r="E132" s="16" t="s">
        <v>192</v>
      </c>
      <c r="F132" s="19" t="s">
        <v>155</v>
      </c>
      <c r="G132" s="16" t="s">
        <v>29</v>
      </c>
      <c r="H132" s="19" t="s">
        <v>129</v>
      </c>
      <c r="I132" s="20" t="s">
        <v>23</v>
      </c>
      <c r="J132" s="21">
        <v>0.8</v>
      </c>
      <c r="K132" s="26" t="s">
        <v>54</v>
      </c>
      <c r="L132" s="31" t="s">
        <v>135</v>
      </c>
      <c r="M132" s="26" t="s">
        <v>136</v>
      </c>
      <c r="N132" s="25">
        <v>0.05</v>
      </c>
      <c r="O132" s="21">
        <v>0.1</v>
      </c>
      <c r="P132" s="66">
        <v>0.11</v>
      </c>
      <c r="Q132" s="21">
        <f t="shared" si="20"/>
        <v>0.45</v>
      </c>
      <c r="R132" s="22">
        <f t="shared" si="18"/>
        <v>0</v>
      </c>
      <c r="S132" s="21" t="s">
        <v>25</v>
      </c>
      <c r="T132" s="21"/>
      <c r="U132" s="3"/>
      <c r="V132" s="3"/>
      <c r="W132" s="3"/>
      <c r="X132" s="3"/>
      <c r="Y132" s="3"/>
      <c r="Z132" s="3"/>
      <c r="AA132" s="3"/>
      <c r="AB132" s="3"/>
      <c r="AC132" s="3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s="5" customFormat="1" ht="21.6" x14ac:dyDescent="0.2">
      <c r="A133" s="15">
        <v>2074</v>
      </c>
      <c r="B133" s="16" t="s">
        <v>20</v>
      </c>
      <c r="C133" s="17" t="s">
        <v>21</v>
      </c>
      <c r="D133" s="34">
        <v>6245</v>
      </c>
      <c r="E133" s="16" t="s">
        <v>192</v>
      </c>
      <c r="F133" s="19" t="s">
        <v>155</v>
      </c>
      <c r="G133" s="16" t="s">
        <v>29</v>
      </c>
      <c r="H133" s="19" t="s">
        <v>129</v>
      </c>
      <c r="I133" s="20" t="s">
        <v>23</v>
      </c>
      <c r="J133" s="21">
        <v>0.8</v>
      </c>
      <c r="K133" s="26" t="s">
        <v>31</v>
      </c>
      <c r="L133" s="31" t="s">
        <v>137</v>
      </c>
      <c r="M133" s="26" t="s">
        <v>138</v>
      </c>
      <c r="N133" s="25">
        <v>0.05</v>
      </c>
      <c r="O133" s="21">
        <v>0.1</v>
      </c>
      <c r="P133" s="28">
        <v>0.05</v>
      </c>
      <c r="Q133" s="21">
        <f t="shared" si="20"/>
        <v>1</v>
      </c>
      <c r="R133" s="22">
        <f t="shared" si="18"/>
        <v>8.0000000000000018</v>
      </c>
      <c r="S133" s="21" t="s">
        <v>25</v>
      </c>
      <c r="T133" s="21"/>
      <c r="U133" s="3"/>
      <c r="V133" s="3"/>
      <c r="W133" s="3"/>
      <c r="X133" s="3"/>
      <c r="Y133" s="3"/>
      <c r="Z133" s="3"/>
      <c r="AA133" s="3"/>
      <c r="AB133" s="3"/>
      <c r="AC133" s="3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s="5" customFormat="1" ht="21.6" x14ac:dyDescent="0.2">
      <c r="A134" s="15">
        <v>2075</v>
      </c>
      <c r="B134" s="16" t="s">
        <v>20</v>
      </c>
      <c r="C134" s="17" t="s">
        <v>21</v>
      </c>
      <c r="D134" s="34">
        <v>6245</v>
      </c>
      <c r="E134" s="16" t="s">
        <v>192</v>
      </c>
      <c r="F134" s="19" t="s">
        <v>155</v>
      </c>
      <c r="G134" s="16" t="s">
        <v>29</v>
      </c>
      <c r="H134" s="19" t="s">
        <v>129</v>
      </c>
      <c r="I134" s="27" t="s">
        <v>23</v>
      </c>
      <c r="J134" s="21">
        <v>0.8</v>
      </c>
      <c r="K134" s="27" t="s">
        <v>139</v>
      </c>
      <c r="L134" s="32" t="s">
        <v>140</v>
      </c>
      <c r="M134" s="27" t="s">
        <v>141</v>
      </c>
      <c r="N134" s="28">
        <v>0.9</v>
      </c>
      <c r="O134" s="29">
        <v>0.2</v>
      </c>
      <c r="P134" s="28">
        <v>0.8</v>
      </c>
      <c r="Q134" s="29">
        <f t="shared" si="20"/>
        <v>0.89</v>
      </c>
      <c r="R134" s="30">
        <f t="shared" si="18"/>
        <v>14.240000000000002</v>
      </c>
      <c r="S134" s="29" t="s">
        <v>24</v>
      </c>
      <c r="T134" s="29"/>
      <c r="U134" s="3"/>
      <c r="V134" s="3"/>
      <c r="W134" s="3"/>
      <c r="X134" s="3"/>
      <c r="Y134" s="3"/>
      <c r="Z134" s="3"/>
      <c r="AA134" s="3"/>
      <c r="AB134" s="3"/>
      <c r="AC134" s="3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s="5" customFormat="1" ht="21.6" x14ac:dyDescent="0.2">
      <c r="A135" s="15">
        <v>2076</v>
      </c>
      <c r="B135" s="16" t="s">
        <v>20</v>
      </c>
      <c r="C135" s="17" t="s">
        <v>21</v>
      </c>
      <c r="D135" s="34">
        <v>6245</v>
      </c>
      <c r="E135" s="16" t="s">
        <v>192</v>
      </c>
      <c r="F135" s="19" t="s">
        <v>155</v>
      </c>
      <c r="G135" s="16" t="s">
        <v>29</v>
      </c>
      <c r="H135" s="19" t="s">
        <v>129</v>
      </c>
      <c r="I135" s="27" t="s">
        <v>23</v>
      </c>
      <c r="J135" s="21">
        <v>0.8</v>
      </c>
      <c r="K135" s="27" t="s">
        <v>142</v>
      </c>
      <c r="L135" s="32" t="s">
        <v>143</v>
      </c>
      <c r="M135" s="27" t="s">
        <v>144</v>
      </c>
      <c r="N135" s="28">
        <v>1</v>
      </c>
      <c r="O135" s="29">
        <v>0.1</v>
      </c>
      <c r="P135" s="28">
        <v>1</v>
      </c>
      <c r="Q135" s="29">
        <f t="shared" si="20"/>
        <v>1</v>
      </c>
      <c r="R135" s="30">
        <f t="shared" si="18"/>
        <v>8.0000000000000018</v>
      </c>
      <c r="S135" s="29" t="s">
        <v>24</v>
      </c>
      <c r="T135" s="29"/>
      <c r="U135" s="3"/>
      <c r="V135" s="3"/>
      <c r="W135" s="3"/>
      <c r="X135" s="3"/>
      <c r="Y135" s="3"/>
      <c r="Z135" s="3"/>
      <c r="AA135" s="3"/>
      <c r="AB135" s="3"/>
      <c r="AC135" s="3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s="5" customFormat="1" ht="21.6" x14ac:dyDescent="0.2">
      <c r="A136" s="15">
        <v>2077</v>
      </c>
      <c r="B136" s="16" t="s">
        <v>20</v>
      </c>
      <c r="C136" s="17" t="s">
        <v>21</v>
      </c>
      <c r="D136" s="34">
        <v>6245</v>
      </c>
      <c r="E136" s="16" t="s">
        <v>192</v>
      </c>
      <c r="F136" s="19" t="s">
        <v>155</v>
      </c>
      <c r="G136" s="16" t="s">
        <v>29</v>
      </c>
      <c r="H136" s="19" t="s">
        <v>129</v>
      </c>
      <c r="I136" s="27" t="s">
        <v>23</v>
      </c>
      <c r="J136" s="21">
        <v>0.8</v>
      </c>
      <c r="K136" s="27" t="s">
        <v>145</v>
      </c>
      <c r="L136" s="32" t="s">
        <v>146</v>
      </c>
      <c r="M136" s="6" t="s">
        <v>147</v>
      </c>
      <c r="N136" s="28">
        <v>0.9</v>
      </c>
      <c r="O136" s="29">
        <v>0.2</v>
      </c>
      <c r="P136" s="67">
        <v>0.90900000000000003</v>
      </c>
      <c r="Q136" s="29">
        <f t="shared" si="20"/>
        <v>1.01</v>
      </c>
      <c r="R136" s="30">
        <f t="shared" si="18"/>
        <v>16.000000000000004</v>
      </c>
      <c r="S136" s="29" t="s">
        <v>24</v>
      </c>
      <c r="T136" s="29"/>
      <c r="U136" s="3"/>
      <c r="V136" s="3"/>
      <c r="W136" s="3"/>
      <c r="X136" s="3"/>
      <c r="Y136" s="3"/>
      <c r="Z136" s="3"/>
      <c r="AA136" s="3"/>
      <c r="AB136" s="3"/>
      <c r="AC136" s="3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s="5" customFormat="1" ht="21.6" x14ac:dyDescent="0.2">
      <c r="A137" s="15">
        <v>2078</v>
      </c>
      <c r="B137" s="16" t="s">
        <v>20</v>
      </c>
      <c r="C137" s="17" t="s">
        <v>21</v>
      </c>
      <c r="D137" s="34">
        <v>6245</v>
      </c>
      <c r="E137" s="16" t="s">
        <v>192</v>
      </c>
      <c r="F137" s="19" t="s">
        <v>155</v>
      </c>
      <c r="G137" s="16" t="s">
        <v>29</v>
      </c>
      <c r="H137" s="19" t="s">
        <v>129</v>
      </c>
      <c r="I137" s="27" t="s">
        <v>27</v>
      </c>
      <c r="J137" s="28">
        <v>0.2</v>
      </c>
      <c r="K137" s="27" t="s">
        <v>148</v>
      </c>
      <c r="L137" s="32" t="s">
        <v>149</v>
      </c>
      <c r="M137" s="6" t="s">
        <v>150</v>
      </c>
      <c r="N137" s="28">
        <v>1</v>
      </c>
      <c r="O137" s="29">
        <v>1</v>
      </c>
      <c r="P137" s="28">
        <v>0.8</v>
      </c>
      <c r="Q137" s="29">
        <f t="shared" si="20"/>
        <v>0.8</v>
      </c>
      <c r="R137" s="30">
        <f t="shared" si="18"/>
        <v>16.000000000000004</v>
      </c>
      <c r="S137" s="29" t="s">
        <v>24</v>
      </c>
      <c r="T137" s="29"/>
      <c r="U137" s="3"/>
      <c r="V137" s="3"/>
      <c r="W137" s="3"/>
      <c r="X137" s="3"/>
      <c r="Y137" s="3"/>
      <c r="Z137" s="3"/>
      <c r="AA137" s="3"/>
      <c r="AB137" s="3"/>
      <c r="AC137" s="3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s="5" customFormat="1" ht="21.6" x14ac:dyDescent="0.2">
      <c r="A138" s="15">
        <v>2070</v>
      </c>
      <c r="B138" s="16" t="s">
        <v>20</v>
      </c>
      <c r="C138" s="17" t="s">
        <v>21</v>
      </c>
      <c r="D138" s="34">
        <v>6328</v>
      </c>
      <c r="E138" s="16" t="s">
        <v>193</v>
      </c>
      <c r="F138" s="19" t="s">
        <v>155</v>
      </c>
      <c r="G138" s="16" t="s">
        <v>29</v>
      </c>
      <c r="H138" s="19" t="s">
        <v>129</v>
      </c>
      <c r="I138" s="20" t="s">
        <v>23</v>
      </c>
      <c r="J138" s="21">
        <v>0.8</v>
      </c>
      <c r="K138" s="26" t="s">
        <v>30</v>
      </c>
      <c r="L138" s="31" t="s">
        <v>130</v>
      </c>
      <c r="M138" s="1" t="s">
        <v>131</v>
      </c>
      <c r="N138" s="21">
        <v>0.95</v>
      </c>
      <c r="O138" s="21">
        <v>0.15</v>
      </c>
      <c r="P138" s="21">
        <v>0.95</v>
      </c>
      <c r="Q138" s="21">
        <f>ROUND(IF(OR(N138="",P138=""),0,IF(AND(N138=0,P138=0),1,IF(S138="+",P138/N138,N138/P138))),2)</f>
        <v>1</v>
      </c>
      <c r="R138" s="22">
        <f t="shared" si="18"/>
        <v>12</v>
      </c>
      <c r="S138" s="21" t="s">
        <v>24</v>
      </c>
      <c r="T138" s="23">
        <f>SUM(R138:R145)%</f>
        <v>0.84240000000000004</v>
      </c>
      <c r="U138" s="3"/>
      <c r="V138" s="3"/>
      <c r="W138" s="3"/>
      <c r="X138" s="3"/>
      <c r="Y138" s="3"/>
      <c r="Z138" s="3"/>
      <c r="AA138" s="3"/>
      <c r="AB138" s="3"/>
      <c r="AC138" s="3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s="5" customFormat="1" ht="21.6" x14ac:dyDescent="0.2">
      <c r="A139" s="15">
        <v>2072</v>
      </c>
      <c r="B139" s="16" t="s">
        <v>20</v>
      </c>
      <c r="C139" s="17" t="s">
        <v>21</v>
      </c>
      <c r="D139" s="34">
        <v>6328</v>
      </c>
      <c r="E139" s="16" t="s">
        <v>193</v>
      </c>
      <c r="F139" s="19" t="s">
        <v>155</v>
      </c>
      <c r="G139" s="16" t="s">
        <v>29</v>
      </c>
      <c r="H139" s="19" t="s">
        <v>129</v>
      </c>
      <c r="I139" s="20" t="s">
        <v>23</v>
      </c>
      <c r="J139" s="21">
        <v>0.8</v>
      </c>
      <c r="K139" s="26" t="s">
        <v>132</v>
      </c>
      <c r="L139" s="31" t="s">
        <v>133</v>
      </c>
      <c r="M139" s="26" t="s">
        <v>134</v>
      </c>
      <c r="N139" s="21">
        <v>0.95</v>
      </c>
      <c r="O139" s="21">
        <v>0.15</v>
      </c>
      <c r="P139" s="25">
        <v>0.95</v>
      </c>
      <c r="Q139" s="21">
        <f t="shared" ref="Q139:Q145" si="21">ROUND(IF(OR(N139="",P139=""),0,IF(AND(N139=0,P139=0),1,IF(S139="+",P139/N139,N139/P139))),2)</f>
        <v>1</v>
      </c>
      <c r="R139" s="22">
        <f t="shared" si="18"/>
        <v>12</v>
      </c>
      <c r="S139" s="21" t="s">
        <v>24</v>
      </c>
      <c r="T139" s="21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s="5" customFormat="1" ht="21.6" x14ac:dyDescent="0.2">
      <c r="A140" s="15">
        <v>2073</v>
      </c>
      <c r="B140" s="16" t="s">
        <v>20</v>
      </c>
      <c r="C140" s="17" t="s">
        <v>21</v>
      </c>
      <c r="D140" s="34">
        <v>6328</v>
      </c>
      <c r="E140" s="16" t="s">
        <v>193</v>
      </c>
      <c r="F140" s="19" t="s">
        <v>155</v>
      </c>
      <c r="G140" s="16" t="s">
        <v>29</v>
      </c>
      <c r="H140" s="19" t="s">
        <v>129</v>
      </c>
      <c r="I140" s="20" t="s">
        <v>23</v>
      </c>
      <c r="J140" s="21">
        <v>0.8</v>
      </c>
      <c r="K140" s="26" t="s">
        <v>54</v>
      </c>
      <c r="L140" s="31" t="s">
        <v>135</v>
      </c>
      <c r="M140" s="26" t="s">
        <v>136</v>
      </c>
      <c r="N140" s="25">
        <v>0.05</v>
      </c>
      <c r="O140" s="21">
        <v>0.1</v>
      </c>
      <c r="P140" s="66">
        <v>0.11</v>
      </c>
      <c r="Q140" s="21">
        <f t="shared" si="21"/>
        <v>0.45</v>
      </c>
      <c r="R140" s="22">
        <f t="shared" si="18"/>
        <v>0</v>
      </c>
      <c r="S140" s="21" t="s">
        <v>25</v>
      </c>
      <c r="T140" s="21"/>
      <c r="U140" s="3"/>
      <c r="V140" s="3"/>
      <c r="W140" s="3"/>
      <c r="X140" s="3"/>
      <c r="Y140" s="3"/>
      <c r="Z140" s="3"/>
      <c r="AA140" s="3"/>
      <c r="AB140" s="3"/>
      <c r="AC140" s="3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s="5" customFormat="1" ht="21.6" x14ac:dyDescent="0.2">
      <c r="A141" s="15">
        <v>2074</v>
      </c>
      <c r="B141" s="16" t="s">
        <v>20</v>
      </c>
      <c r="C141" s="17" t="s">
        <v>21</v>
      </c>
      <c r="D141" s="34">
        <v>6328</v>
      </c>
      <c r="E141" s="16" t="s">
        <v>193</v>
      </c>
      <c r="F141" s="19" t="s">
        <v>155</v>
      </c>
      <c r="G141" s="16" t="s">
        <v>29</v>
      </c>
      <c r="H141" s="19" t="s">
        <v>129</v>
      </c>
      <c r="I141" s="20" t="s">
        <v>23</v>
      </c>
      <c r="J141" s="21">
        <v>0.8</v>
      </c>
      <c r="K141" s="26" t="s">
        <v>31</v>
      </c>
      <c r="L141" s="31" t="s">
        <v>137</v>
      </c>
      <c r="M141" s="26" t="s">
        <v>138</v>
      </c>
      <c r="N141" s="25">
        <v>0.05</v>
      </c>
      <c r="O141" s="21">
        <v>0.1</v>
      </c>
      <c r="P141" s="28">
        <v>0.05</v>
      </c>
      <c r="Q141" s="21">
        <f t="shared" si="21"/>
        <v>1</v>
      </c>
      <c r="R141" s="22">
        <f t="shared" si="18"/>
        <v>8.0000000000000018</v>
      </c>
      <c r="S141" s="21" t="s">
        <v>25</v>
      </c>
      <c r="T141" s="21"/>
      <c r="U141" s="3"/>
      <c r="V141" s="3"/>
      <c r="W141" s="3"/>
      <c r="X141" s="3"/>
      <c r="Y141" s="3"/>
      <c r="Z141" s="3"/>
      <c r="AA141" s="3"/>
      <c r="AB141" s="3"/>
      <c r="AC141" s="3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s="5" customFormat="1" ht="21.6" x14ac:dyDescent="0.2">
      <c r="A142" s="15">
        <v>2075</v>
      </c>
      <c r="B142" s="16" t="s">
        <v>20</v>
      </c>
      <c r="C142" s="17" t="s">
        <v>21</v>
      </c>
      <c r="D142" s="34">
        <v>6328</v>
      </c>
      <c r="E142" s="16" t="s">
        <v>193</v>
      </c>
      <c r="F142" s="19" t="s">
        <v>155</v>
      </c>
      <c r="G142" s="16" t="s">
        <v>29</v>
      </c>
      <c r="H142" s="19" t="s">
        <v>129</v>
      </c>
      <c r="I142" s="27" t="s">
        <v>23</v>
      </c>
      <c r="J142" s="21">
        <v>0.8</v>
      </c>
      <c r="K142" s="27" t="s">
        <v>139</v>
      </c>
      <c r="L142" s="32" t="s">
        <v>140</v>
      </c>
      <c r="M142" s="27" t="s">
        <v>141</v>
      </c>
      <c r="N142" s="28">
        <v>0.9</v>
      </c>
      <c r="O142" s="29">
        <v>0.2</v>
      </c>
      <c r="P142" s="28">
        <v>0.8</v>
      </c>
      <c r="Q142" s="29">
        <f t="shared" si="21"/>
        <v>0.89</v>
      </c>
      <c r="R142" s="30">
        <f t="shared" si="18"/>
        <v>14.240000000000002</v>
      </c>
      <c r="S142" s="29" t="s">
        <v>24</v>
      </c>
      <c r="T142" s="29"/>
      <c r="U142" s="3"/>
      <c r="V142" s="3"/>
      <c r="W142" s="3"/>
      <c r="X142" s="3"/>
      <c r="Y142" s="3"/>
      <c r="Z142" s="3"/>
      <c r="AA142" s="3"/>
      <c r="AB142" s="3"/>
      <c r="AC142" s="3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s="5" customFormat="1" ht="21.6" x14ac:dyDescent="0.2">
      <c r="A143" s="15">
        <v>2076</v>
      </c>
      <c r="B143" s="16" t="s">
        <v>20</v>
      </c>
      <c r="C143" s="17" t="s">
        <v>21</v>
      </c>
      <c r="D143" s="34">
        <v>6328</v>
      </c>
      <c r="E143" s="16" t="s">
        <v>193</v>
      </c>
      <c r="F143" s="19" t="s">
        <v>155</v>
      </c>
      <c r="G143" s="16" t="s">
        <v>29</v>
      </c>
      <c r="H143" s="19" t="s">
        <v>129</v>
      </c>
      <c r="I143" s="27" t="s">
        <v>23</v>
      </c>
      <c r="J143" s="21">
        <v>0.8</v>
      </c>
      <c r="K143" s="27" t="s">
        <v>142</v>
      </c>
      <c r="L143" s="32" t="s">
        <v>143</v>
      </c>
      <c r="M143" s="27" t="s">
        <v>144</v>
      </c>
      <c r="N143" s="28">
        <v>1</v>
      </c>
      <c r="O143" s="29">
        <v>0.1</v>
      </c>
      <c r="P143" s="28">
        <v>1</v>
      </c>
      <c r="Q143" s="29">
        <f t="shared" si="21"/>
        <v>1</v>
      </c>
      <c r="R143" s="30">
        <f t="shared" si="18"/>
        <v>8.0000000000000018</v>
      </c>
      <c r="S143" s="29" t="s">
        <v>24</v>
      </c>
      <c r="T143" s="29"/>
      <c r="U143" s="3"/>
      <c r="V143" s="3"/>
      <c r="W143" s="3"/>
      <c r="X143" s="3"/>
      <c r="Y143" s="3"/>
      <c r="Z143" s="3"/>
      <c r="AA143" s="3"/>
      <c r="AB143" s="3"/>
      <c r="AC143" s="3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s="5" customFormat="1" ht="21.6" x14ac:dyDescent="0.2">
      <c r="A144" s="15">
        <v>2077</v>
      </c>
      <c r="B144" s="16" t="s">
        <v>20</v>
      </c>
      <c r="C144" s="17" t="s">
        <v>21</v>
      </c>
      <c r="D144" s="34">
        <v>6328</v>
      </c>
      <c r="E144" s="16" t="s">
        <v>193</v>
      </c>
      <c r="F144" s="19" t="s">
        <v>155</v>
      </c>
      <c r="G144" s="16" t="s">
        <v>29</v>
      </c>
      <c r="H144" s="19" t="s">
        <v>129</v>
      </c>
      <c r="I144" s="27" t="s">
        <v>23</v>
      </c>
      <c r="J144" s="21">
        <v>0.8</v>
      </c>
      <c r="K144" s="27" t="s">
        <v>145</v>
      </c>
      <c r="L144" s="32" t="s">
        <v>146</v>
      </c>
      <c r="M144" s="6" t="s">
        <v>147</v>
      </c>
      <c r="N144" s="28">
        <v>0.9</v>
      </c>
      <c r="O144" s="29">
        <v>0.2</v>
      </c>
      <c r="P144" s="67">
        <v>0.90900000000000003</v>
      </c>
      <c r="Q144" s="29">
        <f t="shared" si="21"/>
        <v>1.01</v>
      </c>
      <c r="R144" s="30">
        <f t="shared" si="18"/>
        <v>16.000000000000004</v>
      </c>
      <c r="S144" s="29" t="s">
        <v>24</v>
      </c>
      <c r="T144" s="29"/>
      <c r="U144" s="3"/>
      <c r="V144" s="3"/>
      <c r="W144" s="3"/>
      <c r="X144" s="3"/>
      <c r="Y144" s="3"/>
      <c r="Z144" s="3"/>
      <c r="AA144" s="3"/>
      <c r="AB144" s="3"/>
      <c r="AC144" s="3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s="5" customFormat="1" ht="21.6" x14ac:dyDescent="0.2">
      <c r="A145" s="15">
        <v>2078</v>
      </c>
      <c r="B145" s="16" t="s">
        <v>20</v>
      </c>
      <c r="C145" s="17" t="s">
        <v>21</v>
      </c>
      <c r="D145" s="34">
        <v>6328</v>
      </c>
      <c r="E145" s="16" t="s">
        <v>193</v>
      </c>
      <c r="F145" s="19" t="s">
        <v>155</v>
      </c>
      <c r="G145" s="16" t="s">
        <v>29</v>
      </c>
      <c r="H145" s="19" t="s">
        <v>129</v>
      </c>
      <c r="I145" s="27" t="s">
        <v>27</v>
      </c>
      <c r="J145" s="28">
        <v>0.2</v>
      </c>
      <c r="K145" s="27" t="s">
        <v>148</v>
      </c>
      <c r="L145" s="32" t="s">
        <v>149</v>
      </c>
      <c r="M145" s="6" t="s">
        <v>150</v>
      </c>
      <c r="N145" s="28">
        <v>1</v>
      </c>
      <c r="O145" s="29">
        <v>1</v>
      </c>
      <c r="P145" s="28">
        <v>0.7</v>
      </c>
      <c r="Q145" s="29">
        <f t="shared" si="21"/>
        <v>0.7</v>
      </c>
      <c r="R145" s="30">
        <f t="shared" si="18"/>
        <v>13.999999999999998</v>
      </c>
      <c r="S145" s="29" t="s">
        <v>24</v>
      </c>
      <c r="T145" s="29"/>
      <c r="U145" s="3"/>
      <c r="V145" s="3"/>
      <c r="W145" s="3"/>
      <c r="X145" s="3"/>
      <c r="Y145" s="3"/>
      <c r="Z145" s="3"/>
      <c r="AA145" s="3"/>
      <c r="AB145" s="3"/>
      <c r="AC145" s="3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s="5" customFormat="1" ht="21.6" x14ac:dyDescent="0.2">
      <c r="A146" s="15">
        <v>2070</v>
      </c>
      <c r="B146" s="16" t="s">
        <v>20</v>
      </c>
      <c r="C146" s="17" t="s">
        <v>21</v>
      </c>
      <c r="D146" s="34">
        <v>6406</v>
      </c>
      <c r="E146" s="16" t="s">
        <v>194</v>
      </c>
      <c r="F146" s="19" t="s">
        <v>128</v>
      </c>
      <c r="G146" s="16" t="s">
        <v>29</v>
      </c>
      <c r="H146" s="19" t="s">
        <v>129</v>
      </c>
      <c r="I146" s="20" t="s">
        <v>23</v>
      </c>
      <c r="J146" s="21">
        <v>0.8</v>
      </c>
      <c r="K146" s="26" t="s">
        <v>30</v>
      </c>
      <c r="L146" s="31" t="s">
        <v>130</v>
      </c>
      <c r="M146" s="1" t="s">
        <v>131</v>
      </c>
      <c r="N146" s="21">
        <v>0.95</v>
      </c>
      <c r="O146" s="21">
        <v>0.15</v>
      </c>
      <c r="P146" s="21">
        <v>0.95</v>
      </c>
      <c r="Q146" s="21">
        <f>ROUND(IF(OR(N146="",P146=""),0,IF(AND(N146=0,P146=0),1,IF(S146="+",P146/N146,N146/P146))),2)</f>
        <v>1</v>
      </c>
      <c r="R146" s="22">
        <f t="shared" si="18"/>
        <v>12</v>
      </c>
      <c r="S146" s="21" t="s">
        <v>24</v>
      </c>
      <c r="T146" s="23">
        <f>SUM(R146:R153)%</f>
        <v>0.83279999999999998</v>
      </c>
      <c r="U146" s="3"/>
      <c r="V146" s="3"/>
      <c r="W146" s="3"/>
      <c r="X146" s="3"/>
      <c r="Y146" s="3"/>
      <c r="Z146" s="3"/>
      <c r="AA146" s="3"/>
      <c r="AB146" s="3"/>
      <c r="AC146" s="3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s="5" customFormat="1" ht="21.6" x14ac:dyDescent="0.2">
      <c r="A147" s="15">
        <v>2072</v>
      </c>
      <c r="B147" s="16" t="s">
        <v>20</v>
      </c>
      <c r="C147" s="17" t="s">
        <v>21</v>
      </c>
      <c r="D147" s="34">
        <v>6406</v>
      </c>
      <c r="E147" s="16" t="s">
        <v>194</v>
      </c>
      <c r="F147" s="19" t="s">
        <v>128</v>
      </c>
      <c r="G147" s="16" t="s">
        <v>29</v>
      </c>
      <c r="H147" s="19" t="s">
        <v>129</v>
      </c>
      <c r="I147" s="20" t="s">
        <v>23</v>
      </c>
      <c r="J147" s="21">
        <v>0.8</v>
      </c>
      <c r="K147" s="26" t="s">
        <v>132</v>
      </c>
      <c r="L147" s="31" t="s">
        <v>133</v>
      </c>
      <c r="M147" s="26" t="s">
        <v>134</v>
      </c>
      <c r="N147" s="21">
        <v>0.95</v>
      </c>
      <c r="O147" s="21">
        <v>0.15</v>
      </c>
      <c r="P147" s="25">
        <v>0.95</v>
      </c>
      <c r="Q147" s="21">
        <f t="shared" ref="Q147:Q153" si="22">ROUND(IF(OR(N147="",P147=""),0,IF(AND(N147=0,P147=0),1,IF(S147="+",P147/N147,N147/P147))),2)</f>
        <v>1</v>
      </c>
      <c r="R147" s="22">
        <f t="shared" si="18"/>
        <v>12</v>
      </c>
      <c r="S147" s="21" t="s">
        <v>24</v>
      </c>
      <c r="T147" s="21"/>
      <c r="U147" s="3"/>
      <c r="V147" s="3"/>
      <c r="W147" s="3"/>
      <c r="X147" s="3"/>
      <c r="Y147" s="3"/>
      <c r="Z147" s="3"/>
      <c r="AA147" s="3"/>
      <c r="AB147" s="3"/>
      <c r="AC147" s="3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s="5" customFormat="1" ht="21.6" x14ac:dyDescent="0.2">
      <c r="A148" s="15">
        <v>2073</v>
      </c>
      <c r="B148" s="16" t="s">
        <v>20</v>
      </c>
      <c r="C148" s="17" t="s">
        <v>21</v>
      </c>
      <c r="D148" s="34">
        <v>6406</v>
      </c>
      <c r="E148" s="16" t="s">
        <v>194</v>
      </c>
      <c r="F148" s="19" t="s">
        <v>128</v>
      </c>
      <c r="G148" s="16" t="s">
        <v>29</v>
      </c>
      <c r="H148" s="19" t="s">
        <v>129</v>
      </c>
      <c r="I148" s="20" t="s">
        <v>23</v>
      </c>
      <c r="J148" s="21">
        <v>0.8</v>
      </c>
      <c r="K148" s="26" t="s">
        <v>54</v>
      </c>
      <c r="L148" s="31" t="s">
        <v>135</v>
      </c>
      <c r="M148" s="26" t="s">
        <v>136</v>
      </c>
      <c r="N148" s="25">
        <v>0.05</v>
      </c>
      <c r="O148" s="21">
        <v>0.1</v>
      </c>
      <c r="P148" s="66">
        <v>0.11</v>
      </c>
      <c r="Q148" s="21">
        <f t="shared" si="22"/>
        <v>0.45</v>
      </c>
      <c r="R148" s="22">
        <f t="shared" si="18"/>
        <v>0</v>
      </c>
      <c r="S148" s="21" t="s">
        <v>25</v>
      </c>
      <c r="T148" s="21"/>
      <c r="U148" s="3"/>
      <c r="V148" s="3"/>
      <c r="W148" s="3"/>
      <c r="X148" s="3"/>
      <c r="Y148" s="3"/>
      <c r="Z148" s="3"/>
      <c r="AA148" s="3"/>
      <c r="AB148" s="3"/>
      <c r="AC148" s="3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s="5" customFormat="1" ht="21.6" x14ac:dyDescent="0.2">
      <c r="A149" s="15">
        <v>2074</v>
      </c>
      <c r="B149" s="16" t="s">
        <v>20</v>
      </c>
      <c r="C149" s="17" t="s">
        <v>21</v>
      </c>
      <c r="D149" s="34">
        <v>6406</v>
      </c>
      <c r="E149" s="16" t="s">
        <v>194</v>
      </c>
      <c r="F149" s="19" t="s">
        <v>128</v>
      </c>
      <c r="G149" s="16" t="s">
        <v>29</v>
      </c>
      <c r="H149" s="19" t="s">
        <v>129</v>
      </c>
      <c r="I149" s="20" t="s">
        <v>23</v>
      </c>
      <c r="J149" s="21">
        <v>0.8</v>
      </c>
      <c r="K149" s="26" t="s">
        <v>31</v>
      </c>
      <c r="L149" s="31" t="s">
        <v>137</v>
      </c>
      <c r="M149" s="26" t="s">
        <v>138</v>
      </c>
      <c r="N149" s="25">
        <v>0.05</v>
      </c>
      <c r="O149" s="21">
        <v>0.1</v>
      </c>
      <c r="P149" s="28">
        <v>0.05</v>
      </c>
      <c r="Q149" s="21">
        <f t="shared" si="22"/>
        <v>1</v>
      </c>
      <c r="R149" s="22">
        <f t="shared" si="18"/>
        <v>8.0000000000000018</v>
      </c>
      <c r="S149" s="21" t="s">
        <v>25</v>
      </c>
      <c r="T149" s="21"/>
      <c r="U149" s="3"/>
      <c r="V149" s="3"/>
      <c r="W149" s="3"/>
      <c r="X149" s="3"/>
      <c r="Y149" s="3"/>
      <c r="Z149" s="3"/>
      <c r="AA149" s="3"/>
      <c r="AB149" s="3"/>
      <c r="AC149" s="3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s="5" customFormat="1" ht="21.6" x14ac:dyDescent="0.2">
      <c r="A150" s="15">
        <v>2075</v>
      </c>
      <c r="B150" s="16" t="s">
        <v>20</v>
      </c>
      <c r="C150" s="17" t="s">
        <v>21</v>
      </c>
      <c r="D150" s="34">
        <v>6406</v>
      </c>
      <c r="E150" s="16" t="s">
        <v>194</v>
      </c>
      <c r="F150" s="19" t="s">
        <v>128</v>
      </c>
      <c r="G150" s="16" t="s">
        <v>29</v>
      </c>
      <c r="H150" s="19" t="s">
        <v>129</v>
      </c>
      <c r="I150" s="27" t="s">
        <v>23</v>
      </c>
      <c r="J150" s="21">
        <v>0.8</v>
      </c>
      <c r="K150" s="27" t="s">
        <v>139</v>
      </c>
      <c r="L150" s="32" t="s">
        <v>140</v>
      </c>
      <c r="M150" s="27" t="s">
        <v>141</v>
      </c>
      <c r="N150" s="28">
        <v>0.9</v>
      </c>
      <c r="O150" s="29">
        <v>0.2</v>
      </c>
      <c r="P150" s="28">
        <v>0.75</v>
      </c>
      <c r="Q150" s="29">
        <f t="shared" si="22"/>
        <v>0.83</v>
      </c>
      <c r="R150" s="30">
        <f t="shared" si="18"/>
        <v>13.280000000000003</v>
      </c>
      <c r="S150" s="29" t="s">
        <v>24</v>
      </c>
      <c r="T150" s="29"/>
      <c r="U150" s="3"/>
      <c r="V150" s="3"/>
      <c r="W150" s="3"/>
      <c r="X150" s="3"/>
      <c r="Y150" s="3"/>
      <c r="Z150" s="3"/>
      <c r="AA150" s="3"/>
      <c r="AB150" s="3"/>
      <c r="AC150" s="3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s="5" customFormat="1" ht="21.6" x14ac:dyDescent="0.2">
      <c r="A151" s="15">
        <v>2076</v>
      </c>
      <c r="B151" s="16" t="s">
        <v>20</v>
      </c>
      <c r="C151" s="17" t="s">
        <v>21</v>
      </c>
      <c r="D151" s="34">
        <v>6406</v>
      </c>
      <c r="E151" s="16" t="s">
        <v>194</v>
      </c>
      <c r="F151" s="19" t="s">
        <v>128</v>
      </c>
      <c r="G151" s="16" t="s">
        <v>29</v>
      </c>
      <c r="H151" s="19" t="s">
        <v>129</v>
      </c>
      <c r="I151" s="27" t="s">
        <v>23</v>
      </c>
      <c r="J151" s="21">
        <v>0.8</v>
      </c>
      <c r="K151" s="27" t="s">
        <v>142</v>
      </c>
      <c r="L151" s="32" t="s">
        <v>143</v>
      </c>
      <c r="M151" s="27" t="s">
        <v>144</v>
      </c>
      <c r="N151" s="28">
        <v>1</v>
      </c>
      <c r="O151" s="29">
        <v>0.1</v>
      </c>
      <c r="P151" s="28">
        <v>1</v>
      </c>
      <c r="Q151" s="29">
        <f t="shared" si="22"/>
        <v>1</v>
      </c>
      <c r="R151" s="30">
        <f t="shared" si="18"/>
        <v>8.0000000000000018</v>
      </c>
      <c r="S151" s="29" t="s">
        <v>24</v>
      </c>
      <c r="T151" s="29"/>
      <c r="U151" s="3"/>
      <c r="V151" s="3"/>
      <c r="W151" s="3"/>
      <c r="X151" s="3"/>
      <c r="Y151" s="3"/>
      <c r="Z151" s="3"/>
      <c r="AA151" s="3"/>
      <c r="AB151" s="3"/>
      <c r="AC151" s="3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s="5" customFormat="1" ht="21.6" x14ac:dyDescent="0.2">
      <c r="A152" s="15">
        <v>2077</v>
      </c>
      <c r="B152" s="16" t="s">
        <v>20</v>
      </c>
      <c r="C152" s="17" t="s">
        <v>21</v>
      </c>
      <c r="D152" s="34">
        <v>6406</v>
      </c>
      <c r="E152" s="16" t="s">
        <v>194</v>
      </c>
      <c r="F152" s="19" t="s">
        <v>128</v>
      </c>
      <c r="G152" s="16" t="s">
        <v>29</v>
      </c>
      <c r="H152" s="19" t="s">
        <v>129</v>
      </c>
      <c r="I152" s="27" t="s">
        <v>23</v>
      </c>
      <c r="J152" s="21">
        <v>0.8</v>
      </c>
      <c r="K152" s="27" t="s">
        <v>145</v>
      </c>
      <c r="L152" s="32" t="s">
        <v>146</v>
      </c>
      <c r="M152" s="6" t="s">
        <v>147</v>
      </c>
      <c r="N152" s="28">
        <v>0.9</v>
      </c>
      <c r="O152" s="29">
        <v>0.2</v>
      </c>
      <c r="P152" s="67">
        <v>0.90900000000000003</v>
      </c>
      <c r="Q152" s="29">
        <f t="shared" si="22"/>
        <v>1.01</v>
      </c>
      <c r="R152" s="30">
        <f t="shared" si="18"/>
        <v>16.000000000000004</v>
      </c>
      <c r="S152" s="29" t="s">
        <v>24</v>
      </c>
      <c r="T152" s="29"/>
      <c r="U152" s="3"/>
      <c r="V152" s="3"/>
      <c r="W152" s="3"/>
      <c r="X152" s="3"/>
      <c r="Y152" s="3"/>
      <c r="Z152" s="3"/>
      <c r="AA152" s="3"/>
      <c r="AB152" s="3"/>
      <c r="AC152" s="3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s="5" customFormat="1" ht="21.6" x14ac:dyDescent="0.2">
      <c r="A153" s="15">
        <v>2078</v>
      </c>
      <c r="B153" s="16" t="s">
        <v>20</v>
      </c>
      <c r="C153" s="17" t="s">
        <v>21</v>
      </c>
      <c r="D153" s="34">
        <v>6406</v>
      </c>
      <c r="E153" s="16" t="s">
        <v>194</v>
      </c>
      <c r="F153" s="19" t="s">
        <v>128</v>
      </c>
      <c r="G153" s="16" t="s">
        <v>29</v>
      </c>
      <c r="H153" s="19" t="s">
        <v>129</v>
      </c>
      <c r="I153" s="27" t="s">
        <v>27</v>
      </c>
      <c r="J153" s="28">
        <v>0.2</v>
      </c>
      <c r="K153" s="27" t="s">
        <v>148</v>
      </c>
      <c r="L153" s="32" t="s">
        <v>149</v>
      </c>
      <c r="M153" s="6" t="s">
        <v>150</v>
      </c>
      <c r="N153" s="28">
        <v>1</v>
      </c>
      <c r="O153" s="29">
        <v>1</v>
      </c>
      <c r="P153" s="28">
        <v>0.7</v>
      </c>
      <c r="Q153" s="29">
        <f t="shared" si="22"/>
        <v>0.7</v>
      </c>
      <c r="R153" s="30">
        <f t="shared" si="18"/>
        <v>13.999999999999998</v>
      </c>
      <c r="S153" s="29" t="s">
        <v>24</v>
      </c>
      <c r="T153" s="29"/>
      <c r="U153" s="3"/>
      <c r="V153" s="3"/>
      <c r="W153" s="3"/>
      <c r="X153" s="3"/>
      <c r="Y153" s="3"/>
      <c r="Z153" s="3"/>
      <c r="AA153" s="3"/>
      <c r="AB153" s="3"/>
      <c r="AC153" s="3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s="5" customFormat="1" ht="21.6" x14ac:dyDescent="0.2">
      <c r="A154" s="15">
        <v>2070</v>
      </c>
      <c r="B154" s="16" t="s">
        <v>20</v>
      </c>
      <c r="C154" s="17" t="s">
        <v>21</v>
      </c>
      <c r="D154" s="34">
        <v>6523</v>
      </c>
      <c r="E154" s="16" t="s">
        <v>195</v>
      </c>
      <c r="F154" s="19" t="s">
        <v>155</v>
      </c>
      <c r="G154" s="16" t="s">
        <v>29</v>
      </c>
      <c r="H154" s="19" t="s">
        <v>129</v>
      </c>
      <c r="I154" s="20" t="s">
        <v>23</v>
      </c>
      <c r="J154" s="21">
        <v>0.8</v>
      </c>
      <c r="K154" s="26" t="s">
        <v>30</v>
      </c>
      <c r="L154" s="31" t="s">
        <v>130</v>
      </c>
      <c r="M154" s="1" t="s">
        <v>131</v>
      </c>
      <c r="N154" s="21">
        <v>0.95</v>
      </c>
      <c r="O154" s="21">
        <v>0.15</v>
      </c>
      <c r="P154" s="21">
        <v>0.95</v>
      </c>
      <c r="Q154" s="21">
        <f>ROUND(IF(OR(N154="",P154=""),0,IF(AND(N154=0,P154=0),1,IF(S154="+",P154/N154,N154/P154))),2)</f>
        <v>1</v>
      </c>
      <c r="R154" s="22">
        <f t="shared" si="18"/>
        <v>12</v>
      </c>
      <c r="S154" s="21" t="s">
        <v>24</v>
      </c>
      <c r="T154" s="23">
        <f>SUM(R154:R161)%</f>
        <v>0.81279999999999997</v>
      </c>
      <c r="U154" s="3"/>
      <c r="V154" s="3"/>
      <c r="W154" s="3"/>
      <c r="X154" s="3"/>
      <c r="Y154" s="3"/>
      <c r="Z154" s="3"/>
      <c r="AA154" s="3"/>
      <c r="AB154" s="3"/>
      <c r="AC154" s="3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s="5" customFormat="1" ht="21.6" x14ac:dyDescent="0.2">
      <c r="A155" s="15">
        <v>2072</v>
      </c>
      <c r="B155" s="16" t="s">
        <v>20</v>
      </c>
      <c r="C155" s="17" t="s">
        <v>21</v>
      </c>
      <c r="D155" s="34">
        <v>6523</v>
      </c>
      <c r="E155" s="16" t="s">
        <v>195</v>
      </c>
      <c r="F155" s="19" t="s">
        <v>155</v>
      </c>
      <c r="G155" s="16" t="s">
        <v>29</v>
      </c>
      <c r="H155" s="19" t="s">
        <v>129</v>
      </c>
      <c r="I155" s="20" t="s">
        <v>23</v>
      </c>
      <c r="J155" s="21">
        <v>0.8</v>
      </c>
      <c r="K155" s="26" t="s">
        <v>132</v>
      </c>
      <c r="L155" s="31" t="s">
        <v>133</v>
      </c>
      <c r="M155" s="26" t="s">
        <v>134</v>
      </c>
      <c r="N155" s="21">
        <v>0.95</v>
      </c>
      <c r="O155" s="21">
        <v>0.15</v>
      </c>
      <c r="P155" s="25">
        <v>0.95</v>
      </c>
      <c r="Q155" s="21">
        <f t="shared" ref="Q155:Q161" si="23">ROUND(IF(OR(N155="",P155=""),0,IF(AND(N155=0,P155=0),1,IF(S155="+",P155/N155,N155/P155))),2)</f>
        <v>1</v>
      </c>
      <c r="R155" s="22">
        <f t="shared" si="18"/>
        <v>12</v>
      </c>
      <c r="S155" s="21" t="s">
        <v>24</v>
      </c>
      <c r="T155" s="21"/>
      <c r="U155" s="3"/>
      <c r="V155" s="3"/>
      <c r="W155" s="3"/>
      <c r="X155" s="3"/>
      <c r="Y155" s="3"/>
      <c r="Z155" s="3"/>
      <c r="AA155" s="3"/>
      <c r="AB155" s="3"/>
      <c r="AC155" s="3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s="5" customFormat="1" ht="21.6" x14ac:dyDescent="0.2">
      <c r="A156" s="15">
        <v>2073</v>
      </c>
      <c r="B156" s="16" t="s">
        <v>20</v>
      </c>
      <c r="C156" s="17" t="s">
        <v>21</v>
      </c>
      <c r="D156" s="34">
        <v>6523</v>
      </c>
      <c r="E156" s="16" t="s">
        <v>195</v>
      </c>
      <c r="F156" s="19" t="s">
        <v>155</v>
      </c>
      <c r="G156" s="16" t="s">
        <v>29</v>
      </c>
      <c r="H156" s="19" t="s">
        <v>129</v>
      </c>
      <c r="I156" s="20" t="s">
        <v>23</v>
      </c>
      <c r="J156" s="21">
        <v>0.8</v>
      </c>
      <c r="K156" s="26" t="s">
        <v>54</v>
      </c>
      <c r="L156" s="31" t="s">
        <v>135</v>
      </c>
      <c r="M156" s="26" t="s">
        <v>136</v>
      </c>
      <c r="N156" s="25">
        <v>0.05</v>
      </c>
      <c r="O156" s="21">
        <v>0.1</v>
      </c>
      <c r="P156" s="66">
        <v>0.11</v>
      </c>
      <c r="Q156" s="21">
        <f t="shared" si="23"/>
        <v>0.45</v>
      </c>
      <c r="R156" s="22">
        <f t="shared" si="18"/>
        <v>0</v>
      </c>
      <c r="S156" s="21" t="s">
        <v>25</v>
      </c>
      <c r="T156" s="21"/>
      <c r="U156" s="3"/>
      <c r="V156" s="3"/>
      <c r="W156" s="3"/>
      <c r="X156" s="3"/>
      <c r="Y156" s="3"/>
      <c r="Z156" s="3"/>
      <c r="AA156" s="3"/>
      <c r="AB156" s="3"/>
      <c r="AC156" s="3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s="5" customFormat="1" ht="21.6" x14ac:dyDescent="0.2">
      <c r="A157" s="15">
        <v>2074</v>
      </c>
      <c r="B157" s="16" t="s">
        <v>20</v>
      </c>
      <c r="C157" s="17" t="s">
        <v>21</v>
      </c>
      <c r="D157" s="34">
        <v>6523</v>
      </c>
      <c r="E157" s="16" t="s">
        <v>195</v>
      </c>
      <c r="F157" s="19" t="s">
        <v>155</v>
      </c>
      <c r="G157" s="16" t="s">
        <v>29</v>
      </c>
      <c r="H157" s="19" t="s">
        <v>129</v>
      </c>
      <c r="I157" s="20" t="s">
        <v>23</v>
      </c>
      <c r="J157" s="21">
        <v>0.8</v>
      </c>
      <c r="K157" s="26" t="s">
        <v>31</v>
      </c>
      <c r="L157" s="31" t="s">
        <v>137</v>
      </c>
      <c r="M157" s="26" t="s">
        <v>138</v>
      </c>
      <c r="N157" s="25">
        <v>0.05</v>
      </c>
      <c r="O157" s="21">
        <v>0.1</v>
      </c>
      <c r="P157" s="28">
        <v>0.05</v>
      </c>
      <c r="Q157" s="21">
        <f t="shared" si="23"/>
        <v>1</v>
      </c>
      <c r="R157" s="22">
        <f t="shared" si="18"/>
        <v>8.0000000000000018</v>
      </c>
      <c r="S157" s="21" t="s">
        <v>25</v>
      </c>
      <c r="T157" s="21"/>
      <c r="U157" s="3"/>
      <c r="V157" s="3"/>
      <c r="W157" s="3"/>
      <c r="X157" s="3"/>
      <c r="Y157" s="3"/>
      <c r="Z157" s="3"/>
      <c r="AA157" s="3"/>
      <c r="AB157" s="3"/>
      <c r="AC157" s="3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s="5" customFormat="1" ht="21.6" x14ac:dyDescent="0.2">
      <c r="A158" s="15">
        <v>2075</v>
      </c>
      <c r="B158" s="16" t="s">
        <v>20</v>
      </c>
      <c r="C158" s="17" t="s">
        <v>21</v>
      </c>
      <c r="D158" s="34">
        <v>6523</v>
      </c>
      <c r="E158" s="16" t="s">
        <v>195</v>
      </c>
      <c r="F158" s="19" t="s">
        <v>155</v>
      </c>
      <c r="G158" s="16" t="s">
        <v>29</v>
      </c>
      <c r="H158" s="19" t="s">
        <v>129</v>
      </c>
      <c r="I158" s="27" t="s">
        <v>23</v>
      </c>
      <c r="J158" s="21">
        <v>0.8</v>
      </c>
      <c r="K158" s="27" t="s">
        <v>139</v>
      </c>
      <c r="L158" s="32" t="s">
        <v>140</v>
      </c>
      <c r="M158" s="27" t="s">
        <v>141</v>
      </c>
      <c r="N158" s="28">
        <v>0.9</v>
      </c>
      <c r="O158" s="29">
        <v>0.2</v>
      </c>
      <c r="P158" s="28">
        <v>0.75</v>
      </c>
      <c r="Q158" s="29">
        <f t="shared" si="23"/>
        <v>0.83</v>
      </c>
      <c r="R158" s="30">
        <f t="shared" si="18"/>
        <v>13.280000000000003</v>
      </c>
      <c r="S158" s="29" t="s">
        <v>24</v>
      </c>
      <c r="T158" s="29"/>
      <c r="U158" s="3"/>
      <c r="V158" s="3"/>
      <c r="W158" s="3"/>
      <c r="X158" s="3"/>
      <c r="Y158" s="3"/>
      <c r="Z158" s="3"/>
      <c r="AA158" s="3"/>
      <c r="AB158" s="3"/>
      <c r="AC158" s="3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s="5" customFormat="1" ht="21.6" x14ac:dyDescent="0.2">
      <c r="A159" s="15">
        <v>2076</v>
      </c>
      <c r="B159" s="16" t="s">
        <v>20</v>
      </c>
      <c r="C159" s="17" t="s">
        <v>21</v>
      </c>
      <c r="D159" s="34">
        <v>6523</v>
      </c>
      <c r="E159" s="16" t="s">
        <v>195</v>
      </c>
      <c r="F159" s="19" t="s">
        <v>155</v>
      </c>
      <c r="G159" s="16" t="s">
        <v>29</v>
      </c>
      <c r="H159" s="19" t="s">
        <v>129</v>
      </c>
      <c r="I159" s="27" t="s">
        <v>23</v>
      </c>
      <c r="J159" s="21">
        <v>0.8</v>
      </c>
      <c r="K159" s="27" t="s">
        <v>142</v>
      </c>
      <c r="L159" s="32" t="s">
        <v>143</v>
      </c>
      <c r="M159" s="27" t="s">
        <v>144</v>
      </c>
      <c r="N159" s="28">
        <v>1</v>
      </c>
      <c r="O159" s="29">
        <v>0.1</v>
      </c>
      <c r="P159" s="28">
        <v>1</v>
      </c>
      <c r="Q159" s="29">
        <f t="shared" si="23"/>
        <v>1</v>
      </c>
      <c r="R159" s="30">
        <f t="shared" si="18"/>
        <v>8.0000000000000018</v>
      </c>
      <c r="S159" s="29" t="s">
        <v>24</v>
      </c>
      <c r="T159" s="29"/>
      <c r="U159" s="3"/>
      <c r="V159" s="3"/>
      <c r="W159" s="3"/>
      <c r="X159" s="3"/>
      <c r="Y159" s="3"/>
      <c r="Z159" s="3"/>
      <c r="AA159" s="3"/>
      <c r="AB159" s="3"/>
      <c r="AC159" s="3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s="5" customFormat="1" ht="21.6" x14ac:dyDescent="0.2">
      <c r="A160" s="15">
        <v>2077</v>
      </c>
      <c r="B160" s="16" t="s">
        <v>20</v>
      </c>
      <c r="C160" s="17" t="s">
        <v>21</v>
      </c>
      <c r="D160" s="34">
        <v>6523</v>
      </c>
      <c r="E160" s="16" t="s">
        <v>195</v>
      </c>
      <c r="F160" s="19" t="s">
        <v>155</v>
      </c>
      <c r="G160" s="16" t="s">
        <v>29</v>
      </c>
      <c r="H160" s="19" t="s">
        <v>129</v>
      </c>
      <c r="I160" s="27" t="s">
        <v>23</v>
      </c>
      <c r="J160" s="21">
        <v>0.8</v>
      </c>
      <c r="K160" s="27" t="s">
        <v>145</v>
      </c>
      <c r="L160" s="32" t="s">
        <v>146</v>
      </c>
      <c r="M160" s="6" t="s">
        <v>147</v>
      </c>
      <c r="N160" s="28">
        <v>0.9</v>
      </c>
      <c r="O160" s="29">
        <v>0.2</v>
      </c>
      <c r="P160" s="67">
        <v>0.90900000000000003</v>
      </c>
      <c r="Q160" s="29">
        <f t="shared" si="23"/>
        <v>1.01</v>
      </c>
      <c r="R160" s="30">
        <f t="shared" si="18"/>
        <v>16.000000000000004</v>
      </c>
      <c r="S160" s="29" t="s">
        <v>24</v>
      </c>
      <c r="T160" s="29"/>
      <c r="U160" s="3"/>
      <c r="V160" s="3"/>
      <c r="W160" s="3"/>
      <c r="X160" s="3"/>
      <c r="Y160" s="3"/>
      <c r="Z160" s="3"/>
      <c r="AA160" s="3"/>
      <c r="AB160" s="3"/>
      <c r="AC160" s="3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s="5" customFormat="1" ht="21.6" x14ac:dyDescent="0.2">
      <c r="A161" s="15">
        <v>2078</v>
      </c>
      <c r="B161" s="16" t="s">
        <v>20</v>
      </c>
      <c r="C161" s="17" t="s">
        <v>21</v>
      </c>
      <c r="D161" s="34">
        <v>6523</v>
      </c>
      <c r="E161" s="16" t="s">
        <v>195</v>
      </c>
      <c r="F161" s="19" t="s">
        <v>155</v>
      </c>
      <c r="G161" s="16" t="s">
        <v>29</v>
      </c>
      <c r="H161" s="19" t="s">
        <v>129</v>
      </c>
      <c r="I161" s="27" t="s">
        <v>27</v>
      </c>
      <c r="J161" s="28">
        <v>0.2</v>
      </c>
      <c r="K161" s="27" t="s">
        <v>148</v>
      </c>
      <c r="L161" s="32" t="s">
        <v>149</v>
      </c>
      <c r="M161" s="6" t="s">
        <v>150</v>
      </c>
      <c r="N161" s="28">
        <v>1</v>
      </c>
      <c r="O161" s="29">
        <v>1</v>
      </c>
      <c r="P161" s="28">
        <v>0.6</v>
      </c>
      <c r="Q161" s="29">
        <f t="shared" si="23"/>
        <v>0.6</v>
      </c>
      <c r="R161" s="30">
        <f t="shared" si="18"/>
        <v>12</v>
      </c>
      <c r="S161" s="29" t="s">
        <v>24</v>
      </c>
      <c r="T161" s="29"/>
      <c r="U161" s="3"/>
      <c r="V161" s="3"/>
      <c r="W161" s="3"/>
      <c r="X161" s="3"/>
      <c r="Y161" s="3"/>
      <c r="Z161" s="3"/>
      <c r="AA161" s="3"/>
      <c r="AB161" s="3"/>
      <c r="AC161" s="3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</sheetData>
  <autoFilter ref="A1:T161" xr:uid="{7EF4661B-8CB2-466F-8DBB-EB69CD48EE90}"/>
  <conditionalFormatting sqref="K58:M161 K1:M41 I1:I161">
    <cfRule type="cellIs" dxfId="95" priority="2" operator="equal">
      <formula>"maintasks"</formula>
    </cfRule>
  </conditionalFormatting>
  <conditionalFormatting sqref="K42:M57">
    <cfRule type="cellIs" dxfId="94" priority="1" operator="equal">
      <formula>"maintasks"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8639-0737-491F-8B3E-6B749818B4A7}">
  <sheetPr>
    <tabColor rgb="FF00B050"/>
  </sheetPr>
  <dimension ref="A1:AV121"/>
  <sheetViews>
    <sheetView zoomScale="130" zoomScaleNormal="130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L6" sqref="L6:N6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42"/>
    <col min="5" max="5" width="19.77734375" style="43" bestFit="1" customWidth="1"/>
    <col min="6" max="6" width="11.88671875" style="43" customWidth="1"/>
    <col min="7" max="7" width="12.44140625" style="43" customWidth="1"/>
    <col min="8" max="8" width="13.664062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35.6640625" style="33" bestFit="1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21</v>
      </c>
      <c r="D2" s="38" t="s">
        <v>196</v>
      </c>
      <c r="E2" s="39" t="s">
        <v>197</v>
      </c>
      <c r="F2" s="39" t="s">
        <v>198</v>
      </c>
      <c r="G2" s="39" t="s">
        <v>33</v>
      </c>
      <c r="H2" s="19" t="s">
        <v>199</v>
      </c>
      <c r="I2" s="20" t="s">
        <v>23</v>
      </c>
      <c r="J2" s="21">
        <v>0.8</v>
      </c>
      <c r="K2" s="26" t="s">
        <v>30</v>
      </c>
      <c r="L2" s="31" t="s">
        <v>130</v>
      </c>
      <c r="M2" s="1" t="s">
        <v>131</v>
      </c>
      <c r="N2" s="21">
        <v>0.95</v>
      </c>
      <c r="O2" s="21">
        <v>0.15</v>
      </c>
      <c r="P2" s="21">
        <v>0.95</v>
      </c>
      <c r="Q2" s="21">
        <f t="shared" ref="Q2:Q10" si="0">ROUND(IF(OR(N2="",P2=""),0,IF(AND(N2=0,P2=0),1,IF(S2="+",P2/N2,N2/P2))),2)</f>
        <v>1</v>
      </c>
      <c r="R2" s="22">
        <f t="shared" ref="R2:R58" si="1">IF(AND(Q2&gt;=60%,Q2&lt;100%),Q2*((O2*J2)),IF(Q2=100%,((O2*J2)*Q2)*100%,IF(Q2&gt;100%,((J2*O2)*100%)*100%,0)))*100</f>
        <v>12</v>
      </c>
      <c r="S2" s="21" t="s">
        <v>24</v>
      </c>
      <c r="T2" s="23">
        <f>SUM(R2:R9)%</f>
        <v>0.94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21</v>
      </c>
      <c r="D3" s="38" t="s">
        <v>196</v>
      </c>
      <c r="E3" s="39" t="s">
        <v>197</v>
      </c>
      <c r="F3" s="40" t="s">
        <v>198</v>
      </c>
      <c r="G3" s="39" t="s">
        <v>33</v>
      </c>
      <c r="H3" s="19" t="s">
        <v>199</v>
      </c>
      <c r="I3" s="20" t="s">
        <v>23</v>
      </c>
      <c r="J3" s="21">
        <v>0.8</v>
      </c>
      <c r="K3" s="26" t="s">
        <v>132</v>
      </c>
      <c r="L3" s="31" t="s">
        <v>133</v>
      </c>
      <c r="M3" s="26" t="s">
        <v>134</v>
      </c>
      <c r="N3" s="21">
        <v>0.95</v>
      </c>
      <c r="O3" s="21">
        <v>0.15</v>
      </c>
      <c r="P3" s="25">
        <v>0.96</v>
      </c>
      <c r="Q3" s="21">
        <f t="shared" si="0"/>
        <v>1.01</v>
      </c>
      <c r="R3" s="22">
        <f t="shared" si="1"/>
        <v>12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21</v>
      </c>
      <c r="D4" s="38" t="s">
        <v>196</v>
      </c>
      <c r="E4" s="39" t="s">
        <v>197</v>
      </c>
      <c r="F4" s="40" t="s">
        <v>198</v>
      </c>
      <c r="G4" s="39" t="s">
        <v>33</v>
      </c>
      <c r="H4" s="19" t="s">
        <v>199</v>
      </c>
      <c r="I4" s="20" t="s">
        <v>23</v>
      </c>
      <c r="J4" s="21">
        <v>0.8</v>
      </c>
      <c r="K4" s="26" t="s">
        <v>54</v>
      </c>
      <c r="L4" s="31" t="s">
        <v>135</v>
      </c>
      <c r="M4" s="26" t="s">
        <v>136</v>
      </c>
      <c r="N4" s="25">
        <v>0.05</v>
      </c>
      <c r="O4" s="21">
        <v>0.1</v>
      </c>
      <c r="P4" s="66">
        <v>0.05</v>
      </c>
      <c r="Q4" s="21">
        <f t="shared" si="0"/>
        <v>1</v>
      </c>
      <c r="R4" s="22">
        <f t="shared" si="1"/>
        <v>8.0000000000000018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21</v>
      </c>
      <c r="D5" s="38" t="s">
        <v>196</v>
      </c>
      <c r="E5" s="39" t="s">
        <v>197</v>
      </c>
      <c r="F5" s="40" t="s">
        <v>198</v>
      </c>
      <c r="G5" s="39" t="s">
        <v>33</v>
      </c>
      <c r="H5" s="19" t="s">
        <v>199</v>
      </c>
      <c r="I5" s="20" t="s">
        <v>23</v>
      </c>
      <c r="J5" s="21">
        <v>0.8</v>
      </c>
      <c r="K5" s="26" t="s">
        <v>31</v>
      </c>
      <c r="L5" s="31" t="s">
        <v>137</v>
      </c>
      <c r="M5" s="26" t="s">
        <v>138</v>
      </c>
      <c r="N5" s="64">
        <v>0.05</v>
      </c>
      <c r="O5" s="21">
        <v>0.1</v>
      </c>
      <c r="P5" s="28">
        <v>0.05</v>
      </c>
      <c r="Q5" s="21">
        <f t="shared" si="0"/>
        <v>1</v>
      </c>
      <c r="R5" s="22">
        <f t="shared" si="1"/>
        <v>8.0000000000000018</v>
      </c>
      <c r="S5" s="21" t="s">
        <v>25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21</v>
      </c>
      <c r="D6" s="38" t="s">
        <v>196</v>
      </c>
      <c r="E6" s="39" t="s">
        <v>197</v>
      </c>
      <c r="F6" s="40" t="s">
        <v>198</v>
      </c>
      <c r="G6" s="39" t="s">
        <v>33</v>
      </c>
      <c r="H6" s="19" t="s">
        <v>199</v>
      </c>
      <c r="I6" s="27" t="s">
        <v>23</v>
      </c>
      <c r="J6" s="21">
        <v>0.8</v>
      </c>
      <c r="K6" s="27" t="s">
        <v>139</v>
      </c>
      <c r="L6" s="32" t="s">
        <v>140</v>
      </c>
      <c r="M6" s="27" t="s">
        <v>141</v>
      </c>
      <c r="N6" s="28">
        <v>0.9</v>
      </c>
      <c r="O6" s="29">
        <v>0.2</v>
      </c>
      <c r="P6" s="28">
        <v>0.9</v>
      </c>
      <c r="Q6" s="29">
        <f t="shared" si="0"/>
        <v>1</v>
      </c>
      <c r="R6" s="30">
        <f t="shared" si="1"/>
        <v>16.000000000000004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21</v>
      </c>
      <c r="D7" s="38" t="s">
        <v>196</v>
      </c>
      <c r="E7" s="39" t="s">
        <v>197</v>
      </c>
      <c r="F7" s="40" t="s">
        <v>198</v>
      </c>
      <c r="G7" s="39" t="s">
        <v>33</v>
      </c>
      <c r="H7" s="19" t="s">
        <v>199</v>
      </c>
      <c r="I7" s="27" t="s">
        <v>23</v>
      </c>
      <c r="J7" s="21">
        <v>0.8</v>
      </c>
      <c r="K7" s="27" t="s">
        <v>142</v>
      </c>
      <c r="L7" s="32" t="s">
        <v>143</v>
      </c>
      <c r="M7" s="27" t="s">
        <v>144</v>
      </c>
      <c r="N7" s="28">
        <v>1</v>
      </c>
      <c r="O7" s="29">
        <v>0.1</v>
      </c>
      <c r="P7" s="28">
        <v>1</v>
      </c>
      <c r="Q7" s="29">
        <f t="shared" si="0"/>
        <v>1</v>
      </c>
      <c r="R7" s="30">
        <f t="shared" si="1"/>
        <v>8.0000000000000018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21</v>
      </c>
      <c r="D8" s="38" t="s">
        <v>196</v>
      </c>
      <c r="E8" s="39" t="s">
        <v>197</v>
      </c>
      <c r="F8" s="40" t="s">
        <v>198</v>
      </c>
      <c r="G8" s="39" t="s">
        <v>33</v>
      </c>
      <c r="H8" s="19" t="s">
        <v>199</v>
      </c>
      <c r="I8" s="27" t="s">
        <v>23</v>
      </c>
      <c r="J8" s="21">
        <v>0.8</v>
      </c>
      <c r="K8" s="27" t="s">
        <v>145</v>
      </c>
      <c r="L8" s="32" t="s">
        <v>146</v>
      </c>
      <c r="M8" s="6" t="s">
        <v>147</v>
      </c>
      <c r="N8" s="28">
        <v>0.9</v>
      </c>
      <c r="O8" s="29">
        <v>0.2</v>
      </c>
      <c r="P8" s="28">
        <v>0.96</v>
      </c>
      <c r="Q8" s="29">
        <f t="shared" si="0"/>
        <v>1.07</v>
      </c>
      <c r="R8" s="30">
        <f t="shared" si="1"/>
        <v>16.000000000000004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21</v>
      </c>
      <c r="D9" s="38" t="s">
        <v>196</v>
      </c>
      <c r="E9" s="39" t="s">
        <v>197</v>
      </c>
      <c r="F9" s="40" t="s">
        <v>198</v>
      </c>
      <c r="G9" s="39" t="s">
        <v>33</v>
      </c>
      <c r="H9" s="19" t="s">
        <v>199</v>
      </c>
      <c r="I9" s="27" t="s">
        <v>27</v>
      </c>
      <c r="J9" s="28">
        <v>0.2</v>
      </c>
      <c r="K9" s="27" t="s">
        <v>148</v>
      </c>
      <c r="L9" s="32" t="s">
        <v>149</v>
      </c>
      <c r="M9" s="6" t="s">
        <v>150</v>
      </c>
      <c r="N9" s="28">
        <v>1</v>
      </c>
      <c r="O9" s="29">
        <v>1</v>
      </c>
      <c r="P9" s="28">
        <v>0.7</v>
      </c>
      <c r="Q9" s="29">
        <f t="shared" si="0"/>
        <v>0.7</v>
      </c>
      <c r="R9" s="30">
        <f t="shared" si="1"/>
        <v>13.999999999999998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2070</v>
      </c>
      <c r="B10" s="16" t="s">
        <v>20</v>
      </c>
      <c r="C10" s="17" t="s">
        <v>21</v>
      </c>
      <c r="D10" s="34">
        <v>5161</v>
      </c>
      <c r="E10" s="39" t="s">
        <v>200</v>
      </c>
      <c r="F10" s="40" t="s">
        <v>201</v>
      </c>
      <c r="G10" s="39" t="s">
        <v>33</v>
      </c>
      <c r="H10" s="19" t="s">
        <v>199</v>
      </c>
      <c r="I10" s="20" t="s">
        <v>23</v>
      </c>
      <c r="J10" s="21">
        <v>0.8</v>
      </c>
      <c r="K10" s="26" t="s">
        <v>30</v>
      </c>
      <c r="L10" s="31" t="s">
        <v>130</v>
      </c>
      <c r="M10" s="1" t="s">
        <v>131</v>
      </c>
      <c r="N10" s="21">
        <v>0.95</v>
      </c>
      <c r="O10" s="21">
        <v>0.15</v>
      </c>
      <c r="P10" s="21">
        <v>0.95</v>
      </c>
      <c r="Q10" s="21">
        <f t="shared" si="0"/>
        <v>1</v>
      </c>
      <c r="R10" s="22">
        <f t="shared" si="1"/>
        <v>12</v>
      </c>
      <c r="S10" s="21" t="s">
        <v>24</v>
      </c>
      <c r="T10" s="23">
        <f>SUM(R10:R17)%</f>
        <v>0.7904000000000001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2072</v>
      </c>
      <c r="B11" s="16" t="s">
        <v>20</v>
      </c>
      <c r="C11" s="17" t="s">
        <v>21</v>
      </c>
      <c r="D11" s="34">
        <v>5161</v>
      </c>
      <c r="E11" s="39" t="s">
        <v>200</v>
      </c>
      <c r="F11" s="40" t="s">
        <v>201</v>
      </c>
      <c r="G11" s="39" t="s">
        <v>33</v>
      </c>
      <c r="H11" s="19" t="s">
        <v>199</v>
      </c>
      <c r="I11" s="20" t="s">
        <v>23</v>
      </c>
      <c r="J11" s="21">
        <v>0.8</v>
      </c>
      <c r="K11" s="26" t="s">
        <v>132</v>
      </c>
      <c r="L11" s="31" t="s">
        <v>133</v>
      </c>
      <c r="M11" s="26" t="s">
        <v>134</v>
      </c>
      <c r="N11" s="21">
        <v>0.95</v>
      </c>
      <c r="O11" s="21">
        <v>0.15</v>
      </c>
      <c r="P11" s="25">
        <v>0.96</v>
      </c>
      <c r="Q11" s="21">
        <f t="shared" ref="Q11:Q18" si="2">ROUND(IF(OR(N11="",P11=""),0,IF(AND(N11=0,P11=0),1,IF(S11="+",P11/N11,N11/P11))),2)</f>
        <v>1.01</v>
      </c>
      <c r="R11" s="22">
        <f t="shared" si="1"/>
        <v>12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2073</v>
      </c>
      <c r="B12" s="16" t="s">
        <v>20</v>
      </c>
      <c r="C12" s="17" t="s">
        <v>21</v>
      </c>
      <c r="D12" s="34">
        <v>5161</v>
      </c>
      <c r="E12" s="39" t="s">
        <v>200</v>
      </c>
      <c r="F12" s="40" t="s">
        <v>201</v>
      </c>
      <c r="G12" s="39" t="s">
        <v>33</v>
      </c>
      <c r="H12" s="19" t="s">
        <v>199</v>
      </c>
      <c r="I12" s="20" t="s">
        <v>23</v>
      </c>
      <c r="J12" s="21">
        <v>0.8</v>
      </c>
      <c r="K12" s="26" t="s">
        <v>54</v>
      </c>
      <c r="L12" s="31" t="s">
        <v>135</v>
      </c>
      <c r="M12" s="26" t="s">
        <v>136</v>
      </c>
      <c r="N12" s="25">
        <v>0.05</v>
      </c>
      <c r="O12" s="21">
        <v>0.1</v>
      </c>
      <c r="P12" s="66">
        <v>0.05</v>
      </c>
      <c r="Q12" s="21">
        <f t="shared" si="2"/>
        <v>1</v>
      </c>
      <c r="R12" s="22">
        <f t="shared" si="1"/>
        <v>8.0000000000000018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2074</v>
      </c>
      <c r="B13" s="16" t="s">
        <v>20</v>
      </c>
      <c r="C13" s="17" t="s">
        <v>21</v>
      </c>
      <c r="D13" s="34">
        <v>5161</v>
      </c>
      <c r="E13" s="39" t="s">
        <v>200</v>
      </c>
      <c r="F13" s="40" t="s">
        <v>201</v>
      </c>
      <c r="G13" s="39" t="s">
        <v>33</v>
      </c>
      <c r="H13" s="19" t="s">
        <v>199</v>
      </c>
      <c r="I13" s="20" t="s">
        <v>23</v>
      </c>
      <c r="J13" s="21">
        <v>0.8</v>
      </c>
      <c r="K13" s="26" t="s">
        <v>31</v>
      </c>
      <c r="L13" s="31" t="s">
        <v>137</v>
      </c>
      <c r="M13" s="26" t="s">
        <v>138</v>
      </c>
      <c r="N13" s="64">
        <v>0.05</v>
      </c>
      <c r="O13" s="21">
        <v>0.1</v>
      </c>
      <c r="P13" s="28">
        <v>0.05</v>
      </c>
      <c r="Q13" s="21">
        <f t="shared" si="2"/>
        <v>1</v>
      </c>
      <c r="R13" s="22">
        <f t="shared" si="1"/>
        <v>8.0000000000000018</v>
      </c>
      <c r="S13" s="21" t="s">
        <v>25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2075</v>
      </c>
      <c r="B14" s="16" t="s">
        <v>20</v>
      </c>
      <c r="C14" s="17" t="s">
        <v>21</v>
      </c>
      <c r="D14" s="34">
        <v>5161</v>
      </c>
      <c r="E14" s="39" t="s">
        <v>200</v>
      </c>
      <c r="F14" s="40" t="s">
        <v>201</v>
      </c>
      <c r="G14" s="39" t="s">
        <v>33</v>
      </c>
      <c r="H14" s="19" t="s">
        <v>199</v>
      </c>
      <c r="I14" s="27" t="s">
        <v>23</v>
      </c>
      <c r="J14" s="21">
        <v>0.8</v>
      </c>
      <c r="K14" s="27" t="s">
        <v>139</v>
      </c>
      <c r="L14" s="32" t="s">
        <v>140</v>
      </c>
      <c r="M14" s="27" t="s">
        <v>141</v>
      </c>
      <c r="N14" s="28">
        <v>0.9</v>
      </c>
      <c r="O14" s="29">
        <v>0.2</v>
      </c>
      <c r="P14" s="28">
        <v>0.85</v>
      </c>
      <c r="Q14" s="29">
        <f t="shared" si="2"/>
        <v>0.94</v>
      </c>
      <c r="R14" s="30">
        <f t="shared" si="1"/>
        <v>15.040000000000003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2076</v>
      </c>
      <c r="B15" s="16" t="s">
        <v>20</v>
      </c>
      <c r="C15" s="17" t="s">
        <v>21</v>
      </c>
      <c r="D15" s="34">
        <v>5161</v>
      </c>
      <c r="E15" s="39" t="s">
        <v>200</v>
      </c>
      <c r="F15" s="40" t="s">
        <v>201</v>
      </c>
      <c r="G15" s="39" t="s">
        <v>33</v>
      </c>
      <c r="H15" s="19" t="s">
        <v>199</v>
      </c>
      <c r="I15" s="27" t="s">
        <v>23</v>
      </c>
      <c r="J15" s="21">
        <v>0.8</v>
      </c>
      <c r="K15" s="27" t="s">
        <v>142</v>
      </c>
      <c r="L15" s="32" t="s">
        <v>143</v>
      </c>
      <c r="M15" s="27" t="s">
        <v>144</v>
      </c>
      <c r="N15" s="28">
        <v>1</v>
      </c>
      <c r="O15" s="29">
        <v>0.1</v>
      </c>
      <c r="P15" s="28">
        <v>1</v>
      </c>
      <c r="Q15" s="29">
        <f t="shared" si="2"/>
        <v>1</v>
      </c>
      <c r="R15" s="30">
        <f t="shared" si="1"/>
        <v>8.0000000000000018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2077</v>
      </c>
      <c r="B16" s="16" t="s">
        <v>20</v>
      </c>
      <c r="C16" s="17" t="s">
        <v>21</v>
      </c>
      <c r="D16" s="34">
        <v>5161</v>
      </c>
      <c r="E16" s="39" t="s">
        <v>200</v>
      </c>
      <c r="F16" s="40" t="s">
        <v>201</v>
      </c>
      <c r="G16" s="39" t="s">
        <v>33</v>
      </c>
      <c r="H16" s="19" t="s">
        <v>199</v>
      </c>
      <c r="I16" s="27" t="s">
        <v>23</v>
      </c>
      <c r="J16" s="21">
        <v>0.8</v>
      </c>
      <c r="K16" s="27" t="s">
        <v>145</v>
      </c>
      <c r="L16" s="32" t="s">
        <v>146</v>
      </c>
      <c r="M16" s="6" t="s">
        <v>147</v>
      </c>
      <c r="N16" s="28">
        <v>0.9</v>
      </c>
      <c r="O16" s="29">
        <v>0.2</v>
      </c>
      <c r="P16" s="28">
        <v>0.96</v>
      </c>
      <c r="Q16" s="29">
        <f t="shared" si="2"/>
        <v>1.07</v>
      </c>
      <c r="R16" s="30">
        <f t="shared" si="1"/>
        <v>16.000000000000004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2078</v>
      </c>
      <c r="B17" s="16" t="s">
        <v>20</v>
      </c>
      <c r="C17" s="17" t="s">
        <v>21</v>
      </c>
      <c r="D17" s="34">
        <v>5161</v>
      </c>
      <c r="E17" s="39" t="s">
        <v>200</v>
      </c>
      <c r="F17" s="40" t="s">
        <v>201</v>
      </c>
      <c r="G17" s="39" t="s">
        <v>33</v>
      </c>
      <c r="H17" s="19" t="s">
        <v>199</v>
      </c>
      <c r="I17" s="27" t="s">
        <v>27</v>
      </c>
      <c r="J17" s="28">
        <v>0.2</v>
      </c>
      <c r="K17" s="27" t="s">
        <v>148</v>
      </c>
      <c r="L17" s="32" t="s">
        <v>149</v>
      </c>
      <c r="M17" s="6" t="s">
        <v>150</v>
      </c>
      <c r="N17" s="28">
        <v>1</v>
      </c>
      <c r="O17" s="29">
        <v>1</v>
      </c>
      <c r="P17" s="28">
        <v>0.5</v>
      </c>
      <c r="Q17" s="29">
        <f t="shared" si="2"/>
        <v>0.5</v>
      </c>
      <c r="R17" s="30">
        <f t="shared" si="1"/>
        <v>0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2070</v>
      </c>
      <c r="B18" s="16" t="s">
        <v>20</v>
      </c>
      <c r="C18" s="17" t="s">
        <v>21</v>
      </c>
      <c r="D18" s="34">
        <v>5232</v>
      </c>
      <c r="E18" s="39" t="s">
        <v>202</v>
      </c>
      <c r="F18" s="40" t="s">
        <v>128</v>
      </c>
      <c r="G18" s="39" t="s">
        <v>33</v>
      </c>
      <c r="H18" s="19" t="s">
        <v>199</v>
      </c>
      <c r="I18" s="20" t="s">
        <v>23</v>
      </c>
      <c r="J18" s="21">
        <v>0.8</v>
      </c>
      <c r="K18" s="26" t="s">
        <v>30</v>
      </c>
      <c r="L18" s="31" t="s">
        <v>130</v>
      </c>
      <c r="M18" s="1" t="s">
        <v>131</v>
      </c>
      <c r="N18" s="21">
        <v>0.95</v>
      </c>
      <c r="O18" s="21">
        <v>0.15</v>
      </c>
      <c r="P18" s="21">
        <v>0.95</v>
      </c>
      <c r="Q18" s="21">
        <f t="shared" si="2"/>
        <v>1</v>
      </c>
      <c r="R18" s="22">
        <f t="shared" si="1"/>
        <v>12</v>
      </c>
      <c r="S18" s="21" t="s">
        <v>24</v>
      </c>
      <c r="T18" s="23">
        <f>SUM(R18:R25)%</f>
        <v>0.95040000000000002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2072</v>
      </c>
      <c r="B19" s="16" t="s">
        <v>20</v>
      </c>
      <c r="C19" s="17" t="s">
        <v>21</v>
      </c>
      <c r="D19" s="34">
        <v>5232</v>
      </c>
      <c r="E19" s="39" t="s">
        <v>202</v>
      </c>
      <c r="F19" s="40" t="s">
        <v>128</v>
      </c>
      <c r="G19" s="39" t="s">
        <v>33</v>
      </c>
      <c r="H19" s="19" t="s">
        <v>199</v>
      </c>
      <c r="I19" s="20" t="s">
        <v>23</v>
      </c>
      <c r="J19" s="21">
        <v>0.8</v>
      </c>
      <c r="K19" s="26" t="s">
        <v>132</v>
      </c>
      <c r="L19" s="31" t="s">
        <v>133</v>
      </c>
      <c r="M19" s="26" t="s">
        <v>134</v>
      </c>
      <c r="N19" s="21">
        <v>0.95</v>
      </c>
      <c r="O19" s="21">
        <v>0.15</v>
      </c>
      <c r="P19" s="25">
        <v>0.96</v>
      </c>
      <c r="Q19" s="21">
        <f t="shared" ref="Q19:Q26" si="3">ROUND(IF(OR(N19="",P19=""),0,IF(AND(N19=0,P19=0),1,IF(S19="+",P19/N19,N19/P19))),2)</f>
        <v>1.01</v>
      </c>
      <c r="R19" s="22">
        <f t="shared" si="1"/>
        <v>12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2073</v>
      </c>
      <c r="B20" s="16" t="s">
        <v>20</v>
      </c>
      <c r="C20" s="17" t="s">
        <v>21</v>
      </c>
      <c r="D20" s="34">
        <v>5232</v>
      </c>
      <c r="E20" s="39" t="s">
        <v>202</v>
      </c>
      <c r="F20" s="40" t="s">
        <v>128</v>
      </c>
      <c r="G20" s="39" t="s">
        <v>33</v>
      </c>
      <c r="H20" s="19" t="s">
        <v>199</v>
      </c>
      <c r="I20" s="20" t="s">
        <v>23</v>
      </c>
      <c r="J20" s="21">
        <v>0.8</v>
      </c>
      <c r="K20" s="26" t="s">
        <v>54</v>
      </c>
      <c r="L20" s="31" t="s">
        <v>135</v>
      </c>
      <c r="M20" s="26" t="s">
        <v>136</v>
      </c>
      <c r="N20" s="25">
        <v>0.05</v>
      </c>
      <c r="O20" s="21">
        <v>0.1</v>
      </c>
      <c r="P20" s="66">
        <v>0.05</v>
      </c>
      <c r="Q20" s="21">
        <f t="shared" si="3"/>
        <v>1</v>
      </c>
      <c r="R20" s="22">
        <f t="shared" si="1"/>
        <v>8.0000000000000018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2074</v>
      </c>
      <c r="B21" s="16" t="s">
        <v>20</v>
      </c>
      <c r="C21" s="17" t="s">
        <v>21</v>
      </c>
      <c r="D21" s="34">
        <v>5232</v>
      </c>
      <c r="E21" s="39" t="s">
        <v>202</v>
      </c>
      <c r="F21" s="40" t="s">
        <v>128</v>
      </c>
      <c r="G21" s="39" t="s">
        <v>33</v>
      </c>
      <c r="H21" s="19" t="s">
        <v>199</v>
      </c>
      <c r="I21" s="20" t="s">
        <v>23</v>
      </c>
      <c r="J21" s="21">
        <v>0.8</v>
      </c>
      <c r="K21" s="26" t="s">
        <v>31</v>
      </c>
      <c r="L21" s="31" t="s">
        <v>137</v>
      </c>
      <c r="M21" s="26" t="s">
        <v>138</v>
      </c>
      <c r="N21" s="64">
        <v>0.05</v>
      </c>
      <c r="O21" s="21">
        <v>0.1</v>
      </c>
      <c r="P21" s="28">
        <v>0.05</v>
      </c>
      <c r="Q21" s="21">
        <f t="shared" si="3"/>
        <v>1</v>
      </c>
      <c r="R21" s="22">
        <f t="shared" si="1"/>
        <v>8.0000000000000018</v>
      </c>
      <c r="S21" s="21" t="s">
        <v>25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2075</v>
      </c>
      <c r="B22" s="16" t="s">
        <v>20</v>
      </c>
      <c r="C22" s="17" t="s">
        <v>21</v>
      </c>
      <c r="D22" s="34">
        <v>5232</v>
      </c>
      <c r="E22" s="39" t="s">
        <v>202</v>
      </c>
      <c r="F22" s="40" t="s">
        <v>128</v>
      </c>
      <c r="G22" s="39" t="s">
        <v>33</v>
      </c>
      <c r="H22" s="19" t="s">
        <v>199</v>
      </c>
      <c r="I22" s="27" t="s">
        <v>23</v>
      </c>
      <c r="J22" s="21">
        <v>0.8</v>
      </c>
      <c r="K22" s="27" t="s">
        <v>139</v>
      </c>
      <c r="L22" s="32" t="s">
        <v>140</v>
      </c>
      <c r="M22" s="27" t="s">
        <v>141</v>
      </c>
      <c r="N22" s="28">
        <v>0.9</v>
      </c>
      <c r="O22" s="29">
        <v>0.2</v>
      </c>
      <c r="P22" s="28">
        <v>0.85</v>
      </c>
      <c r="Q22" s="29">
        <f t="shared" si="3"/>
        <v>0.94</v>
      </c>
      <c r="R22" s="30">
        <f t="shared" si="1"/>
        <v>15.040000000000003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2076</v>
      </c>
      <c r="B23" s="16" t="s">
        <v>20</v>
      </c>
      <c r="C23" s="17" t="s">
        <v>21</v>
      </c>
      <c r="D23" s="34">
        <v>5232</v>
      </c>
      <c r="E23" s="39" t="s">
        <v>202</v>
      </c>
      <c r="F23" s="40" t="s">
        <v>128</v>
      </c>
      <c r="G23" s="39" t="s">
        <v>33</v>
      </c>
      <c r="H23" s="19" t="s">
        <v>199</v>
      </c>
      <c r="I23" s="27" t="s">
        <v>23</v>
      </c>
      <c r="J23" s="21">
        <v>0.8</v>
      </c>
      <c r="K23" s="27" t="s">
        <v>142</v>
      </c>
      <c r="L23" s="32" t="s">
        <v>143</v>
      </c>
      <c r="M23" s="27" t="s">
        <v>144</v>
      </c>
      <c r="N23" s="28">
        <v>1</v>
      </c>
      <c r="O23" s="29">
        <v>0.1</v>
      </c>
      <c r="P23" s="28">
        <v>1</v>
      </c>
      <c r="Q23" s="29">
        <f t="shared" si="3"/>
        <v>1</v>
      </c>
      <c r="R23" s="30">
        <f t="shared" si="1"/>
        <v>8.0000000000000018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2077</v>
      </c>
      <c r="B24" s="16" t="s">
        <v>20</v>
      </c>
      <c r="C24" s="17" t="s">
        <v>21</v>
      </c>
      <c r="D24" s="34">
        <v>5232</v>
      </c>
      <c r="E24" s="39" t="s">
        <v>202</v>
      </c>
      <c r="F24" s="40" t="s">
        <v>128</v>
      </c>
      <c r="G24" s="39" t="s">
        <v>33</v>
      </c>
      <c r="H24" s="19" t="s">
        <v>199</v>
      </c>
      <c r="I24" s="27" t="s">
        <v>23</v>
      </c>
      <c r="J24" s="21">
        <v>0.8</v>
      </c>
      <c r="K24" s="27" t="s">
        <v>145</v>
      </c>
      <c r="L24" s="32" t="s">
        <v>146</v>
      </c>
      <c r="M24" s="6" t="s">
        <v>147</v>
      </c>
      <c r="N24" s="28">
        <v>0.9</v>
      </c>
      <c r="O24" s="29">
        <v>0.2</v>
      </c>
      <c r="P24" s="28">
        <v>0.96</v>
      </c>
      <c r="Q24" s="29">
        <f t="shared" si="3"/>
        <v>1.07</v>
      </c>
      <c r="R24" s="30">
        <f t="shared" si="1"/>
        <v>16.000000000000004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2078</v>
      </c>
      <c r="B25" s="16" t="s">
        <v>20</v>
      </c>
      <c r="C25" s="17" t="s">
        <v>21</v>
      </c>
      <c r="D25" s="34">
        <v>5232</v>
      </c>
      <c r="E25" s="39" t="s">
        <v>202</v>
      </c>
      <c r="F25" s="40" t="s">
        <v>128</v>
      </c>
      <c r="G25" s="39" t="s">
        <v>33</v>
      </c>
      <c r="H25" s="19" t="s">
        <v>199</v>
      </c>
      <c r="I25" s="27" t="s">
        <v>27</v>
      </c>
      <c r="J25" s="28">
        <v>0.2</v>
      </c>
      <c r="K25" s="27" t="s">
        <v>148</v>
      </c>
      <c r="L25" s="32" t="s">
        <v>149</v>
      </c>
      <c r="M25" s="6" t="s">
        <v>150</v>
      </c>
      <c r="N25" s="28">
        <v>1</v>
      </c>
      <c r="O25" s="29">
        <v>1</v>
      </c>
      <c r="P25" s="28">
        <v>0.8</v>
      </c>
      <c r="Q25" s="29">
        <f t="shared" si="3"/>
        <v>0.8</v>
      </c>
      <c r="R25" s="30">
        <f t="shared" si="1"/>
        <v>16.000000000000004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21</v>
      </c>
      <c r="D26" s="34">
        <v>5270</v>
      </c>
      <c r="E26" s="39" t="s">
        <v>203</v>
      </c>
      <c r="F26" s="40" t="s">
        <v>155</v>
      </c>
      <c r="G26" s="39" t="s">
        <v>33</v>
      </c>
      <c r="H26" s="19" t="s">
        <v>199</v>
      </c>
      <c r="I26" s="20" t="s">
        <v>23</v>
      </c>
      <c r="J26" s="21">
        <v>0.8</v>
      </c>
      <c r="K26" s="26" t="s">
        <v>30</v>
      </c>
      <c r="L26" s="31" t="s">
        <v>130</v>
      </c>
      <c r="M26" s="1" t="s">
        <v>131</v>
      </c>
      <c r="N26" s="21">
        <v>0.95</v>
      </c>
      <c r="O26" s="21">
        <v>0.15</v>
      </c>
      <c r="P26" s="21">
        <v>0.95</v>
      </c>
      <c r="Q26" s="21">
        <f t="shared" si="3"/>
        <v>1</v>
      </c>
      <c r="R26" s="22">
        <f t="shared" si="1"/>
        <v>12</v>
      </c>
      <c r="S26" s="21" t="s">
        <v>24</v>
      </c>
      <c r="T26" s="23">
        <f>SUM(R26:R33)%</f>
        <v>0.78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2071</v>
      </c>
      <c r="B27" s="16" t="s">
        <v>20</v>
      </c>
      <c r="C27" s="17" t="s">
        <v>21</v>
      </c>
      <c r="D27" s="34">
        <v>5270</v>
      </c>
      <c r="E27" s="39" t="s">
        <v>203</v>
      </c>
      <c r="F27" s="40" t="s">
        <v>155</v>
      </c>
      <c r="G27" s="39" t="s">
        <v>33</v>
      </c>
      <c r="H27" s="19" t="s">
        <v>199</v>
      </c>
      <c r="I27" s="20" t="s">
        <v>23</v>
      </c>
      <c r="J27" s="21">
        <v>0.8</v>
      </c>
      <c r="K27" s="26" t="s">
        <v>132</v>
      </c>
      <c r="L27" s="31" t="s">
        <v>133</v>
      </c>
      <c r="M27" s="26" t="s">
        <v>134</v>
      </c>
      <c r="N27" s="21">
        <v>0.95</v>
      </c>
      <c r="O27" s="21">
        <v>0.15</v>
      </c>
      <c r="P27" s="25">
        <v>0.96</v>
      </c>
      <c r="Q27" s="21">
        <f>ROUND(IF(OR(N27="",P27=""),0,IF(AND(N27=0,P27=0),1,IF(S27="+",P27/N27,N27/P27))),2)</f>
        <v>1.01</v>
      </c>
      <c r="R27" s="22">
        <f t="shared" si="1"/>
        <v>12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2072</v>
      </c>
      <c r="B28" s="16" t="s">
        <v>20</v>
      </c>
      <c r="C28" s="17" t="s">
        <v>21</v>
      </c>
      <c r="D28" s="34">
        <v>5270</v>
      </c>
      <c r="E28" s="39" t="s">
        <v>203</v>
      </c>
      <c r="F28" s="40" t="s">
        <v>155</v>
      </c>
      <c r="G28" s="39" t="s">
        <v>33</v>
      </c>
      <c r="H28" s="19" t="s">
        <v>199</v>
      </c>
      <c r="I28" s="20" t="s">
        <v>23</v>
      </c>
      <c r="J28" s="21">
        <v>0.8</v>
      </c>
      <c r="K28" s="26" t="s">
        <v>54</v>
      </c>
      <c r="L28" s="31" t="s">
        <v>135</v>
      </c>
      <c r="M28" s="26" t="s">
        <v>136</v>
      </c>
      <c r="N28" s="25">
        <v>0.05</v>
      </c>
      <c r="O28" s="21">
        <v>0.1</v>
      </c>
      <c r="P28" s="66">
        <v>0.05</v>
      </c>
      <c r="Q28" s="21">
        <f t="shared" ref="Q28:Q34" si="4">ROUND(IF(OR(N28="",P28=""),0,IF(AND(N28=0,P28=0),1,IF(S28="+",P28/N28,N28/P28))),2)</f>
        <v>1</v>
      </c>
      <c r="R28" s="22">
        <f t="shared" si="1"/>
        <v>8.0000000000000018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2073</v>
      </c>
      <c r="B29" s="16" t="s">
        <v>20</v>
      </c>
      <c r="C29" s="17" t="s">
        <v>21</v>
      </c>
      <c r="D29" s="34">
        <v>5270</v>
      </c>
      <c r="E29" s="39" t="s">
        <v>203</v>
      </c>
      <c r="F29" s="40" t="s">
        <v>155</v>
      </c>
      <c r="G29" s="39" t="s">
        <v>33</v>
      </c>
      <c r="H29" s="19" t="s">
        <v>199</v>
      </c>
      <c r="I29" s="20" t="s">
        <v>23</v>
      </c>
      <c r="J29" s="21">
        <v>0.8</v>
      </c>
      <c r="K29" s="26" t="s">
        <v>31</v>
      </c>
      <c r="L29" s="31" t="s">
        <v>137</v>
      </c>
      <c r="M29" s="26" t="s">
        <v>138</v>
      </c>
      <c r="N29" s="64">
        <v>0.05</v>
      </c>
      <c r="O29" s="21">
        <v>0.1</v>
      </c>
      <c r="P29" s="28">
        <v>0.05</v>
      </c>
      <c r="Q29" s="21">
        <f t="shared" si="4"/>
        <v>1</v>
      </c>
      <c r="R29" s="22">
        <f t="shared" si="1"/>
        <v>8.0000000000000018</v>
      </c>
      <c r="S29" s="21" t="s">
        <v>25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2074</v>
      </c>
      <c r="B30" s="16" t="s">
        <v>20</v>
      </c>
      <c r="C30" s="17" t="s">
        <v>21</v>
      </c>
      <c r="D30" s="34">
        <v>5270</v>
      </c>
      <c r="E30" s="39" t="s">
        <v>203</v>
      </c>
      <c r="F30" s="40" t="s">
        <v>155</v>
      </c>
      <c r="G30" s="39" t="s">
        <v>33</v>
      </c>
      <c r="H30" s="19" t="s">
        <v>199</v>
      </c>
      <c r="I30" s="27" t="s">
        <v>23</v>
      </c>
      <c r="J30" s="21">
        <v>0.8</v>
      </c>
      <c r="K30" s="27" t="s">
        <v>139</v>
      </c>
      <c r="L30" s="32" t="s">
        <v>140</v>
      </c>
      <c r="M30" s="27" t="s">
        <v>141</v>
      </c>
      <c r="N30" s="28">
        <v>0.9</v>
      </c>
      <c r="O30" s="29">
        <v>0.2</v>
      </c>
      <c r="P30" s="28">
        <v>0.1</v>
      </c>
      <c r="Q30" s="21">
        <f t="shared" si="4"/>
        <v>0.11</v>
      </c>
      <c r="R30" s="22">
        <f t="shared" si="1"/>
        <v>0</v>
      </c>
      <c r="S30" s="21" t="s">
        <v>24</v>
      </c>
      <c r="T30" s="21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2075</v>
      </c>
      <c r="B31" s="16" t="s">
        <v>20</v>
      </c>
      <c r="C31" s="17" t="s">
        <v>21</v>
      </c>
      <c r="D31" s="34">
        <v>5270</v>
      </c>
      <c r="E31" s="39" t="s">
        <v>203</v>
      </c>
      <c r="F31" s="40" t="s">
        <v>155</v>
      </c>
      <c r="G31" s="39" t="s">
        <v>33</v>
      </c>
      <c r="H31" s="19" t="s">
        <v>199</v>
      </c>
      <c r="I31" s="27" t="s">
        <v>23</v>
      </c>
      <c r="J31" s="21">
        <v>0.8</v>
      </c>
      <c r="K31" s="27" t="s">
        <v>142</v>
      </c>
      <c r="L31" s="32" t="s">
        <v>143</v>
      </c>
      <c r="M31" s="27" t="s">
        <v>144</v>
      </c>
      <c r="N31" s="28">
        <v>1</v>
      </c>
      <c r="O31" s="29">
        <v>0.1</v>
      </c>
      <c r="P31" s="28">
        <v>1</v>
      </c>
      <c r="Q31" s="29">
        <f t="shared" si="4"/>
        <v>1</v>
      </c>
      <c r="R31" s="30">
        <f t="shared" si="1"/>
        <v>8.0000000000000018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2076</v>
      </c>
      <c r="B32" s="16" t="s">
        <v>20</v>
      </c>
      <c r="C32" s="17" t="s">
        <v>21</v>
      </c>
      <c r="D32" s="34">
        <v>5270</v>
      </c>
      <c r="E32" s="39" t="s">
        <v>203</v>
      </c>
      <c r="F32" s="40" t="s">
        <v>155</v>
      </c>
      <c r="G32" s="39" t="s">
        <v>33</v>
      </c>
      <c r="H32" s="19" t="s">
        <v>199</v>
      </c>
      <c r="I32" s="27" t="s">
        <v>23</v>
      </c>
      <c r="J32" s="21">
        <v>0.8</v>
      </c>
      <c r="K32" s="27" t="s">
        <v>145</v>
      </c>
      <c r="L32" s="32" t="s">
        <v>146</v>
      </c>
      <c r="M32" s="6" t="s">
        <v>147</v>
      </c>
      <c r="N32" s="28">
        <v>0.9</v>
      </c>
      <c r="O32" s="29">
        <v>0.2</v>
      </c>
      <c r="P32" s="28">
        <v>0.96</v>
      </c>
      <c r="Q32" s="29">
        <f t="shared" si="4"/>
        <v>1.07</v>
      </c>
      <c r="R32" s="30">
        <f t="shared" si="1"/>
        <v>16.000000000000004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2077</v>
      </c>
      <c r="B33" s="16" t="s">
        <v>20</v>
      </c>
      <c r="C33" s="17" t="s">
        <v>21</v>
      </c>
      <c r="D33" s="34">
        <v>5270</v>
      </c>
      <c r="E33" s="39" t="s">
        <v>203</v>
      </c>
      <c r="F33" s="40" t="s">
        <v>155</v>
      </c>
      <c r="G33" s="39" t="s">
        <v>33</v>
      </c>
      <c r="H33" s="19" t="s">
        <v>199</v>
      </c>
      <c r="I33" s="27" t="s">
        <v>27</v>
      </c>
      <c r="J33" s="28">
        <v>0.2</v>
      </c>
      <c r="K33" s="27" t="s">
        <v>148</v>
      </c>
      <c r="L33" s="32" t="s">
        <v>149</v>
      </c>
      <c r="M33" s="6" t="s">
        <v>150</v>
      </c>
      <c r="N33" s="28">
        <v>1</v>
      </c>
      <c r="O33" s="29">
        <v>1</v>
      </c>
      <c r="P33" s="28">
        <v>0.7</v>
      </c>
      <c r="Q33" s="29">
        <f t="shared" si="4"/>
        <v>0.7</v>
      </c>
      <c r="R33" s="30">
        <f t="shared" si="1"/>
        <v>13.999999999999998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2070</v>
      </c>
      <c r="B34" s="16" t="s">
        <v>20</v>
      </c>
      <c r="C34" s="17" t="s">
        <v>21</v>
      </c>
      <c r="D34" s="34">
        <v>5312</v>
      </c>
      <c r="E34" s="39" t="s">
        <v>204</v>
      </c>
      <c r="F34" s="40" t="s">
        <v>201</v>
      </c>
      <c r="G34" s="39" t="s">
        <v>33</v>
      </c>
      <c r="H34" s="19" t="s">
        <v>199</v>
      </c>
      <c r="I34" s="20" t="s">
        <v>23</v>
      </c>
      <c r="J34" s="21">
        <v>0.8</v>
      </c>
      <c r="K34" s="26" t="s">
        <v>30</v>
      </c>
      <c r="L34" s="31" t="s">
        <v>130</v>
      </c>
      <c r="M34" s="1" t="s">
        <v>131</v>
      </c>
      <c r="N34" s="21">
        <v>0.95</v>
      </c>
      <c r="O34" s="21">
        <v>0.15</v>
      </c>
      <c r="P34" s="21">
        <v>0.95</v>
      </c>
      <c r="Q34" s="21">
        <f t="shared" si="4"/>
        <v>1</v>
      </c>
      <c r="R34" s="22">
        <f t="shared" si="1"/>
        <v>12</v>
      </c>
      <c r="S34" s="21" t="s">
        <v>24</v>
      </c>
      <c r="T34" s="23">
        <f>SUM(R34:R41)%</f>
        <v>0.7904000000000001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2072</v>
      </c>
      <c r="B35" s="16" t="s">
        <v>20</v>
      </c>
      <c r="C35" s="17" t="s">
        <v>21</v>
      </c>
      <c r="D35" s="34">
        <v>5312</v>
      </c>
      <c r="E35" s="39" t="s">
        <v>204</v>
      </c>
      <c r="F35" s="40" t="s">
        <v>201</v>
      </c>
      <c r="G35" s="39" t="s">
        <v>33</v>
      </c>
      <c r="H35" s="19" t="s">
        <v>199</v>
      </c>
      <c r="I35" s="20" t="s">
        <v>23</v>
      </c>
      <c r="J35" s="21">
        <v>0.8</v>
      </c>
      <c r="K35" s="26" t="s">
        <v>132</v>
      </c>
      <c r="L35" s="31" t="s">
        <v>133</v>
      </c>
      <c r="M35" s="26" t="s">
        <v>134</v>
      </c>
      <c r="N35" s="21">
        <v>0.95</v>
      </c>
      <c r="O35" s="21">
        <v>0.15</v>
      </c>
      <c r="P35" s="25">
        <v>0.96</v>
      </c>
      <c r="Q35" s="21">
        <f t="shared" ref="Q35:Q42" si="5">ROUND(IF(OR(N35="",P35=""),0,IF(AND(N35=0,P35=0),1,IF(S35="+",P35/N35,N35/P35))),2)</f>
        <v>1.01</v>
      </c>
      <c r="R35" s="22">
        <f t="shared" si="1"/>
        <v>12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2073</v>
      </c>
      <c r="B36" s="16" t="s">
        <v>20</v>
      </c>
      <c r="C36" s="17" t="s">
        <v>21</v>
      </c>
      <c r="D36" s="34">
        <v>5312</v>
      </c>
      <c r="E36" s="39" t="s">
        <v>204</v>
      </c>
      <c r="F36" s="40" t="s">
        <v>201</v>
      </c>
      <c r="G36" s="39" t="s">
        <v>33</v>
      </c>
      <c r="H36" s="19" t="s">
        <v>199</v>
      </c>
      <c r="I36" s="20" t="s">
        <v>23</v>
      </c>
      <c r="J36" s="21">
        <v>0.8</v>
      </c>
      <c r="K36" s="26" t="s">
        <v>54</v>
      </c>
      <c r="L36" s="31" t="s">
        <v>135</v>
      </c>
      <c r="M36" s="26" t="s">
        <v>136</v>
      </c>
      <c r="N36" s="25">
        <v>0.05</v>
      </c>
      <c r="O36" s="21">
        <v>0.1</v>
      </c>
      <c r="P36" s="66">
        <v>0.05</v>
      </c>
      <c r="Q36" s="21">
        <f t="shared" si="5"/>
        <v>1</v>
      </c>
      <c r="R36" s="22">
        <f t="shared" si="1"/>
        <v>8.0000000000000018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2074</v>
      </c>
      <c r="B37" s="16" t="s">
        <v>20</v>
      </c>
      <c r="C37" s="17" t="s">
        <v>21</v>
      </c>
      <c r="D37" s="34">
        <v>5312</v>
      </c>
      <c r="E37" s="39" t="s">
        <v>204</v>
      </c>
      <c r="F37" s="40" t="s">
        <v>201</v>
      </c>
      <c r="G37" s="39" t="s">
        <v>33</v>
      </c>
      <c r="H37" s="19" t="s">
        <v>199</v>
      </c>
      <c r="I37" s="20" t="s">
        <v>23</v>
      </c>
      <c r="J37" s="21">
        <v>0.8</v>
      </c>
      <c r="K37" s="26" t="s">
        <v>31</v>
      </c>
      <c r="L37" s="31" t="s">
        <v>137</v>
      </c>
      <c r="M37" s="26" t="s">
        <v>138</v>
      </c>
      <c r="N37" s="64">
        <v>0.05</v>
      </c>
      <c r="O37" s="21">
        <v>0.1</v>
      </c>
      <c r="P37" s="28">
        <v>0.05</v>
      </c>
      <c r="Q37" s="21">
        <f t="shared" si="5"/>
        <v>1</v>
      </c>
      <c r="R37" s="22">
        <f t="shared" si="1"/>
        <v>8.0000000000000018</v>
      </c>
      <c r="S37" s="21" t="s">
        <v>25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2075</v>
      </c>
      <c r="B38" s="16" t="s">
        <v>20</v>
      </c>
      <c r="C38" s="17" t="s">
        <v>21</v>
      </c>
      <c r="D38" s="34">
        <v>5312</v>
      </c>
      <c r="E38" s="39" t="s">
        <v>204</v>
      </c>
      <c r="F38" s="40" t="s">
        <v>201</v>
      </c>
      <c r="G38" s="39" t="s">
        <v>33</v>
      </c>
      <c r="H38" s="19" t="s">
        <v>199</v>
      </c>
      <c r="I38" s="27" t="s">
        <v>23</v>
      </c>
      <c r="J38" s="21">
        <v>0.8</v>
      </c>
      <c r="K38" s="27" t="s">
        <v>139</v>
      </c>
      <c r="L38" s="32" t="s">
        <v>140</v>
      </c>
      <c r="M38" s="27" t="s">
        <v>141</v>
      </c>
      <c r="N38" s="28">
        <v>0.9</v>
      </c>
      <c r="O38" s="29">
        <v>0.2</v>
      </c>
      <c r="P38" s="28">
        <v>0.85</v>
      </c>
      <c r="Q38" s="29">
        <f t="shared" si="5"/>
        <v>0.94</v>
      </c>
      <c r="R38" s="30">
        <f t="shared" si="1"/>
        <v>15.040000000000003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2076</v>
      </c>
      <c r="B39" s="16" t="s">
        <v>20</v>
      </c>
      <c r="C39" s="17" t="s">
        <v>21</v>
      </c>
      <c r="D39" s="34">
        <v>5312</v>
      </c>
      <c r="E39" s="39" t="s">
        <v>204</v>
      </c>
      <c r="F39" s="40" t="s">
        <v>201</v>
      </c>
      <c r="G39" s="39" t="s">
        <v>33</v>
      </c>
      <c r="H39" s="19" t="s">
        <v>199</v>
      </c>
      <c r="I39" s="27" t="s">
        <v>23</v>
      </c>
      <c r="J39" s="21">
        <v>0.8</v>
      </c>
      <c r="K39" s="27" t="s">
        <v>142</v>
      </c>
      <c r="L39" s="32" t="s">
        <v>143</v>
      </c>
      <c r="M39" s="27" t="s">
        <v>144</v>
      </c>
      <c r="N39" s="28">
        <v>1</v>
      </c>
      <c r="O39" s="29">
        <v>0.1</v>
      </c>
      <c r="P39" s="28">
        <v>1</v>
      </c>
      <c r="Q39" s="29">
        <f t="shared" si="5"/>
        <v>1</v>
      </c>
      <c r="R39" s="30">
        <f t="shared" si="1"/>
        <v>8.0000000000000018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2077</v>
      </c>
      <c r="B40" s="16" t="s">
        <v>20</v>
      </c>
      <c r="C40" s="17" t="s">
        <v>21</v>
      </c>
      <c r="D40" s="34">
        <v>5312</v>
      </c>
      <c r="E40" s="39" t="s">
        <v>204</v>
      </c>
      <c r="F40" s="40" t="s">
        <v>201</v>
      </c>
      <c r="G40" s="39" t="s">
        <v>33</v>
      </c>
      <c r="H40" s="19" t="s">
        <v>199</v>
      </c>
      <c r="I40" s="27" t="s">
        <v>23</v>
      </c>
      <c r="J40" s="21">
        <v>0.8</v>
      </c>
      <c r="K40" s="27" t="s">
        <v>145</v>
      </c>
      <c r="L40" s="32" t="s">
        <v>146</v>
      </c>
      <c r="M40" s="6" t="s">
        <v>147</v>
      </c>
      <c r="N40" s="28">
        <v>0.9</v>
      </c>
      <c r="O40" s="29">
        <v>0.2</v>
      </c>
      <c r="P40" s="28">
        <v>0.96</v>
      </c>
      <c r="Q40" s="29">
        <f t="shared" si="5"/>
        <v>1.07</v>
      </c>
      <c r="R40" s="30">
        <f t="shared" si="1"/>
        <v>16.000000000000004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2078</v>
      </c>
      <c r="B41" s="16" t="s">
        <v>20</v>
      </c>
      <c r="C41" s="17" t="s">
        <v>21</v>
      </c>
      <c r="D41" s="34">
        <v>5312</v>
      </c>
      <c r="E41" s="39" t="s">
        <v>204</v>
      </c>
      <c r="F41" s="40" t="s">
        <v>201</v>
      </c>
      <c r="G41" s="39" t="s">
        <v>33</v>
      </c>
      <c r="H41" s="19" t="s">
        <v>199</v>
      </c>
      <c r="I41" s="27" t="s">
        <v>27</v>
      </c>
      <c r="J41" s="28">
        <v>0.2</v>
      </c>
      <c r="K41" s="27" t="s">
        <v>148</v>
      </c>
      <c r="L41" s="32" t="s">
        <v>149</v>
      </c>
      <c r="M41" s="6" t="s">
        <v>150</v>
      </c>
      <c r="N41" s="28">
        <v>1</v>
      </c>
      <c r="O41" s="29">
        <v>1</v>
      </c>
      <c r="P41" s="28">
        <v>0.5</v>
      </c>
      <c r="Q41" s="29">
        <f t="shared" si="5"/>
        <v>0.5</v>
      </c>
      <c r="R41" s="30">
        <f t="shared" si="1"/>
        <v>0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2070</v>
      </c>
      <c r="B42" s="16" t="s">
        <v>20</v>
      </c>
      <c r="C42" s="17" t="s">
        <v>21</v>
      </c>
      <c r="D42" s="34">
        <v>5334</v>
      </c>
      <c r="E42" s="39" t="s">
        <v>204</v>
      </c>
      <c r="F42" s="40" t="s">
        <v>201</v>
      </c>
      <c r="G42" s="39" t="s">
        <v>33</v>
      </c>
      <c r="H42" s="19" t="s">
        <v>199</v>
      </c>
      <c r="I42" s="20" t="s">
        <v>23</v>
      </c>
      <c r="J42" s="21">
        <v>0.8</v>
      </c>
      <c r="K42" s="26" t="s">
        <v>30</v>
      </c>
      <c r="L42" s="31" t="s">
        <v>130</v>
      </c>
      <c r="M42" s="1" t="s">
        <v>131</v>
      </c>
      <c r="N42" s="21">
        <v>0.95</v>
      </c>
      <c r="O42" s="21">
        <v>0.15</v>
      </c>
      <c r="P42" s="21">
        <v>0.95</v>
      </c>
      <c r="Q42" s="21">
        <f t="shared" si="5"/>
        <v>1</v>
      </c>
      <c r="R42" s="22">
        <f t="shared" si="1"/>
        <v>12</v>
      </c>
      <c r="S42" s="21" t="s">
        <v>24</v>
      </c>
      <c r="T42" s="23">
        <f>SUM(R42:R49)%</f>
        <v>0.94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2072</v>
      </c>
      <c r="B43" s="16" t="s">
        <v>20</v>
      </c>
      <c r="C43" s="17" t="s">
        <v>21</v>
      </c>
      <c r="D43" s="34">
        <v>5334</v>
      </c>
      <c r="E43" s="39" t="s">
        <v>204</v>
      </c>
      <c r="F43" s="40" t="s">
        <v>201</v>
      </c>
      <c r="G43" s="39" t="s">
        <v>33</v>
      </c>
      <c r="H43" s="19" t="s">
        <v>199</v>
      </c>
      <c r="I43" s="20" t="s">
        <v>23</v>
      </c>
      <c r="J43" s="21">
        <v>0.8</v>
      </c>
      <c r="K43" s="26" t="s">
        <v>132</v>
      </c>
      <c r="L43" s="31" t="s">
        <v>133</v>
      </c>
      <c r="M43" s="26" t="s">
        <v>134</v>
      </c>
      <c r="N43" s="21">
        <v>0.95</v>
      </c>
      <c r="O43" s="21">
        <v>0.15</v>
      </c>
      <c r="P43" s="25">
        <v>0.96</v>
      </c>
      <c r="Q43" s="21">
        <f t="shared" ref="Q43:Q50" si="6">ROUND(IF(OR(N43="",P43=""),0,IF(AND(N43=0,P43=0),1,IF(S43="+",P43/N43,N43/P43))),2)</f>
        <v>1.01</v>
      </c>
      <c r="R43" s="22">
        <f t="shared" si="1"/>
        <v>12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2073</v>
      </c>
      <c r="B44" s="16" t="s">
        <v>20</v>
      </c>
      <c r="C44" s="17" t="s">
        <v>21</v>
      </c>
      <c r="D44" s="34">
        <v>5334</v>
      </c>
      <c r="E44" s="39" t="s">
        <v>204</v>
      </c>
      <c r="F44" s="40" t="s">
        <v>201</v>
      </c>
      <c r="G44" s="39" t="s">
        <v>33</v>
      </c>
      <c r="H44" s="19" t="s">
        <v>199</v>
      </c>
      <c r="I44" s="20" t="s">
        <v>23</v>
      </c>
      <c r="J44" s="21">
        <v>0.8</v>
      </c>
      <c r="K44" s="26" t="s">
        <v>54</v>
      </c>
      <c r="L44" s="31" t="s">
        <v>135</v>
      </c>
      <c r="M44" s="26" t="s">
        <v>136</v>
      </c>
      <c r="N44" s="25">
        <v>0.05</v>
      </c>
      <c r="O44" s="21">
        <v>0.1</v>
      </c>
      <c r="P44" s="66">
        <v>0.05</v>
      </c>
      <c r="Q44" s="21">
        <f t="shared" si="6"/>
        <v>1</v>
      </c>
      <c r="R44" s="22">
        <f t="shared" si="1"/>
        <v>8.0000000000000018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2074</v>
      </c>
      <c r="B45" s="16" t="s">
        <v>20</v>
      </c>
      <c r="C45" s="17" t="s">
        <v>21</v>
      </c>
      <c r="D45" s="34">
        <v>5334</v>
      </c>
      <c r="E45" s="39" t="s">
        <v>204</v>
      </c>
      <c r="F45" s="40" t="s">
        <v>201</v>
      </c>
      <c r="G45" s="39" t="s">
        <v>33</v>
      </c>
      <c r="H45" s="19" t="s">
        <v>199</v>
      </c>
      <c r="I45" s="20" t="s">
        <v>23</v>
      </c>
      <c r="J45" s="21">
        <v>0.8</v>
      </c>
      <c r="K45" s="26" t="s">
        <v>31</v>
      </c>
      <c r="L45" s="31" t="s">
        <v>137</v>
      </c>
      <c r="M45" s="26" t="s">
        <v>138</v>
      </c>
      <c r="N45" s="64">
        <v>0.05</v>
      </c>
      <c r="O45" s="21">
        <v>0.1</v>
      </c>
      <c r="P45" s="28">
        <v>0.05</v>
      </c>
      <c r="Q45" s="21">
        <f t="shared" si="6"/>
        <v>1</v>
      </c>
      <c r="R45" s="22">
        <f t="shared" si="1"/>
        <v>8.0000000000000018</v>
      </c>
      <c r="S45" s="21" t="s">
        <v>25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2075</v>
      </c>
      <c r="B46" s="16" t="s">
        <v>20</v>
      </c>
      <c r="C46" s="17" t="s">
        <v>21</v>
      </c>
      <c r="D46" s="34">
        <v>5334</v>
      </c>
      <c r="E46" s="39" t="s">
        <v>204</v>
      </c>
      <c r="F46" s="40" t="s">
        <v>201</v>
      </c>
      <c r="G46" s="39" t="s">
        <v>33</v>
      </c>
      <c r="H46" s="19" t="s">
        <v>199</v>
      </c>
      <c r="I46" s="27" t="s">
        <v>23</v>
      </c>
      <c r="J46" s="21">
        <v>0.8</v>
      </c>
      <c r="K46" s="27" t="s">
        <v>139</v>
      </c>
      <c r="L46" s="32" t="s">
        <v>140</v>
      </c>
      <c r="M46" s="27" t="s">
        <v>141</v>
      </c>
      <c r="N46" s="28">
        <v>0.9</v>
      </c>
      <c r="O46" s="29">
        <v>0.2</v>
      </c>
      <c r="P46" s="28">
        <v>0.9</v>
      </c>
      <c r="Q46" s="29">
        <f t="shared" si="6"/>
        <v>1</v>
      </c>
      <c r="R46" s="30">
        <f t="shared" si="1"/>
        <v>16.000000000000004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2076</v>
      </c>
      <c r="B47" s="16" t="s">
        <v>20</v>
      </c>
      <c r="C47" s="17" t="s">
        <v>21</v>
      </c>
      <c r="D47" s="34">
        <v>5334</v>
      </c>
      <c r="E47" s="39" t="s">
        <v>204</v>
      </c>
      <c r="F47" s="40" t="s">
        <v>201</v>
      </c>
      <c r="G47" s="39" t="s">
        <v>33</v>
      </c>
      <c r="H47" s="19" t="s">
        <v>199</v>
      </c>
      <c r="I47" s="27" t="s">
        <v>23</v>
      </c>
      <c r="J47" s="21">
        <v>0.8</v>
      </c>
      <c r="K47" s="27" t="s">
        <v>142</v>
      </c>
      <c r="L47" s="32" t="s">
        <v>143</v>
      </c>
      <c r="M47" s="27" t="s">
        <v>144</v>
      </c>
      <c r="N47" s="28">
        <v>1</v>
      </c>
      <c r="O47" s="29">
        <v>0.1</v>
      </c>
      <c r="P47" s="28">
        <v>1</v>
      </c>
      <c r="Q47" s="29">
        <f t="shared" si="6"/>
        <v>1</v>
      </c>
      <c r="R47" s="30">
        <f t="shared" si="1"/>
        <v>8.0000000000000018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2077</v>
      </c>
      <c r="B48" s="16" t="s">
        <v>20</v>
      </c>
      <c r="C48" s="17" t="s">
        <v>21</v>
      </c>
      <c r="D48" s="34">
        <v>5334</v>
      </c>
      <c r="E48" s="39" t="s">
        <v>204</v>
      </c>
      <c r="F48" s="40" t="s">
        <v>201</v>
      </c>
      <c r="G48" s="39" t="s">
        <v>33</v>
      </c>
      <c r="H48" s="19" t="s">
        <v>199</v>
      </c>
      <c r="I48" s="27" t="s">
        <v>23</v>
      </c>
      <c r="J48" s="21">
        <v>0.8</v>
      </c>
      <c r="K48" s="27" t="s">
        <v>145</v>
      </c>
      <c r="L48" s="32" t="s">
        <v>146</v>
      </c>
      <c r="M48" s="6" t="s">
        <v>147</v>
      </c>
      <c r="N48" s="28">
        <v>0.9</v>
      </c>
      <c r="O48" s="29">
        <v>0.2</v>
      </c>
      <c r="P48" s="28">
        <v>0.96</v>
      </c>
      <c r="Q48" s="29">
        <f t="shared" si="6"/>
        <v>1.07</v>
      </c>
      <c r="R48" s="30">
        <f t="shared" si="1"/>
        <v>16.000000000000004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2078</v>
      </c>
      <c r="B49" s="16" t="s">
        <v>20</v>
      </c>
      <c r="C49" s="17" t="s">
        <v>21</v>
      </c>
      <c r="D49" s="34">
        <v>5334</v>
      </c>
      <c r="E49" s="39" t="s">
        <v>204</v>
      </c>
      <c r="F49" s="40" t="s">
        <v>201</v>
      </c>
      <c r="G49" s="39" t="s">
        <v>33</v>
      </c>
      <c r="H49" s="19" t="s">
        <v>199</v>
      </c>
      <c r="I49" s="27" t="s">
        <v>27</v>
      </c>
      <c r="J49" s="28">
        <v>0.2</v>
      </c>
      <c r="K49" s="27" t="s">
        <v>148</v>
      </c>
      <c r="L49" s="32" t="s">
        <v>149</v>
      </c>
      <c r="M49" s="6" t="s">
        <v>150</v>
      </c>
      <c r="N49" s="28">
        <v>1</v>
      </c>
      <c r="O49" s="29">
        <v>1</v>
      </c>
      <c r="P49" s="28">
        <v>0.7</v>
      </c>
      <c r="Q49" s="29">
        <f t="shared" si="6"/>
        <v>0.7</v>
      </c>
      <c r="R49" s="30">
        <f t="shared" si="1"/>
        <v>13.999999999999998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2070</v>
      </c>
      <c r="B50" s="16" t="s">
        <v>20</v>
      </c>
      <c r="C50" s="17" t="s">
        <v>21</v>
      </c>
      <c r="D50" s="34">
        <v>5426</v>
      </c>
      <c r="E50" s="39" t="s">
        <v>205</v>
      </c>
      <c r="F50" s="40" t="s">
        <v>128</v>
      </c>
      <c r="G50" s="39" t="s">
        <v>33</v>
      </c>
      <c r="H50" s="19" t="s">
        <v>199</v>
      </c>
      <c r="I50" s="20" t="s">
        <v>23</v>
      </c>
      <c r="J50" s="21">
        <v>0.8</v>
      </c>
      <c r="K50" s="26" t="s">
        <v>30</v>
      </c>
      <c r="L50" s="31" t="s">
        <v>130</v>
      </c>
      <c r="M50" s="1" t="s">
        <v>131</v>
      </c>
      <c r="N50" s="21">
        <v>0.95</v>
      </c>
      <c r="O50" s="21">
        <v>0.15</v>
      </c>
      <c r="P50" s="21">
        <v>0.95</v>
      </c>
      <c r="Q50" s="21">
        <f t="shared" si="6"/>
        <v>1</v>
      </c>
      <c r="R50" s="22">
        <f t="shared" si="1"/>
        <v>12</v>
      </c>
      <c r="S50" s="21" t="s">
        <v>24</v>
      </c>
      <c r="T50" s="23">
        <f>SUM(R50:R57)%</f>
        <v>0.78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2071</v>
      </c>
      <c r="B51" s="16" t="s">
        <v>20</v>
      </c>
      <c r="C51" s="17" t="s">
        <v>21</v>
      </c>
      <c r="D51" s="34">
        <v>5426</v>
      </c>
      <c r="E51" s="39" t="s">
        <v>205</v>
      </c>
      <c r="F51" s="40" t="s">
        <v>128</v>
      </c>
      <c r="G51" s="39" t="s">
        <v>33</v>
      </c>
      <c r="H51" s="19" t="s">
        <v>199</v>
      </c>
      <c r="I51" s="20" t="s">
        <v>23</v>
      </c>
      <c r="J51" s="21">
        <v>0.8</v>
      </c>
      <c r="K51" s="26" t="s">
        <v>132</v>
      </c>
      <c r="L51" s="31" t="s">
        <v>133</v>
      </c>
      <c r="M51" s="26" t="s">
        <v>134</v>
      </c>
      <c r="N51" s="21">
        <v>0.95</v>
      </c>
      <c r="O51" s="21">
        <v>0.15</v>
      </c>
      <c r="P51" s="25">
        <v>0.96</v>
      </c>
      <c r="Q51" s="21">
        <f>ROUND(IF(OR(N51="",P51=""),0,IF(AND(N51=0,P51=0),1,IF(S51="+",P51/N51,N51/P51))),2)</f>
        <v>1.01</v>
      </c>
      <c r="R51" s="22">
        <f t="shared" si="1"/>
        <v>12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2072</v>
      </c>
      <c r="B52" s="16" t="s">
        <v>20</v>
      </c>
      <c r="C52" s="17" t="s">
        <v>21</v>
      </c>
      <c r="D52" s="34">
        <v>5426</v>
      </c>
      <c r="E52" s="39" t="s">
        <v>205</v>
      </c>
      <c r="F52" s="40" t="s">
        <v>128</v>
      </c>
      <c r="G52" s="39" t="s">
        <v>33</v>
      </c>
      <c r="H52" s="19" t="s">
        <v>199</v>
      </c>
      <c r="I52" s="20" t="s">
        <v>23</v>
      </c>
      <c r="J52" s="21">
        <v>0.8</v>
      </c>
      <c r="K52" s="26" t="s">
        <v>54</v>
      </c>
      <c r="L52" s="31" t="s">
        <v>135</v>
      </c>
      <c r="M52" s="26" t="s">
        <v>136</v>
      </c>
      <c r="N52" s="25">
        <v>0.05</v>
      </c>
      <c r="O52" s="21">
        <v>0.1</v>
      </c>
      <c r="P52" s="66">
        <v>0.05</v>
      </c>
      <c r="Q52" s="21">
        <f t="shared" ref="Q52:Q58" si="7">ROUND(IF(OR(N52="",P52=""),0,IF(AND(N52=0,P52=0),1,IF(S52="+",P52/N52,N52/P52))),2)</f>
        <v>1</v>
      </c>
      <c r="R52" s="22">
        <f t="shared" si="1"/>
        <v>8.0000000000000018</v>
      </c>
      <c r="S52" s="21" t="s">
        <v>24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2073</v>
      </c>
      <c r="B53" s="16" t="s">
        <v>20</v>
      </c>
      <c r="C53" s="17" t="s">
        <v>21</v>
      </c>
      <c r="D53" s="34">
        <v>5426</v>
      </c>
      <c r="E53" s="39" t="s">
        <v>205</v>
      </c>
      <c r="F53" s="40" t="s">
        <v>128</v>
      </c>
      <c r="G53" s="39" t="s">
        <v>33</v>
      </c>
      <c r="H53" s="19" t="s">
        <v>199</v>
      </c>
      <c r="I53" s="20" t="s">
        <v>23</v>
      </c>
      <c r="J53" s="21">
        <v>0.8</v>
      </c>
      <c r="K53" s="26" t="s">
        <v>31</v>
      </c>
      <c r="L53" s="31" t="s">
        <v>137</v>
      </c>
      <c r="M53" s="26" t="s">
        <v>138</v>
      </c>
      <c r="N53" s="64">
        <v>0.05</v>
      </c>
      <c r="O53" s="21">
        <v>0.1</v>
      </c>
      <c r="P53" s="28">
        <v>0.05</v>
      </c>
      <c r="Q53" s="21">
        <f t="shared" si="7"/>
        <v>1</v>
      </c>
      <c r="R53" s="22">
        <f t="shared" si="1"/>
        <v>8.0000000000000018</v>
      </c>
      <c r="S53" s="21" t="s">
        <v>25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2074</v>
      </c>
      <c r="B54" s="16" t="s">
        <v>20</v>
      </c>
      <c r="C54" s="17" t="s">
        <v>21</v>
      </c>
      <c r="D54" s="34">
        <v>5426</v>
      </c>
      <c r="E54" s="39" t="s">
        <v>205</v>
      </c>
      <c r="F54" s="40" t="s">
        <v>128</v>
      </c>
      <c r="G54" s="39" t="s">
        <v>33</v>
      </c>
      <c r="H54" s="19" t="s">
        <v>199</v>
      </c>
      <c r="I54" s="27" t="s">
        <v>23</v>
      </c>
      <c r="J54" s="21">
        <v>0.8</v>
      </c>
      <c r="K54" s="27" t="s">
        <v>139</v>
      </c>
      <c r="L54" s="32" t="s">
        <v>140</v>
      </c>
      <c r="M54" s="27" t="s">
        <v>141</v>
      </c>
      <c r="N54" s="28">
        <v>0.9</v>
      </c>
      <c r="O54" s="29">
        <v>0.2</v>
      </c>
      <c r="P54" s="28">
        <v>0.1</v>
      </c>
      <c r="Q54" s="21">
        <f t="shared" si="7"/>
        <v>0.11</v>
      </c>
      <c r="R54" s="22">
        <f t="shared" si="1"/>
        <v>0</v>
      </c>
      <c r="S54" s="21" t="s">
        <v>24</v>
      </c>
      <c r="T54" s="21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2075</v>
      </c>
      <c r="B55" s="16" t="s">
        <v>20</v>
      </c>
      <c r="C55" s="17" t="s">
        <v>21</v>
      </c>
      <c r="D55" s="34">
        <v>5426</v>
      </c>
      <c r="E55" s="39" t="s">
        <v>205</v>
      </c>
      <c r="F55" s="40" t="s">
        <v>128</v>
      </c>
      <c r="G55" s="39" t="s">
        <v>33</v>
      </c>
      <c r="H55" s="19" t="s">
        <v>199</v>
      </c>
      <c r="I55" s="27" t="s">
        <v>23</v>
      </c>
      <c r="J55" s="21">
        <v>0.8</v>
      </c>
      <c r="K55" s="27" t="s">
        <v>142</v>
      </c>
      <c r="L55" s="32" t="s">
        <v>143</v>
      </c>
      <c r="M55" s="27" t="s">
        <v>144</v>
      </c>
      <c r="N55" s="28">
        <v>1</v>
      </c>
      <c r="O55" s="29">
        <v>0.1</v>
      </c>
      <c r="P55" s="28">
        <v>1</v>
      </c>
      <c r="Q55" s="29">
        <f t="shared" si="7"/>
        <v>1</v>
      </c>
      <c r="R55" s="30">
        <f t="shared" si="1"/>
        <v>8.0000000000000018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2076</v>
      </c>
      <c r="B56" s="16" t="s">
        <v>20</v>
      </c>
      <c r="C56" s="17" t="s">
        <v>21</v>
      </c>
      <c r="D56" s="34">
        <v>5426</v>
      </c>
      <c r="E56" s="39" t="s">
        <v>205</v>
      </c>
      <c r="F56" s="40" t="s">
        <v>128</v>
      </c>
      <c r="G56" s="39" t="s">
        <v>33</v>
      </c>
      <c r="H56" s="19" t="s">
        <v>199</v>
      </c>
      <c r="I56" s="27" t="s">
        <v>23</v>
      </c>
      <c r="J56" s="21">
        <v>0.8</v>
      </c>
      <c r="K56" s="27" t="s">
        <v>145</v>
      </c>
      <c r="L56" s="32" t="s">
        <v>146</v>
      </c>
      <c r="M56" s="6" t="s">
        <v>147</v>
      </c>
      <c r="N56" s="28">
        <v>0.9</v>
      </c>
      <c r="O56" s="29">
        <v>0.2</v>
      </c>
      <c r="P56" s="28">
        <v>0.96</v>
      </c>
      <c r="Q56" s="29">
        <f t="shared" si="7"/>
        <v>1.07</v>
      </c>
      <c r="R56" s="30">
        <f t="shared" si="1"/>
        <v>16.000000000000004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2077</v>
      </c>
      <c r="B57" s="16" t="s">
        <v>20</v>
      </c>
      <c r="C57" s="17" t="s">
        <v>21</v>
      </c>
      <c r="D57" s="34">
        <v>5426</v>
      </c>
      <c r="E57" s="39" t="s">
        <v>205</v>
      </c>
      <c r="F57" s="40" t="s">
        <v>128</v>
      </c>
      <c r="G57" s="39" t="s">
        <v>33</v>
      </c>
      <c r="H57" s="19" t="s">
        <v>199</v>
      </c>
      <c r="I57" s="27" t="s">
        <v>27</v>
      </c>
      <c r="J57" s="28">
        <v>0.2</v>
      </c>
      <c r="K57" s="27" t="s">
        <v>148</v>
      </c>
      <c r="L57" s="32" t="s">
        <v>149</v>
      </c>
      <c r="M57" s="6" t="s">
        <v>150</v>
      </c>
      <c r="N57" s="28">
        <v>1</v>
      </c>
      <c r="O57" s="29">
        <v>1</v>
      </c>
      <c r="P57" s="28">
        <v>0.7</v>
      </c>
      <c r="Q57" s="29">
        <f t="shared" si="7"/>
        <v>0.7</v>
      </c>
      <c r="R57" s="30">
        <f t="shared" si="1"/>
        <v>13.999999999999998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2070</v>
      </c>
      <c r="B58" s="16" t="s">
        <v>20</v>
      </c>
      <c r="C58" s="17" t="s">
        <v>21</v>
      </c>
      <c r="D58" s="34">
        <v>5439</v>
      </c>
      <c r="E58" s="39" t="s">
        <v>206</v>
      </c>
      <c r="F58" s="40" t="s">
        <v>155</v>
      </c>
      <c r="G58" s="39" t="s">
        <v>33</v>
      </c>
      <c r="H58" s="19" t="s">
        <v>199</v>
      </c>
      <c r="I58" s="20" t="s">
        <v>23</v>
      </c>
      <c r="J58" s="21">
        <v>0.8</v>
      </c>
      <c r="K58" s="26" t="s">
        <v>30</v>
      </c>
      <c r="L58" s="31" t="s">
        <v>130</v>
      </c>
      <c r="M58" s="1" t="s">
        <v>131</v>
      </c>
      <c r="N58" s="21">
        <v>0.95</v>
      </c>
      <c r="O58" s="21">
        <v>0.15</v>
      </c>
      <c r="P58" s="21">
        <v>0.95</v>
      </c>
      <c r="Q58" s="21">
        <f t="shared" si="7"/>
        <v>1</v>
      </c>
      <c r="R58" s="22">
        <f t="shared" si="1"/>
        <v>12</v>
      </c>
      <c r="S58" s="21" t="s">
        <v>24</v>
      </c>
      <c r="T58" s="23">
        <f>SUM(R58:R65)%</f>
        <v>0.98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2072</v>
      </c>
      <c r="B59" s="16" t="s">
        <v>20</v>
      </c>
      <c r="C59" s="17" t="s">
        <v>21</v>
      </c>
      <c r="D59" s="34">
        <v>5439</v>
      </c>
      <c r="E59" s="39" t="s">
        <v>206</v>
      </c>
      <c r="F59" s="40" t="s">
        <v>155</v>
      </c>
      <c r="G59" s="39" t="s">
        <v>33</v>
      </c>
      <c r="H59" s="19" t="s">
        <v>199</v>
      </c>
      <c r="I59" s="20" t="s">
        <v>23</v>
      </c>
      <c r="J59" s="21">
        <v>0.8</v>
      </c>
      <c r="K59" s="26" t="s">
        <v>132</v>
      </c>
      <c r="L59" s="31" t="s">
        <v>133</v>
      </c>
      <c r="M59" s="26" t="s">
        <v>134</v>
      </c>
      <c r="N59" s="21">
        <v>0.95</v>
      </c>
      <c r="O59" s="21">
        <v>0.15</v>
      </c>
      <c r="P59" s="25">
        <v>0.96</v>
      </c>
      <c r="Q59" s="21">
        <f t="shared" ref="Q59:Q66" si="8">ROUND(IF(OR(N59="",P59=""),0,IF(AND(N59=0,P59=0),1,IF(S59="+",P59/N59,N59/P59))),2)</f>
        <v>1.01</v>
      </c>
      <c r="R59" s="22">
        <f t="shared" ref="R59:R114" si="9">IF(AND(Q59&gt;=60%,Q59&lt;100%),Q59*((O59*J59)),IF(Q59=100%,((O59*J59)*Q59)*100%,IF(Q59&gt;100%,((J59*O59)*100%)*100%,0)))*100</f>
        <v>12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2073</v>
      </c>
      <c r="B60" s="16" t="s">
        <v>20</v>
      </c>
      <c r="C60" s="17" t="s">
        <v>21</v>
      </c>
      <c r="D60" s="34">
        <v>5439</v>
      </c>
      <c r="E60" s="39" t="s">
        <v>206</v>
      </c>
      <c r="F60" s="40" t="s">
        <v>155</v>
      </c>
      <c r="G60" s="39" t="s">
        <v>33</v>
      </c>
      <c r="H60" s="19" t="s">
        <v>199</v>
      </c>
      <c r="I60" s="20" t="s">
        <v>23</v>
      </c>
      <c r="J60" s="21">
        <v>0.8</v>
      </c>
      <c r="K60" s="26" t="s">
        <v>54</v>
      </c>
      <c r="L60" s="31" t="s">
        <v>135</v>
      </c>
      <c r="M60" s="26" t="s">
        <v>136</v>
      </c>
      <c r="N60" s="25">
        <v>0.05</v>
      </c>
      <c r="O60" s="21">
        <v>0.1</v>
      </c>
      <c r="P60" s="66">
        <v>0.05</v>
      </c>
      <c r="Q60" s="21">
        <f t="shared" si="8"/>
        <v>1</v>
      </c>
      <c r="R60" s="22">
        <f t="shared" si="9"/>
        <v>8.0000000000000018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2074</v>
      </c>
      <c r="B61" s="16" t="s">
        <v>20</v>
      </c>
      <c r="C61" s="17" t="s">
        <v>21</v>
      </c>
      <c r="D61" s="34">
        <v>5439</v>
      </c>
      <c r="E61" s="39" t="s">
        <v>206</v>
      </c>
      <c r="F61" s="40" t="s">
        <v>155</v>
      </c>
      <c r="G61" s="39" t="s">
        <v>33</v>
      </c>
      <c r="H61" s="19" t="s">
        <v>199</v>
      </c>
      <c r="I61" s="20" t="s">
        <v>23</v>
      </c>
      <c r="J61" s="21">
        <v>0.8</v>
      </c>
      <c r="K61" s="26" t="s">
        <v>31</v>
      </c>
      <c r="L61" s="31" t="s">
        <v>137</v>
      </c>
      <c r="M61" s="26" t="s">
        <v>138</v>
      </c>
      <c r="N61" s="64">
        <v>0.05</v>
      </c>
      <c r="O61" s="21">
        <v>0.1</v>
      </c>
      <c r="P61" s="28">
        <v>0.05</v>
      </c>
      <c r="Q61" s="21">
        <f t="shared" si="8"/>
        <v>1</v>
      </c>
      <c r="R61" s="22">
        <f t="shared" si="9"/>
        <v>8.0000000000000018</v>
      </c>
      <c r="S61" s="21" t="s">
        <v>25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2075</v>
      </c>
      <c r="B62" s="16" t="s">
        <v>20</v>
      </c>
      <c r="C62" s="17" t="s">
        <v>21</v>
      </c>
      <c r="D62" s="34">
        <v>5439</v>
      </c>
      <c r="E62" s="39" t="s">
        <v>206</v>
      </c>
      <c r="F62" s="40" t="s">
        <v>155</v>
      </c>
      <c r="G62" s="39" t="s">
        <v>33</v>
      </c>
      <c r="H62" s="19" t="s">
        <v>199</v>
      </c>
      <c r="I62" s="27" t="s">
        <v>23</v>
      </c>
      <c r="J62" s="21">
        <v>0.8</v>
      </c>
      <c r="K62" s="27" t="s">
        <v>139</v>
      </c>
      <c r="L62" s="32" t="s">
        <v>140</v>
      </c>
      <c r="M62" s="27" t="s">
        <v>141</v>
      </c>
      <c r="N62" s="28">
        <v>0.9</v>
      </c>
      <c r="O62" s="29">
        <v>0.2</v>
      </c>
      <c r="P62" s="28">
        <v>0.9</v>
      </c>
      <c r="Q62" s="29">
        <f t="shared" si="8"/>
        <v>1</v>
      </c>
      <c r="R62" s="30">
        <f t="shared" si="9"/>
        <v>16.000000000000004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2076</v>
      </c>
      <c r="B63" s="16" t="s">
        <v>20</v>
      </c>
      <c r="C63" s="17" t="s">
        <v>21</v>
      </c>
      <c r="D63" s="34">
        <v>5439</v>
      </c>
      <c r="E63" s="39" t="s">
        <v>206</v>
      </c>
      <c r="F63" s="40" t="s">
        <v>155</v>
      </c>
      <c r="G63" s="39" t="s">
        <v>33</v>
      </c>
      <c r="H63" s="19" t="s">
        <v>199</v>
      </c>
      <c r="I63" s="27" t="s">
        <v>23</v>
      </c>
      <c r="J63" s="21">
        <v>0.8</v>
      </c>
      <c r="K63" s="27" t="s">
        <v>142</v>
      </c>
      <c r="L63" s="32" t="s">
        <v>143</v>
      </c>
      <c r="M63" s="27" t="s">
        <v>144</v>
      </c>
      <c r="N63" s="28">
        <v>1</v>
      </c>
      <c r="O63" s="29">
        <v>0.1</v>
      </c>
      <c r="P63" s="28">
        <v>1</v>
      </c>
      <c r="Q63" s="29">
        <f t="shared" si="8"/>
        <v>1</v>
      </c>
      <c r="R63" s="30">
        <f t="shared" si="9"/>
        <v>8.0000000000000018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2077</v>
      </c>
      <c r="B64" s="16" t="s">
        <v>20</v>
      </c>
      <c r="C64" s="17" t="s">
        <v>21</v>
      </c>
      <c r="D64" s="34">
        <v>5439</v>
      </c>
      <c r="E64" s="39" t="s">
        <v>206</v>
      </c>
      <c r="F64" s="40" t="s">
        <v>155</v>
      </c>
      <c r="G64" s="39" t="s">
        <v>33</v>
      </c>
      <c r="H64" s="19" t="s">
        <v>199</v>
      </c>
      <c r="I64" s="27" t="s">
        <v>23</v>
      </c>
      <c r="J64" s="21">
        <v>0.8</v>
      </c>
      <c r="K64" s="27" t="s">
        <v>145</v>
      </c>
      <c r="L64" s="32" t="s">
        <v>146</v>
      </c>
      <c r="M64" s="6" t="s">
        <v>147</v>
      </c>
      <c r="N64" s="28">
        <v>0.9</v>
      </c>
      <c r="O64" s="29">
        <v>0.2</v>
      </c>
      <c r="P64" s="28">
        <v>0.96</v>
      </c>
      <c r="Q64" s="29">
        <f t="shared" si="8"/>
        <v>1.07</v>
      </c>
      <c r="R64" s="30">
        <f t="shared" si="9"/>
        <v>16.000000000000004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2078</v>
      </c>
      <c r="B65" s="16" t="s">
        <v>20</v>
      </c>
      <c r="C65" s="17" t="s">
        <v>21</v>
      </c>
      <c r="D65" s="34">
        <v>5439</v>
      </c>
      <c r="E65" s="39" t="s">
        <v>206</v>
      </c>
      <c r="F65" s="40" t="s">
        <v>155</v>
      </c>
      <c r="G65" s="39" t="s">
        <v>33</v>
      </c>
      <c r="H65" s="19" t="s">
        <v>199</v>
      </c>
      <c r="I65" s="27" t="s">
        <v>27</v>
      </c>
      <c r="J65" s="28">
        <v>0.2</v>
      </c>
      <c r="K65" s="27" t="s">
        <v>148</v>
      </c>
      <c r="L65" s="32" t="s">
        <v>149</v>
      </c>
      <c r="M65" s="6" t="s">
        <v>150</v>
      </c>
      <c r="N65" s="28">
        <v>1</v>
      </c>
      <c r="O65" s="29">
        <v>1</v>
      </c>
      <c r="P65" s="28">
        <v>0.9</v>
      </c>
      <c r="Q65" s="29">
        <f t="shared" si="8"/>
        <v>0.9</v>
      </c>
      <c r="R65" s="30">
        <f t="shared" si="9"/>
        <v>18.000000000000004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2070</v>
      </c>
      <c r="B66" s="16" t="s">
        <v>20</v>
      </c>
      <c r="C66" s="17" t="s">
        <v>21</v>
      </c>
      <c r="D66" s="34">
        <v>5511</v>
      </c>
      <c r="E66" s="39" t="s">
        <v>207</v>
      </c>
      <c r="F66" s="40" t="s">
        <v>128</v>
      </c>
      <c r="G66" s="39" t="s">
        <v>33</v>
      </c>
      <c r="H66" s="19" t="s">
        <v>199</v>
      </c>
      <c r="I66" s="20" t="s">
        <v>23</v>
      </c>
      <c r="J66" s="21">
        <v>0.8</v>
      </c>
      <c r="K66" s="26" t="s">
        <v>30</v>
      </c>
      <c r="L66" s="31" t="s">
        <v>130</v>
      </c>
      <c r="M66" s="1" t="s">
        <v>131</v>
      </c>
      <c r="N66" s="21">
        <v>0.95</v>
      </c>
      <c r="O66" s="21">
        <v>0.15</v>
      </c>
      <c r="P66" s="21">
        <v>0.95</v>
      </c>
      <c r="Q66" s="21">
        <f t="shared" si="8"/>
        <v>1</v>
      </c>
      <c r="R66" s="22">
        <f t="shared" si="9"/>
        <v>12</v>
      </c>
      <c r="S66" s="21" t="s">
        <v>24</v>
      </c>
      <c r="T66" s="23">
        <f>SUM(R66:R73)%</f>
        <v>0.7904000000000001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2072</v>
      </c>
      <c r="B67" s="16" t="s">
        <v>20</v>
      </c>
      <c r="C67" s="17" t="s">
        <v>21</v>
      </c>
      <c r="D67" s="34">
        <v>5511</v>
      </c>
      <c r="E67" s="39" t="s">
        <v>207</v>
      </c>
      <c r="F67" s="40" t="s">
        <v>128</v>
      </c>
      <c r="G67" s="39" t="s">
        <v>33</v>
      </c>
      <c r="H67" s="19" t="s">
        <v>199</v>
      </c>
      <c r="I67" s="20" t="s">
        <v>23</v>
      </c>
      <c r="J67" s="21">
        <v>0.8</v>
      </c>
      <c r="K67" s="26" t="s">
        <v>132</v>
      </c>
      <c r="L67" s="31" t="s">
        <v>133</v>
      </c>
      <c r="M67" s="26" t="s">
        <v>134</v>
      </c>
      <c r="N67" s="21">
        <v>0.95</v>
      </c>
      <c r="O67" s="21">
        <v>0.15</v>
      </c>
      <c r="P67" s="25">
        <v>0.96</v>
      </c>
      <c r="Q67" s="21">
        <f t="shared" ref="Q67:Q74" si="10">ROUND(IF(OR(N67="",P67=""),0,IF(AND(N67=0,P67=0),1,IF(S67="+",P67/N67,N67/P67))),2)</f>
        <v>1.01</v>
      </c>
      <c r="R67" s="22">
        <f t="shared" si="9"/>
        <v>12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2073</v>
      </c>
      <c r="B68" s="16" t="s">
        <v>20</v>
      </c>
      <c r="C68" s="17" t="s">
        <v>21</v>
      </c>
      <c r="D68" s="34">
        <v>5511</v>
      </c>
      <c r="E68" s="39" t="s">
        <v>207</v>
      </c>
      <c r="F68" s="40" t="s">
        <v>128</v>
      </c>
      <c r="G68" s="39" t="s">
        <v>33</v>
      </c>
      <c r="H68" s="19" t="s">
        <v>199</v>
      </c>
      <c r="I68" s="20" t="s">
        <v>23</v>
      </c>
      <c r="J68" s="21">
        <v>0.8</v>
      </c>
      <c r="K68" s="26" t="s">
        <v>54</v>
      </c>
      <c r="L68" s="31" t="s">
        <v>135</v>
      </c>
      <c r="M68" s="26" t="s">
        <v>136</v>
      </c>
      <c r="N68" s="25">
        <v>0.05</v>
      </c>
      <c r="O68" s="21">
        <v>0.1</v>
      </c>
      <c r="P68" s="66">
        <v>0.05</v>
      </c>
      <c r="Q68" s="21">
        <f t="shared" si="10"/>
        <v>1</v>
      </c>
      <c r="R68" s="22">
        <f t="shared" si="9"/>
        <v>8.0000000000000018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2074</v>
      </c>
      <c r="B69" s="16" t="s">
        <v>20</v>
      </c>
      <c r="C69" s="17" t="s">
        <v>21</v>
      </c>
      <c r="D69" s="34">
        <v>5511</v>
      </c>
      <c r="E69" s="39" t="s">
        <v>207</v>
      </c>
      <c r="F69" s="40" t="s">
        <v>128</v>
      </c>
      <c r="G69" s="39" t="s">
        <v>33</v>
      </c>
      <c r="H69" s="19" t="s">
        <v>199</v>
      </c>
      <c r="I69" s="20" t="s">
        <v>23</v>
      </c>
      <c r="J69" s="21">
        <v>0.8</v>
      </c>
      <c r="K69" s="26" t="s">
        <v>31</v>
      </c>
      <c r="L69" s="31" t="s">
        <v>137</v>
      </c>
      <c r="M69" s="26" t="s">
        <v>138</v>
      </c>
      <c r="N69" s="64">
        <v>0.05</v>
      </c>
      <c r="O69" s="21">
        <v>0.1</v>
      </c>
      <c r="P69" s="28">
        <v>0.05</v>
      </c>
      <c r="Q69" s="21">
        <f t="shared" si="10"/>
        <v>1</v>
      </c>
      <c r="R69" s="22">
        <f t="shared" si="9"/>
        <v>8.0000000000000018</v>
      </c>
      <c r="S69" s="21" t="s">
        <v>25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2075</v>
      </c>
      <c r="B70" s="16" t="s">
        <v>20</v>
      </c>
      <c r="C70" s="17" t="s">
        <v>21</v>
      </c>
      <c r="D70" s="34">
        <v>5511</v>
      </c>
      <c r="E70" s="39" t="s">
        <v>207</v>
      </c>
      <c r="F70" s="40" t="s">
        <v>128</v>
      </c>
      <c r="G70" s="39" t="s">
        <v>33</v>
      </c>
      <c r="H70" s="19" t="s">
        <v>199</v>
      </c>
      <c r="I70" s="27" t="s">
        <v>23</v>
      </c>
      <c r="J70" s="21">
        <v>0.8</v>
      </c>
      <c r="K70" s="27" t="s">
        <v>139</v>
      </c>
      <c r="L70" s="32" t="s">
        <v>140</v>
      </c>
      <c r="M70" s="27" t="s">
        <v>141</v>
      </c>
      <c r="N70" s="28">
        <v>0.9</v>
      </c>
      <c r="O70" s="29">
        <v>0.2</v>
      </c>
      <c r="P70" s="28">
        <v>0.85</v>
      </c>
      <c r="Q70" s="29">
        <f t="shared" si="10"/>
        <v>0.94</v>
      </c>
      <c r="R70" s="30">
        <f t="shared" si="9"/>
        <v>15.040000000000003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2076</v>
      </c>
      <c r="B71" s="16" t="s">
        <v>20</v>
      </c>
      <c r="C71" s="17" t="s">
        <v>21</v>
      </c>
      <c r="D71" s="34">
        <v>5511</v>
      </c>
      <c r="E71" s="39" t="s">
        <v>207</v>
      </c>
      <c r="F71" s="40" t="s">
        <v>128</v>
      </c>
      <c r="G71" s="39" t="s">
        <v>33</v>
      </c>
      <c r="H71" s="19" t="s">
        <v>199</v>
      </c>
      <c r="I71" s="27" t="s">
        <v>23</v>
      </c>
      <c r="J71" s="21">
        <v>0.8</v>
      </c>
      <c r="K71" s="27" t="s">
        <v>142</v>
      </c>
      <c r="L71" s="32" t="s">
        <v>143</v>
      </c>
      <c r="M71" s="27" t="s">
        <v>144</v>
      </c>
      <c r="N71" s="28">
        <v>1</v>
      </c>
      <c r="O71" s="29">
        <v>0.1</v>
      </c>
      <c r="P71" s="28">
        <v>1</v>
      </c>
      <c r="Q71" s="29">
        <f t="shared" si="10"/>
        <v>1</v>
      </c>
      <c r="R71" s="30">
        <f t="shared" si="9"/>
        <v>8.0000000000000018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2077</v>
      </c>
      <c r="B72" s="16" t="s">
        <v>20</v>
      </c>
      <c r="C72" s="17" t="s">
        <v>21</v>
      </c>
      <c r="D72" s="34">
        <v>5511</v>
      </c>
      <c r="E72" s="39" t="s">
        <v>207</v>
      </c>
      <c r="F72" s="40" t="s">
        <v>128</v>
      </c>
      <c r="G72" s="39" t="s">
        <v>33</v>
      </c>
      <c r="H72" s="19" t="s">
        <v>199</v>
      </c>
      <c r="I72" s="27" t="s">
        <v>23</v>
      </c>
      <c r="J72" s="21">
        <v>0.8</v>
      </c>
      <c r="K72" s="27" t="s">
        <v>145</v>
      </c>
      <c r="L72" s="32" t="s">
        <v>146</v>
      </c>
      <c r="M72" s="6" t="s">
        <v>147</v>
      </c>
      <c r="N72" s="28">
        <v>0.9</v>
      </c>
      <c r="O72" s="29">
        <v>0.2</v>
      </c>
      <c r="P72" s="28">
        <v>0.96</v>
      </c>
      <c r="Q72" s="29">
        <f t="shared" si="10"/>
        <v>1.07</v>
      </c>
      <c r="R72" s="30">
        <f t="shared" si="9"/>
        <v>16.000000000000004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2078</v>
      </c>
      <c r="B73" s="16" t="s">
        <v>20</v>
      </c>
      <c r="C73" s="17" t="s">
        <v>21</v>
      </c>
      <c r="D73" s="34">
        <v>5511</v>
      </c>
      <c r="E73" s="39" t="s">
        <v>207</v>
      </c>
      <c r="F73" s="40" t="s">
        <v>128</v>
      </c>
      <c r="G73" s="39" t="s">
        <v>33</v>
      </c>
      <c r="H73" s="19" t="s">
        <v>199</v>
      </c>
      <c r="I73" s="27" t="s">
        <v>27</v>
      </c>
      <c r="J73" s="28">
        <v>0.2</v>
      </c>
      <c r="K73" s="27" t="s">
        <v>148</v>
      </c>
      <c r="L73" s="32" t="s">
        <v>149</v>
      </c>
      <c r="M73" s="6" t="s">
        <v>150</v>
      </c>
      <c r="N73" s="28">
        <v>1</v>
      </c>
      <c r="O73" s="29">
        <v>1</v>
      </c>
      <c r="P73" s="28">
        <v>0.5</v>
      </c>
      <c r="Q73" s="29">
        <f t="shared" si="10"/>
        <v>0.5</v>
      </c>
      <c r="R73" s="30">
        <f t="shared" si="9"/>
        <v>0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2070</v>
      </c>
      <c r="B74" s="16" t="s">
        <v>20</v>
      </c>
      <c r="C74" s="17" t="s">
        <v>21</v>
      </c>
      <c r="D74" s="34">
        <v>5536</v>
      </c>
      <c r="E74" s="39" t="s">
        <v>208</v>
      </c>
      <c r="F74" s="40" t="s">
        <v>128</v>
      </c>
      <c r="G74" s="39" t="s">
        <v>33</v>
      </c>
      <c r="H74" s="19" t="s">
        <v>199</v>
      </c>
      <c r="I74" s="20" t="s">
        <v>23</v>
      </c>
      <c r="J74" s="21">
        <v>0.8</v>
      </c>
      <c r="K74" s="26" t="s">
        <v>30</v>
      </c>
      <c r="L74" s="31" t="s">
        <v>130</v>
      </c>
      <c r="M74" s="1" t="s">
        <v>131</v>
      </c>
      <c r="N74" s="21">
        <v>0.95</v>
      </c>
      <c r="O74" s="21">
        <v>0.15</v>
      </c>
      <c r="P74" s="21">
        <v>0.95</v>
      </c>
      <c r="Q74" s="21">
        <f t="shared" si="10"/>
        <v>1</v>
      </c>
      <c r="R74" s="22">
        <f t="shared" si="9"/>
        <v>12</v>
      </c>
      <c r="S74" s="21" t="s">
        <v>24</v>
      </c>
      <c r="T74" s="23">
        <f>SUM(R74:R81)%</f>
        <v>0.94240000000000013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2072</v>
      </c>
      <c r="B75" s="16" t="s">
        <v>20</v>
      </c>
      <c r="C75" s="17" t="s">
        <v>21</v>
      </c>
      <c r="D75" s="34">
        <v>5536</v>
      </c>
      <c r="E75" s="39" t="s">
        <v>208</v>
      </c>
      <c r="F75" s="40" t="s">
        <v>128</v>
      </c>
      <c r="G75" s="39" t="s">
        <v>33</v>
      </c>
      <c r="H75" s="19" t="s">
        <v>199</v>
      </c>
      <c r="I75" s="20" t="s">
        <v>23</v>
      </c>
      <c r="J75" s="21">
        <v>0.8</v>
      </c>
      <c r="K75" s="26" t="s">
        <v>132</v>
      </c>
      <c r="L75" s="31" t="s">
        <v>133</v>
      </c>
      <c r="M75" s="26" t="s">
        <v>134</v>
      </c>
      <c r="N75" s="21">
        <v>0.95</v>
      </c>
      <c r="O75" s="21">
        <v>0.15</v>
      </c>
      <c r="P75" s="25">
        <v>0.96</v>
      </c>
      <c r="Q75" s="21">
        <f t="shared" ref="Q75:Q82" si="11">ROUND(IF(OR(N75="",P75=""),0,IF(AND(N75=0,P75=0),1,IF(S75="+",P75/N75,N75/P75))),2)</f>
        <v>1.01</v>
      </c>
      <c r="R75" s="22">
        <f t="shared" si="9"/>
        <v>12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2073</v>
      </c>
      <c r="B76" s="16" t="s">
        <v>20</v>
      </c>
      <c r="C76" s="17" t="s">
        <v>21</v>
      </c>
      <c r="D76" s="34">
        <v>5536</v>
      </c>
      <c r="E76" s="39" t="s">
        <v>208</v>
      </c>
      <c r="F76" s="40" t="s">
        <v>128</v>
      </c>
      <c r="G76" s="39" t="s">
        <v>33</v>
      </c>
      <c r="H76" s="19" t="s">
        <v>199</v>
      </c>
      <c r="I76" s="20" t="s">
        <v>23</v>
      </c>
      <c r="J76" s="21">
        <v>0.8</v>
      </c>
      <c r="K76" s="26" t="s">
        <v>54</v>
      </c>
      <c r="L76" s="31" t="s">
        <v>135</v>
      </c>
      <c r="M76" s="26" t="s">
        <v>136</v>
      </c>
      <c r="N76" s="25">
        <v>0.05</v>
      </c>
      <c r="O76" s="21">
        <v>0.1</v>
      </c>
      <c r="P76" s="66">
        <v>0.05</v>
      </c>
      <c r="Q76" s="21">
        <f t="shared" si="11"/>
        <v>1</v>
      </c>
      <c r="R76" s="22">
        <f t="shared" si="9"/>
        <v>8.0000000000000018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2074</v>
      </c>
      <c r="B77" s="16" t="s">
        <v>20</v>
      </c>
      <c r="C77" s="17" t="s">
        <v>21</v>
      </c>
      <c r="D77" s="34">
        <v>5536</v>
      </c>
      <c r="E77" s="39" t="s">
        <v>208</v>
      </c>
      <c r="F77" s="40" t="s">
        <v>128</v>
      </c>
      <c r="G77" s="39" t="s">
        <v>33</v>
      </c>
      <c r="H77" s="19" t="s">
        <v>199</v>
      </c>
      <c r="I77" s="20" t="s">
        <v>23</v>
      </c>
      <c r="J77" s="21">
        <v>0.8</v>
      </c>
      <c r="K77" s="26" t="s">
        <v>31</v>
      </c>
      <c r="L77" s="31" t="s">
        <v>137</v>
      </c>
      <c r="M77" s="26" t="s">
        <v>138</v>
      </c>
      <c r="N77" s="64">
        <v>0.05</v>
      </c>
      <c r="O77" s="21">
        <v>0.1</v>
      </c>
      <c r="P77" s="28">
        <v>0.05</v>
      </c>
      <c r="Q77" s="21">
        <f t="shared" si="11"/>
        <v>1</v>
      </c>
      <c r="R77" s="22">
        <f t="shared" si="9"/>
        <v>8.0000000000000018</v>
      </c>
      <c r="S77" s="21" t="s">
        <v>25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2075</v>
      </c>
      <c r="B78" s="16" t="s">
        <v>20</v>
      </c>
      <c r="C78" s="17" t="s">
        <v>21</v>
      </c>
      <c r="D78" s="34">
        <v>5536</v>
      </c>
      <c r="E78" s="39" t="s">
        <v>208</v>
      </c>
      <c r="F78" s="40" t="s">
        <v>128</v>
      </c>
      <c r="G78" s="39" t="s">
        <v>33</v>
      </c>
      <c r="H78" s="19" t="s">
        <v>199</v>
      </c>
      <c r="I78" s="27" t="s">
        <v>23</v>
      </c>
      <c r="J78" s="21">
        <v>0.8</v>
      </c>
      <c r="K78" s="27" t="s">
        <v>139</v>
      </c>
      <c r="L78" s="32" t="s">
        <v>140</v>
      </c>
      <c r="M78" s="27" t="s">
        <v>141</v>
      </c>
      <c r="N78" s="28">
        <v>0.9</v>
      </c>
      <c r="O78" s="29">
        <v>0.2</v>
      </c>
      <c r="P78" s="28">
        <v>0.8</v>
      </c>
      <c r="Q78" s="29">
        <f t="shared" si="11"/>
        <v>0.89</v>
      </c>
      <c r="R78" s="30">
        <f t="shared" si="9"/>
        <v>14.240000000000002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2076</v>
      </c>
      <c r="B79" s="16" t="s">
        <v>20</v>
      </c>
      <c r="C79" s="17" t="s">
        <v>21</v>
      </c>
      <c r="D79" s="34">
        <v>5536</v>
      </c>
      <c r="E79" s="39" t="s">
        <v>208</v>
      </c>
      <c r="F79" s="40" t="s">
        <v>128</v>
      </c>
      <c r="G79" s="39" t="s">
        <v>33</v>
      </c>
      <c r="H79" s="19" t="s">
        <v>199</v>
      </c>
      <c r="I79" s="27" t="s">
        <v>23</v>
      </c>
      <c r="J79" s="21">
        <v>0.8</v>
      </c>
      <c r="K79" s="27" t="s">
        <v>142</v>
      </c>
      <c r="L79" s="32" t="s">
        <v>143</v>
      </c>
      <c r="M79" s="27" t="s">
        <v>144</v>
      </c>
      <c r="N79" s="28">
        <v>1</v>
      </c>
      <c r="O79" s="29">
        <v>0.1</v>
      </c>
      <c r="P79" s="28">
        <v>1</v>
      </c>
      <c r="Q79" s="29">
        <f t="shared" si="11"/>
        <v>1</v>
      </c>
      <c r="R79" s="30">
        <f t="shared" si="9"/>
        <v>8.0000000000000018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2077</v>
      </c>
      <c r="B80" s="16" t="s">
        <v>20</v>
      </c>
      <c r="C80" s="17" t="s">
        <v>21</v>
      </c>
      <c r="D80" s="34">
        <v>5536</v>
      </c>
      <c r="E80" s="39" t="s">
        <v>208</v>
      </c>
      <c r="F80" s="40" t="s">
        <v>128</v>
      </c>
      <c r="G80" s="39" t="s">
        <v>33</v>
      </c>
      <c r="H80" s="19" t="s">
        <v>199</v>
      </c>
      <c r="I80" s="27" t="s">
        <v>23</v>
      </c>
      <c r="J80" s="21">
        <v>0.8</v>
      </c>
      <c r="K80" s="27" t="s">
        <v>145</v>
      </c>
      <c r="L80" s="32" t="s">
        <v>146</v>
      </c>
      <c r="M80" s="6" t="s">
        <v>147</v>
      </c>
      <c r="N80" s="28">
        <v>0.9</v>
      </c>
      <c r="O80" s="29">
        <v>0.2</v>
      </c>
      <c r="P80" s="28">
        <v>0.96</v>
      </c>
      <c r="Q80" s="29">
        <f t="shared" si="11"/>
        <v>1.07</v>
      </c>
      <c r="R80" s="30">
        <f t="shared" si="9"/>
        <v>16.000000000000004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2078</v>
      </c>
      <c r="B81" s="16" t="s">
        <v>20</v>
      </c>
      <c r="C81" s="17" t="s">
        <v>21</v>
      </c>
      <c r="D81" s="34">
        <v>5536</v>
      </c>
      <c r="E81" s="39" t="s">
        <v>208</v>
      </c>
      <c r="F81" s="40" t="s">
        <v>128</v>
      </c>
      <c r="G81" s="39" t="s">
        <v>33</v>
      </c>
      <c r="H81" s="19" t="s">
        <v>199</v>
      </c>
      <c r="I81" s="27" t="s">
        <v>27</v>
      </c>
      <c r="J81" s="28">
        <v>0.2</v>
      </c>
      <c r="K81" s="27" t="s">
        <v>148</v>
      </c>
      <c r="L81" s="32" t="s">
        <v>149</v>
      </c>
      <c r="M81" s="6" t="s">
        <v>150</v>
      </c>
      <c r="N81" s="28">
        <v>1</v>
      </c>
      <c r="O81" s="29">
        <v>1</v>
      </c>
      <c r="P81" s="28">
        <v>0.8</v>
      </c>
      <c r="Q81" s="29">
        <f t="shared" si="11"/>
        <v>0.8</v>
      </c>
      <c r="R81" s="30">
        <f t="shared" si="9"/>
        <v>16.000000000000004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2070</v>
      </c>
      <c r="B82" s="16" t="s">
        <v>20</v>
      </c>
      <c r="C82" s="17" t="s">
        <v>21</v>
      </c>
      <c r="D82" s="34">
        <v>5557</v>
      </c>
      <c r="E82" s="39" t="s">
        <v>209</v>
      </c>
      <c r="F82" s="40" t="s">
        <v>128</v>
      </c>
      <c r="G82" s="39" t="s">
        <v>33</v>
      </c>
      <c r="H82" s="19" t="s">
        <v>199</v>
      </c>
      <c r="I82" s="20" t="s">
        <v>23</v>
      </c>
      <c r="J82" s="21">
        <v>0.8</v>
      </c>
      <c r="K82" s="26" t="s">
        <v>30</v>
      </c>
      <c r="L82" s="31" t="s">
        <v>130</v>
      </c>
      <c r="M82" s="1" t="s">
        <v>131</v>
      </c>
      <c r="N82" s="21">
        <v>0.95</v>
      </c>
      <c r="O82" s="21">
        <v>0.15</v>
      </c>
      <c r="P82" s="21">
        <v>0.95</v>
      </c>
      <c r="Q82" s="21">
        <f t="shared" si="11"/>
        <v>1</v>
      </c>
      <c r="R82" s="22">
        <f t="shared" si="9"/>
        <v>12</v>
      </c>
      <c r="S82" s="21" t="s">
        <v>24</v>
      </c>
      <c r="T82" s="23">
        <f>SUM(R82:R89)%</f>
        <v>0.93040000000000012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2072</v>
      </c>
      <c r="B83" s="16" t="s">
        <v>20</v>
      </c>
      <c r="C83" s="17" t="s">
        <v>21</v>
      </c>
      <c r="D83" s="34">
        <v>5557</v>
      </c>
      <c r="E83" s="39" t="s">
        <v>209</v>
      </c>
      <c r="F83" s="40" t="s">
        <v>128</v>
      </c>
      <c r="G83" s="39" t="s">
        <v>33</v>
      </c>
      <c r="H83" s="19" t="s">
        <v>199</v>
      </c>
      <c r="I83" s="20" t="s">
        <v>23</v>
      </c>
      <c r="J83" s="21">
        <v>0.8</v>
      </c>
      <c r="K83" s="26" t="s">
        <v>132</v>
      </c>
      <c r="L83" s="31" t="s">
        <v>133</v>
      </c>
      <c r="M83" s="26" t="s">
        <v>134</v>
      </c>
      <c r="N83" s="21">
        <v>0.95</v>
      </c>
      <c r="O83" s="21">
        <v>0.15</v>
      </c>
      <c r="P83" s="25">
        <v>0.96</v>
      </c>
      <c r="Q83" s="21">
        <f t="shared" ref="Q83:Q90" si="12">ROUND(IF(OR(N83="",P83=""),0,IF(AND(N83=0,P83=0),1,IF(S83="+",P83/N83,N83/P83))),2)</f>
        <v>1.01</v>
      </c>
      <c r="R83" s="22">
        <f t="shared" si="9"/>
        <v>12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2073</v>
      </c>
      <c r="B84" s="16" t="s">
        <v>20</v>
      </c>
      <c r="C84" s="17" t="s">
        <v>21</v>
      </c>
      <c r="D84" s="34">
        <v>5557</v>
      </c>
      <c r="E84" s="39" t="s">
        <v>209</v>
      </c>
      <c r="F84" s="40" t="s">
        <v>128</v>
      </c>
      <c r="G84" s="39" t="s">
        <v>33</v>
      </c>
      <c r="H84" s="19" t="s">
        <v>199</v>
      </c>
      <c r="I84" s="20" t="s">
        <v>23</v>
      </c>
      <c r="J84" s="21">
        <v>0.8</v>
      </c>
      <c r="K84" s="26" t="s">
        <v>54</v>
      </c>
      <c r="L84" s="31" t="s">
        <v>135</v>
      </c>
      <c r="M84" s="26" t="s">
        <v>136</v>
      </c>
      <c r="N84" s="25">
        <v>0.05</v>
      </c>
      <c r="O84" s="21">
        <v>0.1</v>
      </c>
      <c r="P84" s="66">
        <v>0.05</v>
      </c>
      <c r="Q84" s="21">
        <f t="shared" si="12"/>
        <v>1</v>
      </c>
      <c r="R84" s="22">
        <f t="shared" si="9"/>
        <v>8.0000000000000018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2074</v>
      </c>
      <c r="B85" s="16" t="s">
        <v>20</v>
      </c>
      <c r="C85" s="17" t="s">
        <v>21</v>
      </c>
      <c r="D85" s="34">
        <v>5557</v>
      </c>
      <c r="E85" s="39" t="s">
        <v>209</v>
      </c>
      <c r="F85" s="40" t="s">
        <v>128</v>
      </c>
      <c r="G85" s="39" t="s">
        <v>33</v>
      </c>
      <c r="H85" s="19" t="s">
        <v>199</v>
      </c>
      <c r="I85" s="20" t="s">
        <v>23</v>
      </c>
      <c r="J85" s="21">
        <v>0.8</v>
      </c>
      <c r="K85" s="26" t="s">
        <v>31</v>
      </c>
      <c r="L85" s="31" t="s">
        <v>137</v>
      </c>
      <c r="M85" s="26" t="s">
        <v>138</v>
      </c>
      <c r="N85" s="64">
        <v>0.05</v>
      </c>
      <c r="O85" s="21">
        <v>0.1</v>
      </c>
      <c r="P85" s="28">
        <v>0.05</v>
      </c>
      <c r="Q85" s="21">
        <f t="shared" si="12"/>
        <v>1</v>
      </c>
      <c r="R85" s="22">
        <f t="shared" si="9"/>
        <v>8.0000000000000018</v>
      </c>
      <c r="S85" s="21" t="s">
        <v>25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2075</v>
      </c>
      <c r="B86" s="16" t="s">
        <v>20</v>
      </c>
      <c r="C86" s="17" t="s">
        <v>21</v>
      </c>
      <c r="D86" s="34">
        <v>5557</v>
      </c>
      <c r="E86" s="39" t="s">
        <v>209</v>
      </c>
      <c r="F86" s="40" t="s">
        <v>128</v>
      </c>
      <c r="G86" s="39" t="s">
        <v>33</v>
      </c>
      <c r="H86" s="19" t="s">
        <v>199</v>
      </c>
      <c r="I86" s="27" t="s">
        <v>23</v>
      </c>
      <c r="J86" s="21">
        <v>0.8</v>
      </c>
      <c r="K86" s="27" t="s">
        <v>139</v>
      </c>
      <c r="L86" s="32" t="s">
        <v>140</v>
      </c>
      <c r="M86" s="27" t="s">
        <v>141</v>
      </c>
      <c r="N86" s="28">
        <v>0.9</v>
      </c>
      <c r="O86" s="29">
        <v>0.2</v>
      </c>
      <c r="P86" s="28">
        <v>0.85</v>
      </c>
      <c r="Q86" s="29">
        <f t="shared" si="12"/>
        <v>0.94</v>
      </c>
      <c r="R86" s="30">
        <f t="shared" si="9"/>
        <v>15.040000000000003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2076</v>
      </c>
      <c r="B87" s="16" t="s">
        <v>20</v>
      </c>
      <c r="C87" s="17" t="s">
        <v>21</v>
      </c>
      <c r="D87" s="34">
        <v>5557</v>
      </c>
      <c r="E87" s="39" t="s">
        <v>209</v>
      </c>
      <c r="F87" s="40" t="s">
        <v>128</v>
      </c>
      <c r="G87" s="39" t="s">
        <v>33</v>
      </c>
      <c r="H87" s="19" t="s">
        <v>199</v>
      </c>
      <c r="I87" s="27" t="s">
        <v>23</v>
      </c>
      <c r="J87" s="21">
        <v>0.8</v>
      </c>
      <c r="K87" s="27" t="s">
        <v>142</v>
      </c>
      <c r="L87" s="32" t="s">
        <v>143</v>
      </c>
      <c r="M87" s="27" t="s">
        <v>144</v>
      </c>
      <c r="N87" s="28">
        <v>1</v>
      </c>
      <c r="O87" s="29">
        <v>0.1</v>
      </c>
      <c r="P87" s="28">
        <v>1</v>
      </c>
      <c r="Q87" s="29">
        <f t="shared" si="12"/>
        <v>1</v>
      </c>
      <c r="R87" s="30">
        <f t="shared" si="9"/>
        <v>8.0000000000000018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2077</v>
      </c>
      <c r="B88" s="16" t="s">
        <v>20</v>
      </c>
      <c r="C88" s="17" t="s">
        <v>21</v>
      </c>
      <c r="D88" s="34">
        <v>5557</v>
      </c>
      <c r="E88" s="39" t="s">
        <v>209</v>
      </c>
      <c r="F88" s="40" t="s">
        <v>128</v>
      </c>
      <c r="G88" s="39" t="s">
        <v>33</v>
      </c>
      <c r="H88" s="19" t="s">
        <v>199</v>
      </c>
      <c r="I88" s="27" t="s">
        <v>23</v>
      </c>
      <c r="J88" s="21">
        <v>0.8</v>
      </c>
      <c r="K88" s="27" t="s">
        <v>145</v>
      </c>
      <c r="L88" s="32" t="s">
        <v>146</v>
      </c>
      <c r="M88" s="6" t="s">
        <v>147</v>
      </c>
      <c r="N88" s="28">
        <v>0.9</v>
      </c>
      <c r="O88" s="29">
        <v>0.2</v>
      </c>
      <c r="P88" s="28">
        <v>0.96</v>
      </c>
      <c r="Q88" s="29">
        <f t="shared" si="12"/>
        <v>1.07</v>
      </c>
      <c r="R88" s="30">
        <f t="shared" si="9"/>
        <v>16.000000000000004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2078</v>
      </c>
      <c r="B89" s="16" t="s">
        <v>20</v>
      </c>
      <c r="C89" s="17" t="s">
        <v>21</v>
      </c>
      <c r="D89" s="34">
        <v>5557</v>
      </c>
      <c r="E89" s="39" t="s">
        <v>209</v>
      </c>
      <c r="F89" s="40" t="s">
        <v>128</v>
      </c>
      <c r="G89" s="39" t="s">
        <v>33</v>
      </c>
      <c r="H89" s="19" t="s">
        <v>199</v>
      </c>
      <c r="I89" s="27" t="s">
        <v>27</v>
      </c>
      <c r="J89" s="28">
        <v>0.2</v>
      </c>
      <c r="K89" s="27" t="s">
        <v>148</v>
      </c>
      <c r="L89" s="32" t="s">
        <v>149</v>
      </c>
      <c r="M89" s="6" t="s">
        <v>150</v>
      </c>
      <c r="N89" s="28">
        <v>1</v>
      </c>
      <c r="O89" s="29">
        <v>1</v>
      </c>
      <c r="P89" s="28">
        <v>0.7</v>
      </c>
      <c r="Q89" s="29">
        <f t="shared" si="12"/>
        <v>0.7</v>
      </c>
      <c r="R89" s="30">
        <f t="shared" si="9"/>
        <v>13.999999999999998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5" customFormat="1" ht="21.6" x14ac:dyDescent="0.2">
      <c r="A90" s="15">
        <v>2070</v>
      </c>
      <c r="B90" s="16" t="s">
        <v>20</v>
      </c>
      <c r="C90" s="17" t="s">
        <v>21</v>
      </c>
      <c r="D90" s="34">
        <v>5911</v>
      </c>
      <c r="E90" s="39" t="s">
        <v>210</v>
      </c>
      <c r="F90" s="40" t="s">
        <v>128</v>
      </c>
      <c r="G90" s="39" t="s">
        <v>33</v>
      </c>
      <c r="H90" s="19" t="s">
        <v>199</v>
      </c>
      <c r="I90" s="20" t="s">
        <v>23</v>
      </c>
      <c r="J90" s="21">
        <v>0.8</v>
      </c>
      <c r="K90" s="26" t="s">
        <v>30</v>
      </c>
      <c r="L90" s="31" t="s">
        <v>130</v>
      </c>
      <c r="M90" s="1" t="s">
        <v>131</v>
      </c>
      <c r="N90" s="21">
        <v>0.95</v>
      </c>
      <c r="O90" s="21">
        <v>0.15</v>
      </c>
      <c r="P90" s="21">
        <v>0.95</v>
      </c>
      <c r="Q90" s="21">
        <f t="shared" si="12"/>
        <v>1</v>
      </c>
      <c r="R90" s="22">
        <f t="shared" si="9"/>
        <v>12</v>
      </c>
      <c r="S90" s="21" t="s">
        <v>24</v>
      </c>
      <c r="T90" s="23">
        <f>SUM(R90:R97)%</f>
        <v>0.93040000000000012</v>
      </c>
      <c r="U90" s="3"/>
      <c r="V90" s="3"/>
      <c r="W90" s="3"/>
      <c r="X90" s="3"/>
      <c r="Y90" s="3"/>
      <c r="Z90" s="3"/>
      <c r="AA90" s="3"/>
      <c r="AB90" s="3"/>
      <c r="AC90" s="3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5" customFormat="1" ht="21.6" x14ac:dyDescent="0.2">
      <c r="A91" s="15">
        <v>2072</v>
      </c>
      <c r="B91" s="16" t="s">
        <v>20</v>
      </c>
      <c r="C91" s="17" t="s">
        <v>21</v>
      </c>
      <c r="D91" s="34">
        <v>5913</v>
      </c>
      <c r="E91" s="39" t="s">
        <v>210</v>
      </c>
      <c r="F91" s="40" t="s">
        <v>128</v>
      </c>
      <c r="G91" s="39" t="s">
        <v>33</v>
      </c>
      <c r="H91" s="19" t="s">
        <v>199</v>
      </c>
      <c r="I91" s="20" t="s">
        <v>23</v>
      </c>
      <c r="J91" s="21">
        <v>0.8</v>
      </c>
      <c r="K91" s="26" t="s">
        <v>132</v>
      </c>
      <c r="L91" s="31" t="s">
        <v>133</v>
      </c>
      <c r="M91" s="26" t="s">
        <v>134</v>
      </c>
      <c r="N91" s="21">
        <v>0.95</v>
      </c>
      <c r="O91" s="21">
        <v>0.15</v>
      </c>
      <c r="P91" s="25">
        <v>0.96</v>
      </c>
      <c r="Q91" s="21">
        <f t="shared" ref="Q91:Q98" si="13">ROUND(IF(OR(N91="",P91=""),0,IF(AND(N91=0,P91=0),1,IF(S91="+",P91/N91,N91/P91))),2)</f>
        <v>1.01</v>
      </c>
      <c r="R91" s="22">
        <f t="shared" si="9"/>
        <v>12</v>
      </c>
      <c r="S91" s="21" t="s">
        <v>24</v>
      </c>
      <c r="T91" s="21"/>
      <c r="U91" s="3"/>
      <c r="V91" s="3"/>
      <c r="W91" s="3"/>
      <c r="X91" s="3"/>
      <c r="Y91" s="3"/>
      <c r="Z91" s="3"/>
      <c r="AA91" s="3"/>
      <c r="AB91" s="3"/>
      <c r="AC91" s="3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5" customFormat="1" ht="21.6" x14ac:dyDescent="0.2">
      <c r="A92" s="15">
        <v>2073</v>
      </c>
      <c r="B92" s="16" t="s">
        <v>20</v>
      </c>
      <c r="C92" s="17" t="s">
        <v>21</v>
      </c>
      <c r="D92" s="34">
        <v>5914</v>
      </c>
      <c r="E92" s="39" t="s">
        <v>210</v>
      </c>
      <c r="F92" s="40" t="s">
        <v>128</v>
      </c>
      <c r="G92" s="39" t="s">
        <v>33</v>
      </c>
      <c r="H92" s="19" t="s">
        <v>199</v>
      </c>
      <c r="I92" s="20" t="s">
        <v>23</v>
      </c>
      <c r="J92" s="21">
        <v>0.8</v>
      </c>
      <c r="K92" s="26" t="s">
        <v>54</v>
      </c>
      <c r="L92" s="31" t="s">
        <v>135</v>
      </c>
      <c r="M92" s="26" t="s">
        <v>136</v>
      </c>
      <c r="N92" s="25">
        <v>0.05</v>
      </c>
      <c r="O92" s="21">
        <v>0.1</v>
      </c>
      <c r="P92" s="66">
        <v>0.05</v>
      </c>
      <c r="Q92" s="21">
        <f t="shared" si="13"/>
        <v>1</v>
      </c>
      <c r="R92" s="22">
        <f t="shared" si="9"/>
        <v>8.0000000000000018</v>
      </c>
      <c r="S92" s="21" t="s">
        <v>25</v>
      </c>
      <c r="T92" s="21"/>
      <c r="U92" s="3"/>
      <c r="V92" s="3"/>
      <c r="W92" s="3"/>
      <c r="X92" s="3"/>
      <c r="Y92" s="3"/>
      <c r="Z92" s="3"/>
      <c r="AA92" s="3"/>
      <c r="AB92" s="3"/>
      <c r="AC92" s="3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5" customFormat="1" ht="21.6" x14ac:dyDescent="0.2">
      <c r="A93" s="15">
        <v>2074</v>
      </c>
      <c r="B93" s="16" t="s">
        <v>20</v>
      </c>
      <c r="C93" s="17" t="s">
        <v>21</v>
      </c>
      <c r="D93" s="34">
        <v>5915</v>
      </c>
      <c r="E93" s="39" t="s">
        <v>210</v>
      </c>
      <c r="F93" s="40" t="s">
        <v>128</v>
      </c>
      <c r="G93" s="39" t="s">
        <v>33</v>
      </c>
      <c r="H93" s="19" t="s">
        <v>199</v>
      </c>
      <c r="I93" s="20" t="s">
        <v>23</v>
      </c>
      <c r="J93" s="21">
        <v>0.8</v>
      </c>
      <c r="K93" s="26" t="s">
        <v>31</v>
      </c>
      <c r="L93" s="31" t="s">
        <v>137</v>
      </c>
      <c r="M93" s="26" t="s">
        <v>138</v>
      </c>
      <c r="N93" s="64">
        <v>0.05</v>
      </c>
      <c r="O93" s="21">
        <v>0.1</v>
      </c>
      <c r="P93" s="28">
        <v>0.05</v>
      </c>
      <c r="Q93" s="21">
        <f t="shared" si="13"/>
        <v>1</v>
      </c>
      <c r="R93" s="22">
        <f t="shared" si="9"/>
        <v>8.0000000000000018</v>
      </c>
      <c r="S93" s="21" t="s">
        <v>25</v>
      </c>
      <c r="T93" s="21"/>
      <c r="U93" s="3"/>
      <c r="V93" s="3"/>
      <c r="W93" s="3"/>
      <c r="X93" s="3"/>
      <c r="Y93" s="3"/>
      <c r="Z93" s="3"/>
      <c r="AA93" s="3"/>
      <c r="AB93" s="3"/>
      <c r="AC93" s="3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5" customFormat="1" ht="21.6" x14ac:dyDescent="0.2">
      <c r="A94" s="15">
        <v>2075</v>
      </c>
      <c r="B94" s="16" t="s">
        <v>20</v>
      </c>
      <c r="C94" s="17" t="s">
        <v>21</v>
      </c>
      <c r="D94" s="34">
        <v>5916</v>
      </c>
      <c r="E94" s="39" t="s">
        <v>210</v>
      </c>
      <c r="F94" s="40" t="s">
        <v>128</v>
      </c>
      <c r="G94" s="39" t="s">
        <v>33</v>
      </c>
      <c r="H94" s="19" t="s">
        <v>199</v>
      </c>
      <c r="I94" s="27" t="s">
        <v>23</v>
      </c>
      <c r="J94" s="21">
        <v>0.8</v>
      </c>
      <c r="K94" s="27" t="s">
        <v>139</v>
      </c>
      <c r="L94" s="32" t="s">
        <v>140</v>
      </c>
      <c r="M94" s="27" t="s">
        <v>141</v>
      </c>
      <c r="N94" s="28">
        <v>0.9</v>
      </c>
      <c r="O94" s="29">
        <v>0.2</v>
      </c>
      <c r="P94" s="28">
        <v>0.85</v>
      </c>
      <c r="Q94" s="29">
        <f t="shared" si="13"/>
        <v>0.94</v>
      </c>
      <c r="R94" s="30">
        <f t="shared" si="9"/>
        <v>15.040000000000003</v>
      </c>
      <c r="S94" s="29" t="s">
        <v>24</v>
      </c>
      <c r="T94" s="29"/>
      <c r="U94" s="3"/>
      <c r="V94" s="3"/>
      <c r="W94" s="3"/>
      <c r="X94" s="3"/>
      <c r="Y94" s="3"/>
      <c r="Z94" s="3"/>
      <c r="AA94" s="3"/>
      <c r="AB94" s="3"/>
      <c r="AC94" s="3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5" customFormat="1" ht="21.6" x14ac:dyDescent="0.2">
      <c r="A95" s="15">
        <v>2076</v>
      </c>
      <c r="B95" s="16" t="s">
        <v>20</v>
      </c>
      <c r="C95" s="17" t="s">
        <v>21</v>
      </c>
      <c r="D95" s="34">
        <v>5917</v>
      </c>
      <c r="E95" s="39" t="s">
        <v>210</v>
      </c>
      <c r="F95" s="40" t="s">
        <v>128</v>
      </c>
      <c r="G95" s="39" t="s">
        <v>33</v>
      </c>
      <c r="H95" s="19" t="s">
        <v>199</v>
      </c>
      <c r="I95" s="27" t="s">
        <v>23</v>
      </c>
      <c r="J95" s="21">
        <v>0.8</v>
      </c>
      <c r="K95" s="27" t="s">
        <v>142</v>
      </c>
      <c r="L95" s="32" t="s">
        <v>143</v>
      </c>
      <c r="M95" s="27" t="s">
        <v>144</v>
      </c>
      <c r="N95" s="28">
        <v>1</v>
      </c>
      <c r="O95" s="29">
        <v>0.1</v>
      </c>
      <c r="P95" s="28">
        <v>1</v>
      </c>
      <c r="Q95" s="29">
        <f t="shared" si="13"/>
        <v>1</v>
      </c>
      <c r="R95" s="30">
        <f t="shared" si="9"/>
        <v>8.0000000000000018</v>
      </c>
      <c r="S95" s="29" t="s">
        <v>24</v>
      </c>
      <c r="T95" s="29"/>
      <c r="U95" s="3"/>
      <c r="V95" s="3"/>
      <c r="W95" s="3"/>
      <c r="X95" s="3"/>
      <c r="Y95" s="3"/>
      <c r="Z95" s="3"/>
      <c r="AA95" s="3"/>
      <c r="AB95" s="3"/>
      <c r="AC95" s="3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5" customFormat="1" ht="21.6" x14ac:dyDescent="0.2">
      <c r="A96" s="15">
        <v>2077</v>
      </c>
      <c r="B96" s="16" t="s">
        <v>20</v>
      </c>
      <c r="C96" s="17" t="s">
        <v>21</v>
      </c>
      <c r="D96" s="34">
        <v>5918</v>
      </c>
      <c r="E96" s="39" t="s">
        <v>210</v>
      </c>
      <c r="F96" s="40" t="s">
        <v>128</v>
      </c>
      <c r="G96" s="39" t="s">
        <v>33</v>
      </c>
      <c r="H96" s="19" t="s">
        <v>199</v>
      </c>
      <c r="I96" s="27" t="s">
        <v>23</v>
      </c>
      <c r="J96" s="21">
        <v>0.8</v>
      </c>
      <c r="K96" s="27" t="s">
        <v>145</v>
      </c>
      <c r="L96" s="32" t="s">
        <v>146</v>
      </c>
      <c r="M96" s="6" t="s">
        <v>147</v>
      </c>
      <c r="N96" s="28">
        <v>0.9</v>
      </c>
      <c r="O96" s="29">
        <v>0.2</v>
      </c>
      <c r="P96" s="28">
        <v>0.96</v>
      </c>
      <c r="Q96" s="29">
        <f t="shared" si="13"/>
        <v>1.07</v>
      </c>
      <c r="R96" s="30">
        <f t="shared" si="9"/>
        <v>16.000000000000004</v>
      </c>
      <c r="S96" s="29" t="s">
        <v>24</v>
      </c>
      <c r="T96" s="29"/>
      <c r="U96" s="3"/>
      <c r="V96" s="3"/>
      <c r="W96" s="3"/>
      <c r="X96" s="3"/>
      <c r="Y96" s="3"/>
      <c r="Z96" s="3"/>
      <c r="AA96" s="3"/>
      <c r="AB96" s="3"/>
      <c r="AC96" s="3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5" customFormat="1" ht="21.6" x14ac:dyDescent="0.2">
      <c r="A97" s="15">
        <v>2078</v>
      </c>
      <c r="B97" s="16" t="s">
        <v>20</v>
      </c>
      <c r="C97" s="17" t="s">
        <v>21</v>
      </c>
      <c r="D97" s="34">
        <v>5919</v>
      </c>
      <c r="E97" s="39" t="s">
        <v>210</v>
      </c>
      <c r="F97" s="40" t="s">
        <v>128</v>
      </c>
      <c r="G97" s="39" t="s">
        <v>33</v>
      </c>
      <c r="H97" s="19" t="s">
        <v>199</v>
      </c>
      <c r="I97" s="27" t="s">
        <v>27</v>
      </c>
      <c r="J97" s="28">
        <v>0.2</v>
      </c>
      <c r="K97" s="27" t="s">
        <v>148</v>
      </c>
      <c r="L97" s="32" t="s">
        <v>149</v>
      </c>
      <c r="M97" s="6" t="s">
        <v>150</v>
      </c>
      <c r="N97" s="28">
        <v>1</v>
      </c>
      <c r="O97" s="29">
        <v>1</v>
      </c>
      <c r="P97" s="28">
        <v>0.7</v>
      </c>
      <c r="Q97" s="29">
        <f t="shared" si="13"/>
        <v>0.7</v>
      </c>
      <c r="R97" s="30">
        <f t="shared" si="9"/>
        <v>13.999999999999998</v>
      </c>
      <c r="S97" s="29" t="s">
        <v>24</v>
      </c>
      <c r="T97" s="29"/>
      <c r="U97" s="3"/>
      <c r="V97" s="3"/>
      <c r="W97" s="3"/>
      <c r="X97" s="3"/>
      <c r="Y97" s="3"/>
      <c r="Z97" s="3"/>
      <c r="AA97" s="3"/>
      <c r="AB97" s="3"/>
      <c r="AC97" s="3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5" customFormat="1" ht="21.6" x14ac:dyDescent="0.2">
      <c r="A98" s="15">
        <v>2070</v>
      </c>
      <c r="B98" s="16" t="s">
        <v>20</v>
      </c>
      <c r="C98" s="17" t="s">
        <v>21</v>
      </c>
      <c r="D98" s="5">
        <v>6365</v>
      </c>
      <c r="E98" s="39" t="s">
        <v>211</v>
      </c>
      <c r="F98" s="40" t="s">
        <v>128</v>
      </c>
      <c r="G98" s="39" t="s">
        <v>33</v>
      </c>
      <c r="H98" s="19" t="s">
        <v>199</v>
      </c>
      <c r="I98" s="20" t="s">
        <v>23</v>
      </c>
      <c r="J98" s="21">
        <v>0.8</v>
      </c>
      <c r="K98" s="26" t="s">
        <v>30</v>
      </c>
      <c r="L98" s="31" t="s">
        <v>130</v>
      </c>
      <c r="M98" s="1" t="s">
        <v>131</v>
      </c>
      <c r="N98" s="21">
        <v>0.95</v>
      </c>
      <c r="O98" s="21">
        <v>0.15</v>
      </c>
      <c r="P98" s="21">
        <v>0.95</v>
      </c>
      <c r="Q98" s="21">
        <f t="shared" si="13"/>
        <v>1</v>
      </c>
      <c r="R98" s="22">
        <f t="shared" si="9"/>
        <v>12</v>
      </c>
      <c r="S98" s="21" t="s">
        <v>24</v>
      </c>
      <c r="T98" s="23">
        <f>SUM(R98:R105)%</f>
        <v>0.7904000000000001</v>
      </c>
      <c r="U98" s="3"/>
      <c r="V98" s="3"/>
      <c r="W98" s="3"/>
      <c r="X98" s="3"/>
      <c r="Y98" s="3"/>
      <c r="Z98" s="3"/>
      <c r="AA98" s="3"/>
      <c r="AB98" s="3"/>
      <c r="AC98" s="3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5" customFormat="1" ht="21.6" x14ac:dyDescent="0.2">
      <c r="A99" s="15">
        <v>2072</v>
      </c>
      <c r="B99" s="16" t="s">
        <v>20</v>
      </c>
      <c r="C99" s="17" t="s">
        <v>21</v>
      </c>
      <c r="D99" s="34">
        <v>6365</v>
      </c>
      <c r="E99" s="39" t="s">
        <v>211</v>
      </c>
      <c r="F99" s="40" t="s">
        <v>128</v>
      </c>
      <c r="G99" s="39" t="s">
        <v>33</v>
      </c>
      <c r="H99" s="19" t="s">
        <v>199</v>
      </c>
      <c r="I99" s="20" t="s">
        <v>23</v>
      </c>
      <c r="J99" s="21">
        <v>0.8</v>
      </c>
      <c r="K99" s="26" t="s">
        <v>132</v>
      </c>
      <c r="L99" s="31" t="s">
        <v>133</v>
      </c>
      <c r="M99" s="26" t="s">
        <v>134</v>
      </c>
      <c r="N99" s="21">
        <v>0.95</v>
      </c>
      <c r="O99" s="21">
        <v>0.15</v>
      </c>
      <c r="P99" s="25">
        <v>0.96</v>
      </c>
      <c r="Q99" s="21">
        <f t="shared" ref="Q99:Q106" si="14">ROUND(IF(OR(N99="",P99=""),0,IF(AND(N99=0,P99=0),1,IF(S99="+",P99/N99,N99/P99))),2)</f>
        <v>1.01</v>
      </c>
      <c r="R99" s="22">
        <f t="shared" si="9"/>
        <v>12</v>
      </c>
      <c r="S99" s="21" t="s">
        <v>24</v>
      </c>
      <c r="T99" s="21"/>
      <c r="U99" s="3"/>
      <c r="V99" s="3"/>
      <c r="W99" s="3"/>
      <c r="X99" s="3"/>
      <c r="Y99" s="3"/>
      <c r="Z99" s="3"/>
      <c r="AA99" s="3"/>
      <c r="AB99" s="3"/>
      <c r="AC99" s="3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5" customFormat="1" ht="21.6" x14ac:dyDescent="0.2">
      <c r="A100" s="15">
        <v>2073</v>
      </c>
      <c r="B100" s="16" t="s">
        <v>20</v>
      </c>
      <c r="C100" s="17" t="s">
        <v>21</v>
      </c>
      <c r="D100" s="34">
        <v>6365</v>
      </c>
      <c r="E100" s="39" t="s">
        <v>211</v>
      </c>
      <c r="F100" s="40" t="s">
        <v>128</v>
      </c>
      <c r="G100" s="39" t="s">
        <v>33</v>
      </c>
      <c r="H100" s="19" t="s">
        <v>199</v>
      </c>
      <c r="I100" s="20" t="s">
        <v>23</v>
      </c>
      <c r="J100" s="21">
        <v>0.8</v>
      </c>
      <c r="K100" s="26" t="s">
        <v>54</v>
      </c>
      <c r="L100" s="31" t="s">
        <v>135</v>
      </c>
      <c r="M100" s="26" t="s">
        <v>136</v>
      </c>
      <c r="N100" s="25">
        <v>0.05</v>
      </c>
      <c r="O100" s="21">
        <v>0.1</v>
      </c>
      <c r="P100" s="66">
        <v>0.05</v>
      </c>
      <c r="Q100" s="21">
        <f t="shared" si="14"/>
        <v>1</v>
      </c>
      <c r="R100" s="22">
        <f t="shared" si="9"/>
        <v>8.0000000000000018</v>
      </c>
      <c r="S100" s="21" t="s">
        <v>25</v>
      </c>
      <c r="T100" s="21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5" customFormat="1" ht="21.6" x14ac:dyDescent="0.2">
      <c r="A101" s="15">
        <v>2074</v>
      </c>
      <c r="B101" s="16" t="s">
        <v>20</v>
      </c>
      <c r="C101" s="17" t="s">
        <v>21</v>
      </c>
      <c r="D101" s="34">
        <v>6365</v>
      </c>
      <c r="E101" s="39" t="s">
        <v>211</v>
      </c>
      <c r="F101" s="40" t="s">
        <v>128</v>
      </c>
      <c r="G101" s="39" t="s">
        <v>33</v>
      </c>
      <c r="H101" s="19" t="s">
        <v>199</v>
      </c>
      <c r="I101" s="20" t="s">
        <v>23</v>
      </c>
      <c r="J101" s="21">
        <v>0.8</v>
      </c>
      <c r="K101" s="26" t="s">
        <v>31</v>
      </c>
      <c r="L101" s="31" t="s">
        <v>137</v>
      </c>
      <c r="M101" s="26" t="s">
        <v>138</v>
      </c>
      <c r="N101" s="64">
        <v>0.05</v>
      </c>
      <c r="O101" s="21">
        <v>0.1</v>
      </c>
      <c r="P101" s="28">
        <v>0.05</v>
      </c>
      <c r="Q101" s="21">
        <f t="shared" si="14"/>
        <v>1</v>
      </c>
      <c r="R101" s="22">
        <f t="shared" si="9"/>
        <v>8.0000000000000018</v>
      </c>
      <c r="S101" s="21" t="s">
        <v>25</v>
      </c>
      <c r="T101" s="21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5" customFormat="1" ht="21.6" x14ac:dyDescent="0.2">
      <c r="A102" s="15">
        <v>2075</v>
      </c>
      <c r="B102" s="16" t="s">
        <v>20</v>
      </c>
      <c r="C102" s="17" t="s">
        <v>21</v>
      </c>
      <c r="D102" s="34">
        <v>6365</v>
      </c>
      <c r="E102" s="39" t="s">
        <v>211</v>
      </c>
      <c r="F102" s="40" t="s">
        <v>128</v>
      </c>
      <c r="G102" s="39" t="s">
        <v>33</v>
      </c>
      <c r="H102" s="19" t="s">
        <v>199</v>
      </c>
      <c r="I102" s="27" t="s">
        <v>23</v>
      </c>
      <c r="J102" s="21">
        <v>0.8</v>
      </c>
      <c r="K102" s="27" t="s">
        <v>139</v>
      </c>
      <c r="L102" s="32" t="s">
        <v>140</v>
      </c>
      <c r="M102" s="27" t="s">
        <v>141</v>
      </c>
      <c r="N102" s="28">
        <v>0.9</v>
      </c>
      <c r="O102" s="29">
        <v>0.2</v>
      </c>
      <c r="P102" s="28">
        <v>0.85</v>
      </c>
      <c r="Q102" s="29">
        <f t="shared" si="14"/>
        <v>0.94</v>
      </c>
      <c r="R102" s="30">
        <f t="shared" si="9"/>
        <v>15.040000000000003</v>
      </c>
      <c r="S102" s="29" t="s">
        <v>24</v>
      </c>
      <c r="T102" s="29"/>
      <c r="U102" s="3"/>
      <c r="V102" s="3"/>
      <c r="W102" s="3"/>
      <c r="X102" s="3"/>
      <c r="Y102" s="3"/>
      <c r="Z102" s="3"/>
      <c r="AA102" s="3"/>
      <c r="AB102" s="3"/>
      <c r="AC102" s="3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5" customFormat="1" ht="21.6" x14ac:dyDescent="0.2">
      <c r="A103" s="15">
        <v>2076</v>
      </c>
      <c r="B103" s="16" t="s">
        <v>20</v>
      </c>
      <c r="C103" s="17" t="s">
        <v>21</v>
      </c>
      <c r="D103" s="34">
        <v>6365</v>
      </c>
      <c r="E103" s="39" t="s">
        <v>211</v>
      </c>
      <c r="F103" s="40" t="s">
        <v>128</v>
      </c>
      <c r="G103" s="39" t="s">
        <v>33</v>
      </c>
      <c r="H103" s="19" t="s">
        <v>199</v>
      </c>
      <c r="I103" s="27" t="s">
        <v>23</v>
      </c>
      <c r="J103" s="21">
        <v>0.8</v>
      </c>
      <c r="K103" s="27" t="s">
        <v>142</v>
      </c>
      <c r="L103" s="32" t="s">
        <v>143</v>
      </c>
      <c r="M103" s="27" t="s">
        <v>144</v>
      </c>
      <c r="N103" s="28">
        <v>1</v>
      </c>
      <c r="O103" s="29">
        <v>0.1</v>
      </c>
      <c r="P103" s="28">
        <v>1</v>
      </c>
      <c r="Q103" s="29">
        <f t="shared" si="14"/>
        <v>1</v>
      </c>
      <c r="R103" s="30">
        <f t="shared" si="9"/>
        <v>8.0000000000000018</v>
      </c>
      <c r="S103" s="29" t="s">
        <v>24</v>
      </c>
      <c r="T103" s="29"/>
      <c r="U103" s="3"/>
      <c r="V103" s="3"/>
      <c r="W103" s="3"/>
      <c r="X103" s="3"/>
      <c r="Y103" s="3"/>
      <c r="Z103" s="3"/>
      <c r="AA103" s="3"/>
      <c r="AB103" s="3"/>
      <c r="AC103" s="3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5" customFormat="1" ht="21.6" x14ac:dyDescent="0.2">
      <c r="A104" s="15">
        <v>2077</v>
      </c>
      <c r="B104" s="16" t="s">
        <v>20</v>
      </c>
      <c r="C104" s="17" t="s">
        <v>21</v>
      </c>
      <c r="D104" s="34">
        <v>6365</v>
      </c>
      <c r="E104" s="39" t="s">
        <v>211</v>
      </c>
      <c r="F104" s="40" t="s">
        <v>128</v>
      </c>
      <c r="G104" s="39" t="s">
        <v>33</v>
      </c>
      <c r="H104" s="19" t="s">
        <v>199</v>
      </c>
      <c r="I104" s="27" t="s">
        <v>23</v>
      </c>
      <c r="J104" s="21">
        <v>0.8</v>
      </c>
      <c r="K104" s="27" t="s">
        <v>145</v>
      </c>
      <c r="L104" s="32" t="s">
        <v>146</v>
      </c>
      <c r="M104" s="6" t="s">
        <v>147</v>
      </c>
      <c r="N104" s="28">
        <v>0.9</v>
      </c>
      <c r="O104" s="29">
        <v>0.2</v>
      </c>
      <c r="P104" s="28">
        <v>0.96</v>
      </c>
      <c r="Q104" s="29">
        <f t="shared" si="14"/>
        <v>1.07</v>
      </c>
      <c r="R104" s="30">
        <f t="shared" si="9"/>
        <v>16.000000000000004</v>
      </c>
      <c r="S104" s="29" t="s">
        <v>24</v>
      </c>
      <c r="T104" s="29"/>
      <c r="U104" s="3"/>
      <c r="V104" s="3"/>
      <c r="W104" s="3"/>
      <c r="X104" s="3"/>
      <c r="Y104" s="3"/>
      <c r="Z104" s="3"/>
      <c r="AA104" s="3"/>
      <c r="AB104" s="3"/>
      <c r="AC104" s="3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5" customFormat="1" ht="21.6" x14ac:dyDescent="0.2">
      <c r="A105" s="15">
        <v>2078</v>
      </c>
      <c r="B105" s="16" t="s">
        <v>20</v>
      </c>
      <c r="C105" s="17" t="s">
        <v>21</v>
      </c>
      <c r="D105" s="34">
        <v>6365</v>
      </c>
      <c r="E105" s="39" t="s">
        <v>211</v>
      </c>
      <c r="F105" s="40" t="s">
        <v>128</v>
      </c>
      <c r="G105" s="39" t="s">
        <v>33</v>
      </c>
      <c r="H105" s="19" t="s">
        <v>199</v>
      </c>
      <c r="I105" s="27" t="s">
        <v>27</v>
      </c>
      <c r="J105" s="28">
        <v>0.2</v>
      </c>
      <c r="K105" s="27" t="s">
        <v>148</v>
      </c>
      <c r="L105" s="32" t="s">
        <v>149</v>
      </c>
      <c r="M105" s="6" t="s">
        <v>150</v>
      </c>
      <c r="N105" s="28">
        <v>1</v>
      </c>
      <c r="O105" s="29">
        <v>1</v>
      </c>
      <c r="P105" s="28">
        <v>0.5</v>
      </c>
      <c r="Q105" s="29">
        <f t="shared" si="14"/>
        <v>0.5</v>
      </c>
      <c r="R105" s="30">
        <f t="shared" si="9"/>
        <v>0</v>
      </c>
      <c r="S105" s="29" t="s">
        <v>24</v>
      </c>
      <c r="T105" s="29"/>
      <c r="U105" s="3"/>
      <c r="V105" s="3"/>
      <c r="W105" s="3"/>
      <c r="X105" s="3"/>
      <c r="Y105" s="3"/>
      <c r="Z105" s="3"/>
      <c r="AA105" s="3"/>
      <c r="AB105" s="3"/>
      <c r="AC105" s="3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5" customFormat="1" ht="21.6" x14ac:dyDescent="0.2">
      <c r="A106" s="15">
        <v>2070</v>
      </c>
      <c r="B106" s="16" t="s">
        <v>20</v>
      </c>
      <c r="C106" s="17" t="s">
        <v>21</v>
      </c>
      <c r="D106" s="41">
        <v>6250</v>
      </c>
      <c r="E106" s="39" t="s">
        <v>212</v>
      </c>
      <c r="F106" s="40" t="s">
        <v>213</v>
      </c>
      <c r="G106" s="39" t="s">
        <v>33</v>
      </c>
      <c r="H106" s="19" t="s">
        <v>199</v>
      </c>
      <c r="I106" s="20" t="s">
        <v>23</v>
      </c>
      <c r="J106" s="21">
        <v>0.8</v>
      </c>
      <c r="K106" s="26" t="s">
        <v>30</v>
      </c>
      <c r="L106" s="31" t="s">
        <v>130</v>
      </c>
      <c r="M106" s="1" t="s">
        <v>131</v>
      </c>
      <c r="N106" s="21">
        <v>0.95</v>
      </c>
      <c r="O106" s="21">
        <v>0.15</v>
      </c>
      <c r="P106" s="21">
        <v>0.95</v>
      </c>
      <c r="Q106" s="21">
        <f t="shared" si="14"/>
        <v>1</v>
      </c>
      <c r="R106" s="22">
        <f t="shared" si="9"/>
        <v>12</v>
      </c>
      <c r="S106" s="21" t="s">
        <v>24</v>
      </c>
      <c r="T106" s="23">
        <f>SUM(R106:R113)%</f>
        <v>0.7904000000000001</v>
      </c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5" customFormat="1" ht="21.6" x14ac:dyDescent="0.2">
      <c r="A107" s="15">
        <v>2072</v>
      </c>
      <c r="B107" s="16" t="s">
        <v>20</v>
      </c>
      <c r="C107" s="17" t="s">
        <v>21</v>
      </c>
      <c r="D107" s="41">
        <v>6250</v>
      </c>
      <c r="E107" s="39" t="s">
        <v>212</v>
      </c>
      <c r="F107" s="40" t="s">
        <v>213</v>
      </c>
      <c r="G107" s="39" t="s">
        <v>33</v>
      </c>
      <c r="H107" s="19" t="s">
        <v>199</v>
      </c>
      <c r="I107" s="20" t="s">
        <v>23</v>
      </c>
      <c r="J107" s="21">
        <v>0.8</v>
      </c>
      <c r="K107" s="26" t="s">
        <v>132</v>
      </c>
      <c r="L107" s="31" t="s">
        <v>133</v>
      </c>
      <c r="M107" s="26" t="s">
        <v>134</v>
      </c>
      <c r="N107" s="21">
        <v>0.95</v>
      </c>
      <c r="O107" s="21">
        <v>0.15</v>
      </c>
      <c r="P107" s="25">
        <v>0.96</v>
      </c>
      <c r="Q107" s="21">
        <f t="shared" ref="Q107:Q114" si="15">ROUND(IF(OR(N107="",P107=""),0,IF(AND(N107=0,P107=0),1,IF(S107="+",P107/N107,N107/P107))),2)</f>
        <v>1.01</v>
      </c>
      <c r="R107" s="22">
        <f t="shared" si="9"/>
        <v>12</v>
      </c>
      <c r="S107" s="21" t="s">
        <v>24</v>
      </c>
      <c r="T107" s="21"/>
      <c r="U107" s="3"/>
      <c r="V107" s="3"/>
      <c r="W107" s="3"/>
      <c r="X107" s="3"/>
      <c r="Y107" s="3"/>
      <c r="Z107" s="3"/>
      <c r="AA107" s="3"/>
      <c r="AB107" s="3"/>
      <c r="AC107" s="3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5" customFormat="1" ht="21.6" x14ac:dyDescent="0.2">
      <c r="A108" s="15">
        <v>2073</v>
      </c>
      <c r="B108" s="16" t="s">
        <v>20</v>
      </c>
      <c r="C108" s="17" t="s">
        <v>21</v>
      </c>
      <c r="D108" s="41">
        <v>6250</v>
      </c>
      <c r="E108" s="39" t="s">
        <v>212</v>
      </c>
      <c r="F108" s="40" t="s">
        <v>213</v>
      </c>
      <c r="G108" s="39" t="s">
        <v>33</v>
      </c>
      <c r="H108" s="19" t="s">
        <v>199</v>
      </c>
      <c r="I108" s="20" t="s">
        <v>23</v>
      </c>
      <c r="J108" s="21">
        <v>0.8</v>
      </c>
      <c r="K108" s="26" t="s">
        <v>54</v>
      </c>
      <c r="L108" s="31" t="s">
        <v>135</v>
      </c>
      <c r="M108" s="26" t="s">
        <v>136</v>
      </c>
      <c r="N108" s="25">
        <v>0.05</v>
      </c>
      <c r="O108" s="21">
        <v>0.1</v>
      </c>
      <c r="P108" s="66">
        <v>0.05</v>
      </c>
      <c r="Q108" s="21">
        <f t="shared" si="15"/>
        <v>1</v>
      </c>
      <c r="R108" s="22">
        <f t="shared" si="9"/>
        <v>8.0000000000000018</v>
      </c>
      <c r="S108" s="21" t="s">
        <v>25</v>
      </c>
      <c r="T108" s="21"/>
      <c r="U108" s="3"/>
      <c r="V108" s="3"/>
      <c r="W108" s="3"/>
      <c r="X108" s="3"/>
      <c r="Y108" s="3"/>
      <c r="Z108" s="3"/>
      <c r="AA108" s="3"/>
      <c r="AB108" s="3"/>
      <c r="AC108" s="3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5" customFormat="1" ht="21.6" x14ac:dyDescent="0.2">
      <c r="A109" s="15">
        <v>2074</v>
      </c>
      <c r="B109" s="16" t="s">
        <v>20</v>
      </c>
      <c r="C109" s="17" t="s">
        <v>21</v>
      </c>
      <c r="D109" s="41">
        <v>6250</v>
      </c>
      <c r="E109" s="39" t="s">
        <v>212</v>
      </c>
      <c r="F109" s="40" t="s">
        <v>213</v>
      </c>
      <c r="G109" s="39" t="s">
        <v>33</v>
      </c>
      <c r="H109" s="19" t="s">
        <v>199</v>
      </c>
      <c r="I109" s="20" t="s">
        <v>23</v>
      </c>
      <c r="J109" s="21">
        <v>0.8</v>
      </c>
      <c r="K109" s="26" t="s">
        <v>31</v>
      </c>
      <c r="L109" s="31" t="s">
        <v>137</v>
      </c>
      <c r="M109" s="26" t="s">
        <v>138</v>
      </c>
      <c r="N109" s="64">
        <v>0.05</v>
      </c>
      <c r="O109" s="21">
        <v>0.1</v>
      </c>
      <c r="P109" s="28">
        <v>0.05</v>
      </c>
      <c r="Q109" s="21">
        <f t="shared" si="15"/>
        <v>1</v>
      </c>
      <c r="R109" s="22">
        <f t="shared" si="9"/>
        <v>8.0000000000000018</v>
      </c>
      <c r="S109" s="21" t="s">
        <v>25</v>
      </c>
      <c r="T109" s="21"/>
      <c r="U109" s="3"/>
      <c r="V109" s="3"/>
      <c r="W109" s="3"/>
      <c r="X109" s="3"/>
      <c r="Y109" s="3"/>
      <c r="Z109" s="3"/>
      <c r="AA109" s="3"/>
      <c r="AB109" s="3"/>
      <c r="AC109" s="3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5" customFormat="1" ht="21.6" x14ac:dyDescent="0.2">
      <c r="A110" s="15">
        <v>2075</v>
      </c>
      <c r="B110" s="16" t="s">
        <v>20</v>
      </c>
      <c r="C110" s="17" t="s">
        <v>21</v>
      </c>
      <c r="D110" s="41">
        <v>6250</v>
      </c>
      <c r="E110" s="39" t="s">
        <v>212</v>
      </c>
      <c r="F110" s="40" t="s">
        <v>213</v>
      </c>
      <c r="G110" s="39" t="s">
        <v>33</v>
      </c>
      <c r="H110" s="19" t="s">
        <v>199</v>
      </c>
      <c r="I110" s="27" t="s">
        <v>23</v>
      </c>
      <c r="J110" s="21">
        <v>0.8</v>
      </c>
      <c r="K110" s="27" t="s">
        <v>139</v>
      </c>
      <c r="L110" s="32" t="s">
        <v>140</v>
      </c>
      <c r="M110" s="27" t="s">
        <v>141</v>
      </c>
      <c r="N110" s="28">
        <v>0.9</v>
      </c>
      <c r="O110" s="29">
        <v>0.2</v>
      </c>
      <c r="P110" s="28">
        <v>0.85</v>
      </c>
      <c r="Q110" s="29">
        <f t="shared" si="15"/>
        <v>0.94</v>
      </c>
      <c r="R110" s="30">
        <f t="shared" si="9"/>
        <v>15.040000000000003</v>
      </c>
      <c r="S110" s="29" t="s">
        <v>24</v>
      </c>
      <c r="T110" s="29"/>
      <c r="U110" s="3"/>
      <c r="V110" s="3"/>
      <c r="W110" s="3"/>
      <c r="X110" s="3"/>
      <c r="Y110" s="3"/>
      <c r="Z110" s="3"/>
      <c r="AA110" s="3"/>
      <c r="AB110" s="3"/>
      <c r="AC110" s="3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5" customFormat="1" ht="21.6" x14ac:dyDescent="0.2">
      <c r="A111" s="15">
        <v>2076</v>
      </c>
      <c r="B111" s="16" t="s">
        <v>20</v>
      </c>
      <c r="C111" s="17" t="s">
        <v>21</v>
      </c>
      <c r="D111" s="41">
        <v>6250</v>
      </c>
      <c r="E111" s="39" t="s">
        <v>212</v>
      </c>
      <c r="F111" s="40" t="s">
        <v>213</v>
      </c>
      <c r="G111" s="39" t="s">
        <v>33</v>
      </c>
      <c r="H111" s="19" t="s">
        <v>199</v>
      </c>
      <c r="I111" s="27" t="s">
        <v>23</v>
      </c>
      <c r="J111" s="21">
        <v>0.8</v>
      </c>
      <c r="K111" s="27" t="s">
        <v>142</v>
      </c>
      <c r="L111" s="32" t="s">
        <v>143</v>
      </c>
      <c r="M111" s="27" t="s">
        <v>144</v>
      </c>
      <c r="N111" s="28">
        <v>1</v>
      </c>
      <c r="O111" s="29">
        <v>0.1</v>
      </c>
      <c r="P111" s="28">
        <v>1</v>
      </c>
      <c r="Q111" s="29">
        <f t="shared" si="15"/>
        <v>1</v>
      </c>
      <c r="R111" s="30">
        <f t="shared" si="9"/>
        <v>8.0000000000000018</v>
      </c>
      <c r="S111" s="29" t="s">
        <v>24</v>
      </c>
      <c r="T111" s="29"/>
      <c r="U111" s="3"/>
      <c r="V111" s="3"/>
      <c r="W111" s="3"/>
      <c r="X111" s="3"/>
      <c r="Y111" s="3"/>
      <c r="Z111" s="3"/>
      <c r="AA111" s="3"/>
      <c r="AB111" s="3"/>
      <c r="AC111" s="3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5" customFormat="1" ht="21.6" x14ac:dyDescent="0.2">
      <c r="A112" s="15">
        <v>2077</v>
      </c>
      <c r="B112" s="16" t="s">
        <v>20</v>
      </c>
      <c r="C112" s="17" t="s">
        <v>21</v>
      </c>
      <c r="D112" s="41">
        <v>6250</v>
      </c>
      <c r="E112" s="39" t="s">
        <v>212</v>
      </c>
      <c r="F112" s="40" t="s">
        <v>213</v>
      </c>
      <c r="G112" s="39" t="s">
        <v>33</v>
      </c>
      <c r="H112" s="19" t="s">
        <v>199</v>
      </c>
      <c r="I112" s="27" t="s">
        <v>23</v>
      </c>
      <c r="J112" s="21">
        <v>0.8</v>
      </c>
      <c r="K112" s="27" t="s">
        <v>145</v>
      </c>
      <c r="L112" s="32" t="s">
        <v>146</v>
      </c>
      <c r="M112" s="6" t="s">
        <v>147</v>
      </c>
      <c r="N112" s="28">
        <v>0.9</v>
      </c>
      <c r="O112" s="29">
        <v>0.2</v>
      </c>
      <c r="P112" s="28">
        <v>0.96</v>
      </c>
      <c r="Q112" s="29">
        <f t="shared" si="15"/>
        <v>1.07</v>
      </c>
      <c r="R112" s="30">
        <f t="shared" si="9"/>
        <v>16.000000000000004</v>
      </c>
      <c r="S112" s="29" t="s">
        <v>24</v>
      </c>
      <c r="T112" s="29"/>
      <c r="U112" s="3"/>
      <c r="V112" s="3"/>
      <c r="W112" s="3"/>
      <c r="X112" s="3"/>
      <c r="Y112" s="3"/>
      <c r="Z112" s="3"/>
      <c r="AA112" s="3"/>
      <c r="AB112" s="3"/>
      <c r="AC112" s="3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5" customFormat="1" ht="21.6" x14ac:dyDescent="0.2">
      <c r="A113" s="15">
        <v>2078</v>
      </c>
      <c r="B113" s="16" t="s">
        <v>20</v>
      </c>
      <c r="C113" s="17" t="s">
        <v>21</v>
      </c>
      <c r="D113" s="41">
        <v>6250</v>
      </c>
      <c r="E113" s="39" t="s">
        <v>212</v>
      </c>
      <c r="F113" s="40" t="s">
        <v>213</v>
      </c>
      <c r="G113" s="39" t="s">
        <v>33</v>
      </c>
      <c r="H113" s="19" t="s">
        <v>199</v>
      </c>
      <c r="I113" s="27" t="s">
        <v>27</v>
      </c>
      <c r="J113" s="28">
        <v>0.2</v>
      </c>
      <c r="K113" s="27" t="s">
        <v>148</v>
      </c>
      <c r="L113" s="32" t="s">
        <v>149</v>
      </c>
      <c r="M113" s="6" t="s">
        <v>150</v>
      </c>
      <c r="N113" s="28">
        <v>1</v>
      </c>
      <c r="O113" s="29">
        <v>1</v>
      </c>
      <c r="P113" s="28">
        <v>0.5</v>
      </c>
      <c r="Q113" s="29">
        <f t="shared" si="15"/>
        <v>0.5</v>
      </c>
      <c r="R113" s="30">
        <f t="shared" si="9"/>
        <v>0</v>
      </c>
      <c r="S113" s="29" t="s">
        <v>24</v>
      </c>
      <c r="T113" s="29"/>
      <c r="U113" s="3"/>
      <c r="V113" s="3"/>
      <c r="W113" s="3"/>
      <c r="X113" s="3"/>
      <c r="Y113" s="3"/>
      <c r="Z113" s="3"/>
      <c r="AA113" s="3"/>
      <c r="AB113" s="3"/>
      <c r="AC113" s="3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5" customFormat="1" ht="21.6" x14ac:dyDescent="0.2">
      <c r="A114" s="15">
        <v>2070</v>
      </c>
      <c r="B114" s="16" t="s">
        <v>20</v>
      </c>
      <c r="C114" s="17" t="s">
        <v>21</v>
      </c>
      <c r="D114" s="41">
        <v>6311</v>
      </c>
      <c r="E114" s="39" t="s">
        <v>214</v>
      </c>
      <c r="F114" s="40" t="s">
        <v>213</v>
      </c>
      <c r="G114" s="39" t="s">
        <v>33</v>
      </c>
      <c r="H114" s="19" t="s">
        <v>199</v>
      </c>
      <c r="I114" s="20" t="s">
        <v>23</v>
      </c>
      <c r="J114" s="21">
        <v>0.8</v>
      </c>
      <c r="K114" s="26" t="s">
        <v>30</v>
      </c>
      <c r="L114" s="31" t="s">
        <v>130</v>
      </c>
      <c r="M114" s="1" t="s">
        <v>131</v>
      </c>
      <c r="N114" s="21">
        <v>0.95</v>
      </c>
      <c r="O114" s="21">
        <v>0.15</v>
      </c>
      <c r="P114" s="21">
        <v>0.95</v>
      </c>
      <c r="Q114" s="21">
        <f t="shared" si="15"/>
        <v>1</v>
      </c>
      <c r="R114" s="22">
        <f t="shared" si="9"/>
        <v>12</v>
      </c>
      <c r="S114" s="21" t="s">
        <v>24</v>
      </c>
      <c r="T114" s="23">
        <f>SUM(R114:R121)%</f>
        <v>0.7904000000000001</v>
      </c>
      <c r="U114" s="3"/>
      <c r="V114" s="3"/>
      <c r="W114" s="3"/>
      <c r="X114" s="3"/>
      <c r="Y114" s="3"/>
      <c r="Z114" s="3"/>
      <c r="AA114" s="3"/>
      <c r="AB114" s="3"/>
      <c r="AC114" s="3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5" customFormat="1" ht="21.6" x14ac:dyDescent="0.2">
      <c r="A115" s="15">
        <v>2072</v>
      </c>
      <c r="B115" s="16" t="s">
        <v>20</v>
      </c>
      <c r="C115" s="17" t="s">
        <v>21</v>
      </c>
      <c r="D115" s="41">
        <v>6311</v>
      </c>
      <c r="E115" s="39" t="s">
        <v>214</v>
      </c>
      <c r="F115" s="40" t="s">
        <v>213</v>
      </c>
      <c r="G115" s="39" t="s">
        <v>33</v>
      </c>
      <c r="H115" s="19" t="s">
        <v>199</v>
      </c>
      <c r="I115" s="20" t="s">
        <v>23</v>
      </c>
      <c r="J115" s="21">
        <v>0.8</v>
      </c>
      <c r="K115" s="26" t="s">
        <v>132</v>
      </c>
      <c r="L115" s="31" t="s">
        <v>133</v>
      </c>
      <c r="M115" s="26" t="s">
        <v>134</v>
      </c>
      <c r="N115" s="21">
        <v>0.95</v>
      </c>
      <c r="O115" s="21">
        <v>0.15</v>
      </c>
      <c r="P115" s="25">
        <v>0.96</v>
      </c>
      <c r="Q115" s="21">
        <f t="shared" ref="Q115:Q121" si="16">ROUND(IF(OR(N115="",P115=""),0,IF(AND(N115=0,P115=0),1,IF(S115="+",P115/N115,N115/P115))),2)</f>
        <v>1.01</v>
      </c>
      <c r="R115" s="22">
        <f t="shared" ref="R115:R121" si="17">IF(AND(Q115&gt;=60%,Q115&lt;100%),Q115*((O115*J115)),IF(Q115=100%,((O115*J115)*Q115)*100%,IF(Q115&gt;100%,((J115*O115)*100%)*100%,0)))*100</f>
        <v>12</v>
      </c>
      <c r="S115" s="21" t="s">
        <v>24</v>
      </c>
      <c r="T115" s="21"/>
      <c r="U115" s="3"/>
      <c r="V115" s="3"/>
      <c r="W115" s="3"/>
      <c r="X115" s="3"/>
      <c r="Y115" s="3"/>
      <c r="Z115" s="3"/>
      <c r="AA115" s="3"/>
      <c r="AB115" s="3"/>
      <c r="AC115" s="3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5" customFormat="1" ht="21.6" x14ac:dyDescent="0.2">
      <c r="A116" s="15">
        <v>2073</v>
      </c>
      <c r="B116" s="16" t="s">
        <v>20</v>
      </c>
      <c r="C116" s="17" t="s">
        <v>21</v>
      </c>
      <c r="D116" s="41">
        <v>6311</v>
      </c>
      <c r="E116" s="39" t="s">
        <v>214</v>
      </c>
      <c r="F116" s="40" t="s">
        <v>213</v>
      </c>
      <c r="G116" s="39" t="s">
        <v>33</v>
      </c>
      <c r="H116" s="19" t="s">
        <v>199</v>
      </c>
      <c r="I116" s="20" t="s">
        <v>23</v>
      </c>
      <c r="J116" s="21">
        <v>0.8</v>
      </c>
      <c r="K116" s="26" t="s">
        <v>54</v>
      </c>
      <c r="L116" s="31" t="s">
        <v>135</v>
      </c>
      <c r="M116" s="26" t="s">
        <v>136</v>
      </c>
      <c r="N116" s="25">
        <v>0.05</v>
      </c>
      <c r="O116" s="21">
        <v>0.1</v>
      </c>
      <c r="P116" s="66">
        <v>0.05</v>
      </c>
      <c r="Q116" s="21">
        <f t="shared" si="16"/>
        <v>1</v>
      </c>
      <c r="R116" s="22">
        <f t="shared" si="17"/>
        <v>8.0000000000000018</v>
      </c>
      <c r="S116" s="21" t="s">
        <v>25</v>
      </c>
      <c r="T116" s="21"/>
      <c r="U116" s="3"/>
      <c r="V116" s="3"/>
      <c r="W116" s="3"/>
      <c r="X116" s="3"/>
      <c r="Y116" s="3"/>
      <c r="Z116" s="3"/>
      <c r="AA116" s="3"/>
      <c r="AB116" s="3"/>
      <c r="AC116" s="3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5" customFormat="1" ht="21.6" x14ac:dyDescent="0.2">
      <c r="A117" s="15">
        <v>2074</v>
      </c>
      <c r="B117" s="16" t="s">
        <v>20</v>
      </c>
      <c r="C117" s="17" t="s">
        <v>21</v>
      </c>
      <c r="D117" s="41">
        <v>6311</v>
      </c>
      <c r="E117" s="39" t="s">
        <v>214</v>
      </c>
      <c r="F117" s="40" t="s">
        <v>213</v>
      </c>
      <c r="G117" s="39" t="s">
        <v>33</v>
      </c>
      <c r="H117" s="19" t="s">
        <v>199</v>
      </c>
      <c r="I117" s="20" t="s">
        <v>23</v>
      </c>
      <c r="J117" s="21">
        <v>0.8</v>
      </c>
      <c r="K117" s="26" t="s">
        <v>31</v>
      </c>
      <c r="L117" s="31" t="s">
        <v>137</v>
      </c>
      <c r="M117" s="26" t="s">
        <v>138</v>
      </c>
      <c r="N117" s="64">
        <v>0.05</v>
      </c>
      <c r="O117" s="21">
        <v>0.1</v>
      </c>
      <c r="P117" s="28">
        <v>0.05</v>
      </c>
      <c r="Q117" s="21">
        <f t="shared" si="16"/>
        <v>1</v>
      </c>
      <c r="R117" s="22">
        <f t="shared" si="17"/>
        <v>8.0000000000000018</v>
      </c>
      <c r="S117" s="21" t="s">
        <v>25</v>
      </c>
      <c r="T117" s="21"/>
      <c r="U117" s="3"/>
      <c r="V117" s="3"/>
      <c r="W117" s="3"/>
      <c r="X117" s="3"/>
      <c r="Y117" s="3"/>
      <c r="Z117" s="3"/>
      <c r="AA117" s="3"/>
      <c r="AB117" s="3"/>
      <c r="AC117" s="3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5" customFormat="1" ht="21.6" x14ac:dyDescent="0.2">
      <c r="A118" s="15">
        <v>2075</v>
      </c>
      <c r="B118" s="16" t="s">
        <v>20</v>
      </c>
      <c r="C118" s="17" t="s">
        <v>21</v>
      </c>
      <c r="D118" s="41">
        <v>6311</v>
      </c>
      <c r="E118" s="39" t="s">
        <v>214</v>
      </c>
      <c r="F118" s="40" t="s">
        <v>213</v>
      </c>
      <c r="G118" s="39" t="s">
        <v>33</v>
      </c>
      <c r="H118" s="19" t="s">
        <v>199</v>
      </c>
      <c r="I118" s="27" t="s">
        <v>23</v>
      </c>
      <c r="J118" s="21">
        <v>0.8</v>
      </c>
      <c r="K118" s="27" t="s">
        <v>139</v>
      </c>
      <c r="L118" s="32" t="s">
        <v>140</v>
      </c>
      <c r="M118" s="27" t="s">
        <v>141</v>
      </c>
      <c r="N118" s="28">
        <v>0.9</v>
      </c>
      <c r="O118" s="29">
        <v>0.2</v>
      </c>
      <c r="P118" s="28">
        <v>0.85</v>
      </c>
      <c r="Q118" s="29">
        <f t="shared" si="16"/>
        <v>0.94</v>
      </c>
      <c r="R118" s="30">
        <f t="shared" si="17"/>
        <v>15.040000000000003</v>
      </c>
      <c r="S118" s="29" t="s">
        <v>24</v>
      </c>
      <c r="T118" s="29"/>
      <c r="U118" s="3"/>
      <c r="V118" s="3"/>
      <c r="W118" s="3"/>
      <c r="X118" s="3"/>
      <c r="Y118" s="3"/>
      <c r="Z118" s="3"/>
      <c r="AA118" s="3"/>
      <c r="AB118" s="3"/>
      <c r="AC118" s="3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s="5" customFormat="1" ht="21.6" x14ac:dyDescent="0.2">
      <c r="A119" s="15">
        <v>2076</v>
      </c>
      <c r="B119" s="16" t="s">
        <v>20</v>
      </c>
      <c r="C119" s="17" t="s">
        <v>21</v>
      </c>
      <c r="D119" s="41">
        <v>6311</v>
      </c>
      <c r="E119" s="39" t="s">
        <v>214</v>
      </c>
      <c r="F119" s="40" t="s">
        <v>213</v>
      </c>
      <c r="G119" s="39" t="s">
        <v>33</v>
      </c>
      <c r="H119" s="19" t="s">
        <v>199</v>
      </c>
      <c r="I119" s="27" t="s">
        <v>23</v>
      </c>
      <c r="J119" s="21">
        <v>0.8</v>
      </c>
      <c r="K119" s="27" t="s">
        <v>142</v>
      </c>
      <c r="L119" s="32" t="s">
        <v>143</v>
      </c>
      <c r="M119" s="27" t="s">
        <v>144</v>
      </c>
      <c r="N119" s="28">
        <v>1</v>
      </c>
      <c r="O119" s="29">
        <v>0.1</v>
      </c>
      <c r="P119" s="28">
        <v>1</v>
      </c>
      <c r="Q119" s="29">
        <f t="shared" si="16"/>
        <v>1</v>
      </c>
      <c r="R119" s="30">
        <f t="shared" si="17"/>
        <v>8.0000000000000018</v>
      </c>
      <c r="S119" s="29" t="s">
        <v>24</v>
      </c>
      <c r="T119" s="29"/>
      <c r="U119" s="3"/>
      <c r="V119" s="3"/>
      <c r="W119" s="3"/>
      <c r="X119" s="3"/>
      <c r="Y119" s="3"/>
      <c r="Z119" s="3"/>
      <c r="AA119" s="3"/>
      <c r="AB119" s="3"/>
      <c r="AC119" s="3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s="5" customFormat="1" ht="21.6" x14ac:dyDescent="0.2">
      <c r="A120" s="15">
        <v>2077</v>
      </c>
      <c r="B120" s="16" t="s">
        <v>20</v>
      </c>
      <c r="C120" s="17" t="s">
        <v>21</v>
      </c>
      <c r="D120" s="41">
        <v>6311</v>
      </c>
      <c r="E120" s="39" t="s">
        <v>214</v>
      </c>
      <c r="F120" s="40" t="s">
        <v>213</v>
      </c>
      <c r="G120" s="39" t="s">
        <v>33</v>
      </c>
      <c r="H120" s="19" t="s">
        <v>199</v>
      </c>
      <c r="I120" s="27" t="s">
        <v>23</v>
      </c>
      <c r="J120" s="21">
        <v>0.8</v>
      </c>
      <c r="K120" s="27" t="s">
        <v>145</v>
      </c>
      <c r="L120" s="32" t="s">
        <v>146</v>
      </c>
      <c r="M120" s="6" t="s">
        <v>147</v>
      </c>
      <c r="N120" s="28">
        <v>0.9</v>
      </c>
      <c r="O120" s="29">
        <v>0.2</v>
      </c>
      <c r="P120" s="28">
        <v>0.96</v>
      </c>
      <c r="Q120" s="29">
        <f t="shared" si="16"/>
        <v>1.07</v>
      </c>
      <c r="R120" s="30">
        <f t="shared" si="17"/>
        <v>16.000000000000004</v>
      </c>
      <c r="S120" s="29" t="s">
        <v>24</v>
      </c>
      <c r="T120" s="29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s="5" customFormat="1" ht="21.6" x14ac:dyDescent="0.2">
      <c r="A121" s="15">
        <v>2078</v>
      </c>
      <c r="B121" s="16" t="s">
        <v>20</v>
      </c>
      <c r="C121" s="17" t="s">
        <v>21</v>
      </c>
      <c r="D121" s="41">
        <v>6311</v>
      </c>
      <c r="E121" s="39" t="s">
        <v>214</v>
      </c>
      <c r="F121" s="40" t="s">
        <v>213</v>
      </c>
      <c r="G121" s="39" t="s">
        <v>33</v>
      </c>
      <c r="H121" s="19" t="s">
        <v>199</v>
      </c>
      <c r="I121" s="27" t="s">
        <v>27</v>
      </c>
      <c r="J121" s="28">
        <v>0.2</v>
      </c>
      <c r="K121" s="27" t="s">
        <v>148</v>
      </c>
      <c r="L121" s="32" t="s">
        <v>149</v>
      </c>
      <c r="M121" s="6" t="s">
        <v>150</v>
      </c>
      <c r="N121" s="28">
        <v>1</v>
      </c>
      <c r="O121" s="29">
        <v>1</v>
      </c>
      <c r="P121" s="28">
        <v>0.5</v>
      </c>
      <c r="Q121" s="29">
        <f t="shared" si="16"/>
        <v>0.5</v>
      </c>
      <c r="R121" s="30">
        <f t="shared" si="17"/>
        <v>0</v>
      </c>
      <c r="S121" s="29" t="s">
        <v>24</v>
      </c>
      <c r="T121" s="29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</sheetData>
  <autoFilter ref="A1:T121" xr:uid="{7EF4661B-8CB2-466F-8DBB-EB69CD48EE90}"/>
  <conditionalFormatting sqref="I1 K1:M1">
    <cfRule type="cellIs" dxfId="93" priority="31" operator="equal">
      <formula>"maintasks"</formula>
    </cfRule>
  </conditionalFormatting>
  <conditionalFormatting sqref="I2:I9">
    <cfRule type="cellIs" dxfId="92" priority="30" operator="equal">
      <formula>"maintasks"</formula>
    </cfRule>
  </conditionalFormatting>
  <conditionalFormatting sqref="I10:I17">
    <cfRule type="cellIs" dxfId="91" priority="29" operator="equal">
      <formula>"maintasks"</formula>
    </cfRule>
  </conditionalFormatting>
  <conditionalFormatting sqref="I18:I25">
    <cfRule type="cellIs" dxfId="90" priority="28" operator="equal">
      <formula>"maintasks"</formula>
    </cfRule>
  </conditionalFormatting>
  <conditionalFormatting sqref="I34:I41">
    <cfRule type="cellIs" dxfId="89" priority="27" operator="equal">
      <formula>"maintasks"</formula>
    </cfRule>
  </conditionalFormatting>
  <conditionalFormatting sqref="I42:I49">
    <cfRule type="cellIs" dxfId="88" priority="26" operator="equal">
      <formula>"maintasks"</formula>
    </cfRule>
  </conditionalFormatting>
  <conditionalFormatting sqref="I58:I65">
    <cfRule type="cellIs" dxfId="87" priority="25" operator="equal">
      <formula>"maintasks"</formula>
    </cfRule>
  </conditionalFormatting>
  <conditionalFormatting sqref="I66:I73">
    <cfRule type="cellIs" dxfId="86" priority="24" operator="equal">
      <formula>"maintasks"</formula>
    </cfRule>
  </conditionalFormatting>
  <conditionalFormatting sqref="I82:I89">
    <cfRule type="cellIs" dxfId="85" priority="23" operator="equal">
      <formula>"maintasks"</formula>
    </cfRule>
  </conditionalFormatting>
  <conditionalFormatting sqref="I90:I97">
    <cfRule type="cellIs" dxfId="84" priority="22" operator="equal">
      <formula>"maintasks"</formula>
    </cfRule>
  </conditionalFormatting>
  <conditionalFormatting sqref="I98:I105">
    <cfRule type="cellIs" dxfId="83" priority="21" operator="equal">
      <formula>"maintasks"</formula>
    </cfRule>
  </conditionalFormatting>
  <conditionalFormatting sqref="I106:I113">
    <cfRule type="cellIs" dxfId="82" priority="20" operator="equal">
      <formula>"maintasks"</formula>
    </cfRule>
  </conditionalFormatting>
  <conditionalFormatting sqref="K114:M121">
    <cfRule type="cellIs" dxfId="81" priority="7" operator="equal">
      <formula>"maintasks"</formula>
    </cfRule>
  </conditionalFormatting>
  <conditionalFormatting sqref="I114:I121">
    <cfRule type="cellIs" dxfId="80" priority="19" operator="equal">
      <formula>"maintasks"</formula>
    </cfRule>
  </conditionalFormatting>
  <conditionalFormatting sqref="K2:M9">
    <cfRule type="cellIs" dxfId="79" priority="18" operator="equal">
      <formula>"maintasks"</formula>
    </cfRule>
  </conditionalFormatting>
  <conditionalFormatting sqref="K10:M17">
    <cfRule type="cellIs" dxfId="78" priority="17" operator="equal">
      <formula>"maintasks"</formula>
    </cfRule>
  </conditionalFormatting>
  <conditionalFormatting sqref="K18:M25">
    <cfRule type="cellIs" dxfId="77" priority="16" operator="equal">
      <formula>"maintasks"</formula>
    </cfRule>
  </conditionalFormatting>
  <conditionalFormatting sqref="K34:M41">
    <cfRule type="cellIs" dxfId="76" priority="15" operator="equal">
      <formula>"maintasks"</formula>
    </cfRule>
  </conditionalFormatting>
  <conditionalFormatting sqref="K42:M49">
    <cfRule type="cellIs" dxfId="75" priority="14" operator="equal">
      <formula>"maintasks"</formula>
    </cfRule>
  </conditionalFormatting>
  <conditionalFormatting sqref="K58:M65">
    <cfRule type="cellIs" dxfId="74" priority="13" operator="equal">
      <formula>"maintasks"</formula>
    </cfRule>
  </conditionalFormatting>
  <conditionalFormatting sqref="K66:M73">
    <cfRule type="cellIs" dxfId="73" priority="12" operator="equal">
      <formula>"maintasks"</formula>
    </cfRule>
  </conditionalFormatting>
  <conditionalFormatting sqref="K82:M89">
    <cfRule type="cellIs" dxfId="72" priority="11" operator="equal">
      <formula>"maintasks"</formula>
    </cfRule>
  </conditionalFormatting>
  <conditionalFormatting sqref="K90:M97">
    <cfRule type="cellIs" dxfId="71" priority="10" operator="equal">
      <formula>"maintasks"</formula>
    </cfRule>
  </conditionalFormatting>
  <conditionalFormatting sqref="K98:M105">
    <cfRule type="cellIs" dxfId="70" priority="9" operator="equal">
      <formula>"maintasks"</formula>
    </cfRule>
  </conditionalFormatting>
  <conditionalFormatting sqref="K106:M113">
    <cfRule type="cellIs" dxfId="69" priority="8" operator="equal">
      <formula>"maintasks"</formula>
    </cfRule>
  </conditionalFormatting>
  <conditionalFormatting sqref="I26:I33">
    <cfRule type="cellIs" dxfId="68" priority="6" operator="equal">
      <formula>"maintasks"</formula>
    </cfRule>
  </conditionalFormatting>
  <conditionalFormatting sqref="K26:M33">
    <cfRule type="cellIs" dxfId="67" priority="5" operator="equal">
      <formula>"maintasks"</formula>
    </cfRule>
  </conditionalFormatting>
  <conditionalFormatting sqref="I50:I57">
    <cfRule type="cellIs" dxfId="66" priority="4" operator="equal">
      <formula>"maintasks"</formula>
    </cfRule>
  </conditionalFormatting>
  <conditionalFormatting sqref="K50:M57">
    <cfRule type="cellIs" dxfId="65" priority="3" operator="equal">
      <formula>"maintasks"</formula>
    </cfRule>
  </conditionalFormatting>
  <conditionalFormatting sqref="I74:I81">
    <cfRule type="cellIs" dxfId="64" priority="2" operator="equal">
      <formula>"maintasks"</formula>
    </cfRule>
  </conditionalFormatting>
  <conditionalFormatting sqref="K74:M81">
    <cfRule type="cellIs" dxfId="63" priority="1" operator="equal">
      <formula>"maintasks"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92D6-892C-4C70-BCF7-3FD10E6CDC89}">
  <sheetPr>
    <tabColor rgb="FF00B050"/>
  </sheetPr>
  <dimension ref="A1:AV16"/>
  <sheetViews>
    <sheetView topLeftCell="K1" zoomScale="130" zoomScaleNormal="130" workbookViewId="0">
      <selection activeCell="T8" sqref="T8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6.88671875" customWidth="1"/>
    <col min="5" max="5" width="19.6640625" bestFit="1" customWidth="1"/>
    <col min="6" max="6" width="17.21875" style="53" customWidth="1"/>
    <col min="7" max="7" width="12.44140625" customWidth="1"/>
    <col min="8" max="8" width="11.6640625" customWidth="1"/>
    <col min="9" max="9" width="16.33203125" customWidth="1"/>
    <col min="10" max="10" width="6.88671875" customWidth="1"/>
    <col min="11" max="11" width="22.88671875" style="54" customWidth="1"/>
    <col min="12" max="12" width="42.33203125" customWidth="1"/>
    <col min="13" max="13" width="51.6640625" customWidth="1"/>
    <col min="14" max="14" width="14.109375" customWidth="1"/>
    <col min="15" max="15" width="7.6640625" customWidth="1"/>
    <col min="16" max="16" width="21.44140625" customWidth="1"/>
    <col min="17" max="20" width="7.6640625" customWidth="1"/>
  </cols>
  <sheetData>
    <row r="1" spans="1:48" x14ac:dyDescent="0.3">
      <c r="A1" s="44" t="s">
        <v>0</v>
      </c>
      <c r="B1" s="45" t="s">
        <v>1</v>
      </c>
      <c r="C1" s="45" t="s">
        <v>2</v>
      </c>
      <c r="D1" s="44" t="s">
        <v>3</v>
      </c>
      <c r="E1" s="45" t="s">
        <v>4</v>
      </c>
      <c r="F1" s="46" t="s">
        <v>5</v>
      </c>
      <c r="G1" s="45" t="s">
        <v>6</v>
      </c>
      <c r="H1" s="45" t="s">
        <v>7</v>
      </c>
      <c r="I1" s="45" t="s">
        <v>8</v>
      </c>
      <c r="J1" s="47" t="s">
        <v>9</v>
      </c>
      <c r="K1" s="45" t="s">
        <v>10</v>
      </c>
      <c r="L1" s="45" t="s">
        <v>11</v>
      </c>
      <c r="M1" s="48" t="s">
        <v>12</v>
      </c>
      <c r="N1" s="45" t="s">
        <v>13</v>
      </c>
      <c r="O1" s="49" t="s">
        <v>14</v>
      </c>
      <c r="P1" s="45" t="s">
        <v>15</v>
      </c>
      <c r="Q1" s="50" t="s">
        <v>16</v>
      </c>
      <c r="R1" s="51" t="s">
        <v>17</v>
      </c>
      <c r="S1" s="52" t="s">
        <v>18</v>
      </c>
      <c r="T1" s="49" t="s">
        <v>19</v>
      </c>
    </row>
    <row r="2" spans="1:48" s="5" customFormat="1" ht="21.6" x14ac:dyDescent="0.2">
      <c r="A2" s="15">
        <v>1</v>
      </c>
      <c r="B2" s="16" t="s">
        <v>20</v>
      </c>
      <c r="C2" s="17" t="s">
        <v>21</v>
      </c>
      <c r="D2" s="38">
        <v>3651</v>
      </c>
      <c r="E2" s="39" t="s">
        <v>215</v>
      </c>
      <c r="F2" s="39" t="s">
        <v>216</v>
      </c>
      <c r="G2" s="39" t="s">
        <v>217</v>
      </c>
      <c r="H2" s="19" t="s">
        <v>22</v>
      </c>
      <c r="I2" s="68" t="s">
        <v>23</v>
      </c>
      <c r="J2" s="69">
        <v>0.7</v>
      </c>
      <c r="K2" s="2" t="s">
        <v>35</v>
      </c>
      <c r="L2" s="2" t="s">
        <v>36</v>
      </c>
      <c r="M2" s="2" t="s">
        <v>37</v>
      </c>
      <c r="N2" s="69">
        <v>0.95</v>
      </c>
      <c r="O2" s="69">
        <v>0.2</v>
      </c>
      <c r="P2" s="21">
        <v>0.85</v>
      </c>
      <c r="Q2" s="21">
        <f t="shared" ref="Q2:Q13" si="0">ROUND(IF(OR(N2="",P2=""),0,IF(AND(N2=0,P2=0),1,IF(S2="+",P2/N2,N2/P2))),2)</f>
        <v>0.89</v>
      </c>
      <c r="R2" s="22">
        <f t="shared" ref="R2:R13" si="1">IF(AND(Q2&gt;=60%,Q2&lt;100%),Q2*((O2*J2)),IF(Q2=100%,((O2*J2)*Q2)*100%,IF(Q2&gt;100%,((J2*O2)*100%)*100%,0)))*100</f>
        <v>12.459999999999999</v>
      </c>
      <c r="S2" s="21" t="s">
        <v>24</v>
      </c>
      <c r="T2" s="23">
        <f>SUM(R2:R7)%</f>
        <v>0.96640000000000004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</v>
      </c>
      <c r="B3" s="16" t="s">
        <v>20</v>
      </c>
      <c r="C3" s="17" t="s">
        <v>21</v>
      </c>
      <c r="D3" s="38" t="s">
        <v>218</v>
      </c>
      <c r="E3" s="39" t="s">
        <v>215</v>
      </c>
      <c r="F3" s="39" t="s">
        <v>216</v>
      </c>
      <c r="G3" s="39" t="s">
        <v>217</v>
      </c>
      <c r="H3" s="19" t="s">
        <v>22</v>
      </c>
      <c r="I3" s="68" t="s">
        <v>23</v>
      </c>
      <c r="J3" s="69">
        <v>0.7</v>
      </c>
      <c r="K3" s="2" t="s">
        <v>38</v>
      </c>
      <c r="L3" s="2" t="s">
        <v>39</v>
      </c>
      <c r="M3" s="2" t="s">
        <v>40</v>
      </c>
      <c r="N3" s="69">
        <v>0.95</v>
      </c>
      <c r="O3" s="69">
        <v>0.2</v>
      </c>
      <c r="P3" s="21">
        <v>0.9</v>
      </c>
      <c r="Q3" s="21">
        <f t="shared" si="0"/>
        <v>0.95</v>
      </c>
      <c r="R3" s="22">
        <f t="shared" si="1"/>
        <v>13.299999999999997</v>
      </c>
      <c r="S3" s="21" t="s">
        <v>24</v>
      </c>
      <c r="T3" s="2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3</v>
      </c>
      <c r="B4" s="16" t="s">
        <v>20</v>
      </c>
      <c r="C4" s="17" t="s">
        <v>21</v>
      </c>
      <c r="D4" s="38">
        <v>3651</v>
      </c>
      <c r="E4" s="39" t="s">
        <v>215</v>
      </c>
      <c r="F4" s="39" t="s">
        <v>216</v>
      </c>
      <c r="G4" s="39" t="s">
        <v>217</v>
      </c>
      <c r="H4" s="19" t="s">
        <v>22</v>
      </c>
      <c r="I4" s="68" t="s">
        <v>23</v>
      </c>
      <c r="J4" s="69">
        <v>0.7</v>
      </c>
      <c r="K4" s="2" t="s">
        <v>41</v>
      </c>
      <c r="L4" s="2" t="s">
        <v>42</v>
      </c>
      <c r="M4" s="2" t="s">
        <v>43</v>
      </c>
      <c r="N4" s="69">
        <v>1</v>
      </c>
      <c r="O4" s="69">
        <v>0.2</v>
      </c>
      <c r="P4" s="21">
        <v>1</v>
      </c>
      <c r="Q4" s="21">
        <f t="shared" si="0"/>
        <v>1</v>
      </c>
      <c r="R4" s="22">
        <f t="shared" si="1"/>
        <v>13.999999999999998</v>
      </c>
      <c r="S4" s="21" t="s">
        <v>25</v>
      </c>
      <c r="T4" s="2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4</v>
      </c>
      <c r="B5" s="16" t="s">
        <v>20</v>
      </c>
      <c r="C5" s="17" t="s">
        <v>21</v>
      </c>
      <c r="D5" s="38" t="s">
        <v>218</v>
      </c>
      <c r="E5" s="39" t="s">
        <v>215</v>
      </c>
      <c r="F5" s="39" t="s">
        <v>216</v>
      </c>
      <c r="G5" s="39" t="s">
        <v>217</v>
      </c>
      <c r="H5" s="19" t="s">
        <v>22</v>
      </c>
      <c r="I5" s="68" t="s">
        <v>23</v>
      </c>
      <c r="J5" s="69">
        <v>0.7</v>
      </c>
      <c r="K5" s="2" t="s">
        <v>44</v>
      </c>
      <c r="L5" s="2" t="s">
        <v>45</v>
      </c>
      <c r="M5" s="2" t="s">
        <v>46</v>
      </c>
      <c r="N5" s="69">
        <v>0.98</v>
      </c>
      <c r="O5" s="69">
        <v>0.2</v>
      </c>
      <c r="P5" s="21">
        <v>0.9</v>
      </c>
      <c r="Q5" s="21">
        <f t="shared" si="0"/>
        <v>0.92</v>
      </c>
      <c r="R5" s="22">
        <f t="shared" si="1"/>
        <v>12.879999999999999</v>
      </c>
      <c r="S5" s="21" t="s">
        <v>24</v>
      </c>
      <c r="T5" s="2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5.2" x14ac:dyDescent="0.2">
      <c r="A6" s="15">
        <v>5</v>
      </c>
      <c r="B6" s="16" t="s">
        <v>20</v>
      </c>
      <c r="C6" s="17" t="s">
        <v>21</v>
      </c>
      <c r="D6" s="38">
        <v>3651</v>
      </c>
      <c r="E6" s="39" t="s">
        <v>215</v>
      </c>
      <c r="F6" s="39" t="s">
        <v>216</v>
      </c>
      <c r="G6" s="39" t="s">
        <v>217</v>
      </c>
      <c r="H6" s="19" t="s">
        <v>22</v>
      </c>
      <c r="I6" s="68" t="s">
        <v>23</v>
      </c>
      <c r="J6" s="69">
        <v>0.7</v>
      </c>
      <c r="K6" s="2" t="s">
        <v>47</v>
      </c>
      <c r="L6" s="2" t="s">
        <v>48</v>
      </c>
      <c r="M6" s="2" t="s">
        <v>49</v>
      </c>
      <c r="N6" s="70">
        <v>0.9</v>
      </c>
      <c r="O6" s="69">
        <v>0.2</v>
      </c>
      <c r="P6" s="21">
        <v>1</v>
      </c>
      <c r="Q6" s="21">
        <f t="shared" si="0"/>
        <v>1.1100000000000001</v>
      </c>
      <c r="R6" s="22">
        <f t="shared" si="1"/>
        <v>13.999999999999998</v>
      </c>
      <c r="S6" s="21" t="s">
        <v>24</v>
      </c>
      <c r="T6" s="23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6</v>
      </c>
      <c r="B7" s="16" t="s">
        <v>20</v>
      </c>
      <c r="C7" s="17" t="s">
        <v>21</v>
      </c>
      <c r="D7" s="38" t="s">
        <v>218</v>
      </c>
      <c r="E7" s="39" t="s">
        <v>215</v>
      </c>
      <c r="F7" s="39" t="s">
        <v>216</v>
      </c>
      <c r="G7" s="39" t="s">
        <v>217</v>
      </c>
      <c r="H7" s="19" t="s">
        <v>22</v>
      </c>
      <c r="I7" s="20" t="s">
        <v>27</v>
      </c>
      <c r="J7" s="21">
        <v>0.3</v>
      </c>
      <c r="K7" s="26" t="s">
        <v>50</v>
      </c>
      <c r="L7" s="31" t="s">
        <v>51</v>
      </c>
      <c r="M7" s="1" t="s">
        <v>52</v>
      </c>
      <c r="N7" s="21">
        <v>1</v>
      </c>
      <c r="O7" s="21">
        <v>1</v>
      </c>
      <c r="P7" s="21">
        <v>1</v>
      </c>
      <c r="Q7" s="21">
        <f t="shared" si="0"/>
        <v>1</v>
      </c>
      <c r="R7" s="22">
        <f t="shared" si="1"/>
        <v>30</v>
      </c>
      <c r="S7" s="21" t="s">
        <v>24</v>
      </c>
      <c r="T7" s="2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1</v>
      </c>
      <c r="B8" s="16" t="s">
        <v>20</v>
      </c>
      <c r="C8" s="17" t="s">
        <v>21</v>
      </c>
      <c r="D8" s="38">
        <v>6363</v>
      </c>
      <c r="E8" s="39" t="s">
        <v>219</v>
      </c>
      <c r="F8" s="39" t="s">
        <v>216</v>
      </c>
      <c r="G8" s="39" t="s">
        <v>217</v>
      </c>
      <c r="H8" s="19" t="s">
        <v>22</v>
      </c>
      <c r="I8" s="68" t="s">
        <v>23</v>
      </c>
      <c r="J8" s="69">
        <v>0.7</v>
      </c>
      <c r="K8" s="2" t="s">
        <v>35</v>
      </c>
      <c r="L8" s="2" t="s">
        <v>36</v>
      </c>
      <c r="M8" s="2" t="s">
        <v>37</v>
      </c>
      <c r="N8" s="69">
        <v>0.95</v>
      </c>
      <c r="O8" s="69">
        <v>0.2</v>
      </c>
      <c r="P8" s="21">
        <v>0.75</v>
      </c>
      <c r="Q8" s="21">
        <f t="shared" si="0"/>
        <v>0.79</v>
      </c>
      <c r="R8" s="22">
        <f t="shared" si="1"/>
        <v>11.059999999999999</v>
      </c>
      <c r="S8" s="21" t="s">
        <v>24</v>
      </c>
      <c r="T8" s="23">
        <f>SUM(R8:R13)%</f>
        <v>0.92859999999999987</v>
      </c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</v>
      </c>
      <c r="B9" s="16" t="s">
        <v>20</v>
      </c>
      <c r="C9" s="17" t="s">
        <v>21</v>
      </c>
      <c r="D9" s="38">
        <v>6363</v>
      </c>
      <c r="E9" s="39" t="s">
        <v>219</v>
      </c>
      <c r="F9" s="39" t="s">
        <v>216</v>
      </c>
      <c r="G9" s="39" t="s">
        <v>217</v>
      </c>
      <c r="H9" s="19" t="s">
        <v>22</v>
      </c>
      <c r="I9" s="68" t="s">
        <v>23</v>
      </c>
      <c r="J9" s="69">
        <v>0.7</v>
      </c>
      <c r="K9" s="2" t="s">
        <v>38</v>
      </c>
      <c r="L9" s="2" t="s">
        <v>39</v>
      </c>
      <c r="M9" s="2" t="s">
        <v>40</v>
      </c>
      <c r="N9" s="69">
        <v>0.95</v>
      </c>
      <c r="O9" s="69">
        <v>0.2</v>
      </c>
      <c r="P9" s="21">
        <v>0.85</v>
      </c>
      <c r="Q9" s="21">
        <f t="shared" si="0"/>
        <v>0.89</v>
      </c>
      <c r="R9" s="22">
        <f t="shared" si="1"/>
        <v>12.459999999999999</v>
      </c>
      <c r="S9" s="21" t="s">
        <v>24</v>
      </c>
      <c r="T9" s="23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3</v>
      </c>
      <c r="B10" s="16" t="s">
        <v>20</v>
      </c>
      <c r="C10" s="17" t="s">
        <v>21</v>
      </c>
      <c r="D10" s="38">
        <v>6363</v>
      </c>
      <c r="E10" s="39" t="s">
        <v>219</v>
      </c>
      <c r="F10" s="39" t="s">
        <v>216</v>
      </c>
      <c r="G10" s="39" t="s">
        <v>217</v>
      </c>
      <c r="H10" s="19" t="s">
        <v>22</v>
      </c>
      <c r="I10" s="68" t="s">
        <v>23</v>
      </c>
      <c r="J10" s="69">
        <v>0.7</v>
      </c>
      <c r="K10" s="2" t="s">
        <v>41</v>
      </c>
      <c r="L10" s="2" t="s">
        <v>42</v>
      </c>
      <c r="M10" s="2" t="s">
        <v>43</v>
      </c>
      <c r="N10" s="69">
        <v>1</v>
      </c>
      <c r="O10" s="69">
        <v>0.2</v>
      </c>
      <c r="P10" s="21">
        <v>0.95</v>
      </c>
      <c r="Q10" s="21">
        <f t="shared" si="0"/>
        <v>1.05</v>
      </c>
      <c r="R10" s="22">
        <f t="shared" si="1"/>
        <v>13.999999999999998</v>
      </c>
      <c r="S10" s="21" t="s">
        <v>25</v>
      </c>
      <c r="T10" s="2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4</v>
      </c>
      <c r="B11" s="16" t="s">
        <v>20</v>
      </c>
      <c r="C11" s="17" t="s">
        <v>21</v>
      </c>
      <c r="D11" s="38">
        <v>6363</v>
      </c>
      <c r="E11" s="39" t="s">
        <v>219</v>
      </c>
      <c r="F11" s="39" t="s">
        <v>216</v>
      </c>
      <c r="G11" s="39" t="s">
        <v>217</v>
      </c>
      <c r="H11" s="19" t="s">
        <v>22</v>
      </c>
      <c r="I11" s="68" t="s">
        <v>23</v>
      </c>
      <c r="J11" s="69">
        <v>0.7</v>
      </c>
      <c r="K11" s="2" t="s">
        <v>44</v>
      </c>
      <c r="L11" s="2" t="s">
        <v>45</v>
      </c>
      <c r="M11" s="2" t="s">
        <v>46</v>
      </c>
      <c r="N11" s="69">
        <v>0.98</v>
      </c>
      <c r="O11" s="69">
        <v>0.2</v>
      </c>
      <c r="P11" s="21">
        <v>0.9</v>
      </c>
      <c r="Q11" s="21">
        <f t="shared" si="0"/>
        <v>0.92</v>
      </c>
      <c r="R11" s="22">
        <f t="shared" si="1"/>
        <v>12.879999999999999</v>
      </c>
      <c r="S11" s="21" t="s">
        <v>24</v>
      </c>
      <c r="T11" s="2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5.2" x14ac:dyDescent="0.2">
      <c r="A12" s="15">
        <v>5</v>
      </c>
      <c r="B12" s="16" t="s">
        <v>20</v>
      </c>
      <c r="C12" s="17" t="s">
        <v>21</v>
      </c>
      <c r="D12" s="38">
        <v>6363</v>
      </c>
      <c r="E12" s="39" t="s">
        <v>219</v>
      </c>
      <c r="F12" s="39" t="s">
        <v>216</v>
      </c>
      <c r="G12" s="39" t="s">
        <v>217</v>
      </c>
      <c r="H12" s="19" t="s">
        <v>22</v>
      </c>
      <c r="I12" s="68" t="s">
        <v>23</v>
      </c>
      <c r="J12" s="69">
        <v>0.7</v>
      </c>
      <c r="K12" s="2" t="s">
        <v>47</v>
      </c>
      <c r="L12" s="2" t="s">
        <v>48</v>
      </c>
      <c r="M12" s="2" t="s">
        <v>49</v>
      </c>
      <c r="N12" s="70">
        <v>0.9</v>
      </c>
      <c r="O12" s="69">
        <v>0.2</v>
      </c>
      <c r="P12" s="21">
        <v>0.8</v>
      </c>
      <c r="Q12" s="21">
        <f t="shared" si="0"/>
        <v>0.89</v>
      </c>
      <c r="R12" s="22">
        <f t="shared" si="1"/>
        <v>12.459999999999999</v>
      </c>
      <c r="S12" s="21" t="s">
        <v>24</v>
      </c>
      <c r="T12" s="2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6</v>
      </c>
      <c r="B13" s="16" t="s">
        <v>20</v>
      </c>
      <c r="C13" s="17" t="s">
        <v>21</v>
      </c>
      <c r="D13" s="38">
        <v>6363</v>
      </c>
      <c r="E13" s="39" t="s">
        <v>219</v>
      </c>
      <c r="F13" s="39" t="s">
        <v>216</v>
      </c>
      <c r="G13" s="39" t="s">
        <v>217</v>
      </c>
      <c r="H13" s="19" t="s">
        <v>22</v>
      </c>
      <c r="I13" s="20" t="s">
        <v>27</v>
      </c>
      <c r="J13" s="21">
        <v>0.3</v>
      </c>
      <c r="K13" s="26" t="s">
        <v>50</v>
      </c>
      <c r="L13" s="31" t="s">
        <v>51</v>
      </c>
      <c r="M13" s="1" t="s">
        <v>52</v>
      </c>
      <c r="N13" s="21">
        <v>1</v>
      </c>
      <c r="O13" s="21">
        <v>1</v>
      </c>
      <c r="P13" s="21">
        <v>1</v>
      </c>
      <c r="Q13" s="21">
        <f t="shared" si="0"/>
        <v>1</v>
      </c>
      <c r="R13" s="22">
        <f t="shared" si="1"/>
        <v>30</v>
      </c>
      <c r="S13" s="21" t="s">
        <v>24</v>
      </c>
      <c r="T13" s="2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6" spans="1:48" x14ac:dyDescent="0.3">
      <c r="M16" t="s">
        <v>220</v>
      </c>
    </row>
  </sheetData>
  <conditionalFormatting sqref="I1 K1:M1 K7:M7 I7 I13 K13:M13">
    <cfRule type="cellIs" dxfId="62" priority="6" operator="equal">
      <formula>"maintasks"</formula>
    </cfRule>
  </conditionalFormatting>
  <conditionalFormatting sqref="I8:I12">
    <cfRule type="cellIs" dxfId="61" priority="1" operator="equal">
      <formula>"maintasks"</formula>
    </cfRule>
  </conditionalFormatting>
  <conditionalFormatting sqref="I2:I6">
    <cfRule type="cellIs" dxfId="60" priority="3" operator="equal">
      <formula>"maintasks"</formula>
    </cfRule>
  </conditionalFormatting>
  <conditionalFormatting sqref="K2:M6">
    <cfRule type="cellIs" dxfId="59" priority="4" operator="equal">
      <formula>"maintasks"</formula>
    </cfRule>
  </conditionalFormatting>
  <conditionalFormatting sqref="K8:M12">
    <cfRule type="cellIs" dxfId="58" priority="2" operator="equal">
      <formula>"maintasks"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4AB-B533-43A5-A0D0-93A4A82D1E37}">
  <sheetPr>
    <tabColor rgb="FF00B050"/>
  </sheetPr>
  <dimension ref="A1:AV25"/>
  <sheetViews>
    <sheetView workbookViewId="0">
      <pane xSplit="5" ySplit="1" topLeftCell="N2" activePane="bottomRight" state="frozen"/>
      <selection pane="topRight" activeCell="F1" sqref="F1"/>
      <selection pane="bottomLeft" activeCell="A2" sqref="A2"/>
      <selection pane="bottomRight" activeCell="L15" sqref="L15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10.44140625" customWidth="1"/>
    <col min="5" max="5" width="11.77734375" customWidth="1"/>
    <col min="6" max="6" width="17.6640625" customWidth="1"/>
    <col min="7" max="7" width="12.44140625" customWidth="1"/>
    <col min="8" max="8" width="7.88671875" bestFit="1" customWidth="1"/>
    <col min="9" max="9" width="22.5546875" customWidth="1"/>
    <col min="10" max="10" width="10.6640625" customWidth="1"/>
    <col min="11" max="11" width="38.88671875" customWidth="1"/>
    <col min="12" max="12" width="42.21875" customWidth="1"/>
    <col min="13" max="13" width="51.77734375" customWidth="1"/>
    <col min="14" max="14" width="14.109375" customWidth="1"/>
    <col min="15" max="15" width="14.77734375" customWidth="1"/>
    <col min="16" max="16" width="21.44140625" customWidth="1"/>
    <col min="17" max="17" width="24.77734375" customWidth="1"/>
    <col min="18" max="18" width="18.77734375" customWidth="1"/>
    <col min="19" max="19" width="16.33203125" customWidth="1"/>
    <col min="20" max="20" width="7.77734375" customWidth="1"/>
  </cols>
  <sheetData>
    <row r="1" spans="1:48" ht="27.45" customHeight="1" x14ac:dyDescent="0.3">
      <c r="A1" s="55" t="s">
        <v>0</v>
      </c>
      <c r="B1" s="56" t="s">
        <v>1</v>
      </c>
      <c r="C1" s="56" t="s">
        <v>2</v>
      </c>
      <c r="D1" s="57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8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8" t="s">
        <v>14</v>
      </c>
      <c r="P1" s="56" t="s">
        <v>15</v>
      </c>
      <c r="Q1" s="59" t="s">
        <v>16</v>
      </c>
      <c r="R1" s="60" t="s">
        <v>17</v>
      </c>
      <c r="S1" s="61" t="s">
        <v>18</v>
      </c>
      <c r="T1" s="62" t="s">
        <v>19</v>
      </c>
    </row>
    <row r="2" spans="1:48" s="5" customFormat="1" ht="21.6" x14ac:dyDescent="0.2">
      <c r="A2" s="15">
        <v>1</v>
      </c>
      <c r="B2" s="16" t="s">
        <v>20</v>
      </c>
      <c r="C2" s="17" t="s">
        <v>21</v>
      </c>
      <c r="D2" s="38"/>
      <c r="E2" s="39" t="s">
        <v>221</v>
      </c>
      <c r="F2" s="39" t="s">
        <v>222</v>
      </c>
      <c r="G2" s="39" t="s">
        <v>34</v>
      </c>
      <c r="H2" s="19" t="s">
        <v>223</v>
      </c>
      <c r="I2" s="20" t="s">
        <v>23</v>
      </c>
      <c r="J2" s="21">
        <v>1</v>
      </c>
      <c r="K2" s="26"/>
      <c r="L2" s="31" t="s">
        <v>224</v>
      </c>
      <c r="M2" s="1"/>
      <c r="N2" s="21">
        <v>0.95</v>
      </c>
      <c r="O2" s="21">
        <v>0.2</v>
      </c>
      <c r="P2" s="21">
        <v>0.95</v>
      </c>
      <c r="Q2" s="21">
        <f t="shared" ref="Q2:Q25" si="0">ROUND(IF(OR(N2="",P2=""),0,IF(AND(N2=0,P2=0),1,IF(S2="+",P2/N2,N2/P2))),2)</f>
        <v>1</v>
      </c>
      <c r="R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20</v>
      </c>
      <c r="S2" s="21" t="s">
        <v>24</v>
      </c>
      <c r="T2" s="23">
        <f>SUM(R2:R7)%</f>
        <v>0.91400000000000003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</v>
      </c>
      <c r="B3" s="16" t="s">
        <v>20</v>
      </c>
      <c r="C3" s="17" t="s">
        <v>21</v>
      </c>
      <c r="D3" s="38"/>
      <c r="E3" s="39" t="s">
        <v>221</v>
      </c>
      <c r="F3" s="39" t="s">
        <v>222</v>
      </c>
      <c r="G3" s="39" t="s">
        <v>34</v>
      </c>
      <c r="H3" s="19" t="s">
        <v>223</v>
      </c>
      <c r="I3" s="20" t="s">
        <v>23</v>
      </c>
      <c r="J3" s="21">
        <v>1</v>
      </c>
      <c r="K3" s="26"/>
      <c r="L3" s="31" t="s">
        <v>225</v>
      </c>
      <c r="M3" s="1"/>
      <c r="N3" s="21">
        <v>0.95</v>
      </c>
      <c r="O3" s="21">
        <v>0.2</v>
      </c>
      <c r="P3" s="21">
        <v>0.85</v>
      </c>
      <c r="Q3" s="21">
        <f t="shared" si="0"/>
        <v>0.89</v>
      </c>
      <c r="R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17.8</v>
      </c>
      <c r="S3" s="21" t="s">
        <v>24</v>
      </c>
      <c r="T3" s="2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3</v>
      </c>
      <c r="B4" s="16" t="s">
        <v>20</v>
      </c>
      <c r="C4" s="17" t="s">
        <v>21</v>
      </c>
      <c r="D4" s="38"/>
      <c r="E4" s="39" t="s">
        <v>221</v>
      </c>
      <c r="F4" s="39" t="s">
        <v>222</v>
      </c>
      <c r="G4" s="39" t="s">
        <v>34</v>
      </c>
      <c r="H4" s="19" t="s">
        <v>223</v>
      </c>
      <c r="I4" s="20" t="s">
        <v>23</v>
      </c>
      <c r="J4" s="21">
        <v>1</v>
      </c>
      <c r="K4" s="26"/>
      <c r="L4" s="31" t="s">
        <v>278</v>
      </c>
      <c r="M4" s="1"/>
      <c r="N4" s="21">
        <v>1</v>
      </c>
      <c r="O4" s="21">
        <v>0.05</v>
      </c>
      <c r="P4" s="21">
        <v>0.8</v>
      </c>
      <c r="Q4" s="21">
        <f t="shared" si="0"/>
        <v>0.8</v>
      </c>
      <c r="R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4.0000000000000009</v>
      </c>
      <c r="S4" s="21" t="s">
        <v>24</v>
      </c>
      <c r="T4" s="2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4</v>
      </c>
      <c r="B5" s="16" t="s">
        <v>20</v>
      </c>
      <c r="C5" s="17" t="s">
        <v>21</v>
      </c>
      <c r="D5" s="38"/>
      <c r="E5" s="39" t="s">
        <v>221</v>
      </c>
      <c r="F5" s="39" t="s">
        <v>222</v>
      </c>
      <c r="G5" s="39" t="s">
        <v>34</v>
      </c>
      <c r="H5" s="19" t="s">
        <v>223</v>
      </c>
      <c r="I5" s="20" t="s">
        <v>23</v>
      </c>
      <c r="J5" s="21">
        <v>1</v>
      </c>
      <c r="K5" s="26"/>
      <c r="L5" s="31" t="s">
        <v>280</v>
      </c>
      <c r="M5" s="73" t="s">
        <v>279</v>
      </c>
      <c r="N5" s="21">
        <v>1</v>
      </c>
      <c r="O5" s="21">
        <v>0.3</v>
      </c>
      <c r="P5" s="21">
        <v>0.95</v>
      </c>
      <c r="Q5" s="21">
        <f t="shared" si="0"/>
        <v>0.95</v>
      </c>
      <c r="R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28.499999999999996</v>
      </c>
      <c r="S5" s="21" t="s">
        <v>24</v>
      </c>
      <c r="T5" s="2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5</v>
      </c>
      <c r="B6" s="16" t="s">
        <v>20</v>
      </c>
      <c r="C6" s="17" t="s">
        <v>21</v>
      </c>
      <c r="D6" s="38"/>
      <c r="E6" s="39" t="s">
        <v>221</v>
      </c>
      <c r="F6" s="39" t="s">
        <v>222</v>
      </c>
      <c r="G6" s="39" t="s">
        <v>34</v>
      </c>
      <c r="H6" s="19" t="s">
        <v>223</v>
      </c>
      <c r="I6" s="20" t="s">
        <v>23</v>
      </c>
      <c r="J6" s="21">
        <v>1</v>
      </c>
      <c r="K6" s="26"/>
      <c r="L6" s="31" t="s">
        <v>140</v>
      </c>
      <c r="M6" s="73" t="s">
        <v>141</v>
      </c>
      <c r="N6" s="21">
        <v>0.9</v>
      </c>
      <c r="O6" s="21">
        <v>0.2</v>
      </c>
      <c r="P6" s="21">
        <v>0.75</v>
      </c>
      <c r="Q6" s="21">
        <f t="shared" si="0"/>
        <v>0.83</v>
      </c>
      <c r="R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16.600000000000001</v>
      </c>
      <c r="S6" s="21" t="s">
        <v>24</v>
      </c>
      <c r="T6" s="23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6</v>
      </c>
      <c r="B7" s="16" t="s">
        <v>20</v>
      </c>
      <c r="C7" s="17" t="s">
        <v>21</v>
      </c>
      <c r="D7" s="38"/>
      <c r="E7" s="39" t="s">
        <v>221</v>
      </c>
      <c r="F7" s="39" t="s">
        <v>222</v>
      </c>
      <c r="G7" s="39" t="s">
        <v>34</v>
      </c>
      <c r="H7" s="19" t="s">
        <v>223</v>
      </c>
      <c r="I7" s="20" t="s">
        <v>23</v>
      </c>
      <c r="J7" s="21">
        <v>1</v>
      </c>
      <c r="K7" s="26"/>
      <c r="L7" s="31" t="s">
        <v>226</v>
      </c>
      <c r="M7" s="73"/>
      <c r="N7" s="21">
        <v>1</v>
      </c>
      <c r="O7" s="21">
        <v>0.05</v>
      </c>
      <c r="P7" s="21">
        <v>0.9</v>
      </c>
      <c r="Q7" s="21">
        <f t="shared" si="0"/>
        <v>0.9</v>
      </c>
      <c r="R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4.5000000000000009</v>
      </c>
      <c r="S7" s="21" t="s">
        <v>24</v>
      </c>
      <c r="T7" s="23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7</v>
      </c>
      <c r="B8" s="16" t="s">
        <v>20</v>
      </c>
      <c r="C8" s="17" t="s">
        <v>21</v>
      </c>
      <c r="D8" s="34">
        <v>3076</v>
      </c>
      <c r="E8" s="39" t="s">
        <v>227</v>
      </c>
      <c r="F8" s="39" t="s">
        <v>228</v>
      </c>
      <c r="G8" s="39" t="s">
        <v>34</v>
      </c>
      <c r="H8" s="19" t="s">
        <v>223</v>
      </c>
      <c r="I8" s="20" t="s">
        <v>23</v>
      </c>
      <c r="J8" s="21">
        <v>1</v>
      </c>
      <c r="K8" s="26"/>
      <c r="L8" s="31" t="s">
        <v>224</v>
      </c>
      <c r="M8" s="73"/>
      <c r="N8" s="21">
        <v>0.95</v>
      </c>
      <c r="O8" s="21">
        <v>0.2</v>
      </c>
      <c r="P8" s="21">
        <v>0.9</v>
      </c>
      <c r="Q8" s="21">
        <f t="shared" si="0"/>
        <v>0.95</v>
      </c>
      <c r="R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19</v>
      </c>
      <c r="S8" s="21" t="s">
        <v>24</v>
      </c>
      <c r="T8" s="23">
        <f>SUM(R8:R13)%</f>
        <v>0.89549999999999996</v>
      </c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8</v>
      </c>
      <c r="B9" s="16" t="s">
        <v>20</v>
      </c>
      <c r="C9" s="17" t="s">
        <v>21</v>
      </c>
      <c r="D9" s="34">
        <v>3076</v>
      </c>
      <c r="E9" s="39" t="s">
        <v>227</v>
      </c>
      <c r="F9" s="39" t="s">
        <v>228</v>
      </c>
      <c r="G9" s="39" t="s">
        <v>34</v>
      </c>
      <c r="H9" s="19" t="s">
        <v>223</v>
      </c>
      <c r="I9" s="20" t="s">
        <v>23</v>
      </c>
      <c r="J9" s="21">
        <v>1</v>
      </c>
      <c r="K9" s="26"/>
      <c r="L9" s="31" t="s">
        <v>225</v>
      </c>
      <c r="M9" s="73"/>
      <c r="N9" s="21">
        <v>0.95</v>
      </c>
      <c r="O9" s="21">
        <v>0.2</v>
      </c>
      <c r="P9" s="21">
        <v>0.9</v>
      </c>
      <c r="Q9" s="21">
        <f t="shared" si="0"/>
        <v>0.95</v>
      </c>
      <c r="R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19</v>
      </c>
      <c r="S9" s="21" t="s">
        <v>24</v>
      </c>
      <c r="T9" s="23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9</v>
      </c>
      <c r="B10" s="16" t="s">
        <v>20</v>
      </c>
      <c r="C10" s="17" t="s">
        <v>21</v>
      </c>
      <c r="D10" s="34">
        <v>3076</v>
      </c>
      <c r="E10" s="39" t="s">
        <v>227</v>
      </c>
      <c r="F10" s="39" t="s">
        <v>228</v>
      </c>
      <c r="G10" s="39" t="s">
        <v>34</v>
      </c>
      <c r="H10" s="19" t="s">
        <v>223</v>
      </c>
      <c r="I10" s="20" t="s">
        <v>23</v>
      </c>
      <c r="J10" s="21">
        <v>1</v>
      </c>
      <c r="K10" s="26"/>
      <c r="L10" s="31" t="s">
        <v>278</v>
      </c>
      <c r="M10" s="73"/>
      <c r="N10" s="21">
        <v>1</v>
      </c>
      <c r="O10" s="21">
        <v>0.05</v>
      </c>
      <c r="P10" s="21">
        <v>0.95</v>
      </c>
      <c r="Q10" s="21">
        <f t="shared" si="0"/>
        <v>0.95</v>
      </c>
      <c r="R1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4.75</v>
      </c>
      <c r="S10" s="21" t="s">
        <v>24</v>
      </c>
      <c r="T10" s="2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10</v>
      </c>
      <c r="B11" s="16" t="s">
        <v>20</v>
      </c>
      <c r="C11" s="17" t="s">
        <v>21</v>
      </c>
      <c r="D11" s="34">
        <v>3076</v>
      </c>
      <c r="E11" s="39" t="s">
        <v>227</v>
      </c>
      <c r="F11" s="39" t="s">
        <v>228</v>
      </c>
      <c r="G11" s="39" t="s">
        <v>34</v>
      </c>
      <c r="H11" s="19" t="s">
        <v>223</v>
      </c>
      <c r="I11" s="20" t="s">
        <v>23</v>
      </c>
      <c r="J11" s="21">
        <v>1</v>
      </c>
      <c r="K11" s="26"/>
      <c r="L11" s="31" t="s">
        <v>280</v>
      </c>
      <c r="M11" s="73" t="s">
        <v>279</v>
      </c>
      <c r="N11" s="21">
        <v>1</v>
      </c>
      <c r="O11" s="21">
        <v>0.3</v>
      </c>
      <c r="P11" s="21">
        <v>0.8</v>
      </c>
      <c r="Q11" s="21">
        <f t="shared" si="0"/>
        <v>0.8</v>
      </c>
      <c r="R1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24</v>
      </c>
      <c r="S11" s="21" t="s">
        <v>24</v>
      </c>
      <c r="T11" s="2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11</v>
      </c>
      <c r="B12" s="16" t="s">
        <v>20</v>
      </c>
      <c r="C12" s="17" t="s">
        <v>21</v>
      </c>
      <c r="D12" s="34">
        <v>3076</v>
      </c>
      <c r="E12" s="39" t="s">
        <v>227</v>
      </c>
      <c r="F12" s="39" t="s">
        <v>228</v>
      </c>
      <c r="G12" s="39" t="s">
        <v>34</v>
      </c>
      <c r="H12" s="19" t="s">
        <v>223</v>
      </c>
      <c r="I12" s="20" t="s">
        <v>23</v>
      </c>
      <c r="J12" s="21">
        <v>1</v>
      </c>
      <c r="K12" s="26"/>
      <c r="L12" s="31" t="s">
        <v>140</v>
      </c>
      <c r="M12" s="73" t="s">
        <v>141</v>
      </c>
      <c r="N12" s="21">
        <v>0.9</v>
      </c>
      <c r="O12" s="21">
        <v>0.2</v>
      </c>
      <c r="P12" s="21">
        <v>0.8</v>
      </c>
      <c r="Q12" s="21">
        <f t="shared" si="0"/>
        <v>0.89</v>
      </c>
      <c r="R1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17.8</v>
      </c>
      <c r="S12" s="21" t="s">
        <v>24</v>
      </c>
      <c r="T12" s="2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12</v>
      </c>
      <c r="B13" s="16" t="s">
        <v>20</v>
      </c>
      <c r="C13" s="17" t="s">
        <v>21</v>
      </c>
      <c r="D13" s="34">
        <v>3076</v>
      </c>
      <c r="E13" s="39" t="s">
        <v>227</v>
      </c>
      <c r="F13" s="39" t="s">
        <v>228</v>
      </c>
      <c r="G13" s="39" t="s">
        <v>34</v>
      </c>
      <c r="H13" s="19" t="s">
        <v>223</v>
      </c>
      <c r="I13" s="20" t="s">
        <v>23</v>
      </c>
      <c r="J13" s="21">
        <v>1</v>
      </c>
      <c r="K13" s="26"/>
      <c r="L13" s="31" t="s">
        <v>226</v>
      </c>
      <c r="M13" s="73"/>
      <c r="N13" s="21">
        <v>1</v>
      </c>
      <c r="O13" s="21">
        <v>0.05</v>
      </c>
      <c r="P13" s="21">
        <v>1</v>
      </c>
      <c r="Q13" s="21">
        <f t="shared" si="0"/>
        <v>1</v>
      </c>
      <c r="R1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5</v>
      </c>
      <c r="S13" s="21" t="s">
        <v>24</v>
      </c>
      <c r="T13" s="2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13</v>
      </c>
      <c r="B14" s="16" t="s">
        <v>20</v>
      </c>
      <c r="C14" s="17" t="s">
        <v>21</v>
      </c>
      <c r="D14" s="38"/>
      <c r="E14" s="39" t="s">
        <v>229</v>
      </c>
      <c r="F14" s="39" t="s">
        <v>230</v>
      </c>
      <c r="G14" s="39" t="s">
        <v>34</v>
      </c>
      <c r="H14" s="19" t="s">
        <v>223</v>
      </c>
      <c r="I14" s="20" t="s">
        <v>23</v>
      </c>
      <c r="J14" s="21">
        <v>1</v>
      </c>
      <c r="K14" s="26"/>
      <c r="L14" s="31" t="s">
        <v>224</v>
      </c>
      <c r="M14" s="73"/>
      <c r="N14" s="21">
        <v>0.95</v>
      </c>
      <c r="O14" s="21">
        <v>0.2</v>
      </c>
      <c r="P14" s="21">
        <v>1</v>
      </c>
      <c r="Q14" s="21">
        <f t="shared" si="0"/>
        <v>1.05</v>
      </c>
      <c r="R1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20</v>
      </c>
      <c r="S14" s="21" t="s">
        <v>24</v>
      </c>
      <c r="T14" s="23">
        <f>SUM(R14:R19)%</f>
        <v>0.97499999999999998</v>
      </c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14</v>
      </c>
      <c r="B15" s="16" t="s">
        <v>20</v>
      </c>
      <c r="C15" s="17" t="s">
        <v>21</v>
      </c>
      <c r="D15" s="38"/>
      <c r="E15" s="39" t="s">
        <v>229</v>
      </c>
      <c r="F15" s="39" t="s">
        <v>230</v>
      </c>
      <c r="G15" s="39" t="s">
        <v>34</v>
      </c>
      <c r="H15" s="19" t="s">
        <v>223</v>
      </c>
      <c r="I15" s="20" t="s">
        <v>23</v>
      </c>
      <c r="J15" s="21">
        <v>1</v>
      </c>
      <c r="K15" s="26"/>
      <c r="L15" s="31" t="s">
        <v>225</v>
      </c>
      <c r="M15" s="73"/>
      <c r="N15" s="21">
        <v>0.95</v>
      </c>
      <c r="O15" s="21">
        <v>0.2</v>
      </c>
      <c r="P15" s="21">
        <v>1</v>
      </c>
      <c r="Q15" s="21">
        <f t="shared" si="0"/>
        <v>1.05</v>
      </c>
      <c r="R1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20</v>
      </c>
      <c r="S15" s="21" t="s">
        <v>24</v>
      </c>
      <c r="T15" s="2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15</v>
      </c>
      <c r="B16" s="16" t="s">
        <v>20</v>
      </c>
      <c r="C16" s="17" t="s">
        <v>21</v>
      </c>
      <c r="D16" s="38"/>
      <c r="E16" s="39" t="s">
        <v>229</v>
      </c>
      <c r="F16" s="39" t="s">
        <v>230</v>
      </c>
      <c r="G16" s="39" t="s">
        <v>34</v>
      </c>
      <c r="H16" s="19" t="s">
        <v>223</v>
      </c>
      <c r="I16" s="20" t="s">
        <v>23</v>
      </c>
      <c r="J16" s="21">
        <v>1</v>
      </c>
      <c r="K16" s="26"/>
      <c r="L16" s="31" t="s">
        <v>278</v>
      </c>
      <c r="M16" s="73"/>
      <c r="N16" s="21">
        <v>1</v>
      </c>
      <c r="O16" s="21">
        <v>0.05</v>
      </c>
      <c r="P16" s="21">
        <v>0.8</v>
      </c>
      <c r="Q16" s="21">
        <f t="shared" si="0"/>
        <v>0.8</v>
      </c>
      <c r="R16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4.0000000000000009</v>
      </c>
      <c r="S16" s="21" t="s">
        <v>24</v>
      </c>
      <c r="T16" s="2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16</v>
      </c>
      <c r="B17" s="16" t="s">
        <v>20</v>
      </c>
      <c r="C17" s="17" t="s">
        <v>21</v>
      </c>
      <c r="D17" s="38"/>
      <c r="E17" s="39" t="s">
        <v>229</v>
      </c>
      <c r="F17" s="39" t="s">
        <v>230</v>
      </c>
      <c r="G17" s="39" t="s">
        <v>34</v>
      </c>
      <c r="H17" s="19" t="s">
        <v>223</v>
      </c>
      <c r="I17" s="20" t="s">
        <v>23</v>
      </c>
      <c r="J17" s="21">
        <v>1</v>
      </c>
      <c r="K17" s="26"/>
      <c r="L17" s="31" t="s">
        <v>280</v>
      </c>
      <c r="M17" s="73" t="s">
        <v>279</v>
      </c>
      <c r="N17" s="21">
        <v>1</v>
      </c>
      <c r="O17" s="21">
        <v>0.3</v>
      </c>
      <c r="P17" s="21">
        <v>0.95</v>
      </c>
      <c r="Q17" s="21">
        <f t="shared" si="0"/>
        <v>0.95</v>
      </c>
      <c r="R17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28.499999999999996</v>
      </c>
      <c r="S17" s="21" t="s">
        <v>24</v>
      </c>
      <c r="T17" s="2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17</v>
      </c>
      <c r="B18" s="16" t="s">
        <v>20</v>
      </c>
      <c r="C18" s="17" t="s">
        <v>21</v>
      </c>
      <c r="D18" s="38"/>
      <c r="E18" s="39" t="s">
        <v>229</v>
      </c>
      <c r="F18" s="39" t="s">
        <v>230</v>
      </c>
      <c r="G18" s="39" t="s">
        <v>34</v>
      </c>
      <c r="H18" s="19" t="s">
        <v>223</v>
      </c>
      <c r="I18" s="20" t="s">
        <v>23</v>
      </c>
      <c r="J18" s="21">
        <v>1</v>
      </c>
      <c r="K18" s="26"/>
      <c r="L18" s="31" t="s">
        <v>140</v>
      </c>
      <c r="M18" s="73" t="s">
        <v>141</v>
      </c>
      <c r="N18" s="21">
        <v>0.9</v>
      </c>
      <c r="O18" s="21">
        <v>0.2</v>
      </c>
      <c r="P18" s="21">
        <v>0.9</v>
      </c>
      <c r="Q18" s="21">
        <f t="shared" si="0"/>
        <v>1</v>
      </c>
      <c r="R18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20</v>
      </c>
      <c r="S18" s="21" t="s">
        <v>24</v>
      </c>
      <c r="T18" s="2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18</v>
      </c>
      <c r="B19" s="16" t="s">
        <v>20</v>
      </c>
      <c r="C19" s="17" t="s">
        <v>21</v>
      </c>
      <c r="D19" s="38"/>
      <c r="E19" s="39" t="s">
        <v>229</v>
      </c>
      <c r="F19" s="39" t="s">
        <v>230</v>
      </c>
      <c r="G19" s="39" t="s">
        <v>34</v>
      </c>
      <c r="H19" s="19" t="s">
        <v>223</v>
      </c>
      <c r="I19" s="20" t="s">
        <v>23</v>
      </c>
      <c r="J19" s="21">
        <v>1</v>
      </c>
      <c r="K19" s="26"/>
      <c r="L19" s="31" t="s">
        <v>226</v>
      </c>
      <c r="M19" s="73"/>
      <c r="N19" s="21">
        <v>1</v>
      </c>
      <c r="O19" s="21">
        <v>0.05</v>
      </c>
      <c r="P19" s="21">
        <v>1</v>
      </c>
      <c r="Q19" s="21">
        <f t="shared" si="0"/>
        <v>1</v>
      </c>
      <c r="R19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5</v>
      </c>
      <c r="S19" s="21" t="s">
        <v>24</v>
      </c>
      <c r="T19" s="2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13</v>
      </c>
      <c r="B20" s="16" t="s">
        <v>20</v>
      </c>
      <c r="C20" s="17" t="s">
        <v>21</v>
      </c>
      <c r="D20" s="38"/>
      <c r="E20" s="39" t="s">
        <v>231</v>
      </c>
      <c r="F20" s="39" t="s">
        <v>223</v>
      </c>
      <c r="G20" s="39" t="s">
        <v>34</v>
      </c>
      <c r="H20" s="19" t="s">
        <v>223</v>
      </c>
      <c r="I20" s="20" t="s">
        <v>23</v>
      </c>
      <c r="J20" s="21">
        <v>1</v>
      </c>
      <c r="K20" s="26"/>
      <c r="L20" s="31" t="s">
        <v>224</v>
      </c>
      <c r="M20" s="73"/>
      <c r="N20" s="21">
        <v>0.95</v>
      </c>
      <c r="O20" s="21">
        <v>0.2</v>
      </c>
      <c r="P20" s="21">
        <v>0.9</v>
      </c>
      <c r="Q20" s="21">
        <f t="shared" si="0"/>
        <v>0.95</v>
      </c>
      <c r="R20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19</v>
      </c>
      <c r="S20" s="21" t="s">
        <v>24</v>
      </c>
      <c r="T20" s="23">
        <f>SUM(R20:R25)%</f>
        <v>0.93</v>
      </c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14</v>
      </c>
      <c r="B21" s="16" t="s">
        <v>20</v>
      </c>
      <c r="C21" s="17" t="s">
        <v>21</v>
      </c>
      <c r="D21" s="38"/>
      <c r="E21" s="39" t="s">
        <v>231</v>
      </c>
      <c r="F21" s="39" t="s">
        <v>223</v>
      </c>
      <c r="G21" s="39" t="s">
        <v>34</v>
      </c>
      <c r="H21" s="19" t="s">
        <v>223</v>
      </c>
      <c r="I21" s="20" t="s">
        <v>23</v>
      </c>
      <c r="J21" s="21">
        <v>1</v>
      </c>
      <c r="K21" s="26"/>
      <c r="L21" s="31" t="s">
        <v>225</v>
      </c>
      <c r="M21" s="73"/>
      <c r="N21" s="21">
        <v>0.95</v>
      </c>
      <c r="O21" s="21">
        <v>0.2</v>
      </c>
      <c r="P21" s="21">
        <v>0.9</v>
      </c>
      <c r="Q21" s="21">
        <f t="shared" si="0"/>
        <v>0.95</v>
      </c>
      <c r="R21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19</v>
      </c>
      <c r="S21" s="21" t="s">
        <v>24</v>
      </c>
      <c r="T21" s="2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15</v>
      </c>
      <c r="B22" s="16" t="s">
        <v>20</v>
      </c>
      <c r="C22" s="17" t="s">
        <v>21</v>
      </c>
      <c r="D22" s="38"/>
      <c r="E22" s="39" t="s">
        <v>231</v>
      </c>
      <c r="F22" s="39" t="s">
        <v>223</v>
      </c>
      <c r="G22" s="39" t="s">
        <v>34</v>
      </c>
      <c r="H22" s="19" t="s">
        <v>223</v>
      </c>
      <c r="I22" s="20" t="s">
        <v>23</v>
      </c>
      <c r="J22" s="21">
        <v>1</v>
      </c>
      <c r="K22" s="26"/>
      <c r="L22" s="31" t="s">
        <v>278</v>
      </c>
      <c r="M22" s="73"/>
      <c r="N22" s="21">
        <v>1</v>
      </c>
      <c r="O22" s="21">
        <v>0.05</v>
      </c>
      <c r="P22" s="21">
        <v>0.9</v>
      </c>
      <c r="Q22" s="21">
        <f t="shared" si="0"/>
        <v>0.9</v>
      </c>
      <c r="R22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4.5000000000000009</v>
      </c>
      <c r="S22" s="21" t="s">
        <v>24</v>
      </c>
      <c r="T22" s="2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16</v>
      </c>
      <c r="B23" s="16" t="s">
        <v>20</v>
      </c>
      <c r="C23" s="17" t="s">
        <v>21</v>
      </c>
      <c r="D23" s="38"/>
      <c r="E23" s="39" t="s">
        <v>231</v>
      </c>
      <c r="F23" s="39" t="s">
        <v>223</v>
      </c>
      <c r="G23" s="39" t="s">
        <v>34</v>
      </c>
      <c r="H23" s="19" t="s">
        <v>223</v>
      </c>
      <c r="I23" s="20" t="s">
        <v>23</v>
      </c>
      <c r="J23" s="21">
        <v>1</v>
      </c>
      <c r="K23" s="26"/>
      <c r="L23" s="31" t="s">
        <v>280</v>
      </c>
      <c r="M23" s="73" t="s">
        <v>279</v>
      </c>
      <c r="N23" s="21">
        <v>1</v>
      </c>
      <c r="O23" s="21">
        <v>0.3</v>
      </c>
      <c r="P23" s="21">
        <v>0.85</v>
      </c>
      <c r="Q23" s="21">
        <f t="shared" si="0"/>
        <v>0.85</v>
      </c>
      <c r="R23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25.5</v>
      </c>
      <c r="S23" s="21" t="s">
        <v>24</v>
      </c>
      <c r="T23" s="2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17</v>
      </c>
      <c r="B24" s="16" t="s">
        <v>20</v>
      </c>
      <c r="C24" s="17" t="s">
        <v>21</v>
      </c>
      <c r="D24" s="38"/>
      <c r="E24" s="39" t="s">
        <v>231</v>
      </c>
      <c r="F24" s="39" t="s">
        <v>223</v>
      </c>
      <c r="G24" s="39" t="s">
        <v>34</v>
      </c>
      <c r="H24" s="19" t="s">
        <v>223</v>
      </c>
      <c r="I24" s="20" t="s">
        <v>23</v>
      </c>
      <c r="J24" s="21">
        <v>1</v>
      </c>
      <c r="K24" s="26"/>
      <c r="L24" s="31" t="s">
        <v>140</v>
      </c>
      <c r="M24" s="73" t="s">
        <v>141</v>
      </c>
      <c r="N24" s="21">
        <v>0.9</v>
      </c>
      <c r="O24" s="21">
        <v>0.2</v>
      </c>
      <c r="P24" s="21">
        <v>0.9</v>
      </c>
      <c r="Q24" s="21">
        <f t="shared" si="0"/>
        <v>1</v>
      </c>
      <c r="R24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20</v>
      </c>
      <c r="S24" s="21" t="s">
        <v>24</v>
      </c>
      <c r="T24" s="2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18</v>
      </c>
      <c r="B25" s="16" t="s">
        <v>20</v>
      </c>
      <c r="C25" s="17" t="s">
        <v>21</v>
      </c>
      <c r="D25" s="38"/>
      <c r="E25" s="39" t="s">
        <v>231</v>
      </c>
      <c r="F25" s="39" t="s">
        <v>223</v>
      </c>
      <c r="G25" s="39" t="s">
        <v>34</v>
      </c>
      <c r="H25" s="19" t="s">
        <v>223</v>
      </c>
      <c r="I25" s="20" t="s">
        <v>23</v>
      </c>
      <c r="J25" s="21">
        <v>1</v>
      </c>
      <c r="K25" s="26"/>
      <c r="L25" s="31" t="s">
        <v>226</v>
      </c>
      <c r="M25" s="73"/>
      <c r="N25" s="21">
        <v>1</v>
      </c>
      <c r="O25" s="21">
        <v>0.05</v>
      </c>
      <c r="P25" s="21">
        <v>1</v>
      </c>
      <c r="Q25" s="21">
        <f t="shared" si="0"/>
        <v>1</v>
      </c>
      <c r="R25" s="22">
        <f>IF(AND(Table1[[#This Row],[Percentage Achievement]]&gt;=60%,Table1[[#This Row],[Percentage Achievement]]&lt;100%),Table1[[#This Row],[Percentage Achievement]]*((Table1[[#This Row],[KPI weight]]*Table1[[#This Row],[obj weight]])),IF(Table1[[#This Row],[Percentage Achievement]]=100%,((Table1[[#This Row],[KPI weight]]*Table1[[#This Row],[obj weight]])*Table1[[#This Row],[Percentage Achievement]])*100%,IF(Table1[[#This Row],[Percentage Achievement]]&gt;100%,((Table1[[#This Row],[obj weight]]*Table1[[#This Row],[KPI weight]])*100%)*100%,0)))*100</f>
        <v>5</v>
      </c>
      <c r="S25" s="21" t="s">
        <v>24</v>
      </c>
      <c r="T25" s="2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</sheetData>
  <conditionalFormatting sqref="I1 K1:M1">
    <cfRule type="cellIs" dxfId="57" priority="7" operator="equal">
      <formula>"maintasks"</formula>
    </cfRule>
  </conditionalFormatting>
  <conditionalFormatting sqref="I2:I25 K2:M5 K6:K25">
    <cfRule type="cellIs" dxfId="56" priority="6" operator="equal">
      <formula>"maintasks"</formula>
    </cfRule>
  </conditionalFormatting>
  <conditionalFormatting sqref="L6:M25">
    <cfRule type="cellIs" dxfId="55" priority="1" operator="equal">
      <formula>"maintasks"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328-E185-4030-83A4-3626D4D9F8BE}">
  <sheetPr>
    <tabColor rgb="FF00B050"/>
  </sheetPr>
  <dimension ref="A1:AV43"/>
  <sheetViews>
    <sheetView zoomScale="115" zoomScaleNormal="115"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P9" sqref="P9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3"/>
    <col min="5" max="5" width="19.77734375" style="33" bestFit="1" customWidth="1"/>
    <col min="6" max="6" width="12" style="33" customWidth="1"/>
    <col min="7" max="7" width="12.44140625" style="33" customWidth="1"/>
    <col min="8" max="8" width="16.5546875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7.88671875" style="33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21</v>
      </c>
      <c r="D2" s="34">
        <v>5021</v>
      </c>
      <c r="E2" s="16" t="s">
        <v>232</v>
      </c>
      <c r="F2" s="19" t="s">
        <v>128</v>
      </c>
      <c r="G2" s="16" t="s">
        <v>53</v>
      </c>
      <c r="H2" s="19" t="s">
        <v>233</v>
      </c>
      <c r="I2" s="20" t="s">
        <v>23</v>
      </c>
      <c r="J2" s="21">
        <v>0.7</v>
      </c>
      <c r="K2" s="26" t="s">
        <v>234</v>
      </c>
      <c r="L2" s="31" t="s">
        <v>235</v>
      </c>
      <c r="M2" s="1" t="s">
        <v>236</v>
      </c>
      <c r="N2" s="21">
        <v>0.95</v>
      </c>
      <c r="O2" s="21">
        <v>0.2</v>
      </c>
      <c r="P2" s="71">
        <v>0.1988</v>
      </c>
      <c r="Q2" s="21">
        <f t="shared" ref="Q2:Q8" si="0">ROUND(IF(OR(N2="",P2=""),0,IF(AND(N2=0,P2=0),1,IF(S2="+",P2/N2,N2/P2))),2)</f>
        <v>0.21</v>
      </c>
      <c r="R2" s="22">
        <f t="shared" ref="R2:R12" si="1">IF(AND(Q2&gt;=60%,Q2&lt;100%),Q2*((O2*J2)),IF(Q2=100%,((O2*J2)*Q2)*100%,IF(Q2&gt;100%,((J2*O2)*100%)*100%,0)))*100</f>
        <v>0</v>
      </c>
      <c r="S2" s="21" t="s">
        <v>24</v>
      </c>
      <c r="T2" s="23">
        <f>SUM(R2:R7)%</f>
        <v>0.77520000000000011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2071</v>
      </c>
      <c r="B3" s="16" t="s">
        <v>20</v>
      </c>
      <c r="C3" s="17" t="s">
        <v>21</v>
      </c>
      <c r="D3" s="34">
        <v>5021</v>
      </c>
      <c r="E3" s="16" t="s">
        <v>232</v>
      </c>
      <c r="F3" s="19" t="s">
        <v>128</v>
      </c>
      <c r="G3" s="16" t="s">
        <v>53</v>
      </c>
      <c r="H3" s="19" t="s">
        <v>233</v>
      </c>
      <c r="I3" s="20" t="s">
        <v>23</v>
      </c>
      <c r="J3" s="21">
        <v>0.7</v>
      </c>
      <c r="K3" s="26" t="s">
        <v>237</v>
      </c>
      <c r="L3" s="31" t="s">
        <v>238</v>
      </c>
      <c r="M3" s="26" t="s">
        <v>239</v>
      </c>
      <c r="N3" s="21">
        <v>0.9</v>
      </c>
      <c r="O3" s="21">
        <v>0.2</v>
      </c>
      <c r="P3" s="25">
        <v>0.7</v>
      </c>
      <c r="Q3" s="21">
        <f>ROUND(IF(OR(N3="",P3=""),0,IF(AND(N3=0,P3=0),1,IF(S3="+",P3/N3,N3/P3))),2)</f>
        <v>0.78</v>
      </c>
      <c r="R3" s="22">
        <f t="shared" si="1"/>
        <v>10.92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2072</v>
      </c>
      <c r="B4" s="16" t="s">
        <v>20</v>
      </c>
      <c r="C4" s="17" t="s">
        <v>21</v>
      </c>
      <c r="D4" s="34">
        <v>5021</v>
      </c>
      <c r="E4" s="16" t="s">
        <v>232</v>
      </c>
      <c r="F4" s="19" t="s">
        <v>128</v>
      </c>
      <c r="G4" s="16" t="s">
        <v>53</v>
      </c>
      <c r="H4" s="19" t="s">
        <v>233</v>
      </c>
      <c r="I4" s="20" t="s">
        <v>23</v>
      </c>
      <c r="J4" s="21">
        <v>0.7</v>
      </c>
      <c r="K4" s="26" t="s">
        <v>240</v>
      </c>
      <c r="L4" s="31" t="s">
        <v>241</v>
      </c>
      <c r="M4" s="26" t="s">
        <v>242</v>
      </c>
      <c r="N4" s="21">
        <v>0.95</v>
      </c>
      <c r="O4" s="21">
        <v>0.2</v>
      </c>
      <c r="P4" s="25">
        <v>0.81</v>
      </c>
      <c r="Q4" s="21">
        <f t="shared" si="0"/>
        <v>0.85</v>
      </c>
      <c r="R4" s="22">
        <f t="shared" si="1"/>
        <v>11.899999999999999</v>
      </c>
      <c r="S4" s="21" t="s">
        <v>24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2073</v>
      </c>
      <c r="B5" s="16" t="s">
        <v>20</v>
      </c>
      <c r="C5" s="17" t="s">
        <v>21</v>
      </c>
      <c r="D5" s="34">
        <v>5021</v>
      </c>
      <c r="E5" s="16" t="s">
        <v>232</v>
      </c>
      <c r="F5" s="19" t="s">
        <v>128</v>
      </c>
      <c r="G5" s="16" t="s">
        <v>53</v>
      </c>
      <c r="H5" s="19" t="s">
        <v>233</v>
      </c>
      <c r="I5" s="20" t="s">
        <v>23</v>
      </c>
      <c r="J5" s="21">
        <v>0.7</v>
      </c>
      <c r="K5" s="26" t="s">
        <v>243</v>
      </c>
      <c r="L5" s="31" t="s">
        <v>244</v>
      </c>
      <c r="M5" s="26" t="s">
        <v>245</v>
      </c>
      <c r="N5" s="21">
        <v>1</v>
      </c>
      <c r="O5" s="21">
        <v>0.2</v>
      </c>
      <c r="P5" s="64">
        <v>1</v>
      </c>
      <c r="Q5" s="21">
        <f t="shared" si="0"/>
        <v>1</v>
      </c>
      <c r="R5" s="22">
        <f t="shared" si="1"/>
        <v>13.999999999999998</v>
      </c>
      <c r="S5" s="21" t="s">
        <v>24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2074</v>
      </c>
      <c r="B6" s="16" t="s">
        <v>20</v>
      </c>
      <c r="C6" s="17" t="s">
        <v>21</v>
      </c>
      <c r="D6" s="34">
        <v>5021</v>
      </c>
      <c r="E6" s="16" t="s">
        <v>232</v>
      </c>
      <c r="F6" s="19" t="s">
        <v>128</v>
      </c>
      <c r="G6" s="16" t="s">
        <v>53</v>
      </c>
      <c r="H6" s="19" t="s">
        <v>233</v>
      </c>
      <c r="I6" s="20" t="s">
        <v>23</v>
      </c>
      <c r="J6" s="21">
        <v>0.7</v>
      </c>
      <c r="K6" s="26" t="s">
        <v>142</v>
      </c>
      <c r="L6" s="31" t="s">
        <v>143</v>
      </c>
      <c r="M6" s="26" t="s">
        <v>246</v>
      </c>
      <c r="N6" s="64">
        <v>1</v>
      </c>
      <c r="O6" s="21">
        <v>0.2</v>
      </c>
      <c r="P6" s="28">
        <v>0.5</v>
      </c>
      <c r="Q6" s="21">
        <f t="shared" si="0"/>
        <v>2</v>
      </c>
      <c r="R6" s="22">
        <f t="shared" si="1"/>
        <v>13.999999999999998</v>
      </c>
      <c r="S6" s="21" t="s">
        <v>25</v>
      </c>
      <c r="T6" s="21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21</v>
      </c>
      <c r="D7" s="34">
        <v>5021</v>
      </c>
      <c r="E7" s="16" t="s">
        <v>232</v>
      </c>
      <c r="F7" s="19" t="s">
        <v>128</v>
      </c>
      <c r="G7" s="16" t="s">
        <v>53</v>
      </c>
      <c r="H7" s="19" t="s">
        <v>233</v>
      </c>
      <c r="I7" s="27" t="s">
        <v>27</v>
      </c>
      <c r="J7" s="63">
        <v>0.3</v>
      </c>
      <c r="K7" s="27" t="s">
        <v>247</v>
      </c>
      <c r="L7" s="32" t="s">
        <v>248</v>
      </c>
      <c r="M7" s="27" t="s">
        <v>249</v>
      </c>
      <c r="N7" s="28">
        <v>0.9</v>
      </c>
      <c r="O7" s="29">
        <v>1</v>
      </c>
      <c r="P7" s="28">
        <v>0.8</v>
      </c>
      <c r="Q7" s="29">
        <f t="shared" si="0"/>
        <v>0.89</v>
      </c>
      <c r="R7" s="30">
        <f t="shared" si="1"/>
        <v>26.700000000000003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2070</v>
      </c>
      <c r="B8" s="16" t="s">
        <v>20</v>
      </c>
      <c r="C8" s="17" t="s">
        <v>21</v>
      </c>
      <c r="D8" s="34">
        <v>5676</v>
      </c>
      <c r="E8" s="16" t="s">
        <v>250</v>
      </c>
      <c r="F8" s="19" t="s">
        <v>128</v>
      </c>
      <c r="G8" s="16" t="s">
        <v>53</v>
      </c>
      <c r="H8" s="19" t="s">
        <v>233</v>
      </c>
      <c r="I8" s="20" t="s">
        <v>23</v>
      </c>
      <c r="J8" s="21">
        <v>0.7</v>
      </c>
      <c r="K8" s="26" t="s">
        <v>234</v>
      </c>
      <c r="L8" s="31" t="s">
        <v>235</v>
      </c>
      <c r="M8" s="1" t="s">
        <v>236</v>
      </c>
      <c r="N8" s="21">
        <v>0.95</v>
      </c>
      <c r="O8" s="21">
        <v>0.2</v>
      </c>
      <c r="P8" s="71">
        <v>0.1988</v>
      </c>
      <c r="Q8" s="21">
        <f t="shared" si="0"/>
        <v>0.21</v>
      </c>
      <c r="R8" s="22">
        <f t="shared" si="1"/>
        <v>0</v>
      </c>
      <c r="S8" s="21" t="s">
        <v>24</v>
      </c>
      <c r="T8" s="23">
        <f>SUM(R8:R13)%</f>
        <v>0.75979999999999992</v>
      </c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2071</v>
      </c>
      <c r="B9" s="16" t="s">
        <v>20</v>
      </c>
      <c r="C9" s="17" t="s">
        <v>21</v>
      </c>
      <c r="D9" s="34">
        <v>5676</v>
      </c>
      <c r="E9" s="16" t="s">
        <v>250</v>
      </c>
      <c r="F9" s="19" t="s">
        <v>128</v>
      </c>
      <c r="G9" s="16" t="s">
        <v>53</v>
      </c>
      <c r="H9" s="19" t="s">
        <v>233</v>
      </c>
      <c r="I9" s="20" t="s">
        <v>23</v>
      </c>
      <c r="J9" s="21">
        <v>0.7</v>
      </c>
      <c r="K9" s="26" t="s">
        <v>237</v>
      </c>
      <c r="L9" s="31" t="s">
        <v>238</v>
      </c>
      <c r="M9" s="26" t="s">
        <v>239</v>
      </c>
      <c r="N9" s="21">
        <v>0.9</v>
      </c>
      <c r="O9" s="21">
        <v>0.2</v>
      </c>
      <c r="P9" s="21">
        <v>0.6</v>
      </c>
      <c r="Q9" s="21">
        <f>ROUND(IF(OR(N9="",P9=""),0,IF(AND(N9=0,P9=0),1,IF(S9="+",P9/N9,N9/P9))),2)</f>
        <v>0.67</v>
      </c>
      <c r="R9" s="22">
        <f t="shared" si="1"/>
        <v>9.379999999999999</v>
      </c>
      <c r="S9" s="21" t="s">
        <v>24</v>
      </c>
      <c r="T9" s="21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2072</v>
      </c>
      <c r="B10" s="16" t="s">
        <v>20</v>
      </c>
      <c r="C10" s="17" t="s">
        <v>21</v>
      </c>
      <c r="D10" s="34">
        <v>5676</v>
      </c>
      <c r="E10" s="16" t="s">
        <v>250</v>
      </c>
      <c r="F10" s="19" t="s">
        <v>128</v>
      </c>
      <c r="G10" s="16" t="s">
        <v>53</v>
      </c>
      <c r="H10" s="19" t="s">
        <v>233</v>
      </c>
      <c r="I10" s="20" t="s">
        <v>23</v>
      </c>
      <c r="J10" s="21">
        <v>0.7</v>
      </c>
      <c r="K10" s="26" t="s">
        <v>240</v>
      </c>
      <c r="L10" s="31" t="s">
        <v>241</v>
      </c>
      <c r="M10" s="26" t="s">
        <v>242</v>
      </c>
      <c r="N10" s="21">
        <v>0.95</v>
      </c>
      <c r="O10" s="21">
        <v>0.2</v>
      </c>
      <c r="P10" s="25">
        <v>0.81</v>
      </c>
      <c r="Q10" s="21">
        <f t="shared" ref="Q10:Q12" si="2">ROUND(IF(OR(N10="",P10=""),0,IF(AND(N10=0,P10=0),1,IF(S10="+",P10/N10,N10/P10))),2)</f>
        <v>0.85</v>
      </c>
      <c r="R10" s="22">
        <f t="shared" si="1"/>
        <v>11.899999999999999</v>
      </c>
      <c r="S10" s="21" t="s">
        <v>24</v>
      </c>
      <c r="T10" s="21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2073</v>
      </c>
      <c r="B11" s="16" t="s">
        <v>20</v>
      </c>
      <c r="C11" s="17" t="s">
        <v>21</v>
      </c>
      <c r="D11" s="34">
        <v>5676</v>
      </c>
      <c r="E11" s="16" t="s">
        <v>250</v>
      </c>
      <c r="F11" s="19" t="s">
        <v>128</v>
      </c>
      <c r="G11" s="16" t="s">
        <v>53</v>
      </c>
      <c r="H11" s="19" t="s">
        <v>233</v>
      </c>
      <c r="I11" s="20" t="s">
        <v>23</v>
      </c>
      <c r="J11" s="21">
        <v>0.7</v>
      </c>
      <c r="K11" s="26" t="s">
        <v>243</v>
      </c>
      <c r="L11" s="31" t="s">
        <v>244</v>
      </c>
      <c r="M11" s="26" t="s">
        <v>245</v>
      </c>
      <c r="N11" s="21">
        <v>1</v>
      </c>
      <c r="O11" s="21">
        <v>0.2</v>
      </c>
      <c r="P11" s="64">
        <v>1</v>
      </c>
      <c r="Q11" s="21">
        <f t="shared" si="2"/>
        <v>1</v>
      </c>
      <c r="R11" s="22">
        <f t="shared" si="1"/>
        <v>13.999999999999998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2074</v>
      </c>
      <c r="B12" s="16" t="s">
        <v>20</v>
      </c>
      <c r="C12" s="17" t="s">
        <v>21</v>
      </c>
      <c r="D12" s="34">
        <v>5676</v>
      </c>
      <c r="E12" s="16" t="s">
        <v>250</v>
      </c>
      <c r="F12" s="19" t="s">
        <v>128</v>
      </c>
      <c r="G12" s="16" t="s">
        <v>53</v>
      </c>
      <c r="H12" s="19" t="s">
        <v>233</v>
      </c>
      <c r="I12" s="20" t="s">
        <v>23</v>
      </c>
      <c r="J12" s="21">
        <v>0.7</v>
      </c>
      <c r="K12" s="26" t="s">
        <v>142</v>
      </c>
      <c r="L12" s="31" t="s">
        <v>143</v>
      </c>
      <c r="M12" s="26" t="s">
        <v>246</v>
      </c>
      <c r="N12" s="64">
        <v>1</v>
      </c>
      <c r="O12" s="21">
        <v>0.2</v>
      </c>
      <c r="P12" s="28">
        <v>0.5</v>
      </c>
      <c r="Q12" s="21">
        <f t="shared" si="2"/>
        <v>2</v>
      </c>
      <c r="R12" s="22">
        <f t="shared" si="1"/>
        <v>13.999999999999998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2076</v>
      </c>
      <c r="B13" s="16" t="s">
        <v>20</v>
      </c>
      <c r="C13" s="17" t="s">
        <v>21</v>
      </c>
      <c r="D13" s="34">
        <v>5676</v>
      </c>
      <c r="E13" s="16" t="s">
        <v>250</v>
      </c>
      <c r="F13" s="19" t="s">
        <v>128</v>
      </c>
      <c r="G13" s="16" t="s">
        <v>53</v>
      </c>
      <c r="H13" s="19" t="s">
        <v>233</v>
      </c>
      <c r="I13" s="27" t="s">
        <v>27</v>
      </c>
      <c r="J13" s="63">
        <v>0.3</v>
      </c>
      <c r="K13" s="27" t="s">
        <v>247</v>
      </c>
      <c r="L13" s="32" t="s">
        <v>248</v>
      </c>
      <c r="M13" s="27" t="s">
        <v>249</v>
      </c>
      <c r="N13" s="28">
        <v>0.9</v>
      </c>
      <c r="O13" s="29">
        <v>1</v>
      </c>
      <c r="P13" s="28">
        <v>0.8</v>
      </c>
      <c r="Q13" s="29">
        <f t="shared" ref="Q13:Q14" si="3">ROUND(IF(OR(N13="",P13=""),0,IF(AND(N13=0,P13=0),1,IF(S13="+",P13/N13,N13/P13))),2)</f>
        <v>0.89</v>
      </c>
      <c r="R13" s="30">
        <f t="shared" ref="R13:R18" si="4">IF(AND(Q13&gt;=60%,Q13&lt;100%),Q13*((O13*J13)),IF(Q13=100%,((O13*J13)*Q13)*100%,IF(Q13&gt;100%,((J13*O13)*100%)*100%,0)))*100</f>
        <v>26.700000000000003</v>
      </c>
      <c r="S13" s="29" t="s">
        <v>24</v>
      </c>
      <c r="T13" s="29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2070</v>
      </c>
      <c r="B14" s="16" t="s">
        <v>20</v>
      </c>
      <c r="C14" s="17" t="s">
        <v>21</v>
      </c>
      <c r="D14" s="34">
        <v>5988</v>
      </c>
      <c r="E14" s="16" t="s">
        <v>251</v>
      </c>
      <c r="F14" s="19" t="s">
        <v>128</v>
      </c>
      <c r="G14" s="16" t="s">
        <v>53</v>
      </c>
      <c r="H14" s="19" t="s">
        <v>233</v>
      </c>
      <c r="I14" s="20" t="s">
        <v>23</v>
      </c>
      <c r="J14" s="21">
        <v>0.7</v>
      </c>
      <c r="K14" s="26" t="s">
        <v>234</v>
      </c>
      <c r="L14" s="31" t="s">
        <v>235</v>
      </c>
      <c r="M14" s="1" t="s">
        <v>236</v>
      </c>
      <c r="N14" s="21">
        <v>0.95</v>
      </c>
      <c r="O14" s="21">
        <v>0.2</v>
      </c>
      <c r="P14" s="71">
        <v>0.1988</v>
      </c>
      <c r="Q14" s="21">
        <f t="shared" si="3"/>
        <v>0.21</v>
      </c>
      <c r="R14" s="22">
        <f t="shared" si="4"/>
        <v>0</v>
      </c>
      <c r="S14" s="21" t="s">
        <v>24</v>
      </c>
      <c r="T14" s="23">
        <f>SUM(R14:R19)%</f>
        <v>0.61980000000000002</v>
      </c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2071</v>
      </c>
      <c r="B15" s="16" t="s">
        <v>20</v>
      </c>
      <c r="C15" s="17" t="s">
        <v>21</v>
      </c>
      <c r="D15" s="34">
        <v>5989</v>
      </c>
      <c r="E15" s="16" t="s">
        <v>251</v>
      </c>
      <c r="F15" s="19" t="s">
        <v>128</v>
      </c>
      <c r="G15" s="16" t="s">
        <v>53</v>
      </c>
      <c r="H15" s="19" t="s">
        <v>233</v>
      </c>
      <c r="I15" s="20" t="s">
        <v>23</v>
      </c>
      <c r="J15" s="21">
        <v>0.7</v>
      </c>
      <c r="K15" s="26" t="s">
        <v>237</v>
      </c>
      <c r="L15" s="31" t="s">
        <v>238</v>
      </c>
      <c r="M15" s="26" t="s">
        <v>239</v>
      </c>
      <c r="N15" s="21">
        <v>0.9</v>
      </c>
      <c r="O15" s="21">
        <v>0.2</v>
      </c>
      <c r="P15" s="21">
        <v>0.6</v>
      </c>
      <c r="Q15" s="21">
        <f>ROUND(IF(OR(N15="",P15=""),0,IF(AND(N15=0,P15=0),1,IF(S15="+",P15/N15,N15/P15))),2)</f>
        <v>0.67</v>
      </c>
      <c r="R15" s="22">
        <f t="shared" si="4"/>
        <v>9.379999999999999</v>
      </c>
      <c r="S15" s="21" t="s">
        <v>24</v>
      </c>
      <c r="T15" s="21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2072</v>
      </c>
      <c r="B16" s="16" t="s">
        <v>20</v>
      </c>
      <c r="C16" s="17" t="s">
        <v>21</v>
      </c>
      <c r="D16" s="34">
        <v>5990</v>
      </c>
      <c r="E16" s="16" t="s">
        <v>251</v>
      </c>
      <c r="F16" s="19" t="s">
        <v>128</v>
      </c>
      <c r="G16" s="16" t="s">
        <v>53</v>
      </c>
      <c r="H16" s="19" t="s">
        <v>233</v>
      </c>
      <c r="I16" s="20" t="s">
        <v>23</v>
      </c>
      <c r="J16" s="21">
        <v>0.7</v>
      </c>
      <c r="K16" s="26" t="s">
        <v>240</v>
      </c>
      <c r="L16" s="31" t="s">
        <v>241</v>
      </c>
      <c r="M16" s="26" t="s">
        <v>242</v>
      </c>
      <c r="N16" s="21">
        <v>0.95</v>
      </c>
      <c r="O16" s="21">
        <v>0.2</v>
      </c>
      <c r="P16" s="25">
        <v>0.81</v>
      </c>
      <c r="Q16" s="21">
        <f t="shared" ref="Q16:Q18" si="5">ROUND(IF(OR(N16="",P16=""),0,IF(AND(N16=0,P16=0),1,IF(S16="+",P16/N16,N16/P16))),2)</f>
        <v>0.85</v>
      </c>
      <c r="R16" s="22">
        <f t="shared" si="4"/>
        <v>11.899999999999999</v>
      </c>
      <c r="S16" s="21" t="s">
        <v>24</v>
      </c>
      <c r="T16" s="21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2073</v>
      </c>
      <c r="B17" s="16" t="s">
        <v>20</v>
      </c>
      <c r="C17" s="17" t="s">
        <v>21</v>
      </c>
      <c r="D17" s="34">
        <v>5991</v>
      </c>
      <c r="E17" s="16" t="s">
        <v>251</v>
      </c>
      <c r="F17" s="19" t="s">
        <v>128</v>
      </c>
      <c r="G17" s="16" t="s">
        <v>53</v>
      </c>
      <c r="H17" s="19" t="s">
        <v>233</v>
      </c>
      <c r="I17" s="20" t="s">
        <v>23</v>
      </c>
      <c r="J17" s="21">
        <v>0.7</v>
      </c>
      <c r="K17" s="26" t="s">
        <v>243</v>
      </c>
      <c r="L17" s="31" t="s">
        <v>244</v>
      </c>
      <c r="M17" s="26" t="s">
        <v>245</v>
      </c>
      <c r="N17" s="21">
        <v>1</v>
      </c>
      <c r="O17" s="21">
        <v>0.2</v>
      </c>
      <c r="P17" s="64">
        <v>0.5</v>
      </c>
      <c r="Q17" s="21">
        <f t="shared" si="5"/>
        <v>0.5</v>
      </c>
      <c r="R17" s="22">
        <f t="shared" si="4"/>
        <v>0</v>
      </c>
      <c r="S17" s="21" t="s">
        <v>24</v>
      </c>
      <c r="T17" s="21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2074</v>
      </c>
      <c r="B18" s="16" t="s">
        <v>20</v>
      </c>
      <c r="C18" s="17" t="s">
        <v>21</v>
      </c>
      <c r="D18" s="34">
        <v>5992</v>
      </c>
      <c r="E18" s="16" t="s">
        <v>251</v>
      </c>
      <c r="F18" s="19" t="s">
        <v>128</v>
      </c>
      <c r="G18" s="16" t="s">
        <v>53</v>
      </c>
      <c r="H18" s="19" t="s">
        <v>233</v>
      </c>
      <c r="I18" s="20" t="s">
        <v>23</v>
      </c>
      <c r="J18" s="21">
        <v>0.7</v>
      </c>
      <c r="K18" s="26" t="s">
        <v>142</v>
      </c>
      <c r="L18" s="31" t="s">
        <v>143</v>
      </c>
      <c r="M18" s="26" t="s">
        <v>246</v>
      </c>
      <c r="N18" s="64">
        <v>1</v>
      </c>
      <c r="O18" s="21">
        <v>0.2</v>
      </c>
      <c r="P18" s="28">
        <v>0.5</v>
      </c>
      <c r="Q18" s="21">
        <f t="shared" si="5"/>
        <v>2</v>
      </c>
      <c r="R18" s="22">
        <f t="shared" si="4"/>
        <v>13.999999999999998</v>
      </c>
      <c r="S18" s="21" t="s">
        <v>25</v>
      </c>
      <c r="T18" s="21"/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2076</v>
      </c>
      <c r="B19" s="16" t="s">
        <v>20</v>
      </c>
      <c r="C19" s="17" t="s">
        <v>21</v>
      </c>
      <c r="D19" s="34">
        <v>5994</v>
      </c>
      <c r="E19" s="16" t="s">
        <v>251</v>
      </c>
      <c r="F19" s="19" t="s">
        <v>128</v>
      </c>
      <c r="G19" s="16" t="s">
        <v>53</v>
      </c>
      <c r="H19" s="19" t="s">
        <v>233</v>
      </c>
      <c r="I19" s="27" t="s">
        <v>27</v>
      </c>
      <c r="J19" s="63">
        <v>0.3</v>
      </c>
      <c r="K19" s="27" t="s">
        <v>247</v>
      </c>
      <c r="L19" s="32" t="s">
        <v>248</v>
      </c>
      <c r="M19" s="27" t="s">
        <v>249</v>
      </c>
      <c r="N19" s="28">
        <v>0.9</v>
      </c>
      <c r="O19" s="29">
        <v>1</v>
      </c>
      <c r="P19" s="28">
        <v>0.8</v>
      </c>
      <c r="Q19" s="29">
        <f t="shared" ref="Q19:Q20" si="6">ROUND(IF(OR(N19="",P19=""),0,IF(AND(N19=0,P19=0),1,IF(S19="+",P19/N19,N19/P19))),2)</f>
        <v>0.89</v>
      </c>
      <c r="R19" s="30">
        <f t="shared" ref="R19:R24" si="7">IF(AND(Q19&gt;=60%,Q19&lt;100%),Q19*((O19*J19)),IF(Q19=100%,((O19*J19)*Q19)*100%,IF(Q19&gt;100%,((J19*O19)*100%)*100%,0)))*100</f>
        <v>26.700000000000003</v>
      </c>
      <c r="S19" s="29" t="s">
        <v>24</v>
      </c>
      <c r="T19" s="29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2070</v>
      </c>
      <c r="B20" s="16" t="s">
        <v>20</v>
      </c>
      <c r="C20" s="17" t="s">
        <v>21</v>
      </c>
      <c r="D20" s="34">
        <v>6174</v>
      </c>
      <c r="E20" s="16" t="s">
        <v>252</v>
      </c>
      <c r="F20" s="19" t="s">
        <v>128</v>
      </c>
      <c r="G20" s="16" t="s">
        <v>53</v>
      </c>
      <c r="H20" s="19" t="s">
        <v>233</v>
      </c>
      <c r="I20" s="20" t="s">
        <v>23</v>
      </c>
      <c r="J20" s="21">
        <v>0.7</v>
      </c>
      <c r="K20" s="26" t="s">
        <v>234</v>
      </c>
      <c r="L20" s="31" t="s">
        <v>235</v>
      </c>
      <c r="M20" s="1" t="s">
        <v>236</v>
      </c>
      <c r="N20" s="21">
        <v>0.95</v>
      </c>
      <c r="O20" s="21">
        <v>0.2</v>
      </c>
      <c r="P20" s="71">
        <v>0.1988</v>
      </c>
      <c r="Q20" s="21">
        <f t="shared" si="6"/>
        <v>0.21</v>
      </c>
      <c r="R20" s="22">
        <f t="shared" si="7"/>
        <v>0</v>
      </c>
      <c r="S20" s="21" t="s">
        <v>24</v>
      </c>
      <c r="T20" s="23">
        <f>SUM(R20:R25)%</f>
        <v>0.77520000000000011</v>
      </c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2071</v>
      </c>
      <c r="B21" s="16" t="s">
        <v>20</v>
      </c>
      <c r="C21" s="17" t="s">
        <v>21</v>
      </c>
      <c r="D21" s="34">
        <v>6174</v>
      </c>
      <c r="E21" s="16" t="s">
        <v>252</v>
      </c>
      <c r="F21" s="19" t="s">
        <v>128</v>
      </c>
      <c r="G21" s="16" t="s">
        <v>53</v>
      </c>
      <c r="H21" s="19" t="s">
        <v>233</v>
      </c>
      <c r="I21" s="20" t="s">
        <v>23</v>
      </c>
      <c r="J21" s="21">
        <v>0.7</v>
      </c>
      <c r="K21" s="26" t="s">
        <v>237</v>
      </c>
      <c r="L21" s="31" t="s">
        <v>238</v>
      </c>
      <c r="M21" s="26" t="s">
        <v>239</v>
      </c>
      <c r="N21" s="21">
        <v>0.9</v>
      </c>
      <c r="O21" s="21">
        <v>0.2</v>
      </c>
      <c r="P21" s="21">
        <v>0.7</v>
      </c>
      <c r="Q21" s="21">
        <f>ROUND(IF(OR(N21="",P21=""),0,IF(AND(N21=0,P21=0),1,IF(S21="+",P21/N21,N21/P21))),2)</f>
        <v>0.78</v>
      </c>
      <c r="R21" s="22">
        <f t="shared" si="7"/>
        <v>10.92</v>
      </c>
      <c r="S21" s="21" t="s">
        <v>24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2072</v>
      </c>
      <c r="B22" s="16" t="s">
        <v>20</v>
      </c>
      <c r="C22" s="17" t="s">
        <v>21</v>
      </c>
      <c r="D22" s="34">
        <v>6174</v>
      </c>
      <c r="E22" s="16" t="s">
        <v>252</v>
      </c>
      <c r="F22" s="19" t="s">
        <v>128</v>
      </c>
      <c r="G22" s="16" t="s">
        <v>53</v>
      </c>
      <c r="H22" s="19" t="s">
        <v>233</v>
      </c>
      <c r="I22" s="20" t="s">
        <v>23</v>
      </c>
      <c r="J22" s="21">
        <v>0.7</v>
      </c>
      <c r="K22" s="26" t="s">
        <v>240</v>
      </c>
      <c r="L22" s="31" t="s">
        <v>241</v>
      </c>
      <c r="M22" s="26" t="s">
        <v>242</v>
      </c>
      <c r="N22" s="21">
        <v>0.95</v>
      </c>
      <c r="O22" s="21">
        <v>0.2</v>
      </c>
      <c r="P22" s="25">
        <v>0.81</v>
      </c>
      <c r="Q22" s="21">
        <f t="shared" ref="Q22:Q24" si="8">ROUND(IF(OR(N22="",P22=""),0,IF(AND(N22=0,P22=0),1,IF(S22="+",P22/N22,N22/P22))),2)</f>
        <v>0.85</v>
      </c>
      <c r="R22" s="22">
        <f t="shared" si="7"/>
        <v>11.899999999999999</v>
      </c>
      <c r="S22" s="21" t="s">
        <v>24</v>
      </c>
      <c r="T22" s="21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2073</v>
      </c>
      <c r="B23" s="16" t="s">
        <v>20</v>
      </c>
      <c r="C23" s="17" t="s">
        <v>21</v>
      </c>
      <c r="D23" s="34">
        <v>6174</v>
      </c>
      <c r="E23" s="16" t="s">
        <v>252</v>
      </c>
      <c r="F23" s="19" t="s">
        <v>128</v>
      </c>
      <c r="G23" s="16" t="s">
        <v>53</v>
      </c>
      <c r="H23" s="19" t="s">
        <v>233</v>
      </c>
      <c r="I23" s="20" t="s">
        <v>23</v>
      </c>
      <c r="J23" s="21">
        <v>0.7</v>
      </c>
      <c r="K23" s="26" t="s">
        <v>243</v>
      </c>
      <c r="L23" s="31" t="s">
        <v>244</v>
      </c>
      <c r="M23" s="26" t="s">
        <v>245</v>
      </c>
      <c r="N23" s="21">
        <v>1</v>
      </c>
      <c r="O23" s="21">
        <v>0.2</v>
      </c>
      <c r="P23" s="64">
        <v>1</v>
      </c>
      <c r="Q23" s="21">
        <f t="shared" si="8"/>
        <v>1</v>
      </c>
      <c r="R23" s="22">
        <f t="shared" si="7"/>
        <v>13.999999999999998</v>
      </c>
      <c r="S23" s="21" t="s">
        <v>24</v>
      </c>
      <c r="T23" s="21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2074</v>
      </c>
      <c r="B24" s="16" t="s">
        <v>20</v>
      </c>
      <c r="C24" s="17" t="s">
        <v>21</v>
      </c>
      <c r="D24" s="34">
        <v>6174</v>
      </c>
      <c r="E24" s="16" t="s">
        <v>252</v>
      </c>
      <c r="F24" s="19" t="s">
        <v>128</v>
      </c>
      <c r="G24" s="16" t="s">
        <v>53</v>
      </c>
      <c r="H24" s="19" t="s">
        <v>233</v>
      </c>
      <c r="I24" s="20" t="s">
        <v>23</v>
      </c>
      <c r="J24" s="21">
        <v>0.7</v>
      </c>
      <c r="K24" s="26" t="s">
        <v>142</v>
      </c>
      <c r="L24" s="31" t="s">
        <v>143</v>
      </c>
      <c r="M24" s="26" t="s">
        <v>246</v>
      </c>
      <c r="N24" s="64">
        <v>1</v>
      </c>
      <c r="O24" s="21">
        <v>0.2</v>
      </c>
      <c r="P24" s="28">
        <v>0.5</v>
      </c>
      <c r="Q24" s="21">
        <f t="shared" si="8"/>
        <v>2</v>
      </c>
      <c r="R24" s="22">
        <f t="shared" si="7"/>
        <v>13.999999999999998</v>
      </c>
      <c r="S24" s="21" t="s">
        <v>25</v>
      </c>
      <c r="T24" s="21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2076</v>
      </c>
      <c r="B25" s="16" t="s">
        <v>20</v>
      </c>
      <c r="C25" s="17" t="s">
        <v>21</v>
      </c>
      <c r="D25" s="34">
        <v>6174</v>
      </c>
      <c r="E25" s="16" t="s">
        <v>252</v>
      </c>
      <c r="F25" s="19" t="s">
        <v>128</v>
      </c>
      <c r="G25" s="16" t="s">
        <v>53</v>
      </c>
      <c r="H25" s="19" t="s">
        <v>233</v>
      </c>
      <c r="I25" s="27" t="s">
        <v>27</v>
      </c>
      <c r="J25" s="63">
        <v>0.3</v>
      </c>
      <c r="K25" s="27" t="s">
        <v>247</v>
      </c>
      <c r="L25" s="32" t="s">
        <v>248</v>
      </c>
      <c r="M25" s="27" t="s">
        <v>249</v>
      </c>
      <c r="N25" s="28">
        <v>0.9</v>
      </c>
      <c r="O25" s="29">
        <v>1</v>
      </c>
      <c r="P25" s="28">
        <v>0.8</v>
      </c>
      <c r="Q25" s="29">
        <f t="shared" ref="Q25:Q26" si="9">ROUND(IF(OR(N25="",P25=""),0,IF(AND(N25=0,P25=0),1,IF(S25="+",P25/N25,N25/P25))),2)</f>
        <v>0.89</v>
      </c>
      <c r="R25" s="30">
        <f t="shared" ref="R25:R30" si="10">IF(AND(Q25&gt;=60%,Q25&lt;100%),Q25*((O25*J25)),IF(Q25=100%,((O25*J25)*Q25)*100%,IF(Q25&gt;100%,((J25*O25)*100%)*100%,0)))*100</f>
        <v>26.700000000000003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2070</v>
      </c>
      <c r="B26" s="16" t="s">
        <v>20</v>
      </c>
      <c r="C26" s="17" t="s">
        <v>21</v>
      </c>
      <c r="D26" s="34">
        <v>6228</v>
      </c>
      <c r="E26" s="16" t="s">
        <v>253</v>
      </c>
      <c r="F26" s="19" t="s">
        <v>128</v>
      </c>
      <c r="G26" s="16" t="s">
        <v>53</v>
      </c>
      <c r="H26" s="19" t="s">
        <v>233</v>
      </c>
      <c r="I26" s="20" t="s">
        <v>23</v>
      </c>
      <c r="J26" s="21">
        <v>0.7</v>
      </c>
      <c r="K26" s="26" t="s">
        <v>234</v>
      </c>
      <c r="L26" s="31" t="s">
        <v>235</v>
      </c>
      <c r="M26" s="1" t="s">
        <v>236</v>
      </c>
      <c r="N26" s="21">
        <v>0.95</v>
      </c>
      <c r="O26" s="21">
        <v>0.2</v>
      </c>
      <c r="P26" s="71">
        <v>0.1988</v>
      </c>
      <c r="Q26" s="21">
        <f t="shared" si="9"/>
        <v>0.21</v>
      </c>
      <c r="R26" s="22">
        <f t="shared" si="10"/>
        <v>0</v>
      </c>
      <c r="S26" s="21" t="s">
        <v>24</v>
      </c>
      <c r="T26" s="23">
        <f>SUM(R26:R31)%</f>
        <v>0.63800000000000001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2071</v>
      </c>
      <c r="B27" s="16" t="s">
        <v>20</v>
      </c>
      <c r="C27" s="17" t="s">
        <v>21</v>
      </c>
      <c r="D27" s="34">
        <v>6228</v>
      </c>
      <c r="E27" s="16" t="s">
        <v>253</v>
      </c>
      <c r="F27" s="19" t="s">
        <v>128</v>
      </c>
      <c r="G27" s="16" t="s">
        <v>53</v>
      </c>
      <c r="H27" s="19" t="s">
        <v>233</v>
      </c>
      <c r="I27" s="20" t="s">
        <v>23</v>
      </c>
      <c r="J27" s="21">
        <v>0.7</v>
      </c>
      <c r="K27" s="26" t="s">
        <v>237</v>
      </c>
      <c r="L27" s="31" t="s">
        <v>238</v>
      </c>
      <c r="M27" s="26" t="s">
        <v>239</v>
      </c>
      <c r="N27" s="21">
        <v>0.9</v>
      </c>
      <c r="O27" s="21">
        <v>0.2</v>
      </c>
      <c r="P27" s="21">
        <v>0.45</v>
      </c>
      <c r="Q27" s="21">
        <f>ROUND(IF(OR(N27="",P27=""),0,IF(AND(N27=0,P27=0),1,IF(S27="+",P27/N27,N27/P27))),2)</f>
        <v>0.5</v>
      </c>
      <c r="R27" s="22">
        <f t="shared" si="10"/>
        <v>0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2072</v>
      </c>
      <c r="B28" s="16" t="s">
        <v>20</v>
      </c>
      <c r="C28" s="17" t="s">
        <v>21</v>
      </c>
      <c r="D28" s="34">
        <v>6228</v>
      </c>
      <c r="E28" s="16" t="s">
        <v>253</v>
      </c>
      <c r="F28" s="19" t="s">
        <v>128</v>
      </c>
      <c r="G28" s="16" t="s">
        <v>53</v>
      </c>
      <c r="H28" s="19" t="s">
        <v>233</v>
      </c>
      <c r="I28" s="20" t="s">
        <v>23</v>
      </c>
      <c r="J28" s="21">
        <v>0.7</v>
      </c>
      <c r="K28" s="26" t="s">
        <v>240</v>
      </c>
      <c r="L28" s="31" t="s">
        <v>241</v>
      </c>
      <c r="M28" s="26" t="s">
        <v>242</v>
      </c>
      <c r="N28" s="21">
        <v>0.95</v>
      </c>
      <c r="O28" s="21">
        <v>0.2</v>
      </c>
      <c r="P28" s="25">
        <v>0.81</v>
      </c>
      <c r="Q28" s="21">
        <f t="shared" ref="Q28:Q30" si="11">ROUND(IF(OR(N28="",P28=""),0,IF(AND(N28=0,P28=0),1,IF(S28="+",P28/N28,N28/P28))),2)</f>
        <v>0.85</v>
      </c>
      <c r="R28" s="22">
        <f t="shared" si="10"/>
        <v>11.899999999999999</v>
      </c>
      <c r="S28" s="21" t="s">
        <v>24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2073</v>
      </c>
      <c r="B29" s="16" t="s">
        <v>20</v>
      </c>
      <c r="C29" s="17" t="s">
        <v>21</v>
      </c>
      <c r="D29" s="34">
        <v>6228</v>
      </c>
      <c r="E29" s="16" t="s">
        <v>253</v>
      </c>
      <c r="F29" s="19" t="s">
        <v>128</v>
      </c>
      <c r="G29" s="16" t="s">
        <v>53</v>
      </c>
      <c r="H29" s="19" t="s">
        <v>233</v>
      </c>
      <c r="I29" s="20" t="s">
        <v>23</v>
      </c>
      <c r="J29" s="21">
        <v>0.7</v>
      </c>
      <c r="K29" s="26" t="s">
        <v>243</v>
      </c>
      <c r="L29" s="31" t="s">
        <v>244</v>
      </c>
      <c r="M29" s="26" t="s">
        <v>245</v>
      </c>
      <c r="N29" s="21">
        <v>1</v>
      </c>
      <c r="O29" s="21">
        <v>0.2</v>
      </c>
      <c r="P29" s="64">
        <v>0.8</v>
      </c>
      <c r="Q29" s="21">
        <f t="shared" si="11"/>
        <v>0.8</v>
      </c>
      <c r="R29" s="22">
        <f t="shared" si="10"/>
        <v>11.2</v>
      </c>
      <c r="S29" s="21" t="s">
        <v>24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2074</v>
      </c>
      <c r="B30" s="16" t="s">
        <v>20</v>
      </c>
      <c r="C30" s="17" t="s">
        <v>21</v>
      </c>
      <c r="D30" s="34">
        <v>6228</v>
      </c>
      <c r="E30" s="16" t="s">
        <v>253</v>
      </c>
      <c r="F30" s="19" t="s">
        <v>128</v>
      </c>
      <c r="G30" s="16" t="s">
        <v>53</v>
      </c>
      <c r="H30" s="19" t="s">
        <v>233</v>
      </c>
      <c r="I30" s="20" t="s">
        <v>23</v>
      </c>
      <c r="J30" s="21">
        <v>0.7</v>
      </c>
      <c r="K30" s="26" t="s">
        <v>142</v>
      </c>
      <c r="L30" s="31" t="s">
        <v>143</v>
      </c>
      <c r="M30" s="26" t="s">
        <v>246</v>
      </c>
      <c r="N30" s="64">
        <v>1</v>
      </c>
      <c r="O30" s="21">
        <v>0.2</v>
      </c>
      <c r="P30" s="28">
        <v>0.5</v>
      </c>
      <c r="Q30" s="21">
        <f t="shared" si="11"/>
        <v>2</v>
      </c>
      <c r="R30" s="22">
        <f t="shared" si="10"/>
        <v>13.999999999999998</v>
      </c>
      <c r="S30" s="21" t="s">
        <v>25</v>
      </c>
      <c r="T30" s="21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2076</v>
      </c>
      <c r="B31" s="16" t="s">
        <v>20</v>
      </c>
      <c r="C31" s="17" t="s">
        <v>21</v>
      </c>
      <c r="D31" s="34">
        <v>6228</v>
      </c>
      <c r="E31" s="16" t="s">
        <v>253</v>
      </c>
      <c r="F31" s="19" t="s">
        <v>128</v>
      </c>
      <c r="G31" s="16" t="s">
        <v>53</v>
      </c>
      <c r="H31" s="19" t="s">
        <v>233</v>
      </c>
      <c r="I31" s="27" t="s">
        <v>27</v>
      </c>
      <c r="J31" s="63">
        <v>0.3</v>
      </c>
      <c r="K31" s="27" t="s">
        <v>247</v>
      </c>
      <c r="L31" s="32" t="s">
        <v>248</v>
      </c>
      <c r="M31" s="27" t="s">
        <v>249</v>
      </c>
      <c r="N31" s="28">
        <v>0.9</v>
      </c>
      <c r="O31" s="29">
        <v>1</v>
      </c>
      <c r="P31" s="28">
        <v>0.8</v>
      </c>
      <c r="Q31" s="29">
        <f t="shared" ref="Q31:Q32" si="12">ROUND(IF(OR(N31="",P31=""),0,IF(AND(N31=0,P31=0),1,IF(S31="+",P31/N31,N31/P31))),2)</f>
        <v>0.89</v>
      </c>
      <c r="R31" s="30">
        <f t="shared" ref="R31:R36" si="13">IF(AND(Q31&gt;=60%,Q31&lt;100%),Q31*((O31*J31)),IF(Q31=100%,((O31*J31)*Q31)*100%,IF(Q31&gt;100%,((J31*O31)*100%)*100%,0)))*100</f>
        <v>26.700000000000003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2070</v>
      </c>
      <c r="B32" s="16" t="s">
        <v>20</v>
      </c>
      <c r="C32" s="17" t="s">
        <v>21</v>
      </c>
      <c r="D32" s="34">
        <v>6366</v>
      </c>
      <c r="E32" s="16" t="s">
        <v>254</v>
      </c>
      <c r="F32" s="19" t="s">
        <v>128</v>
      </c>
      <c r="G32" s="16" t="s">
        <v>53</v>
      </c>
      <c r="H32" s="19" t="s">
        <v>233</v>
      </c>
      <c r="I32" s="20" t="s">
        <v>23</v>
      </c>
      <c r="J32" s="21">
        <v>0.7</v>
      </c>
      <c r="K32" s="26" t="s">
        <v>234</v>
      </c>
      <c r="L32" s="31" t="s">
        <v>235</v>
      </c>
      <c r="M32" s="1" t="s">
        <v>236</v>
      </c>
      <c r="N32" s="21">
        <v>0.95</v>
      </c>
      <c r="O32" s="21">
        <v>0.2</v>
      </c>
      <c r="P32" s="71">
        <v>0.1988</v>
      </c>
      <c r="Q32" s="21">
        <f t="shared" si="12"/>
        <v>0.21</v>
      </c>
      <c r="R32" s="22">
        <f t="shared" si="13"/>
        <v>0</v>
      </c>
      <c r="S32" s="21" t="s">
        <v>24</v>
      </c>
      <c r="T32" s="23">
        <f>SUM(R32:R37)%</f>
        <v>0.7612000000000001</v>
      </c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2071</v>
      </c>
      <c r="B33" s="16" t="s">
        <v>20</v>
      </c>
      <c r="C33" s="17" t="s">
        <v>21</v>
      </c>
      <c r="D33" s="34">
        <v>6366</v>
      </c>
      <c r="E33" s="16" t="s">
        <v>254</v>
      </c>
      <c r="F33" s="19" t="s">
        <v>128</v>
      </c>
      <c r="G33" s="16" t="s">
        <v>53</v>
      </c>
      <c r="H33" s="19" t="s">
        <v>233</v>
      </c>
      <c r="I33" s="20" t="s">
        <v>23</v>
      </c>
      <c r="J33" s="21">
        <v>0.7</v>
      </c>
      <c r="K33" s="26" t="s">
        <v>237</v>
      </c>
      <c r="L33" s="31" t="s">
        <v>238</v>
      </c>
      <c r="M33" s="26" t="s">
        <v>239</v>
      </c>
      <c r="N33" s="21">
        <v>0.9</v>
      </c>
      <c r="O33" s="21">
        <v>0.2</v>
      </c>
      <c r="P33" s="21">
        <v>0.7</v>
      </c>
      <c r="Q33" s="21">
        <f>ROUND(IF(OR(N33="",P33=""),0,IF(AND(N33=0,P33=0),1,IF(S33="+",P33/N33,N33/P33))),2)</f>
        <v>0.78</v>
      </c>
      <c r="R33" s="22">
        <f t="shared" si="13"/>
        <v>10.92</v>
      </c>
      <c r="S33" s="21" t="s">
        <v>24</v>
      </c>
      <c r="T33" s="21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2072</v>
      </c>
      <c r="B34" s="16" t="s">
        <v>20</v>
      </c>
      <c r="C34" s="17" t="s">
        <v>21</v>
      </c>
      <c r="D34" s="34">
        <v>6366</v>
      </c>
      <c r="E34" s="16" t="s">
        <v>254</v>
      </c>
      <c r="F34" s="19" t="s">
        <v>128</v>
      </c>
      <c r="G34" s="16" t="s">
        <v>53</v>
      </c>
      <c r="H34" s="19" t="s">
        <v>233</v>
      </c>
      <c r="I34" s="20" t="s">
        <v>23</v>
      </c>
      <c r="J34" s="21">
        <v>0.7</v>
      </c>
      <c r="K34" s="26" t="s">
        <v>240</v>
      </c>
      <c r="L34" s="31" t="s">
        <v>241</v>
      </c>
      <c r="M34" s="26" t="s">
        <v>242</v>
      </c>
      <c r="N34" s="21">
        <v>0.95</v>
      </c>
      <c r="O34" s="21">
        <v>0.2</v>
      </c>
      <c r="P34" s="25">
        <v>0.81</v>
      </c>
      <c r="Q34" s="21">
        <f t="shared" ref="Q34:Q36" si="14">ROUND(IF(OR(N34="",P34=""),0,IF(AND(N34=0,P34=0),1,IF(S34="+",P34/N34,N34/P34))),2)</f>
        <v>0.85</v>
      </c>
      <c r="R34" s="22">
        <f t="shared" si="13"/>
        <v>11.899999999999999</v>
      </c>
      <c r="S34" s="21" t="s">
        <v>24</v>
      </c>
      <c r="T34" s="21"/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2073</v>
      </c>
      <c r="B35" s="16" t="s">
        <v>20</v>
      </c>
      <c r="C35" s="17" t="s">
        <v>21</v>
      </c>
      <c r="D35" s="34">
        <v>6366</v>
      </c>
      <c r="E35" s="16" t="s">
        <v>254</v>
      </c>
      <c r="F35" s="19" t="s">
        <v>128</v>
      </c>
      <c r="G35" s="16" t="s">
        <v>53</v>
      </c>
      <c r="H35" s="19" t="s">
        <v>233</v>
      </c>
      <c r="I35" s="20" t="s">
        <v>23</v>
      </c>
      <c r="J35" s="21">
        <v>0.7</v>
      </c>
      <c r="K35" s="26" t="s">
        <v>243</v>
      </c>
      <c r="L35" s="31" t="s">
        <v>244</v>
      </c>
      <c r="M35" s="26" t="s">
        <v>245</v>
      </c>
      <c r="N35" s="21">
        <v>1</v>
      </c>
      <c r="O35" s="21">
        <v>0.2</v>
      </c>
      <c r="P35" s="64">
        <v>0.9</v>
      </c>
      <c r="Q35" s="21">
        <f t="shared" si="14"/>
        <v>0.9</v>
      </c>
      <c r="R35" s="22">
        <f t="shared" si="13"/>
        <v>12.6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2074</v>
      </c>
      <c r="B36" s="16" t="s">
        <v>20</v>
      </c>
      <c r="C36" s="17" t="s">
        <v>21</v>
      </c>
      <c r="D36" s="34">
        <v>6366</v>
      </c>
      <c r="E36" s="16" t="s">
        <v>254</v>
      </c>
      <c r="F36" s="19" t="s">
        <v>128</v>
      </c>
      <c r="G36" s="16" t="s">
        <v>53</v>
      </c>
      <c r="H36" s="19" t="s">
        <v>233</v>
      </c>
      <c r="I36" s="20" t="s">
        <v>23</v>
      </c>
      <c r="J36" s="21">
        <v>0.7</v>
      </c>
      <c r="K36" s="26" t="s">
        <v>142</v>
      </c>
      <c r="L36" s="31" t="s">
        <v>143</v>
      </c>
      <c r="M36" s="26" t="s">
        <v>246</v>
      </c>
      <c r="N36" s="64">
        <v>1</v>
      </c>
      <c r="O36" s="21">
        <v>0.2</v>
      </c>
      <c r="P36" s="28">
        <v>0.5</v>
      </c>
      <c r="Q36" s="21">
        <f t="shared" si="14"/>
        <v>2</v>
      </c>
      <c r="R36" s="22">
        <f t="shared" si="13"/>
        <v>13.999999999999998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2076</v>
      </c>
      <c r="B37" s="16" t="s">
        <v>20</v>
      </c>
      <c r="C37" s="17" t="s">
        <v>21</v>
      </c>
      <c r="D37" s="34">
        <v>6366</v>
      </c>
      <c r="E37" s="16" t="s">
        <v>254</v>
      </c>
      <c r="F37" s="19" t="s">
        <v>128</v>
      </c>
      <c r="G37" s="16" t="s">
        <v>53</v>
      </c>
      <c r="H37" s="19" t="s">
        <v>233</v>
      </c>
      <c r="I37" s="27" t="s">
        <v>27</v>
      </c>
      <c r="J37" s="63">
        <v>0.3</v>
      </c>
      <c r="K37" s="27" t="s">
        <v>247</v>
      </c>
      <c r="L37" s="32" t="s">
        <v>248</v>
      </c>
      <c r="M37" s="27" t="s">
        <v>249</v>
      </c>
      <c r="N37" s="28">
        <v>0.9</v>
      </c>
      <c r="O37" s="29">
        <v>1</v>
      </c>
      <c r="P37" s="28">
        <v>0.8</v>
      </c>
      <c r="Q37" s="29">
        <f t="shared" ref="Q37:Q38" si="15">ROUND(IF(OR(N37="",P37=""),0,IF(AND(N37=0,P37=0),1,IF(S37="+",P37/N37,N37/P37))),2)</f>
        <v>0.89</v>
      </c>
      <c r="R37" s="30">
        <f t="shared" ref="R37:R42" si="16">IF(AND(Q37&gt;=60%,Q37&lt;100%),Q37*((O37*J37)),IF(Q37=100%,((O37*J37)*Q37)*100%,IF(Q37&gt;100%,((J37*O37)*100%)*100%,0)))*100</f>
        <v>26.700000000000003</v>
      </c>
      <c r="S37" s="29" t="s">
        <v>24</v>
      </c>
      <c r="T37" s="29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2070</v>
      </c>
      <c r="B38" s="16" t="s">
        <v>20</v>
      </c>
      <c r="C38" s="17" t="s">
        <v>21</v>
      </c>
      <c r="D38" s="34">
        <v>6016</v>
      </c>
      <c r="E38" s="16" t="s">
        <v>255</v>
      </c>
      <c r="F38" s="19" t="s">
        <v>128</v>
      </c>
      <c r="G38" s="16" t="s">
        <v>53</v>
      </c>
      <c r="H38" s="19" t="s">
        <v>233</v>
      </c>
      <c r="I38" s="20" t="s">
        <v>23</v>
      </c>
      <c r="J38" s="21">
        <v>0.7</v>
      </c>
      <c r="K38" s="26" t="s">
        <v>234</v>
      </c>
      <c r="L38" s="31" t="s">
        <v>235</v>
      </c>
      <c r="M38" s="1" t="s">
        <v>236</v>
      </c>
      <c r="N38" s="21">
        <v>0.95</v>
      </c>
      <c r="O38" s="21">
        <v>0.2</v>
      </c>
      <c r="P38" s="71">
        <v>0.1988</v>
      </c>
      <c r="Q38" s="21">
        <f t="shared" si="15"/>
        <v>0.21</v>
      </c>
      <c r="R38" s="22">
        <f t="shared" si="16"/>
        <v>0</v>
      </c>
      <c r="S38" s="21" t="s">
        <v>24</v>
      </c>
      <c r="T38" s="23">
        <f>SUM(R38:R43)%</f>
        <v>0.80599999999999994</v>
      </c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2071</v>
      </c>
      <c r="B39" s="16" t="s">
        <v>20</v>
      </c>
      <c r="C39" s="17" t="s">
        <v>21</v>
      </c>
      <c r="D39" s="34">
        <v>6016</v>
      </c>
      <c r="E39" s="16" t="s">
        <v>255</v>
      </c>
      <c r="F39" s="19" t="s">
        <v>128</v>
      </c>
      <c r="G39" s="16" t="s">
        <v>53</v>
      </c>
      <c r="H39" s="19" t="s">
        <v>233</v>
      </c>
      <c r="I39" s="20" t="s">
        <v>23</v>
      </c>
      <c r="J39" s="21">
        <v>0.7</v>
      </c>
      <c r="K39" s="26" t="s">
        <v>237</v>
      </c>
      <c r="L39" s="31" t="s">
        <v>238</v>
      </c>
      <c r="M39" s="26" t="s">
        <v>239</v>
      </c>
      <c r="N39" s="21">
        <v>0.9</v>
      </c>
      <c r="O39" s="21">
        <v>0.2</v>
      </c>
      <c r="P39" s="21">
        <v>0.9</v>
      </c>
      <c r="Q39" s="21">
        <f>ROUND(IF(OR(N39="",P39=""),0,IF(AND(N39=0,P39=0),1,IF(S39="+",P39/N39,N39/P39))),2)</f>
        <v>1</v>
      </c>
      <c r="R39" s="22">
        <f t="shared" si="16"/>
        <v>13.999999999999998</v>
      </c>
      <c r="S39" s="21" t="s">
        <v>24</v>
      </c>
      <c r="T39" s="21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2072</v>
      </c>
      <c r="B40" s="16" t="s">
        <v>20</v>
      </c>
      <c r="C40" s="17" t="s">
        <v>21</v>
      </c>
      <c r="D40" s="34">
        <v>6016</v>
      </c>
      <c r="E40" s="16" t="s">
        <v>255</v>
      </c>
      <c r="F40" s="19" t="s">
        <v>128</v>
      </c>
      <c r="G40" s="16" t="s">
        <v>53</v>
      </c>
      <c r="H40" s="19" t="s">
        <v>233</v>
      </c>
      <c r="I40" s="20" t="s">
        <v>23</v>
      </c>
      <c r="J40" s="21">
        <v>0.7</v>
      </c>
      <c r="K40" s="26" t="s">
        <v>240</v>
      </c>
      <c r="L40" s="31" t="s">
        <v>241</v>
      </c>
      <c r="M40" s="26" t="s">
        <v>242</v>
      </c>
      <c r="N40" s="21">
        <v>0.95</v>
      </c>
      <c r="O40" s="21">
        <v>0.2</v>
      </c>
      <c r="P40" s="25">
        <v>0.81</v>
      </c>
      <c r="Q40" s="21">
        <f t="shared" ref="Q40:Q42" si="17">ROUND(IF(OR(N40="",P40=""),0,IF(AND(N40=0,P40=0),1,IF(S40="+",P40/N40,N40/P40))),2)</f>
        <v>0.85</v>
      </c>
      <c r="R40" s="22">
        <f t="shared" si="16"/>
        <v>11.899999999999999</v>
      </c>
      <c r="S40" s="21" t="s">
        <v>24</v>
      </c>
      <c r="T40" s="21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2073</v>
      </c>
      <c r="B41" s="16" t="s">
        <v>20</v>
      </c>
      <c r="C41" s="17" t="s">
        <v>21</v>
      </c>
      <c r="D41" s="34">
        <v>6016</v>
      </c>
      <c r="E41" s="16" t="s">
        <v>255</v>
      </c>
      <c r="F41" s="19" t="s">
        <v>128</v>
      </c>
      <c r="G41" s="16" t="s">
        <v>53</v>
      </c>
      <c r="H41" s="19" t="s">
        <v>233</v>
      </c>
      <c r="I41" s="20" t="s">
        <v>23</v>
      </c>
      <c r="J41" s="21">
        <v>0.7</v>
      </c>
      <c r="K41" s="26" t="s">
        <v>243</v>
      </c>
      <c r="L41" s="31" t="s">
        <v>244</v>
      </c>
      <c r="M41" s="26" t="s">
        <v>245</v>
      </c>
      <c r="N41" s="21">
        <v>1</v>
      </c>
      <c r="O41" s="21">
        <v>0.2</v>
      </c>
      <c r="P41" s="64">
        <v>1</v>
      </c>
      <c r="Q41" s="21">
        <f t="shared" si="17"/>
        <v>1</v>
      </c>
      <c r="R41" s="22">
        <f t="shared" si="16"/>
        <v>13.999999999999998</v>
      </c>
      <c r="S41" s="21" t="s">
        <v>24</v>
      </c>
      <c r="T41" s="21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2074</v>
      </c>
      <c r="B42" s="16" t="s">
        <v>20</v>
      </c>
      <c r="C42" s="17" t="s">
        <v>21</v>
      </c>
      <c r="D42" s="34">
        <v>6016</v>
      </c>
      <c r="E42" s="16" t="s">
        <v>255</v>
      </c>
      <c r="F42" s="19" t="s">
        <v>128</v>
      </c>
      <c r="G42" s="16" t="s">
        <v>53</v>
      </c>
      <c r="H42" s="19" t="s">
        <v>233</v>
      </c>
      <c r="I42" s="20" t="s">
        <v>23</v>
      </c>
      <c r="J42" s="21">
        <v>0.7</v>
      </c>
      <c r="K42" s="26" t="s">
        <v>142</v>
      </c>
      <c r="L42" s="31" t="s">
        <v>143</v>
      </c>
      <c r="M42" s="26" t="s">
        <v>246</v>
      </c>
      <c r="N42" s="64">
        <v>1</v>
      </c>
      <c r="O42" s="21">
        <v>0.2</v>
      </c>
      <c r="P42" s="28">
        <v>0.5</v>
      </c>
      <c r="Q42" s="21">
        <f t="shared" si="17"/>
        <v>2</v>
      </c>
      <c r="R42" s="22">
        <f t="shared" si="16"/>
        <v>13.999999999999998</v>
      </c>
      <c r="S42" s="21" t="s">
        <v>25</v>
      </c>
      <c r="T42" s="21"/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2076</v>
      </c>
      <c r="B43" s="16" t="s">
        <v>20</v>
      </c>
      <c r="C43" s="17" t="s">
        <v>21</v>
      </c>
      <c r="D43" s="34">
        <v>6016</v>
      </c>
      <c r="E43" s="16" t="s">
        <v>255</v>
      </c>
      <c r="F43" s="19" t="s">
        <v>128</v>
      </c>
      <c r="G43" s="16" t="s">
        <v>53</v>
      </c>
      <c r="H43" s="19" t="s">
        <v>233</v>
      </c>
      <c r="I43" s="27" t="s">
        <v>27</v>
      </c>
      <c r="J43" s="63">
        <v>0.3</v>
      </c>
      <c r="K43" s="27" t="s">
        <v>247</v>
      </c>
      <c r="L43" s="32" t="s">
        <v>248</v>
      </c>
      <c r="M43" s="27" t="s">
        <v>249</v>
      </c>
      <c r="N43" s="28">
        <v>0.9</v>
      </c>
      <c r="O43" s="29">
        <v>1</v>
      </c>
      <c r="P43" s="28">
        <v>0.8</v>
      </c>
      <c r="Q43" s="29">
        <f t="shared" ref="Q43" si="18">ROUND(IF(OR(N43="",P43=""),0,IF(AND(N43=0,P43=0),1,IF(S43="+",P43/N43,N43/P43))),2)</f>
        <v>0.89</v>
      </c>
      <c r="R43" s="30">
        <f t="shared" ref="R43" si="19">IF(AND(Q43&gt;=60%,Q43&lt;100%),Q43*((O43*J43)),IF(Q43=100%,((O43*J43)*Q43)*100%,IF(Q43&gt;100%,((J43*O43)*100%)*100%,0)))*100</f>
        <v>26.700000000000003</v>
      </c>
      <c r="S43" s="29" t="s">
        <v>24</v>
      </c>
      <c r="T43" s="29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</sheetData>
  <autoFilter ref="A1:T43" xr:uid="{7EF4661B-8CB2-466F-8DBB-EB69CD48EE90}"/>
  <conditionalFormatting sqref="I1:I43 K1:M43">
    <cfRule type="cellIs" dxfId="30" priority="8" operator="equal">
      <formula>"maintasks"</formula>
    </cfRule>
  </conditionalFormatting>
  <conditionalFormatting sqref="J7">
    <cfRule type="cellIs" dxfId="29" priority="7" operator="equal">
      <formula>"maintasks"</formula>
    </cfRule>
  </conditionalFormatting>
  <conditionalFormatting sqref="J13">
    <cfRule type="cellIs" dxfId="28" priority="6" operator="equal">
      <formula>"maintasks"</formula>
    </cfRule>
  </conditionalFormatting>
  <conditionalFormatting sqref="J19">
    <cfRule type="cellIs" dxfId="27" priority="5" operator="equal">
      <formula>"maintasks"</formula>
    </cfRule>
  </conditionalFormatting>
  <conditionalFormatting sqref="J25">
    <cfRule type="cellIs" dxfId="26" priority="4" operator="equal">
      <formula>"maintasks"</formula>
    </cfRule>
  </conditionalFormatting>
  <conditionalFormatting sqref="J31">
    <cfRule type="cellIs" dxfId="25" priority="3" operator="equal">
      <formula>"maintasks"</formula>
    </cfRule>
  </conditionalFormatting>
  <conditionalFormatting sqref="J37">
    <cfRule type="cellIs" dxfId="24" priority="2" operator="equal">
      <formula>"maintasks"</formula>
    </cfRule>
  </conditionalFormatting>
  <conditionalFormatting sqref="J43">
    <cfRule type="cellIs" dxfId="23" priority="1" operator="equal">
      <formula>"maintasks"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1C0A-B069-49CC-B90E-BC6364CECE34}">
  <sheetPr>
    <tabColor rgb="FF00B050"/>
  </sheetPr>
  <dimension ref="A1:AV89"/>
  <sheetViews>
    <sheetView topLeftCell="C1" workbookViewId="0">
      <pane xSplit="3" ySplit="5" topLeftCell="L6" activePane="bottomRight" state="frozen"/>
      <selection activeCell="C1" sqref="C1"/>
      <selection pane="topRight" activeCell="F1" sqref="F1"/>
      <selection pane="bottomLeft" activeCell="C6" sqref="C6"/>
      <selection pane="bottomRight" activeCell="T2" sqref="T2:T82"/>
    </sheetView>
  </sheetViews>
  <sheetFormatPr defaultRowHeight="14.4" x14ac:dyDescent="0.3"/>
  <cols>
    <col min="1" max="1" width="6.77734375" style="33" customWidth="1"/>
    <col min="2" max="2" width="14.44140625" style="33" bestFit="1" customWidth="1"/>
    <col min="3" max="3" width="6.77734375" style="33" customWidth="1"/>
    <col min="4" max="4" width="8.88671875" style="33"/>
    <col min="5" max="5" width="15.77734375" style="33" bestFit="1" customWidth="1"/>
    <col min="6" max="6" width="11.88671875" style="33" bestFit="1" customWidth="1"/>
    <col min="7" max="7" width="12.44140625" style="33" customWidth="1"/>
    <col min="8" max="8" width="18" style="33" customWidth="1"/>
    <col min="9" max="9" width="14.77734375" style="33" customWidth="1"/>
    <col min="10" max="10" width="10" style="33" customWidth="1"/>
    <col min="11" max="11" width="22.77734375" style="33" customWidth="1"/>
    <col min="12" max="12" width="42.21875" style="33" customWidth="1"/>
    <col min="13" max="13" width="51.77734375" style="33" customWidth="1"/>
    <col min="14" max="14" width="14.21875" style="33" customWidth="1"/>
    <col min="15" max="15" width="7.77734375" style="33" customWidth="1"/>
    <col min="16" max="16" width="21.44140625" style="33" customWidth="1"/>
    <col min="17" max="17" width="19.109375" style="33" bestFit="1" customWidth="1"/>
    <col min="18" max="18" width="15" style="33" bestFit="1" customWidth="1"/>
    <col min="19" max="19" width="4" style="33" bestFit="1" customWidth="1"/>
    <col min="20" max="20" width="7.77734375" style="33" customWidth="1"/>
  </cols>
  <sheetData>
    <row r="1" spans="1:48" s="14" customFormat="1" ht="22.2" x14ac:dyDescent="0.75">
      <c r="A1" s="7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9" t="s">
        <v>19</v>
      </c>
    </row>
    <row r="2" spans="1:48" s="5" customFormat="1" ht="21.6" x14ac:dyDescent="0.2">
      <c r="A2" s="15">
        <v>2070</v>
      </c>
      <c r="B2" s="16" t="s">
        <v>20</v>
      </c>
      <c r="C2" s="17" t="s">
        <v>21</v>
      </c>
      <c r="D2" s="18" t="s">
        <v>256</v>
      </c>
      <c r="E2" s="16" t="s">
        <v>257</v>
      </c>
      <c r="F2" s="16" t="s">
        <v>153</v>
      </c>
      <c r="G2" s="16" t="s">
        <v>32</v>
      </c>
      <c r="H2" s="19" t="s">
        <v>258</v>
      </c>
      <c r="I2" s="20" t="s">
        <v>23</v>
      </c>
      <c r="J2" s="21">
        <v>0.8</v>
      </c>
      <c r="K2" s="26" t="s">
        <v>30</v>
      </c>
      <c r="L2" s="31" t="s">
        <v>130</v>
      </c>
      <c r="M2" s="1" t="s">
        <v>131</v>
      </c>
      <c r="N2" s="21">
        <v>0.95</v>
      </c>
      <c r="O2" s="21">
        <v>0.15</v>
      </c>
      <c r="P2" s="21">
        <v>0.95</v>
      </c>
      <c r="Q2" s="21">
        <f t="shared" ref="Q2:Q10" si="0">ROUND(IF(OR(N2="",P2=""),0,IF(AND(N2=0,P2=0),1,IF(S2="+",P2/N2,N2/P2))),2)</f>
        <v>1</v>
      </c>
      <c r="R2" s="22">
        <f t="shared" ref="R2:R58" si="1">IF(AND(Q2&gt;=60%,Q2&lt;100%),Q2*((O2*J2)),IF(Q2=100%,((O2*J2)*Q2)*100%,IF(Q2&gt;100%,((J2*O2)*100%)*100%,0)))*100</f>
        <v>12</v>
      </c>
      <c r="S2" s="21" t="s">
        <v>24</v>
      </c>
      <c r="T2" s="23">
        <f>SUM(R2:R9)%</f>
        <v>0.88480000000000003</v>
      </c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ht="21.6" x14ac:dyDescent="0.2">
      <c r="A3" s="15">
        <v>2072</v>
      </c>
      <c r="B3" s="16" t="s">
        <v>20</v>
      </c>
      <c r="C3" s="17" t="s">
        <v>21</v>
      </c>
      <c r="D3" s="18" t="s">
        <v>256</v>
      </c>
      <c r="E3" s="16" t="s">
        <v>257</v>
      </c>
      <c r="F3" s="16" t="s">
        <v>153</v>
      </c>
      <c r="G3" s="16" t="s">
        <v>32</v>
      </c>
      <c r="H3" s="19" t="s">
        <v>258</v>
      </c>
      <c r="I3" s="20" t="s">
        <v>23</v>
      </c>
      <c r="J3" s="21">
        <v>0.8</v>
      </c>
      <c r="K3" s="26" t="s">
        <v>132</v>
      </c>
      <c r="L3" s="31" t="s">
        <v>133</v>
      </c>
      <c r="M3" s="26" t="s">
        <v>134</v>
      </c>
      <c r="N3" s="21">
        <v>0.95</v>
      </c>
      <c r="O3" s="21">
        <v>0.15</v>
      </c>
      <c r="P3" s="25">
        <v>0.9</v>
      </c>
      <c r="Q3" s="21">
        <f t="shared" si="0"/>
        <v>0.95</v>
      </c>
      <c r="R3" s="22">
        <f t="shared" si="1"/>
        <v>11.399999999999999</v>
      </c>
      <c r="S3" s="21" t="s">
        <v>24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s="5" customFormat="1" ht="21.6" x14ac:dyDescent="0.2">
      <c r="A4" s="15">
        <v>2073</v>
      </c>
      <c r="B4" s="16" t="s">
        <v>20</v>
      </c>
      <c r="C4" s="17" t="s">
        <v>21</v>
      </c>
      <c r="D4" s="18" t="s">
        <v>256</v>
      </c>
      <c r="E4" s="16" t="s">
        <v>257</v>
      </c>
      <c r="F4" s="16" t="s">
        <v>153</v>
      </c>
      <c r="G4" s="16" t="s">
        <v>32</v>
      </c>
      <c r="H4" s="19" t="s">
        <v>258</v>
      </c>
      <c r="I4" s="20" t="s">
        <v>23</v>
      </c>
      <c r="J4" s="21">
        <v>0.8</v>
      </c>
      <c r="K4" s="26" t="s">
        <v>54</v>
      </c>
      <c r="L4" s="31" t="s">
        <v>135</v>
      </c>
      <c r="M4" s="26" t="s">
        <v>136</v>
      </c>
      <c r="N4" s="25">
        <v>0.05</v>
      </c>
      <c r="O4" s="21">
        <v>0.1</v>
      </c>
      <c r="P4" s="66">
        <v>0.2</v>
      </c>
      <c r="Q4" s="21">
        <f t="shared" si="0"/>
        <v>0.25</v>
      </c>
      <c r="R4" s="22">
        <f t="shared" si="1"/>
        <v>0</v>
      </c>
      <c r="S4" s="21" t="s">
        <v>25</v>
      </c>
      <c r="T4" s="21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s="5" customFormat="1" ht="21.6" x14ac:dyDescent="0.2">
      <c r="A5" s="15">
        <v>2074</v>
      </c>
      <c r="B5" s="16" t="s">
        <v>20</v>
      </c>
      <c r="C5" s="17" t="s">
        <v>21</v>
      </c>
      <c r="D5" s="18" t="s">
        <v>256</v>
      </c>
      <c r="E5" s="16" t="s">
        <v>257</v>
      </c>
      <c r="F5" s="16" t="s">
        <v>153</v>
      </c>
      <c r="G5" s="16" t="s">
        <v>32</v>
      </c>
      <c r="H5" s="19" t="s">
        <v>258</v>
      </c>
      <c r="I5" s="20" t="s">
        <v>23</v>
      </c>
      <c r="J5" s="21">
        <v>0.8</v>
      </c>
      <c r="K5" s="26" t="s">
        <v>31</v>
      </c>
      <c r="L5" s="31" t="s">
        <v>137</v>
      </c>
      <c r="M5" s="26" t="s">
        <v>138</v>
      </c>
      <c r="N5" s="64">
        <v>0.05</v>
      </c>
      <c r="O5" s="21">
        <v>0.1</v>
      </c>
      <c r="P5" s="28">
        <v>0.05</v>
      </c>
      <c r="Q5" s="21">
        <f t="shared" si="0"/>
        <v>1</v>
      </c>
      <c r="R5" s="22">
        <f t="shared" si="1"/>
        <v>8.0000000000000018</v>
      </c>
      <c r="S5" s="21" t="s">
        <v>25</v>
      </c>
      <c r="T5" s="21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s="5" customFormat="1" ht="21.6" x14ac:dyDescent="0.2">
      <c r="A6" s="15">
        <v>2075</v>
      </c>
      <c r="B6" s="16" t="s">
        <v>20</v>
      </c>
      <c r="C6" s="17" t="s">
        <v>21</v>
      </c>
      <c r="D6" s="18" t="s">
        <v>256</v>
      </c>
      <c r="E6" s="16" t="s">
        <v>257</v>
      </c>
      <c r="F6" s="16" t="s">
        <v>153</v>
      </c>
      <c r="G6" s="16" t="s">
        <v>32</v>
      </c>
      <c r="H6" s="19" t="s">
        <v>258</v>
      </c>
      <c r="I6" s="27" t="s">
        <v>23</v>
      </c>
      <c r="J6" s="21">
        <v>0.8</v>
      </c>
      <c r="K6" s="27" t="s">
        <v>139</v>
      </c>
      <c r="L6" s="32" t="s">
        <v>140</v>
      </c>
      <c r="M6" s="27" t="s">
        <v>141</v>
      </c>
      <c r="N6" s="28">
        <v>0.9</v>
      </c>
      <c r="O6" s="29">
        <v>0.2</v>
      </c>
      <c r="P6" s="28">
        <v>0.9</v>
      </c>
      <c r="Q6" s="29">
        <f t="shared" si="0"/>
        <v>1</v>
      </c>
      <c r="R6" s="30">
        <f t="shared" si="1"/>
        <v>16.000000000000004</v>
      </c>
      <c r="S6" s="29" t="s">
        <v>24</v>
      </c>
      <c r="T6" s="29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s="5" customFormat="1" ht="21.6" x14ac:dyDescent="0.2">
      <c r="A7" s="15">
        <v>2076</v>
      </c>
      <c r="B7" s="16" t="s">
        <v>20</v>
      </c>
      <c r="C7" s="17" t="s">
        <v>21</v>
      </c>
      <c r="D7" s="18" t="s">
        <v>256</v>
      </c>
      <c r="E7" s="16" t="s">
        <v>257</v>
      </c>
      <c r="F7" s="16" t="s">
        <v>153</v>
      </c>
      <c r="G7" s="16" t="s">
        <v>32</v>
      </c>
      <c r="H7" s="19" t="s">
        <v>258</v>
      </c>
      <c r="I7" s="27" t="s">
        <v>23</v>
      </c>
      <c r="J7" s="21">
        <v>0.8</v>
      </c>
      <c r="K7" s="27" t="s">
        <v>142</v>
      </c>
      <c r="L7" s="32" t="s">
        <v>143</v>
      </c>
      <c r="M7" s="27" t="s">
        <v>144</v>
      </c>
      <c r="N7" s="28">
        <v>1</v>
      </c>
      <c r="O7" s="29">
        <v>0.1</v>
      </c>
      <c r="P7" s="28">
        <v>1</v>
      </c>
      <c r="Q7" s="29">
        <f t="shared" si="0"/>
        <v>1</v>
      </c>
      <c r="R7" s="30">
        <f t="shared" si="1"/>
        <v>8.0000000000000018</v>
      </c>
      <c r="S7" s="29" t="s">
        <v>24</v>
      </c>
      <c r="T7" s="29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s="5" customFormat="1" ht="21.6" x14ac:dyDescent="0.2">
      <c r="A8" s="15">
        <v>2077</v>
      </c>
      <c r="B8" s="16" t="s">
        <v>20</v>
      </c>
      <c r="C8" s="17" t="s">
        <v>21</v>
      </c>
      <c r="D8" s="18" t="s">
        <v>256</v>
      </c>
      <c r="E8" s="16" t="s">
        <v>257</v>
      </c>
      <c r="F8" s="16" t="s">
        <v>153</v>
      </c>
      <c r="G8" s="16" t="s">
        <v>32</v>
      </c>
      <c r="H8" s="19" t="s">
        <v>258</v>
      </c>
      <c r="I8" s="27" t="s">
        <v>23</v>
      </c>
      <c r="J8" s="21">
        <v>0.8</v>
      </c>
      <c r="K8" s="27" t="s">
        <v>145</v>
      </c>
      <c r="L8" s="32" t="s">
        <v>146</v>
      </c>
      <c r="M8" s="6" t="s">
        <v>147</v>
      </c>
      <c r="N8" s="28">
        <v>0.9</v>
      </c>
      <c r="O8" s="29">
        <v>0.2</v>
      </c>
      <c r="P8" s="67">
        <v>0.78900000000000003</v>
      </c>
      <c r="Q8" s="29">
        <f t="shared" si="0"/>
        <v>0.88</v>
      </c>
      <c r="R8" s="30">
        <f t="shared" si="1"/>
        <v>14.080000000000004</v>
      </c>
      <c r="S8" s="29" t="s">
        <v>24</v>
      </c>
      <c r="T8" s="29"/>
      <c r="U8" s="3"/>
      <c r="V8" s="3"/>
      <c r="W8" s="3"/>
      <c r="X8" s="3"/>
      <c r="Y8" s="3"/>
      <c r="Z8" s="3"/>
      <c r="AA8" s="3"/>
      <c r="AB8" s="3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s="5" customFormat="1" ht="21.6" x14ac:dyDescent="0.2">
      <c r="A9" s="15">
        <v>2078</v>
      </c>
      <c r="B9" s="16" t="s">
        <v>20</v>
      </c>
      <c r="C9" s="17" t="s">
        <v>21</v>
      </c>
      <c r="D9" s="18" t="s">
        <v>256</v>
      </c>
      <c r="E9" s="16" t="s">
        <v>257</v>
      </c>
      <c r="F9" s="16" t="s">
        <v>153</v>
      </c>
      <c r="G9" s="16" t="s">
        <v>32</v>
      </c>
      <c r="H9" s="19" t="s">
        <v>258</v>
      </c>
      <c r="I9" s="27" t="s">
        <v>27</v>
      </c>
      <c r="J9" s="28">
        <v>0.2</v>
      </c>
      <c r="K9" s="27" t="s">
        <v>148</v>
      </c>
      <c r="L9" s="32" t="s">
        <v>149</v>
      </c>
      <c r="M9" s="6" t="s">
        <v>150</v>
      </c>
      <c r="N9" s="28">
        <v>1</v>
      </c>
      <c r="O9" s="29">
        <v>1</v>
      </c>
      <c r="P9" s="28">
        <v>0.95</v>
      </c>
      <c r="Q9" s="29">
        <f t="shared" si="0"/>
        <v>0.95</v>
      </c>
      <c r="R9" s="30">
        <f t="shared" si="1"/>
        <v>19</v>
      </c>
      <c r="S9" s="29" t="s">
        <v>24</v>
      </c>
      <c r="T9" s="29"/>
      <c r="U9" s="3"/>
      <c r="V9" s="3"/>
      <c r="W9" s="3"/>
      <c r="X9" s="3"/>
      <c r="Y9" s="3"/>
      <c r="Z9" s="3"/>
      <c r="AA9" s="3"/>
      <c r="AB9" s="3"/>
      <c r="AC9" s="3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s="5" customFormat="1" ht="21.6" x14ac:dyDescent="0.2">
      <c r="A10" s="15">
        <v>2079</v>
      </c>
      <c r="B10" s="16" t="s">
        <v>20</v>
      </c>
      <c r="C10" s="17" t="s">
        <v>21</v>
      </c>
      <c r="D10" s="18" t="s">
        <v>259</v>
      </c>
      <c r="E10" s="16" t="s">
        <v>260</v>
      </c>
      <c r="F10" s="16" t="s">
        <v>153</v>
      </c>
      <c r="G10" s="16" t="s">
        <v>32</v>
      </c>
      <c r="H10" s="19" t="s">
        <v>258</v>
      </c>
      <c r="I10" s="20" t="s">
        <v>23</v>
      </c>
      <c r="J10" s="21">
        <v>0.8</v>
      </c>
      <c r="K10" s="26" t="s">
        <v>30</v>
      </c>
      <c r="L10" s="31" t="s">
        <v>130</v>
      </c>
      <c r="M10" s="1" t="s">
        <v>131</v>
      </c>
      <c r="N10" s="21">
        <v>0.95</v>
      </c>
      <c r="O10" s="21">
        <v>0.15</v>
      </c>
      <c r="P10" s="21">
        <v>0.95</v>
      </c>
      <c r="Q10" s="21">
        <f t="shared" si="0"/>
        <v>1</v>
      </c>
      <c r="R10" s="22">
        <f t="shared" si="1"/>
        <v>12</v>
      </c>
      <c r="S10" s="21" t="s">
        <v>24</v>
      </c>
      <c r="T10" s="23">
        <f>SUM(R10:R17)%</f>
        <v>0.88480000000000003</v>
      </c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s="5" customFormat="1" ht="21.6" x14ac:dyDescent="0.2">
      <c r="A11" s="15">
        <v>2081</v>
      </c>
      <c r="B11" s="16" t="s">
        <v>20</v>
      </c>
      <c r="C11" s="17" t="s">
        <v>21</v>
      </c>
      <c r="D11" s="18" t="s">
        <v>259</v>
      </c>
      <c r="E11" s="16" t="s">
        <v>260</v>
      </c>
      <c r="F11" s="16" t="s">
        <v>153</v>
      </c>
      <c r="G11" s="16" t="s">
        <v>32</v>
      </c>
      <c r="H11" s="19" t="s">
        <v>258</v>
      </c>
      <c r="I11" s="20" t="s">
        <v>23</v>
      </c>
      <c r="J11" s="21">
        <v>0.8</v>
      </c>
      <c r="K11" s="26" t="s">
        <v>132</v>
      </c>
      <c r="L11" s="31" t="s">
        <v>133</v>
      </c>
      <c r="M11" s="26" t="s">
        <v>134</v>
      </c>
      <c r="N11" s="21">
        <v>0.95</v>
      </c>
      <c r="O11" s="21">
        <v>0.15</v>
      </c>
      <c r="P11" s="25">
        <v>0.9</v>
      </c>
      <c r="Q11" s="21">
        <f t="shared" ref="Q11:Q18" si="2">ROUND(IF(OR(N11="",P11=""),0,IF(AND(N11=0,P11=0),1,IF(S11="+",P11/N11,N11/P11))),2)</f>
        <v>0.95</v>
      </c>
      <c r="R11" s="22">
        <f t="shared" si="1"/>
        <v>11.399999999999999</v>
      </c>
      <c r="S11" s="21" t="s">
        <v>24</v>
      </c>
      <c r="T11" s="21"/>
      <c r="U11" s="3"/>
      <c r="V11" s="3"/>
      <c r="W11" s="3"/>
      <c r="X11" s="3"/>
      <c r="Y11" s="3"/>
      <c r="Z11" s="3"/>
      <c r="AA11" s="3"/>
      <c r="AB11" s="3"/>
      <c r="AC11" s="3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s="5" customFormat="1" ht="21.6" x14ac:dyDescent="0.2">
      <c r="A12" s="15">
        <v>2082</v>
      </c>
      <c r="B12" s="16" t="s">
        <v>20</v>
      </c>
      <c r="C12" s="17" t="s">
        <v>21</v>
      </c>
      <c r="D12" s="18" t="s">
        <v>259</v>
      </c>
      <c r="E12" s="16" t="s">
        <v>260</v>
      </c>
      <c r="F12" s="16" t="s">
        <v>153</v>
      </c>
      <c r="G12" s="16" t="s">
        <v>32</v>
      </c>
      <c r="H12" s="19" t="s">
        <v>258</v>
      </c>
      <c r="I12" s="20" t="s">
        <v>23</v>
      </c>
      <c r="J12" s="21">
        <v>0.8</v>
      </c>
      <c r="K12" s="26" t="s">
        <v>54</v>
      </c>
      <c r="L12" s="31" t="s">
        <v>135</v>
      </c>
      <c r="M12" s="26" t="s">
        <v>136</v>
      </c>
      <c r="N12" s="25">
        <v>0.05</v>
      </c>
      <c r="O12" s="21">
        <v>0.1</v>
      </c>
      <c r="P12" s="66">
        <v>0.2</v>
      </c>
      <c r="Q12" s="21">
        <f t="shared" si="2"/>
        <v>0.25</v>
      </c>
      <c r="R12" s="22">
        <f t="shared" si="1"/>
        <v>0</v>
      </c>
      <c r="S12" s="21" t="s">
        <v>25</v>
      </c>
      <c r="T12" s="21"/>
      <c r="U12" s="3"/>
      <c r="V12" s="3"/>
      <c r="W12" s="3"/>
      <c r="X12" s="3"/>
      <c r="Y12" s="3"/>
      <c r="Z12" s="3"/>
      <c r="AA12" s="3"/>
      <c r="AB12" s="3"/>
      <c r="AC12" s="3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s="5" customFormat="1" ht="21.6" x14ac:dyDescent="0.2">
      <c r="A13" s="15">
        <v>2083</v>
      </c>
      <c r="B13" s="16" t="s">
        <v>20</v>
      </c>
      <c r="C13" s="17" t="s">
        <v>21</v>
      </c>
      <c r="D13" s="18" t="s">
        <v>259</v>
      </c>
      <c r="E13" s="16" t="s">
        <v>260</v>
      </c>
      <c r="F13" s="16" t="s">
        <v>153</v>
      </c>
      <c r="G13" s="16" t="s">
        <v>32</v>
      </c>
      <c r="H13" s="19" t="s">
        <v>258</v>
      </c>
      <c r="I13" s="20" t="s">
        <v>23</v>
      </c>
      <c r="J13" s="21">
        <v>0.8</v>
      </c>
      <c r="K13" s="26" t="s">
        <v>31</v>
      </c>
      <c r="L13" s="31" t="s">
        <v>137</v>
      </c>
      <c r="M13" s="26" t="s">
        <v>138</v>
      </c>
      <c r="N13" s="64">
        <v>0.05</v>
      </c>
      <c r="O13" s="21">
        <v>0.1</v>
      </c>
      <c r="P13" s="28">
        <v>0.05</v>
      </c>
      <c r="Q13" s="21">
        <f t="shared" si="2"/>
        <v>1</v>
      </c>
      <c r="R13" s="22">
        <f t="shared" si="1"/>
        <v>8.0000000000000018</v>
      </c>
      <c r="S13" s="21" t="s">
        <v>25</v>
      </c>
      <c r="T13" s="21"/>
      <c r="U13" s="3"/>
      <c r="V13" s="3"/>
      <c r="W13" s="3"/>
      <c r="X13" s="3"/>
      <c r="Y13" s="3"/>
      <c r="Z13" s="3"/>
      <c r="AA13" s="3"/>
      <c r="AB13" s="3"/>
      <c r="AC13" s="3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s="5" customFormat="1" ht="21.6" x14ac:dyDescent="0.2">
      <c r="A14" s="15">
        <v>2084</v>
      </c>
      <c r="B14" s="16" t="s">
        <v>20</v>
      </c>
      <c r="C14" s="17" t="s">
        <v>21</v>
      </c>
      <c r="D14" s="18" t="s">
        <v>259</v>
      </c>
      <c r="E14" s="16" t="s">
        <v>260</v>
      </c>
      <c r="F14" s="16" t="s">
        <v>153</v>
      </c>
      <c r="G14" s="16" t="s">
        <v>32</v>
      </c>
      <c r="H14" s="19" t="s">
        <v>258</v>
      </c>
      <c r="I14" s="27" t="s">
        <v>23</v>
      </c>
      <c r="J14" s="21">
        <v>0.8</v>
      </c>
      <c r="K14" s="27" t="s">
        <v>139</v>
      </c>
      <c r="L14" s="32" t="s">
        <v>140</v>
      </c>
      <c r="M14" s="27" t="s">
        <v>141</v>
      </c>
      <c r="N14" s="28">
        <v>0.9</v>
      </c>
      <c r="O14" s="29">
        <v>0.2</v>
      </c>
      <c r="P14" s="28">
        <v>0.9</v>
      </c>
      <c r="Q14" s="29">
        <f t="shared" si="2"/>
        <v>1</v>
      </c>
      <c r="R14" s="30">
        <f t="shared" si="1"/>
        <v>16.000000000000004</v>
      </c>
      <c r="S14" s="29" t="s">
        <v>24</v>
      </c>
      <c r="T14" s="29"/>
      <c r="U14" s="3"/>
      <c r="V14" s="3"/>
      <c r="W14" s="3"/>
      <c r="X14" s="3"/>
      <c r="Y14" s="3"/>
      <c r="Z14" s="3"/>
      <c r="AA14" s="3"/>
      <c r="AB14" s="3"/>
      <c r="AC14" s="3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s="5" customFormat="1" ht="21.6" x14ac:dyDescent="0.2">
      <c r="A15" s="15">
        <v>2085</v>
      </c>
      <c r="B15" s="16" t="s">
        <v>20</v>
      </c>
      <c r="C15" s="17" t="s">
        <v>21</v>
      </c>
      <c r="D15" s="18" t="s">
        <v>259</v>
      </c>
      <c r="E15" s="16" t="s">
        <v>260</v>
      </c>
      <c r="F15" s="16" t="s">
        <v>153</v>
      </c>
      <c r="G15" s="16" t="s">
        <v>32</v>
      </c>
      <c r="H15" s="19" t="s">
        <v>258</v>
      </c>
      <c r="I15" s="27" t="s">
        <v>23</v>
      </c>
      <c r="J15" s="21">
        <v>0.8</v>
      </c>
      <c r="K15" s="27" t="s">
        <v>142</v>
      </c>
      <c r="L15" s="32" t="s">
        <v>143</v>
      </c>
      <c r="M15" s="27" t="s">
        <v>144</v>
      </c>
      <c r="N15" s="28">
        <v>1</v>
      </c>
      <c r="O15" s="29">
        <v>0.1</v>
      </c>
      <c r="P15" s="28">
        <v>1</v>
      </c>
      <c r="Q15" s="29">
        <f t="shared" si="2"/>
        <v>1</v>
      </c>
      <c r="R15" s="30">
        <f t="shared" si="1"/>
        <v>8.0000000000000018</v>
      </c>
      <c r="S15" s="29" t="s">
        <v>24</v>
      </c>
      <c r="T15" s="29"/>
      <c r="U15" s="3"/>
      <c r="V15" s="3"/>
      <c r="W15" s="3"/>
      <c r="X15" s="3"/>
      <c r="Y15" s="3"/>
      <c r="Z15" s="3"/>
      <c r="AA15" s="3"/>
      <c r="AB15" s="3"/>
      <c r="AC15" s="3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s="5" customFormat="1" ht="21.6" x14ac:dyDescent="0.2">
      <c r="A16" s="15">
        <v>2086</v>
      </c>
      <c r="B16" s="16" t="s">
        <v>20</v>
      </c>
      <c r="C16" s="17" t="s">
        <v>21</v>
      </c>
      <c r="D16" s="18" t="s">
        <v>259</v>
      </c>
      <c r="E16" s="16" t="s">
        <v>260</v>
      </c>
      <c r="F16" s="16" t="s">
        <v>153</v>
      </c>
      <c r="G16" s="16" t="s">
        <v>32</v>
      </c>
      <c r="H16" s="19" t="s">
        <v>258</v>
      </c>
      <c r="I16" s="27" t="s">
        <v>23</v>
      </c>
      <c r="J16" s="21">
        <v>0.8</v>
      </c>
      <c r="K16" s="27" t="s">
        <v>145</v>
      </c>
      <c r="L16" s="32" t="s">
        <v>146</v>
      </c>
      <c r="M16" s="6" t="s">
        <v>147</v>
      </c>
      <c r="N16" s="28">
        <v>0.9</v>
      </c>
      <c r="O16" s="29">
        <v>0.2</v>
      </c>
      <c r="P16" s="67">
        <v>0.78900000000000003</v>
      </c>
      <c r="Q16" s="29">
        <f t="shared" si="2"/>
        <v>0.88</v>
      </c>
      <c r="R16" s="30">
        <f t="shared" si="1"/>
        <v>14.080000000000004</v>
      </c>
      <c r="S16" s="29" t="s">
        <v>24</v>
      </c>
      <c r="T16" s="29"/>
      <c r="U16" s="3"/>
      <c r="V16" s="3"/>
      <c r="W16" s="3"/>
      <c r="X16" s="3"/>
      <c r="Y16" s="3"/>
      <c r="Z16" s="3"/>
      <c r="AA16" s="3"/>
      <c r="AB16" s="3"/>
      <c r="AC16" s="3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s="5" customFormat="1" ht="21.6" x14ac:dyDescent="0.2">
      <c r="A17" s="15">
        <v>2087</v>
      </c>
      <c r="B17" s="16" t="s">
        <v>20</v>
      </c>
      <c r="C17" s="17" t="s">
        <v>21</v>
      </c>
      <c r="D17" s="18" t="s">
        <v>259</v>
      </c>
      <c r="E17" s="16" t="s">
        <v>260</v>
      </c>
      <c r="F17" s="16" t="s">
        <v>153</v>
      </c>
      <c r="G17" s="16" t="s">
        <v>32</v>
      </c>
      <c r="H17" s="19" t="s">
        <v>258</v>
      </c>
      <c r="I17" s="27" t="s">
        <v>27</v>
      </c>
      <c r="J17" s="28">
        <v>0.2</v>
      </c>
      <c r="K17" s="27" t="s">
        <v>148</v>
      </c>
      <c r="L17" s="32" t="s">
        <v>149</v>
      </c>
      <c r="M17" s="6" t="s">
        <v>150</v>
      </c>
      <c r="N17" s="28">
        <v>1</v>
      </c>
      <c r="O17" s="29">
        <v>1</v>
      </c>
      <c r="P17" s="28">
        <v>0.95</v>
      </c>
      <c r="Q17" s="29">
        <f t="shared" si="2"/>
        <v>0.95</v>
      </c>
      <c r="R17" s="30">
        <f t="shared" si="1"/>
        <v>19</v>
      </c>
      <c r="S17" s="29" t="s">
        <v>24</v>
      </c>
      <c r="T17" s="29"/>
      <c r="U17" s="3"/>
      <c r="V17" s="3"/>
      <c r="W17" s="3"/>
      <c r="X17" s="3"/>
      <c r="Y17" s="3"/>
      <c r="Z17" s="3"/>
      <c r="AA17" s="3"/>
      <c r="AB17" s="3"/>
      <c r="AC17" s="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s="5" customFormat="1" ht="21.6" x14ac:dyDescent="0.2">
      <c r="A18" s="15">
        <v>2088</v>
      </c>
      <c r="B18" s="16" t="s">
        <v>20</v>
      </c>
      <c r="C18" s="17" t="s">
        <v>21</v>
      </c>
      <c r="D18" s="18" t="s">
        <v>261</v>
      </c>
      <c r="E18" s="16" t="s">
        <v>262</v>
      </c>
      <c r="F18" s="16" t="s">
        <v>155</v>
      </c>
      <c r="G18" s="16" t="s">
        <v>32</v>
      </c>
      <c r="H18" s="19" t="s">
        <v>258</v>
      </c>
      <c r="I18" s="20" t="s">
        <v>23</v>
      </c>
      <c r="J18" s="21">
        <v>0.8</v>
      </c>
      <c r="K18" s="26" t="s">
        <v>30</v>
      </c>
      <c r="L18" s="31" t="s">
        <v>130</v>
      </c>
      <c r="M18" s="1" t="s">
        <v>131</v>
      </c>
      <c r="N18" s="21">
        <v>0.95</v>
      </c>
      <c r="O18" s="21">
        <v>0.15</v>
      </c>
      <c r="P18" s="21">
        <v>0.95</v>
      </c>
      <c r="Q18" s="21">
        <f t="shared" si="2"/>
        <v>1</v>
      </c>
      <c r="R18" s="22">
        <f t="shared" si="1"/>
        <v>12</v>
      </c>
      <c r="S18" s="21" t="s">
        <v>24</v>
      </c>
      <c r="T18" s="23">
        <f>SUM(R18:R25)%</f>
        <v>0.83719999999999994</v>
      </c>
      <c r="U18" s="3"/>
      <c r="V18" s="3"/>
      <c r="W18" s="3"/>
      <c r="X18" s="3"/>
      <c r="Y18" s="3"/>
      <c r="Z18" s="3"/>
      <c r="AA18" s="3"/>
      <c r="AB18" s="3"/>
      <c r="AC18" s="3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s="5" customFormat="1" ht="21.6" x14ac:dyDescent="0.2">
      <c r="A19" s="15">
        <v>2090</v>
      </c>
      <c r="B19" s="16" t="s">
        <v>20</v>
      </c>
      <c r="C19" s="17" t="s">
        <v>21</v>
      </c>
      <c r="D19" s="18" t="s">
        <v>261</v>
      </c>
      <c r="E19" s="16" t="s">
        <v>262</v>
      </c>
      <c r="F19" s="16" t="s">
        <v>155</v>
      </c>
      <c r="G19" s="16" t="s">
        <v>32</v>
      </c>
      <c r="H19" s="19" t="s">
        <v>258</v>
      </c>
      <c r="I19" s="20" t="s">
        <v>23</v>
      </c>
      <c r="J19" s="21">
        <v>0.8</v>
      </c>
      <c r="K19" s="26" t="s">
        <v>132</v>
      </c>
      <c r="L19" s="31" t="s">
        <v>133</v>
      </c>
      <c r="M19" s="26" t="s">
        <v>134</v>
      </c>
      <c r="N19" s="21">
        <v>0.95</v>
      </c>
      <c r="O19" s="21">
        <v>0.15</v>
      </c>
      <c r="P19" s="25">
        <v>0.9</v>
      </c>
      <c r="Q19" s="21">
        <f t="shared" ref="Q19:Q26" si="3">ROUND(IF(OR(N19="",P19=""),0,IF(AND(N19=0,P19=0),1,IF(S19="+",P19/N19,N19/P19))),2)</f>
        <v>0.95</v>
      </c>
      <c r="R19" s="22">
        <f t="shared" si="1"/>
        <v>11.399999999999999</v>
      </c>
      <c r="S19" s="21" t="s">
        <v>24</v>
      </c>
      <c r="T19" s="21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s="5" customFormat="1" ht="21.6" x14ac:dyDescent="0.2">
      <c r="A20" s="15">
        <v>2091</v>
      </c>
      <c r="B20" s="16" t="s">
        <v>20</v>
      </c>
      <c r="C20" s="17" t="s">
        <v>21</v>
      </c>
      <c r="D20" s="18" t="s">
        <v>261</v>
      </c>
      <c r="E20" s="16" t="s">
        <v>262</v>
      </c>
      <c r="F20" s="16" t="s">
        <v>155</v>
      </c>
      <c r="G20" s="16" t="s">
        <v>32</v>
      </c>
      <c r="H20" s="19" t="s">
        <v>258</v>
      </c>
      <c r="I20" s="20" t="s">
        <v>23</v>
      </c>
      <c r="J20" s="21">
        <v>0.8</v>
      </c>
      <c r="K20" s="26" t="s">
        <v>54</v>
      </c>
      <c r="L20" s="31" t="s">
        <v>135</v>
      </c>
      <c r="M20" s="26" t="s">
        <v>136</v>
      </c>
      <c r="N20" s="25">
        <v>0.05</v>
      </c>
      <c r="O20" s="21">
        <v>0.1</v>
      </c>
      <c r="P20" s="66">
        <v>0.2</v>
      </c>
      <c r="Q20" s="21">
        <f t="shared" si="3"/>
        <v>0.25</v>
      </c>
      <c r="R20" s="22">
        <f t="shared" si="1"/>
        <v>0</v>
      </c>
      <c r="S20" s="21" t="s">
        <v>25</v>
      </c>
      <c r="T20" s="21"/>
      <c r="U20" s="3"/>
      <c r="V20" s="3"/>
      <c r="W20" s="3"/>
      <c r="X20" s="3"/>
      <c r="Y20" s="3"/>
      <c r="Z20" s="3"/>
      <c r="AA20" s="3"/>
      <c r="AB20" s="3"/>
      <c r="AC20" s="3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s="5" customFormat="1" ht="21.6" x14ac:dyDescent="0.2">
      <c r="A21" s="15">
        <v>2092</v>
      </c>
      <c r="B21" s="16" t="s">
        <v>20</v>
      </c>
      <c r="C21" s="17" t="s">
        <v>21</v>
      </c>
      <c r="D21" s="18" t="s">
        <v>261</v>
      </c>
      <c r="E21" s="16" t="s">
        <v>262</v>
      </c>
      <c r="F21" s="16" t="s">
        <v>155</v>
      </c>
      <c r="G21" s="16" t="s">
        <v>32</v>
      </c>
      <c r="H21" s="19" t="s">
        <v>258</v>
      </c>
      <c r="I21" s="20" t="s">
        <v>23</v>
      </c>
      <c r="J21" s="21">
        <v>0.8</v>
      </c>
      <c r="K21" s="26" t="s">
        <v>31</v>
      </c>
      <c r="L21" s="31" t="s">
        <v>137</v>
      </c>
      <c r="M21" s="26" t="s">
        <v>138</v>
      </c>
      <c r="N21" s="64">
        <v>0.05</v>
      </c>
      <c r="O21" s="21">
        <v>0.1</v>
      </c>
      <c r="P21" s="28">
        <v>0.05</v>
      </c>
      <c r="Q21" s="21">
        <f t="shared" si="3"/>
        <v>1</v>
      </c>
      <c r="R21" s="22">
        <f t="shared" si="1"/>
        <v>8.0000000000000018</v>
      </c>
      <c r="S21" s="21" t="s">
        <v>25</v>
      </c>
      <c r="T21" s="21"/>
      <c r="U21" s="3"/>
      <c r="V21" s="3"/>
      <c r="W21" s="3"/>
      <c r="X21" s="3"/>
      <c r="Y21" s="3"/>
      <c r="Z21" s="3"/>
      <c r="AA21" s="3"/>
      <c r="AB21" s="3"/>
      <c r="AC21" s="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s="5" customFormat="1" ht="21.6" x14ac:dyDescent="0.2">
      <c r="A22" s="15">
        <v>2093</v>
      </c>
      <c r="B22" s="16" t="s">
        <v>20</v>
      </c>
      <c r="C22" s="17" t="s">
        <v>21</v>
      </c>
      <c r="D22" s="18" t="s">
        <v>261</v>
      </c>
      <c r="E22" s="16" t="s">
        <v>262</v>
      </c>
      <c r="F22" s="16" t="s">
        <v>155</v>
      </c>
      <c r="G22" s="16" t="s">
        <v>32</v>
      </c>
      <c r="H22" s="19" t="s">
        <v>258</v>
      </c>
      <c r="I22" s="27" t="s">
        <v>23</v>
      </c>
      <c r="J22" s="21">
        <v>0.8</v>
      </c>
      <c r="K22" s="27" t="s">
        <v>139</v>
      </c>
      <c r="L22" s="32" t="s">
        <v>140</v>
      </c>
      <c r="M22" s="27" t="s">
        <v>141</v>
      </c>
      <c r="N22" s="28">
        <v>0.9</v>
      </c>
      <c r="O22" s="29">
        <v>0.2</v>
      </c>
      <c r="P22" s="28">
        <v>0.8</v>
      </c>
      <c r="Q22" s="29">
        <f t="shared" si="3"/>
        <v>0.89</v>
      </c>
      <c r="R22" s="30">
        <f t="shared" si="1"/>
        <v>14.240000000000002</v>
      </c>
      <c r="S22" s="29" t="s">
        <v>24</v>
      </c>
      <c r="T22" s="29"/>
      <c r="U22" s="3"/>
      <c r="V22" s="3"/>
      <c r="W22" s="3"/>
      <c r="X22" s="3"/>
      <c r="Y22" s="3"/>
      <c r="Z22" s="3"/>
      <c r="AA22" s="3"/>
      <c r="AB22" s="3"/>
      <c r="AC22" s="3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s="5" customFormat="1" ht="21.6" x14ac:dyDescent="0.2">
      <c r="A23" s="15">
        <v>2094</v>
      </c>
      <c r="B23" s="16" t="s">
        <v>20</v>
      </c>
      <c r="C23" s="17" t="s">
        <v>21</v>
      </c>
      <c r="D23" s="18" t="s">
        <v>261</v>
      </c>
      <c r="E23" s="16" t="s">
        <v>262</v>
      </c>
      <c r="F23" s="16" t="s">
        <v>155</v>
      </c>
      <c r="G23" s="16" t="s">
        <v>32</v>
      </c>
      <c r="H23" s="19" t="s">
        <v>258</v>
      </c>
      <c r="I23" s="27" t="s">
        <v>23</v>
      </c>
      <c r="J23" s="21">
        <v>0.8</v>
      </c>
      <c r="K23" s="27" t="s">
        <v>142</v>
      </c>
      <c r="L23" s="32" t="s">
        <v>143</v>
      </c>
      <c r="M23" s="27" t="s">
        <v>144</v>
      </c>
      <c r="N23" s="28">
        <v>1</v>
      </c>
      <c r="O23" s="29">
        <v>0.1</v>
      </c>
      <c r="P23" s="28">
        <v>1</v>
      </c>
      <c r="Q23" s="29">
        <f t="shared" si="3"/>
        <v>1</v>
      </c>
      <c r="R23" s="30">
        <f t="shared" si="1"/>
        <v>8.0000000000000018</v>
      </c>
      <c r="S23" s="29" t="s">
        <v>24</v>
      </c>
      <c r="T23" s="29"/>
      <c r="U23" s="3"/>
      <c r="V23" s="3"/>
      <c r="W23" s="3"/>
      <c r="X23" s="3"/>
      <c r="Y23" s="3"/>
      <c r="Z23" s="3"/>
      <c r="AA23" s="3"/>
      <c r="AB23" s="3"/>
      <c r="AC23" s="3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s="5" customFormat="1" ht="21.6" x14ac:dyDescent="0.2">
      <c r="A24" s="15">
        <v>2095</v>
      </c>
      <c r="B24" s="16" t="s">
        <v>20</v>
      </c>
      <c r="C24" s="17" t="s">
        <v>21</v>
      </c>
      <c r="D24" s="18" t="s">
        <v>261</v>
      </c>
      <c r="E24" s="16" t="s">
        <v>262</v>
      </c>
      <c r="F24" s="16" t="s">
        <v>155</v>
      </c>
      <c r="G24" s="16" t="s">
        <v>32</v>
      </c>
      <c r="H24" s="19" t="s">
        <v>258</v>
      </c>
      <c r="I24" s="27" t="s">
        <v>23</v>
      </c>
      <c r="J24" s="21">
        <v>0.8</v>
      </c>
      <c r="K24" s="27" t="s">
        <v>145</v>
      </c>
      <c r="L24" s="32" t="s">
        <v>146</v>
      </c>
      <c r="M24" s="6" t="s">
        <v>147</v>
      </c>
      <c r="N24" s="28">
        <v>0.9</v>
      </c>
      <c r="O24" s="29">
        <v>0.2</v>
      </c>
      <c r="P24" s="67">
        <v>0.78900000000000003</v>
      </c>
      <c r="Q24" s="29">
        <f t="shared" si="3"/>
        <v>0.88</v>
      </c>
      <c r="R24" s="30">
        <f t="shared" si="1"/>
        <v>14.080000000000004</v>
      </c>
      <c r="S24" s="29" t="s">
        <v>24</v>
      </c>
      <c r="T24" s="29"/>
      <c r="U24" s="3"/>
      <c r="V24" s="3"/>
      <c r="W24" s="3"/>
      <c r="X24" s="3"/>
      <c r="Y24" s="3"/>
      <c r="Z24" s="3"/>
      <c r="AA24" s="3"/>
      <c r="AB24" s="3"/>
      <c r="AC24" s="3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s="5" customFormat="1" ht="21.6" x14ac:dyDescent="0.2">
      <c r="A25" s="15">
        <v>2096</v>
      </c>
      <c r="B25" s="16" t="s">
        <v>20</v>
      </c>
      <c r="C25" s="17" t="s">
        <v>21</v>
      </c>
      <c r="D25" s="18" t="s">
        <v>261</v>
      </c>
      <c r="E25" s="16" t="s">
        <v>262</v>
      </c>
      <c r="F25" s="16" t="s">
        <v>155</v>
      </c>
      <c r="G25" s="16" t="s">
        <v>32</v>
      </c>
      <c r="H25" s="19" t="s">
        <v>258</v>
      </c>
      <c r="I25" s="27" t="s">
        <v>27</v>
      </c>
      <c r="J25" s="28">
        <v>0.2</v>
      </c>
      <c r="K25" s="27" t="s">
        <v>148</v>
      </c>
      <c r="L25" s="32" t="s">
        <v>149</v>
      </c>
      <c r="M25" s="6" t="s">
        <v>150</v>
      </c>
      <c r="N25" s="28">
        <v>1</v>
      </c>
      <c r="O25" s="29">
        <v>1</v>
      </c>
      <c r="P25" s="28">
        <v>0.8</v>
      </c>
      <c r="Q25" s="29">
        <f t="shared" si="3"/>
        <v>0.8</v>
      </c>
      <c r="R25" s="30">
        <f t="shared" si="1"/>
        <v>16.000000000000004</v>
      </c>
      <c r="S25" s="29" t="s">
        <v>24</v>
      </c>
      <c r="T25" s="29"/>
      <c r="U25" s="3"/>
      <c r="V25" s="3"/>
      <c r="W25" s="3"/>
      <c r="X25" s="3"/>
      <c r="Y25" s="3"/>
      <c r="Z25" s="3"/>
      <c r="AA25" s="3"/>
      <c r="AB25" s="3"/>
      <c r="AC25" s="3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s="5" customFormat="1" ht="21.6" x14ac:dyDescent="0.2">
      <c r="A26" s="15">
        <v>2097</v>
      </c>
      <c r="B26" s="16" t="s">
        <v>20</v>
      </c>
      <c r="C26" s="17" t="s">
        <v>21</v>
      </c>
      <c r="D26" s="18" t="s">
        <v>263</v>
      </c>
      <c r="E26" s="16" t="s">
        <v>264</v>
      </c>
      <c r="F26" s="16" t="s">
        <v>153</v>
      </c>
      <c r="G26" s="16" t="s">
        <v>32</v>
      </c>
      <c r="H26" s="19" t="s">
        <v>258</v>
      </c>
      <c r="I26" s="20" t="s">
        <v>23</v>
      </c>
      <c r="J26" s="21">
        <v>0.8</v>
      </c>
      <c r="K26" s="26" t="s">
        <v>30</v>
      </c>
      <c r="L26" s="31" t="s">
        <v>130</v>
      </c>
      <c r="M26" s="1" t="s">
        <v>131</v>
      </c>
      <c r="N26" s="21">
        <v>0.95</v>
      </c>
      <c r="O26" s="21">
        <v>0.15</v>
      </c>
      <c r="P26" s="21">
        <v>0.95</v>
      </c>
      <c r="Q26" s="21">
        <f t="shared" si="3"/>
        <v>1</v>
      </c>
      <c r="R26" s="22">
        <f t="shared" si="1"/>
        <v>12</v>
      </c>
      <c r="S26" s="21" t="s">
        <v>24</v>
      </c>
      <c r="T26" s="23">
        <f>SUM(R26:R33)%</f>
        <v>0.88480000000000003</v>
      </c>
      <c r="U26" s="3"/>
      <c r="V26" s="3"/>
      <c r="W26" s="3"/>
      <c r="X26" s="3"/>
      <c r="Y26" s="3"/>
      <c r="Z26" s="3"/>
      <c r="AA26" s="3"/>
      <c r="AB26" s="3"/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s="5" customFormat="1" ht="21.6" x14ac:dyDescent="0.2">
      <c r="A27" s="15">
        <v>2099</v>
      </c>
      <c r="B27" s="16" t="s">
        <v>20</v>
      </c>
      <c r="C27" s="17" t="s">
        <v>21</v>
      </c>
      <c r="D27" s="18" t="s">
        <v>263</v>
      </c>
      <c r="E27" s="16" t="s">
        <v>264</v>
      </c>
      <c r="F27" s="16" t="s">
        <v>153</v>
      </c>
      <c r="G27" s="16" t="s">
        <v>32</v>
      </c>
      <c r="H27" s="19" t="s">
        <v>258</v>
      </c>
      <c r="I27" s="20" t="s">
        <v>23</v>
      </c>
      <c r="J27" s="21">
        <v>0.8</v>
      </c>
      <c r="K27" s="26" t="s">
        <v>132</v>
      </c>
      <c r="L27" s="31" t="s">
        <v>133</v>
      </c>
      <c r="M27" s="26" t="s">
        <v>134</v>
      </c>
      <c r="N27" s="21">
        <v>0.95</v>
      </c>
      <c r="O27" s="21">
        <v>0.15</v>
      </c>
      <c r="P27" s="25">
        <v>0.9</v>
      </c>
      <c r="Q27" s="21">
        <f t="shared" ref="Q27:Q34" si="4">ROUND(IF(OR(N27="",P27=""),0,IF(AND(N27=0,P27=0),1,IF(S27="+",P27/N27,N27/P27))),2)</f>
        <v>0.95</v>
      </c>
      <c r="R27" s="22">
        <f t="shared" si="1"/>
        <v>11.399999999999999</v>
      </c>
      <c r="S27" s="21" t="s">
        <v>24</v>
      </c>
      <c r="T27" s="21"/>
      <c r="U27" s="3"/>
      <c r="V27" s="3"/>
      <c r="W27" s="3"/>
      <c r="X27" s="3"/>
      <c r="Y27" s="3"/>
      <c r="Z27" s="3"/>
      <c r="AA27" s="3"/>
      <c r="AB27" s="3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s="5" customFormat="1" ht="21.6" x14ac:dyDescent="0.2">
      <c r="A28" s="15">
        <v>2100</v>
      </c>
      <c r="B28" s="16" t="s">
        <v>20</v>
      </c>
      <c r="C28" s="17" t="s">
        <v>21</v>
      </c>
      <c r="D28" s="18" t="s">
        <v>263</v>
      </c>
      <c r="E28" s="16" t="s">
        <v>264</v>
      </c>
      <c r="F28" s="16" t="s">
        <v>153</v>
      </c>
      <c r="G28" s="16" t="s">
        <v>32</v>
      </c>
      <c r="H28" s="19" t="s">
        <v>258</v>
      </c>
      <c r="I28" s="20" t="s">
        <v>23</v>
      </c>
      <c r="J28" s="21">
        <v>0.8</v>
      </c>
      <c r="K28" s="26" t="s">
        <v>54</v>
      </c>
      <c r="L28" s="31" t="s">
        <v>135</v>
      </c>
      <c r="M28" s="26" t="s">
        <v>136</v>
      </c>
      <c r="N28" s="25">
        <v>0.05</v>
      </c>
      <c r="O28" s="21">
        <v>0.1</v>
      </c>
      <c r="P28" s="66">
        <v>0.2</v>
      </c>
      <c r="Q28" s="21">
        <f t="shared" si="4"/>
        <v>0.25</v>
      </c>
      <c r="R28" s="22">
        <f t="shared" si="1"/>
        <v>0</v>
      </c>
      <c r="S28" s="21" t="s">
        <v>25</v>
      </c>
      <c r="T28" s="21"/>
      <c r="U28" s="3"/>
      <c r="V28" s="3"/>
      <c r="W28" s="3"/>
      <c r="X28" s="3"/>
      <c r="Y28" s="3"/>
      <c r="Z28" s="3"/>
      <c r="AA28" s="3"/>
      <c r="AB28" s="3"/>
      <c r="AC28" s="3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s="5" customFormat="1" ht="21.6" x14ac:dyDescent="0.2">
      <c r="A29" s="15">
        <v>2101</v>
      </c>
      <c r="B29" s="16" t="s">
        <v>20</v>
      </c>
      <c r="C29" s="17" t="s">
        <v>21</v>
      </c>
      <c r="D29" s="18" t="s">
        <v>263</v>
      </c>
      <c r="E29" s="16" t="s">
        <v>264</v>
      </c>
      <c r="F29" s="16" t="s">
        <v>153</v>
      </c>
      <c r="G29" s="16" t="s">
        <v>32</v>
      </c>
      <c r="H29" s="19" t="s">
        <v>258</v>
      </c>
      <c r="I29" s="20" t="s">
        <v>23</v>
      </c>
      <c r="J29" s="21">
        <v>0.8</v>
      </c>
      <c r="K29" s="26" t="s">
        <v>31</v>
      </c>
      <c r="L29" s="31" t="s">
        <v>137</v>
      </c>
      <c r="M29" s="26" t="s">
        <v>138</v>
      </c>
      <c r="N29" s="64">
        <v>0.05</v>
      </c>
      <c r="O29" s="21">
        <v>0.1</v>
      </c>
      <c r="P29" s="28">
        <v>0.05</v>
      </c>
      <c r="Q29" s="21">
        <f t="shared" si="4"/>
        <v>1</v>
      </c>
      <c r="R29" s="22">
        <f t="shared" si="1"/>
        <v>8.0000000000000018</v>
      </c>
      <c r="S29" s="21" t="s">
        <v>25</v>
      </c>
      <c r="T29" s="21"/>
      <c r="U29" s="3"/>
      <c r="V29" s="3"/>
      <c r="W29" s="3"/>
      <c r="X29" s="3"/>
      <c r="Y29" s="3"/>
      <c r="Z29" s="3"/>
      <c r="AA29" s="3"/>
      <c r="AB29" s="3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s="5" customFormat="1" ht="21.6" x14ac:dyDescent="0.2">
      <c r="A30" s="15">
        <v>2102</v>
      </c>
      <c r="B30" s="16" t="s">
        <v>20</v>
      </c>
      <c r="C30" s="17" t="s">
        <v>21</v>
      </c>
      <c r="D30" s="18" t="s">
        <v>263</v>
      </c>
      <c r="E30" s="16" t="s">
        <v>264</v>
      </c>
      <c r="F30" s="16" t="s">
        <v>153</v>
      </c>
      <c r="G30" s="16" t="s">
        <v>32</v>
      </c>
      <c r="H30" s="19" t="s">
        <v>258</v>
      </c>
      <c r="I30" s="27" t="s">
        <v>23</v>
      </c>
      <c r="J30" s="21">
        <v>0.8</v>
      </c>
      <c r="K30" s="27" t="s">
        <v>139</v>
      </c>
      <c r="L30" s="32" t="s">
        <v>140</v>
      </c>
      <c r="M30" s="27" t="s">
        <v>141</v>
      </c>
      <c r="N30" s="28">
        <v>0.9</v>
      </c>
      <c r="O30" s="29">
        <v>0.2</v>
      </c>
      <c r="P30" s="28">
        <v>0.9</v>
      </c>
      <c r="Q30" s="29">
        <f t="shared" si="4"/>
        <v>1</v>
      </c>
      <c r="R30" s="30">
        <f t="shared" si="1"/>
        <v>16.000000000000004</v>
      </c>
      <c r="S30" s="29" t="s">
        <v>24</v>
      </c>
      <c r="T30" s="29"/>
      <c r="U30" s="3"/>
      <c r="V30" s="3"/>
      <c r="W30" s="3"/>
      <c r="X30" s="3"/>
      <c r="Y30" s="3"/>
      <c r="Z30" s="3"/>
      <c r="AA30" s="3"/>
      <c r="AB30" s="3"/>
      <c r="AC30" s="3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s="5" customFormat="1" ht="21.6" x14ac:dyDescent="0.2">
      <c r="A31" s="15">
        <v>2103</v>
      </c>
      <c r="B31" s="16" t="s">
        <v>20</v>
      </c>
      <c r="C31" s="17" t="s">
        <v>21</v>
      </c>
      <c r="D31" s="18" t="s">
        <v>263</v>
      </c>
      <c r="E31" s="16" t="s">
        <v>264</v>
      </c>
      <c r="F31" s="16" t="s">
        <v>153</v>
      </c>
      <c r="G31" s="16" t="s">
        <v>32</v>
      </c>
      <c r="H31" s="19" t="s">
        <v>258</v>
      </c>
      <c r="I31" s="27" t="s">
        <v>23</v>
      </c>
      <c r="J31" s="21">
        <v>0.8</v>
      </c>
      <c r="K31" s="27" t="s">
        <v>142</v>
      </c>
      <c r="L31" s="32" t="s">
        <v>143</v>
      </c>
      <c r="M31" s="27" t="s">
        <v>144</v>
      </c>
      <c r="N31" s="28">
        <v>1</v>
      </c>
      <c r="O31" s="29">
        <v>0.1</v>
      </c>
      <c r="P31" s="28">
        <v>1</v>
      </c>
      <c r="Q31" s="29">
        <f t="shared" si="4"/>
        <v>1</v>
      </c>
      <c r="R31" s="30">
        <f t="shared" si="1"/>
        <v>8.0000000000000018</v>
      </c>
      <c r="S31" s="29" t="s">
        <v>24</v>
      </c>
      <c r="T31" s="29"/>
      <c r="U31" s="3"/>
      <c r="V31" s="3"/>
      <c r="W31" s="3"/>
      <c r="X31" s="3"/>
      <c r="Y31" s="3"/>
      <c r="Z31" s="3"/>
      <c r="AA31" s="3"/>
      <c r="AB31" s="3"/>
      <c r="AC31" s="3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s="5" customFormat="1" ht="21.6" x14ac:dyDescent="0.2">
      <c r="A32" s="15">
        <v>2104</v>
      </c>
      <c r="B32" s="16" t="s">
        <v>20</v>
      </c>
      <c r="C32" s="17" t="s">
        <v>21</v>
      </c>
      <c r="D32" s="18" t="s">
        <v>263</v>
      </c>
      <c r="E32" s="16" t="s">
        <v>264</v>
      </c>
      <c r="F32" s="16" t="s">
        <v>153</v>
      </c>
      <c r="G32" s="16" t="s">
        <v>32</v>
      </c>
      <c r="H32" s="19" t="s">
        <v>258</v>
      </c>
      <c r="I32" s="27" t="s">
        <v>23</v>
      </c>
      <c r="J32" s="21">
        <v>0.8</v>
      </c>
      <c r="K32" s="27" t="s">
        <v>145</v>
      </c>
      <c r="L32" s="32" t="s">
        <v>146</v>
      </c>
      <c r="M32" s="6" t="s">
        <v>147</v>
      </c>
      <c r="N32" s="28">
        <v>0.9</v>
      </c>
      <c r="O32" s="29">
        <v>0.2</v>
      </c>
      <c r="P32" s="67">
        <v>0.78900000000000003</v>
      </c>
      <c r="Q32" s="29">
        <f t="shared" si="4"/>
        <v>0.88</v>
      </c>
      <c r="R32" s="30">
        <f t="shared" si="1"/>
        <v>14.080000000000004</v>
      </c>
      <c r="S32" s="29" t="s">
        <v>24</v>
      </c>
      <c r="T32" s="29"/>
      <c r="U32" s="3"/>
      <c r="V32" s="3"/>
      <c r="W32" s="3"/>
      <c r="X32" s="3"/>
      <c r="Y32" s="3"/>
      <c r="Z32" s="3"/>
      <c r="AA32" s="3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s="5" customFormat="1" ht="21.6" x14ac:dyDescent="0.2">
      <c r="A33" s="15">
        <v>2105</v>
      </c>
      <c r="B33" s="16" t="s">
        <v>20</v>
      </c>
      <c r="C33" s="17" t="s">
        <v>21</v>
      </c>
      <c r="D33" s="18" t="s">
        <v>263</v>
      </c>
      <c r="E33" s="16" t="s">
        <v>264</v>
      </c>
      <c r="F33" s="16" t="s">
        <v>153</v>
      </c>
      <c r="G33" s="16" t="s">
        <v>32</v>
      </c>
      <c r="H33" s="19" t="s">
        <v>258</v>
      </c>
      <c r="I33" s="27" t="s">
        <v>27</v>
      </c>
      <c r="J33" s="28">
        <v>0.2</v>
      </c>
      <c r="K33" s="27" t="s">
        <v>148</v>
      </c>
      <c r="L33" s="32" t="s">
        <v>149</v>
      </c>
      <c r="M33" s="6" t="s">
        <v>150</v>
      </c>
      <c r="N33" s="28">
        <v>1</v>
      </c>
      <c r="O33" s="29">
        <v>1</v>
      </c>
      <c r="P33" s="28">
        <v>0.95</v>
      </c>
      <c r="Q33" s="29">
        <f t="shared" si="4"/>
        <v>0.95</v>
      </c>
      <c r="R33" s="30">
        <f t="shared" si="1"/>
        <v>19</v>
      </c>
      <c r="S33" s="29" t="s">
        <v>24</v>
      </c>
      <c r="T33" s="29"/>
      <c r="U33" s="3"/>
      <c r="V33" s="3"/>
      <c r="W33" s="3"/>
      <c r="X33" s="3"/>
      <c r="Y33" s="3"/>
      <c r="Z33" s="3"/>
      <c r="AA33" s="3"/>
      <c r="AB33" s="3"/>
      <c r="AC33" s="3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s="5" customFormat="1" ht="21.6" x14ac:dyDescent="0.2">
      <c r="A34" s="15">
        <v>2106</v>
      </c>
      <c r="B34" s="16" t="s">
        <v>20</v>
      </c>
      <c r="C34" s="17" t="s">
        <v>21</v>
      </c>
      <c r="D34" s="18" t="s">
        <v>265</v>
      </c>
      <c r="E34" s="16" t="s">
        <v>266</v>
      </c>
      <c r="F34" s="16" t="s">
        <v>128</v>
      </c>
      <c r="G34" s="16" t="s">
        <v>32</v>
      </c>
      <c r="H34" s="19" t="s">
        <v>258</v>
      </c>
      <c r="I34" s="20" t="s">
        <v>23</v>
      </c>
      <c r="J34" s="21">
        <v>0.8</v>
      </c>
      <c r="K34" s="26" t="s">
        <v>30</v>
      </c>
      <c r="L34" s="31" t="s">
        <v>130</v>
      </c>
      <c r="M34" s="1" t="s">
        <v>131</v>
      </c>
      <c r="N34" s="21">
        <v>0.95</v>
      </c>
      <c r="O34" s="21">
        <v>0.15</v>
      </c>
      <c r="P34" s="21">
        <v>0.95</v>
      </c>
      <c r="Q34" s="21">
        <f t="shared" si="4"/>
        <v>1</v>
      </c>
      <c r="R34" s="22">
        <f t="shared" si="1"/>
        <v>12</v>
      </c>
      <c r="S34" s="21" t="s">
        <v>24</v>
      </c>
      <c r="T34" s="23">
        <f>SUM(R34:R41)%</f>
        <v>0.82719999999999994</v>
      </c>
      <c r="U34" s="3"/>
      <c r="V34" s="3"/>
      <c r="W34" s="3"/>
      <c r="X34" s="3"/>
      <c r="Y34" s="3"/>
      <c r="Z34" s="3"/>
      <c r="AA34" s="3"/>
      <c r="AB34" s="3"/>
      <c r="AC34" s="3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s="5" customFormat="1" ht="21.6" x14ac:dyDescent="0.2">
      <c r="A35" s="15">
        <v>2108</v>
      </c>
      <c r="B35" s="16" t="s">
        <v>20</v>
      </c>
      <c r="C35" s="17" t="s">
        <v>21</v>
      </c>
      <c r="D35" s="18" t="s">
        <v>265</v>
      </c>
      <c r="E35" s="16" t="s">
        <v>266</v>
      </c>
      <c r="F35" s="16" t="s">
        <v>128</v>
      </c>
      <c r="G35" s="16" t="s">
        <v>32</v>
      </c>
      <c r="H35" s="19" t="s">
        <v>258</v>
      </c>
      <c r="I35" s="20" t="s">
        <v>23</v>
      </c>
      <c r="J35" s="21">
        <v>0.8</v>
      </c>
      <c r="K35" s="26" t="s">
        <v>132</v>
      </c>
      <c r="L35" s="31" t="s">
        <v>133</v>
      </c>
      <c r="M35" s="26" t="s">
        <v>134</v>
      </c>
      <c r="N35" s="21">
        <v>0.95</v>
      </c>
      <c r="O35" s="21">
        <v>0.15</v>
      </c>
      <c r="P35" s="25">
        <v>0.9</v>
      </c>
      <c r="Q35" s="21">
        <f t="shared" ref="Q35:Q42" si="5">ROUND(IF(OR(N35="",P35=""),0,IF(AND(N35=0,P35=0),1,IF(S35="+",P35/N35,N35/P35))),2)</f>
        <v>0.95</v>
      </c>
      <c r="R35" s="22">
        <f t="shared" si="1"/>
        <v>11.399999999999999</v>
      </c>
      <c r="S35" s="21" t="s">
        <v>24</v>
      </c>
      <c r="T35" s="21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s="5" customFormat="1" ht="21.6" x14ac:dyDescent="0.2">
      <c r="A36" s="15">
        <v>2109</v>
      </c>
      <c r="B36" s="16" t="s">
        <v>20</v>
      </c>
      <c r="C36" s="17" t="s">
        <v>21</v>
      </c>
      <c r="D36" s="18" t="s">
        <v>265</v>
      </c>
      <c r="E36" s="16" t="s">
        <v>266</v>
      </c>
      <c r="F36" s="16" t="s">
        <v>128</v>
      </c>
      <c r="G36" s="16" t="s">
        <v>32</v>
      </c>
      <c r="H36" s="19" t="s">
        <v>258</v>
      </c>
      <c r="I36" s="20" t="s">
        <v>23</v>
      </c>
      <c r="J36" s="21">
        <v>0.8</v>
      </c>
      <c r="K36" s="26" t="s">
        <v>54</v>
      </c>
      <c r="L36" s="31" t="s">
        <v>135</v>
      </c>
      <c r="M36" s="26" t="s">
        <v>136</v>
      </c>
      <c r="N36" s="25">
        <v>0.05</v>
      </c>
      <c r="O36" s="21">
        <v>0.1</v>
      </c>
      <c r="P36" s="66">
        <v>0.2</v>
      </c>
      <c r="Q36" s="21">
        <f t="shared" si="5"/>
        <v>0.25</v>
      </c>
      <c r="R36" s="22">
        <f t="shared" si="1"/>
        <v>0</v>
      </c>
      <c r="S36" s="21" t="s">
        <v>25</v>
      </c>
      <c r="T36" s="21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s="5" customFormat="1" ht="21.6" x14ac:dyDescent="0.2">
      <c r="A37" s="15">
        <v>2110</v>
      </c>
      <c r="B37" s="16" t="s">
        <v>20</v>
      </c>
      <c r="C37" s="17" t="s">
        <v>21</v>
      </c>
      <c r="D37" s="18" t="s">
        <v>265</v>
      </c>
      <c r="E37" s="16" t="s">
        <v>266</v>
      </c>
      <c r="F37" s="16" t="s">
        <v>128</v>
      </c>
      <c r="G37" s="16" t="s">
        <v>32</v>
      </c>
      <c r="H37" s="19" t="s">
        <v>258</v>
      </c>
      <c r="I37" s="20" t="s">
        <v>23</v>
      </c>
      <c r="J37" s="21">
        <v>0.8</v>
      </c>
      <c r="K37" s="26" t="s">
        <v>31</v>
      </c>
      <c r="L37" s="31" t="s">
        <v>137</v>
      </c>
      <c r="M37" s="26" t="s">
        <v>138</v>
      </c>
      <c r="N37" s="64">
        <v>0.05</v>
      </c>
      <c r="O37" s="21">
        <v>0.1</v>
      </c>
      <c r="P37" s="28">
        <v>0.05</v>
      </c>
      <c r="Q37" s="21">
        <f t="shared" si="5"/>
        <v>1</v>
      </c>
      <c r="R37" s="22">
        <f t="shared" si="1"/>
        <v>8.0000000000000018</v>
      </c>
      <c r="S37" s="21" t="s">
        <v>25</v>
      </c>
      <c r="T37" s="21"/>
      <c r="U37" s="3"/>
      <c r="V37" s="3"/>
      <c r="W37" s="3"/>
      <c r="X37" s="3"/>
      <c r="Y37" s="3"/>
      <c r="Z37" s="3"/>
      <c r="AA37" s="3"/>
      <c r="AB37" s="3"/>
      <c r="AC37" s="3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s="5" customFormat="1" ht="21.6" x14ac:dyDescent="0.2">
      <c r="A38" s="15">
        <v>2111</v>
      </c>
      <c r="B38" s="16" t="s">
        <v>20</v>
      </c>
      <c r="C38" s="17" t="s">
        <v>21</v>
      </c>
      <c r="D38" s="18" t="s">
        <v>265</v>
      </c>
      <c r="E38" s="16" t="s">
        <v>266</v>
      </c>
      <c r="F38" s="16" t="s">
        <v>128</v>
      </c>
      <c r="G38" s="16" t="s">
        <v>32</v>
      </c>
      <c r="H38" s="19" t="s">
        <v>258</v>
      </c>
      <c r="I38" s="27" t="s">
        <v>23</v>
      </c>
      <c r="J38" s="21">
        <v>0.8</v>
      </c>
      <c r="K38" s="27" t="s">
        <v>139</v>
      </c>
      <c r="L38" s="32" t="s">
        <v>140</v>
      </c>
      <c r="M38" s="27" t="s">
        <v>141</v>
      </c>
      <c r="N38" s="28">
        <v>0.9</v>
      </c>
      <c r="O38" s="29">
        <v>0.2</v>
      </c>
      <c r="P38" s="28">
        <v>0.8</v>
      </c>
      <c r="Q38" s="29">
        <f t="shared" si="5"/>
        <v>0.89</v>
      </c>
      <c r="R38" s="30">
        <f t="shared" si="1"/>
        <v>14.240000000000002</v>
      </c>
      <c r="S38" s="29" t="s">
        <v>24</v>
      </c>
      <c r="T38" s="29"/>
      <c r="U38" s="3"/>
      <c r="V38" s="3"/>
      <c r="W38" s="3"/>
      <c r="X38" s="3"/>
      <c r="Y38" s="3"/>
      <c r="Z38" s="3"/>
      <c r="AA38" s="3"/>
      <c r="AB38" s="3"/>
      <c r="AC38" s="3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s="5" customFormat="1" ht="21.6" x14ac:dyDescent="0.2">
      <c r="A39" s="15">
        <v>2112</v>
      </c>
      <c r="B39" s="16" t="s">
        <v>20</v>
      </c>
      <c r="C39" s="17" t="s">
        <v>21</v>
      </c>
      <c r="D39" s="18" t="s">
        <v>265</v>
      </c>
      <c r="E39" s="16" t="s">
        <v>266</v>
      </c>
      <c r="F39" s="16" t="s">
        <v>128</v>
      </c>
      <c r="G39" s="16" t="s">
        <v>32</v>
      </c>
      <c r="H39" s="19" t="s">
        <v>258</v>
      </c>
      <c r="I39" s="27" t="s">
        <v>23</v>
      </c>
      <c r="J39" s="21">
        <v>0.8</v>
      </c>
      <c r="K39" s="27" t="s">
        <v>142</v>
      </c>
      <c r="L39" s="32" t="s">
        <v>143</v>
      </c>
      <c r="M39" s="27" t="s">
        <v>144</v>
      </c>
      <c r="N39" s="28">
        <v>1</v>
      </c>
      <c r="O39" s="29">
        <v>0.1</v>
      </c>
      <c r="P39" s="28">
        <v>1</v>
      </c>
      <c r="Q39" s="29">
        <f t="shared" si="5"/>
        <v>1</v>
      </c>
      <c r="R39" s="30">
        <f t="shared" si="1"/>
        <v>8.0000000000000018</v>
      </c>
      <c r="S39" s="29" t="s">
        <v>24</v>
      </c>
      <c r="T39" s="29"/>
      <c r="U39" s="3"/>
      <c r="V39" s="3"/>
      <c r="W39" s="3"/>
      <c r="X39" s="3"/>
      <c r="Y39" s="3"/>
      <c r="Z39" s="3"/>
      <c r="AA39" s="3"/>
      <c r="AB39" s="3"/>
      <c r="AC39" s="3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s="5" customFormat="1" ht="21.6" x14ac:dyDescent="0.2">
      <c r="A40" s="15">
        <v>2113</v>
      </c>
      <c r="B40" s="16" t="s">
        <v>20</v>
      </c>
      <c r="C40" s="17" t="s">
        <v>21</v>
      </c>
      <c r="D40" s="18" t="s">
        <v>265</v>
      </c>
      <c r="E40" s="16" t="s">
        <v>266</v>
      </c>
      <c r="F40" s="16" t="s">
        <v>128</v>
      </c>
      <c r="G40" s="16" t="s">
        <v>32</v>
      </c>
      <c r="H40" s="19" t="s">
        <v>258</v>
      </c>
      <c r="I40" s="27" t="s">
        <v>23</v>
      </c>
      <c r="J40" s="21">
        <v>0.8</v>
      </c>
      <c r="K40" s="27" t="s">
        <v>145</v>
      </c>
      <c r="L40" s="32" t="s">
        <v>146</v>
      </c>
      <c r="M40" s="6" t="s">
        <v>147</v>
      </c>
      <c r="N40" s="28">
        <v>0.9</v>
      </c>
      <c r="O40" s="29">
        <v>0.2</v>
      </c>
      <c r="P40" s="67">
        <v>0.78900000000000003</v>
      </c>
      <c r="Q40" s="29">
        <f t="shared" si="5"/>
        <v>0.88</v>
      </c>
      <c r="R40" s="30">
        <f t="shared" si="1"/>
        <v>14.080000000000004</v>
      </c>
      <c r="S40" s="29" t="s">
        <v>24</v>
      </c>
      <c r="T40" s="29"/>
      <c r="U40" s="3"/>
      <c r="V40" s="3"/>
      <c r="W40" s="3"/>
      <c r="X40" s="3"/>
      <c r="Y40" s="3"/>
      <c r="Z40" s="3"/>
      <c r="AA40" s="3"/>
      <c r="AB40" s="3"/>
      <c r="AC40" s="3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s="5" customFormat="1" ht="21.6" x14ac:dyDescent="0.2">
      <c r="A41" s="15">
        <v>2114</v>
      </c>
      <c r="B41" s="16" t="s">
        <v>20</v>
      </c>
      <c r="C41" s="17" t="s">
        <v>21</v>
      </c>
      <c r="D41" s="18" t="s">
        <v>265</v>
      </c>
      <c r="E41" s="16" t="s">
        <v>266</v>
      </c>
      <c r="F41" s="16" t="s">
        <v>128</v>
      </c>
      <c r="G41" s="16" t="s">
        <v>32</v>
      </c>
      <c r="H41" s="19" t="s">
        <v>258</v>
      </c>
      <c r="I41" s="27" t="s">
        <v>27</v>
      </c>
      <c r="J41" s="28">
        <v>0.2</v>
      </c>
      <c r="K41" s="27" t="s">
        <v>148</v>
      </c>
      <c r="L41" s="32" t="s">
        <v>149</v>
      </c>
      <c r="M41" s="6" t="s">
        <v>150</v>
      </c>
      <c r="N41" s="28">
        <v>1</v>
      </c>
      <c r="O41" s="29">
        <v>1</v>
      </c>
      <c r="P41" s="28">
        <v>0.75</v>
      </c>
      <c r="Q41" s="29">
        <f t="shared" si="5"/>
        <v>0.75</v>
      </c>
      <c r="R41" s="30">
        <f t="shared" si="1"/>
        <v>15.000000000000002</v>
      </c>
      <c r="S41" s="29" t="s">
        <v>24</v>
      </c>
      <c r="T41" s="29"/>
      <c r="U41" s="3"/>
      <c r="V41" s="3"/>
      <c r="W41" s="3"/>
      <c r="X41" s="3"/>
      <c r="Y41" s="3"/>
      <c r="Z41" s="3"/>
      <c r="AA41" s="3"/>
      <c r="AB41" s="3"/>
      <c r="AC41" s="3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s="5" customFormat="1" ht="21.6" x14ac:dyDescent="0.2">
      <c r="A42" s="15">
        <v>2115</v>
      </c>
      <c r="B42" s="16" t="s">
        <v>20</v>
      </c>
      <c r="C42" s="17" t="s">
        <v>21</v>
      </c>
      <c r="D42" s="18" t="s">
        <v>267</v>
      </c>
      <c r="E42" s="16" t="s">
        <v>268</v>
      </c>
      <c r="F42" s="16" t="s">
        <v>128</v>
      </c>
      <c r="G42" s="16" t="s">
        <v>32</v>
      </c>
      <c r="H42" s="19" t="s">
        <v>258</v>
      </c>
      <c r="I42" s="20" t="s">
        <v>23</v>
      </c>
      <c r="J42" s="21">
        <v>0.8</v>
      </c>
      <c r="K42" s="26" t="s">
        <v>30</v>
      </c>
      <c r="L42" s="31" t="s">
        <v>130</v>
      </c>
      <c r="M42" s="1" t="s">
        <v>131</v>
      </c>
      <c r="N42" s="21">
        <v>0.95</v>
      </c>
      <c r="O42" s="21">
        <v>0.15</v>
      </c>
      <c r="P42" s="21">
        <v>0.95</v>
      </c>
      <c r="Q42" s="21">
        <f t="shared" si="5"/>
        <v>1</v>
      </c>
      <c r="R42" s="22">
        <f t="shared" si="1"/>
        <v>12</v>
      </c>
      <c r="S42" s="21" t="s">
        <v>24</v>
      </c>
      <c r="T42" s="23">
        <f>SUM(R42:R49)%</f>
        <v>0.83719999999999994</v>
      </c>
      <c r="U42" s="3"/>
      <c r="V42" s="3"/>
      <c r="W42" s="3"/>
      <c r="X42" s="3"/>
      <c r="Y42" s="3"/>
      <c r="Z42" s="3"/>
      <c r="AA42" s="3"/>
      <c r="AB42" s="3"/>
      <c r="AC42" s="3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s="5" customFormat="1" ht="21.6" x14ac:dyDescent="0.2">
      <c r="A43" s="15">
        <v>2117</v>
      </c>
      <c r="B43" s="16" t="s">
        <v>20</v>
      </c>
      <c r="C43" s="17" t="s">
        <v>21</v>
      </c>
      <c r="D43" s="18" t="s">
        <v>267</v>
      </c>
      <c r="E43" s="16" t="s">
        <v>268</v>
      </c>
      <c r="F43" s="16" t="s">
        <v>128</v>
      </c>
      <c r="G43" s="16" t="s">
        <v>32</v>
      </c>
      <c r="H43" s="19" t="s">
        <v>258</v>
      </c>
      <c r="I43" s="20" t="s">
        <v>23</v>
      </c>
      <c r="J43" s="21">
        <v>0.8</v>
      </c>
      <c r="K43" s="26" t="s">
        <v>132</v>
      </c>
      <c r="L43" s="31" t="s">
        <v>133</v>
      </c>
      <c r="M43" s="26" t="s">
        <v>134</v>
      </c>
      <c r="N43" s="21">
        <v>0.95</v>
      </c>
      <c r="O43" s="21">
        <v>0.15</v>
      </c>
      <c r="P43" s="25">
        <v>0.9</v>
      </c>
      <c r="Q43" s="21">
        <f t="shared" ref="Q43:Q50" si="6">ROUND(IF(OR(N43="",P43=""),0,IF(AND(N43=0,P43=0),1,IF(S43="+",P43/N43,N43/P43))),2)</f>
        <v>0.95</v>
      </c>
      <c r="R43" s="22">
        <f t="shared" si="1"/>
        <v>11.399999999999999</v>
      </c>
      <c r="S43" s="21" t="s">
        <v>24</v>
      </c>
      <c r="T43" s="21"/>
      <c r="U43" s="3"/>
      <c r="V43" s="3"/>
      <c r="W43" s="3"/>
      <c r="X43" s="3"/>
      <c r="Y43" s="3"/>
      <c r="Z43" s="3"/>
      <c r="AA43" s="3"/>
      <c r="AB43" s="3"/>
      <c r="AC43" s="3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s="5" customFormat="1" ht="21.6" x14ac:dyDescent="0.2">
      <c r="A44" s="15">
        <v>2118</v>
      </c>
      <c r="B44" s="16" t="s">
        <v>20</v>
      </c>
      <c r="C44" s="17" t="s">
        <v>21</v>
      </c>
      <c r="D44" s="18" t="s">
        <v>267</v>
      </c>
      <c r="E44" s="16" t="s">
        <v>268</v>
      </c>
      <c r="F44" s="16" t="s">
        <v>128</v>
      </c>
      <c r="G44" s="16" t="s">
        <v>32</v>
      </c>
      <c r="H44" s="19" t="s">
        <v>258</v>
      </c>
      <c r="I44" s="20" t="s">
        <v>23</v>
      </c>
      <c r="J44" s="21">
        <v>0.8</v>
      </c>
      <c r="K44" s="26" t="s">
        <v>54</v>
      </c>
      <c r="L44" s="31" t="s">
        <v>135</v>
      </c>
      <c r="M44" s="26" t="s">
        <v>136</v>
      </c>
      <c r="N44" s="25">
        <v>0.05</v>
      </c>
      <c r="O44" s="21">
        <v>0.1</v>
      </c>
      <c r="P44" s="66">
        <v>0.2</v>
      </c>
      <c r="Q44" s="21">
        <f t="shared" si="6"/>
        <v>0.25</v>
      </c>
      <c r="R44" s="22">
        <f t="shared" si="1"/>
        <v>0</v>
      </c>
      <c r="S44" s="21" t="s">
        <v>25</v>
      </c>
      <c r="T44" s="21"/>
      <c r="U44" s="3"/>
      <c r="V44" s="3"/>
      <c r="W44" s="3"/>
      <c r="X44" s="3"/>
      <c r="Y44" s="3"/>
      <c r="Z44" s="3"/>
      <c r="AA44" s="3"/>
      <c r="AB44" s="3"/>
      <c r="AC44" s="3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s="5" customFormat="1" ht="21.6" x14ac:dyDescent="0.2">
      <c r="A45" s="15">
        <v>2119</v>
      </c>
      <c r="B45" s="16" t="s">
        <v>20</v>
      </c>
      <c r="C45" s="17" t="s">
        <v>21</v>
      </c>
      <c r="D45" s="18" t="s">
        <v>267</v>
      </c>
      <c r="E45" s="16" t="s">
        <v>268</v>
      </c>
      <c r="F45" s="16" t="s">
        <v>128</v>
      </c>
      <c r="G45" s="16" t="s">
        <v>32</v>
      </c>
      <c r="H45" s="19" t="s">
        <v>258</v>
      </c>
      <c r="I45" s="20" t="s">
        <v>23</v>
      </c>
      <c r="J45" s="21">
        <v>0.8</v>
      </c>
      <c r="K45" s="26" t="s">
        <v>31</v>
      </c>
      <c r="L45" s="31" t="s">
        <v>137</v>
      </c>
      <c r="M45" s="26" t="s">
        <v>138</v>
      </c>
      <c r="N45" s="64">
        <v>0.05</v>
      </c>
      <c r="O45" s="21">
        <v>0.1</v>
      </c>
      <c r="P45" s="28">
        <v>0.05</v>
      </c>
      <c r="Q45" s="21">
        <f t="shared" si="6"/>
        <v>1</v>
      </c>
      <c r="R45" s="22">
        <f t="shared" si="1"/>
        <v>8.0000000000000018</v>
      </c>
      <c r="S45" s="21" t="s">
        <v>25</v>
      </c>
      <c r="T45" s="21"/>
      <c r="U45" s="3"/>
      <c r="V45" s="3"/>
      <c r="W45" s="3"/>
      <c r="X45" s="3"/>
      <c r="Y45" s="3"/>
      <c r="Z45" s="3"/>
      <c r="AA45" s="3"/>
      <c r="AB45" s="3"/>
      <c r="AC45" s="3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s="5" customFormat="1" ht="21.6" x14ac:dyDescent="0.2">
      <c r="A46" s="15">
        <v>2120</v>
      </c>
      <c r="B46" s="16" t="s">
        <v>20</v>
      </c>
      <c r="C46" s="17" t="s">
        <v>21</v>
      </c>
      <c r="D46" s="18" t="s">
        <v>267</v>
      </c>
      <c r="E46" s="16" t="s">
        <v>268</v>
      </c>
      <c r="F46" s="16" t="s">
        <v>128</v>
      </c>
      <c r="G46" s="16" t="s">
        <v>32</v>
      </c>
      <c r="H46" s="19" t="s">
        <v>258</v>
      </c>
      <c r="I46" s="27" t="s">
        <v>23</v>
      </c>
      <c r="J46" s="21">
        <v>0.8</v>
      </c>
      <c r="K46" s="27" t="s">
        <v>139</v>
      </c>
      <c r="L46" s="32" t="s">
        <v>140</v>
      </c>
      <c r="M46" s="27" t="s">
        <v>141</v>
      </c>
      <c r="N46" s="28">
        <v>0.9</v>
      </c>
      <c r="O46" s="29">
        <v>0.2</v>
      </c>
      <c r="P46" s="28">
        <v>0.8</v>
      </c>
      <c r="Q46" s="29">
        <f t="shared" si="6"/>
        <v>0.89</v>
      </c>
      <c r="R46" s="30">
        <f t="shared" si="1"/>
        <v>14.240000000000002</v>
      </c>
      <c r="S46" s="29" t="s">
        <v>24</v>
      </c>
      <c r="T46" s="29"/>
      <c r="U46" s="3"/>
      <c r="V46" s="3"/>
      <c r="W46" s="3"/>
      <c r="X46" s="3"/>
      <c r="Y46" s="3"/>
      <c r="Z46" s="3"/>
      <c r="AA46" s="3"/>
      <c r="AB46" s="3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s="5" customFormat="1" ht="21.6" x14ac:dyDescent="0.2">
      <c r="A47" s="15">
        <v>2121</v>
      </c>
      <c r="B47" s="16" t="s">
        <v>20</v>
      </c>
      <c r="C47" s="17" t="s">
        <v>21</v>
      </c>
      <c r="D47" s="18" t="s">
        <v>267</v>
      </c>
      <c r="E47" s="16" t="s">
        <v>268</v>
      </c>
      <c r="F47" s="16" t="s">
        <v>128</v>
      </c>
      <c r="G47" s="16" t="s">
        <v>32</v>
      </c>
      <c r="H47" s="19" t="s">
        <v>258</v>
      </c>
      <c r="I47" s="27" t="s">
        <v>23</v>
      </c>
      <c r="J47" s="21">
        <v>0.8</v>
      </c>
      <c r="K47" s="27" t="s">
        <v>142</v>
      </c>
      <c r="L47" s="32" t="s">
        <v>143</v>
      </c>
      <c r="M47" s="27" t="s">
        <v>144</v>
      </c>
      <c r="N47" s="28">
        <v>1</v>
      </c>
      <c r="O47" s="29">
        <v>0.1</v>
      </c>
      <c r="P47" s="28">
        <v>1</v>
      </c>
      <c r="Q47" s="29">
        <f t="shared" si="6"/>
        <v>1</v>
      </c>
      <c r="R47" s="30">
        <f t="shared" si="1"/>
        <v>8.0000000000000018</v>
      </c>
      <c r="S47" s="29" t="s">
        <v>24</v>
      </c>
      <c r="T47" s="29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s="5" customFormat="1" ht="21.6" x14ac:dyDescent="0.2">
      <c r="A48" s="15">
        <v>2122</v>
      </c>
      <c r="B48" s="16" t="s">
        <v>20</v>
      </c>
      <c r="C48" s="17" t="s">
        <v>21</v>
      </c>
      <c r="D48" s="18" t="s">
        <v>267</v>
      </c>
      <c r="E48" s="16" t="s">
        <v>268</v>
      </c>
      <c r="F48" s="16" t="s">
        <v>128</v>
      </c>
      <c r="G48" s="16" t="s">
        <v>32</v>
      </c>
      <c r="H48" s="19" t="s">
        <v>258</v>
      </c>
      <c r="I48" s="27" t="s">
        <v>23</v>
      </c>
      <c r="J48" s="21">
        <v>0.8</v>
      </c>
      <c r="K48" s="27" t="s">
        <v>145</v>
      </c>
      <c r="L48" s="32" t="s">
        <v>146</v>
      </c>
      <c r="M48" s="6" t="s">
        <v>147</v>
      </c>
      <c r="N48" s="28">
        <v>0.9</v>
      </c>
      <c r="O48" s="29">
        <v>0.2</v>
      </c>
      <c r="P48" s="67">
        <v>0.78900000000000003</v>
      </c>
      <c r="Q48" s="29">
        <f t="shared" si="6"/>
        <v>0.88</v>
      </c>
      <c r="R48" s="30">
        <f t="shared" si="1"/>
        <v>14.080000000000004</v>
      </c>
      <c r="S48" s="29" t="s">
        <v>24</v>
      </c>
      <c r="T48" s="29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s="5" customFormat="1" ht="21.6" x14ac:dyDescent="0.2">
      <c r="A49" s="15">
        <v>2123</v>
      </c>
      <c r="B49" s="16" t="s">
        <v>20</v>
      </c>
      <c r="C49" s="17" t="s">
        <v>21</v>
      </c>
      <c r="D49" s="18" t="s">
        <v>267</v>
      </c>
      <c r="E49" s="16" t="s">
        <v>268</v>
      </c>
      <c r="F49" s="16" t="s">
        <v>128</v>
      </c>
      <c r="G49" s="16" t="s">
        <v>32</v>
      </c>
      <c r="H49" s="19" t="s">
        <v>258</v>
      </c>
      <c r="I49" s="27" t="s">
        <v>27</v>
      </c>
      <c r="J49" s="28">
        <v>0.2</v>
      </c>
      <c r="K49" s="27" t="s">
        <v>148</v>
      </c>
      <c r="L49" s="32" t="s">
        <v>149</v>
      </c>
      <c r="M49" s="6" t="s">
        <v>150</v>
      </c>
      <c r="N49" s="28">
        <v>1</v>
      </c>
      <c r="O49" s="29">
        <v>1</v>
      </c>
      <c r="P49" s="28">
        <v>0.8</v>
      </c>
      <c r="Q49" s="29">
        <f t="shared" si="6"/>
        <v>0.8</v>
      </c>
      <c r="R49" s="30">
        <f t="shared" si="1"/>
        <v>16.000000000000004</v>
      </c>
      <c r="S49" s="29" t="s">
        <v>24</v>
      </c>
      <c r="T49" s="29"/>
      <c r="U49" s="3"/>
      <c r="V49" s="3"/>
      <c r="W49" s="3"/>
      <c r="X49" s="3"/>
      <c r="Y49" s="3"/>
      <c r="Z49" s="3"/>
      <c r="AA49" s="3"/>
      <c r="AB49" s="3"/>
      <c r="AC49" s="3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s="5" customFormat="1" ht="21.6" x14ac:dyDescent="0.2">
      <c r="A50" s="15">
        <v>2124</v>
      </c>
      <c r="B50" s="16" t="s">
        <v>20</v>
      </c>
      <c r="C50" s="17" t="s">
        <v>21</v>
      </c>
      <c r="D50" s="18" t="s">
        <v>269</v>
      </c>
      <c r="E50" s="16" t="s">
        <v>254</v>
      </c>
      <c r="F50" s="16" t="s">
        <v>128</v>
      </c>
      <c r="G50" s="16" t="s">
        <v>32</v>
      </c>
      <c r="H50" s="19" t="s">
        <v>258</v>
      </c>
      <c r="I50" s="20" t="s">
        <v>23</v>
      </c>
      <c r="J50" s="21">
        <v>0.8</v>
      </c>
      <c r="K50" s="26" t="s">
        <v>30</v>
      </c>
      <c r="L50" s="31" t="s">
        <v>130</v>
      </c>
      <c r="M50" s="1" t="s">
        <v>131</v>
      </c>
      <c r="N50" s="21">
        <v>0.95</v>
      </c>
      <c r="O50" s="21">
        <v>0.15</v>
      </c>
      <c r="P50" s="21">
        <v>0.95</v>
      </c>
      <c r="Q50" s="21">
        <f t="shared" si="6"/>
        <v>1</v>
      </c>
      <c r="R50" s="22">
        <f t="shared" si="1"/>
        <v>12</v>
      </c>
      <c r="S50" s="21" t="s">
        <v>24</v>
      </c>
      <c r="T50" s="23">
        <f>SUM(R50:R57)%</f>
        <v>0.8276</v>
      </c>
      <c r="U50" s="3"/>
      <c r="V50" s="3"/>
      <c r="W50" s="3"/>
      <c r="X50" s="3"/>
      <c r="Y50" s="3"/>
      <c r="Z50" s="3"/>
      <c r="AA50" s="3"/>
      <c r="AB50" s="3"/>
      <c r="AC50" s="3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s="5" customFormat="1" ht="21.6" x14ac:dyDescent="0.2">
      <c r="A51" s="15">
        <v>2126</v>
      </c>
      <c r="B51" s="16" t="s">
        <v>20</v>
      </c>
      <c r="C51" s="17" t="s">
        <v>21</v>
      </c>
      <c r="D51" s="18" t="s">
        <v>269</v>
      </c>
      <c r="E51" s="16" t="s">
        <v>254</v>
      </c>
      <c r="F51" s="16" t="s">
        <v>128</v>
      </c>
      <c r="G51" s="16" t="s">
        <v>32</v>
      </c>
      <c r="H51" s="19" t="s">
        <v>258</v>
      </c>
      <c r="I51" s="20" t="s">
        <v>23</v>
      </c>
      <c r="J51" s="21">
        <v>0.8</v>
      </c>
      <c r="K51" s="26" t="s">
        <v>132</v>
      </c>
      <c r="L51" s="31" t="s">
        <v>133</v>
      </c>
      <c r="M51" s="26" t="s">
        <v>134</v>
      </c>
      <c r="N51" s="21">
        <v>0.95</v>
      </c>
      <c r="O51" s="21">
        <v>0.15</v>
      </c>
      <c r="P51" s="25">
        <v>0.9</v>
      </c>
      <c r="Q51" s="21">
        <f t="shared" ref="Q51:Q58" si="7">ROUND(IF(OR(N51="",P51=""),0,IF(AND(N51=0,P51=0),1,IF(S51="+",P51/N51,N51/P51))),2)</f>
        <v>0.95</v>
      </c>
      <c r="R51" s="22">
        <f t="shared" si="1"/>
        <v>11.399999999999999</v>
      </c>
      <c r="S51" s="21" t="s">
        <v>24</v>
      </c>
      <c r="T51" s="21"/>
      <c r="U51" s="3"/>
      <c r="V51" s="3"/>
      <c r="W51" s="3"/>
      <c r="X51" s="3"/>
      <c r="Y51" s="3"/>
      <c r="Z51" s="3"/>
      <c r="AA51" s="3"/>
      <c r="AB51" s="3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s="5" customFormat="1" ht="21.6" x14ac:dyDescent="0.2">
      <c r="A52" s="15">
        <v>2127</v>
      </c>
      <c r="B52" s="16" t="s">
        <v>20</v>
      </c>
      <c r="C52" s="17" t="s">
        <v>21</v>
      </c>
      <c r="D52" s="18" t="s">
        <v>269</v>
      </c>
      <c r="E52" s="16" t="s">
        <v>254</v>
      </c>
      <c r="F52" s="16" t="s">
        <v>128</v>
      </c>
      <c r="G52" s="16" t="s">
        <v>32</v>
      </c>
      <c r="H52" s="19" t="s">
        <v>258</v>
      </c>
      <c r="I52" s="20" t="s">
        <v>23</v>
      </c>
      <c r="J52" s="21">
        <v>0.8</v>
      </c>
      <c r="K52" s="26" t="s">
        <v>54</v>
      </c>
      <c r="L52" s="31" t="s">
        <v>135</v>
      </c>
      <c r="M52" s="26" t="s">
        <v>136</v>
      </c>
      <c r="N52" s="25">
        <v>0.05</v>
      </c>
      <c r="O52" s="21">
        <v>0.1</v>
      </c>
      <c r="P52" s="66">
        <v>0.2</v>
      </c>
      <c r="Q52" s="21">
        <f t="shared" si="7"/>
        <v>0.25</v>
      </c>
      <c r="R52" s="22">
        <f t="shared" si="1"/>
        <v>0</v>
      </c>
      <c r="S52" s="21" t="s">
        <v>25</v>
      </c>
      <c r="T52" s="21"/>
      <c r="U52" s="3"/>
      <c r="V52" s="3"/>
      <c r="W52" s="3"/>
      <c r="X52" s="3"/>
      <c r="Y52" s="3"/>
      <c r="Z52" s="3"/>
      <c r="AA52" s="3"/>
      <c r="AB52" s="3"/>
      <c r="AC52" s="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s="5" customFormat="1" ht="21.6" x14ac:dyDescent="0.2">
      <c r="A53" s="15">
        <v>2128</v>
      </c>
      <c r="B53" s="16" t="s">
        <v>20</v>
      </c>
      <c r="C53" s="17" t="s">
        <v>21</v>
      </c>
      <c r="D53" s="18" t="s">
        <v>269</v>
      </c>
      <c r="E53" s="16" t="s">
        <v>254</v>
      </c>
      <c r="F53" s="16" t="s">
        <v>128</v>
      </c>
      <c r="G53" s="16" t="s">
        <v>32</v>
      </c>
      <c r="H53" s="19" t="s">
        <v>258</v>
      </c>
      <c r="I53" s="20" t="s">
        <v>23</v>
      </c>
      <c r="J53" s="21">
        <v>0.8</v>
      </c>
      <c r="K53" s="26" t="s">
        <v>31</v>
      </c>
      <c r="L53" s="31" t="s">
        <v>137</v>
      </c>
      <c r="M53" s="26" t="s">
        <v>138</v>
      </c>
      <c r="N53" s="64">
        <v>0.05</v>
      </c>
      <c r="O53" s="21">
        <v>0.1</v>
      </c>
      <c r="P53" s="28">
        <v>0.05</v>
      </c>
      <c r="Q53" s="21">
        <f t="shared" si="7"/>
        <v>1</v>
      </c>
      <c r="R53" s="22">
        <f t="shared" si="1"/>
        <v>8.0000000000000018</v>
      </c>
      <c r="S53" s="21" t="s">
        <v>25</v>
      </c>
      <c r="T53" s="21"/>
      <c r="U53" s="3"/>
      <c r="V53" s="3"/>
      <c r="W53" s="3"/>
      <c r="X53" s="3"/>
      <c r="Y53" s="3"/>
      <c r="Z53" s="3"/>
      <c r="AA53" s="3"/>
      <c r="AB53" s="3"/>
      <c r="AC53" s="3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s="5" customFormat="1" ht="21.6" x14ac:dyDescent="0.2">
      <c r="A54" s="15">
        <v>2129</v>
      </c>
      <c r="B54" s="16" t="s">
        <v>20</v>
      </c>
      <c r="C54" s="17" t="s">
        <v>21</v>
      </c>
      <c r="D54" s="18" t="s">
        <v>269</v>
      </c>
      <c r="E54" s="16" t="s">
        <v>254</v>
      </c>
      <c r="F54" s="16" t="s">
        <v>128</v>
      </c>
      <c r="G54" s="16" t="s">
        <v>32</v>
      </c>
      <c r="H54" s="19" t="s">
        <v>258</v>
      </c>
      <c r="I54" s="27" t="s">
        <v>23</v>
      </c>
      <c r="J54" s="21">
        <v>0.8</v>
      </c>
      <c r="K54" s="27" t="s">
        <v>139</v>
      </c>
      <c r="L54" s="32" t="s">
        <v>140</v>
      </c>
      <c r="M54" s="27" t="s">
        <v>141</v>
      </c>
      <c r="N54" s="28">
        <v>0.9</v>
      </c>
      <c r="O54" s="29">
        <v>0.2</v>
      </c>
      <c r="P54" s="28">
        <v>0.75</v>
      </c>
      <c r="Q54" s="29">
        <f t="shared" si="7"/>
        <v>0.83</v>
      </c>
      <c r="R54" s="30">
        <f t="shared" si="1"/>
        <v>13.280000000000003</v>
      </c>
      <c r="S54" s="29" t="s">
        <v>24</v>
      </c>
      <c r="T54" s="29"/>
      <c r="U54" s="3"/>
      <c r="V54" s="3"/>
      <c r="W54" s="3"/>
      <c r="X54" s="3"/>
      <c r="Y54" s="3"/>
      <c r="Z54" s="3"/>
      <c r="AA54" s="3"/>
      <c r="AB54" s="3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s="5" customFormat="1" ht="21.6" x14ac:dyDescent="0.2">
      <c r="A55" s="15">
        <v>2130</v>
      </c>
      <c r="B55" s="16" t="s">
        <v>20</v>
      </c>
      <c r="C55" s="17" t="s">
        <v>21</v>
      </c>
      <c r="D55" s="18" t="s">
        <v>269</v>
      </c>
      <c r="E55" s="16" t="s">
        <v>254</v>
      </c>
      <c r="F55" s="16" t="s">
        <v>128</v>
      </c>
      <c r="G55" s="16" t="s">
        <v>32</v>
      </c>
      <c r="H55" s="19" t="s">
        <v>258</v>
      </c>
      <c r="I55" s="27" t="s">
        <v>23</v>
      </c>
      <c r="J55" s="21">
        <v>0.8</v>
      </c>
      <c r="K55" s="27" t="s">
        <v>142</v>
      </c>
      <c r="L55" s="32" t="s">
        <v>143</v>
      </c>
      <c r="M55" s="27" t="s">
        <v>144</v>
      </c>
      <c r="N55" s="28">
        <v>1</v>
      </c>
      <c r="O55" s="29">
        <v>0.1</v>
      </c>
      <c r="P55" s="28">
        <v>1</v>
      </c>
      <c r="Q55" s="29">
        <f t="shared" si="7"/>
        <v>1</v>
      </c>
      <c r="R55" s="30">
        <f t="shared" si="1"/>
        <v>8.0000000000000018</v>
      </c>
      <c r="S55" s="29" t="s">
        <v>24</v>
      </c>
      <c r="T55" s="29"/>
      <c r="U55" s="3"/>
      <c r="V55" s="3"/>
      <c r="W55" s="3"/>
      <c r="X55" s="3"/>
      <c r="Y55" s="3"/>
      <c r="Z55" s="3"/>
      <c r="AA55" s="3"/>
      <c r="AB55" s="3"/>
      <c r="AC55" s="3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s="5" customFormat="1" ht="21.6" x14ac:dyDescent="0.2">
      <c r="A56" s="15">
        <v>2131</v>
      </c>
      <c r="B56" s="16" t="s">
        <v>20</v>
      </c>
      <c r="C56" s="17" t="s">
        <v>21</v>
      </c>
      <c r="D56" s="18" t="s">
        <v>269</v>
      </c>
      <c r="E56" s="16" t="s">
        <v>254</v>
      </c>
      <c r="F56" s="16" t="s">
        <v>128</v>
      </c>
      <c r="G56" s="16" t="s">
        <v>32</v>
      </c>
      <c r="H56" s="19" t="s">
        <v>258</v>
      </c>
      <c r="I56" s="27" t="s">
        <v>23</v>
      </c>
      <c r="J56" s="21">
        <v>0.8</v>
      </c>
      <c r="K56" s="27" t="s">
        <v>145</v>
      </c>
      <c r="L56" s="32" t="s">
        <v>146</v>
      </c>
      <c r="M56" s="6" t="s">
        <v>147</v>
      </c>
      <c r="N56" s="28">
        <v>0.9</v>
      </c>
      <c r="O56" s="29">
        <v>0.2</v>
      </c>
      <c r="P56" s="67">
        <v>0.78900000000000003</v>
      </c>
      <c r="Q56" s="29">
        <f t="shared" si="7"/>
        <v>0.88</v>
      </c>
      <c r="R56" s="30">
        <f t="shared" si="1"/>
        <v>14.080000000000004</v>
      </c>
      <c r="S56" s="29" t="s">
        <v>24</v>
      </c>
      <c r="T56" s="29"/>
      <c r="U56" s="3"/>
      <c r="V56" s="3"/>
      <c r="W56" s="3"/>
      <c r="X56" s="3"/>
      <c r="Y56" s="3"/>
      <c r="Z56" s="3"/>
      <c r="AA56" s="3"/>
      <c r="AB56" s="3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s="5" customFormat="1" ht="21.6" x14ac:dyDescent="0.2">
      <c r="A57" s="15">
        <v>2132</v>
      </c>
      <c r="B57" s="16" t="s">
        <v>20</v>
      </c>
      <c r="C57" s="17" t="s">
        <v>21</v>
      </c>
      <c r="D57" s="18" t="s">
        <v>269</v>
      </c>
      <c r="E57" s="16" t="s">
        <v>254</v>
      </c>
      <c r="F57" s="16" t="s">
        <v>128</v>
      </c>
      <c r="G57" s="16" t="s">
        <v>32</v>
      </c>
      <c r="H57" s="19" t="s">
        <v>258</v>
      </c>
      <c r="I57" s="27" t="s">
        <v>27</v>
      </c>
      <c r="J57" s="28">
        <v>0.2</v>
      </c>
      <c r="K57" s="27" t="s">
        <v>148</v>
      </c>
      <c r="L57" s="32" t="s">
        <v>149</v>
      </c>
      <c r="M57" s="6" t="s">
        <v>150</v>
      </c>
      <c r="N57" s="28">
        <v>1</v>
      </c>
      <c r="O57" s="29">
        <v>1</v>
      </c>
      <c r="P57" s="28">
        <v>0.8</v>
      </c>
      <c r="Q57" s="29">
        <f t="shared" si="7"/>
        <v>0.8</v>
      </c>
      <c r="R57" s="30">
        <f t="shared" si="1"/>
        <v>16.000000000000004</v>
      </c>
      <c r="S57" s="29" t="s">
        <v>24</v>
      </c>
      <c r="T57" s="29"/>
      <c r="U57" s="3"/>
      <c r="V57" s="3"/>
      <c r="W57" s="3"/>
      <c r="X57" s="3"/>
      <c r="Y57" s="3"/>
      <c r="Z57" s="3"/>
      <c r="AA57" s="3"/>
      <c r="AB57" s="3"/>
      <c r="AC57" s="3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s="5" customFormat="1" ht="21.6" x14ac:dyDescent="0.2">
      <c r="A58" s="15">
        <v>2133</v>
      </c>
      <c r="B58" s="16" t="s">
        <v>20</v>
      </c>
      <c r="C58" s="17" t="s">
        <v>21</v>
      </c>
      <c r="D58" s="18" t="s">
        <v>270</v>
      </c>
      <c r="E58" s="16" t="s">
        <v>271</v>
      </c>
      <c r="F58" s="16" t="s">
        <v>155</v>
      </c>
      <c r="G58" s="16" t="s">
        <v>32</v>
      </c>
      <c r="H58" s="19" t="s">
        <v>258</v>
      </c>
      <c r="I58" s="20" t="s">
        <v>23</v>
      </c>
      <c r="J58" s="21">
        <v>0.8</v>
      </c>
      <c r="K58" s="26" t="s">
        <v>30</v>
      </c>
      <c r="L58" s="31" t="s">
        <v>130</v>
      </c>
      <c r="M58" s="1" t="s">
        <v>131</v>
      </c>
      <c r="N58" s="21">
        <v>0.95</v>
      </c>
      <c r="O58" s="21">
        <v>0.15</v>
      </c>
      <c r="P58" s="21">
        <v>0.95</v>
      </c>
      <c r="Q58" s="21">
        <f t="shared" si="7"/>
        <v>1</v>
      </c>
      <c r="R58" s="22">
        <f t="shared" si="1"/>
        <v>12</v>
      </c>
      <c r="S58" s="21" t="s">
        <v>24</v>
      </c>
      <c r="T58" s="23">
        <f>SUM(R58:R65)%</f>
        <v>0.83719999999999994</v>
      </c>
      <c r="U58" s="3"/>
      <c r="V58" s="3"/>
      <c r="W58" s="3"/>
      <c r="X58" s="3"/>
      <c r="Y58" s="3"/>
      <c r="Z58" s="3"/>
      <c r="AA58" s="3"/>
      <c r="AB58" s="3"/>
      <c r="AC58" s="3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s="5" customFormat="1" ht="21.6" x14ac:dyDescent="0.2">
      <c r="A59" s="15">
        <v>2135</v>
      </c>
      <c r="B59" s="16" t="s">
        <v>20</v>
      </c>
      <c r="C59" s="17" t="s">
        <v>21</v>
      </c>
      <c r="D59" s="18" t="s">
        <v>270</v>
      </c>
      <c r="E59" s="16" t="s">
        <v>271</v>
      </c>
      <c r="F59" s="16" t="s">
        <v>155</v>
      </c>
      <c r="G59" s="16" t="s">
        <v>32</v>
      </c>
      <c r="H59" s="19" t="s">
        <v>258</v>
      </c>
      <c r="I59" s="20" t="s">
        <v>23</v>
      </c>
      <c r="J59" s="21">
        <v>0.8</v>
      </c>
      <c r="K59" s="26" t="s">
        <v>132</v>
      </c>
      <c r="L59" s="31" t="s">
        <v>133</v>
      </c>
      <c r="M59" s="26" t="s">
        <v>134</v>
      </c>
      <c r="N59" s="21">
        <v>0.95</v>
      </c>
      <c r="O59" s="21">
        <v>0.15</v>
      </c>
      <c r="P59" s="25">
        <v>0.9</v>
      </c>
      <c r="Q59" s="21">
        <f t="shared" ref="Q59:Q66" si="8">ROUND(IF(OR(N59="",P59=""),0,IF(AND(N59=0,P59=0),1,IF(S59="+",P59/N59,N59/P59))),2)</f>
        <v>0.95</v>
      </c>
      <c r="R59" s="22">
        <f t="shared" ref="R59:R89" si="9">IF(AND(Q59&gt;=60%,Q59&lt;100%),Q59*((O59*J59)),IF(Q59=100%,((O59*J59)*Q59)*100%,IF(Q59&gt;100%,((J59*O59)*100%)*100%,0)))*100</f>
        <v>11.399999999999999</v>
      </c>
      <c r="S59" s="21" t="s">
        <v>24</v>
      </c>
      <c r="T59" s="21"/>
      <c r="U59" s="3"/>
      <c r="V59" s="3"/>
      <c r="W59" s="3"/>
      <c r="X59" s="3"/>
      <c r="Y59" s="3"/>
      <c r="Z59" s="3"/>
      <c r="AA59" s="3"/>
      <c r="AB59" s="3"/>
      <c r="AC59" s="3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s="5" customFormat="1" ht="21.6" x14ac:dyDescent="0.2">
      <c r="A60" s="15">
        <v>2136</v>
      </c>
      <c r="B60" s="16" t="s">
        <v>20</v>
      </c>
      <c r="C60" s="17" t="s">
        <v>21</v>
      </c>
      <c r="D60" s="18" t="s">
        <v>270</v>
      </c>
      <c r="E60" s="16" t="s">
        <v>271</v>
      </c>
      <c r="F60" s="16" t="s">
        <v>155</v>
      </c>
      <c r="G60" s="16" t="s">
        <v>32</v>
      </c>
      <c r="H60" s="19" t="s">
        <v>258</v>
      </c>
      <c r="I60" s="20" t="s">
        <v>23</v>
      </c>
      <c r="J60" s="21">
        <v>0.8</v>
      </c>
      <c r="K60" s="26" t="s">
        <v>54</v>
      </c>
      <c r="L60" s="31" t="s">
        <v>135</v>
      </c>
      <c r="M60" s="26" t="s">
        <v>136</v>
      </c>
      <c r="N60" s="25">
        <v>0.05</v>
      </c>
      <c r="O60" s="21">
        <v>0.1</v>
      </c>
      <c r="P60" s="66">
        <v>0.2</v>
      </c>
      <c r="Q60" s="21">
        <f t="shared" si="8"/>
        <v>0.25</v>
      </c>
      <c r="R60" s="22">
        <f t="shared" si="9"/>
        <v>0</v>
      </c>
      <c r="S60" s="21" t="s">
        <v>25</v>
      </c>
      <c r="T60" s="21"/>
      <c r="U60" s="3"/>
      <c r="V60" s="3"/>
      <c r="W60" s="3"/>
      <c r="X60" s="3"/>
      <c r="Y60" s="3"/>
      <c r="Z60" s="3"/>
      <c r="AA60" s="3"/>
      <c r="AB60" s="3"/>
      <c r="AC60" s="3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s="5" customFormat="1" ht="21.6" x14ac:dyDescent="0.2">
      <c r="A61" s="15">
        <v>2137</v>
      </c>
      <c r="B61" s="16" t="s">
        <v>20</v>
      </c>
      <c r="C61" s="17" t="s">
        <v>21</v>
      </c>
      <c r="D61" s="18" t="s">
        <v>270</v>
      </c>
      <c r="E61" s="16" t="s">
        <v>271</v>
      </c>
      <c r="F61" s="16" t="s">
        <v>155</v>
      </c>
      <c r="G61" s="16" t="s">
        <v>32</v>
      </c>
      <c r="H61" s="19" t="s">
        <v>258</v>
      </c>
      <c r="I61" s="20" t="s">
        <v>23</v>
      </c>
      <c r="J61" s="21">
        <v>0.8</v>
      </c>
      <c r="K61" s="26" t="s">
        <v>31</v>
      </c>
      <c r="L61" s="31" t="s">
        <v>137</v>
      </c>
      <c r="M61" s="26" t="s">
        <v>138</v>
      </c>
      <c r="N61" s="64">
        <v>0.05</v>
      </c>
      <c r="O61" s="21">
        <v>0.1</v>
      </c>
      <c r="P61" s="28">
        <v>0.05</v>
      </c>
      <c r="Q61" s="21">
        <f t="shared" si="8"/>
        <v>1</v>
      </c>
      <c r="R61" s="22">
        <f t="shared" si="9"/>
        <v>8.0000000000000018</v>
      </c>
      <c r="S61" s="21" t="s">
        <v>25</v>
      </c>
      <c r="T61" s="21"/>
      <c r="U61" s="3"/>
      <c r="V61" s="3"/>
      <c r="W61" s="3"/>
      <c r="X61" s="3"/>
      <c r="Y61" s="3"/>
      <c r="Z61" s="3"/>
      <c r="AA61" s="3"/>
      <c r="AB61" s="3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s="5" customFormat="1" ht="21.6" x14ac:dyDescent="0.2">
      <c r="A62" s="15">
        <v>2138</v>
      </c>
      <c r="B62" s="16" t="s">
        <v>20</v>
      </c>
      <c r="C62" s="17" t="s">
        <v>21</v>
      </c>
      <c r="D62" s="18" t="s">
        <v>270</v>
      </c>
      <c r="E62" s="16" t="s">
        <v>271</v>
      </c>
      <c r="F62" s="16" t="s">
        <v>155</v>
      </c>
      <c r="G62" s="16" t="s">
        <v>32</v>
      </c>
      <c r="H62" s="19" t="s">
        <v>258</v>
      </c>
      <c r="I62" s="27" t="s">
        <v>23</v>
      </c>
      <c r="J62" s="21">
        <v>0.8</v>
      </c>
      <c r="K62" s="27" t="s">
        <v>139</v>
      </c>
      <c r="L62" s="32" t="s">
        <v>140</v>
      </c>
      <c r="M62" s="27" t="s">
        <v>141</v>
      </c>
      <c r="N62" s="28">
        <v>0.9</v>
      </c>
      <c r="O62" s="29">
        <v>0.2</v>
      </c>
      <c r="P62" s="28">
        <v>0.8</v>
      </c>
      <c r="Q62" s="29">
        <f t="shared" si="8"/>
        <v>0.89</v>
      </c>
      <c r="R62" s="30">
        <f t="shared" si="9"/>
        <v>14.240000000000002</v>
      </c>
      <c r="S62" s="29" t="s">
        <v>24</v>
      </c>
      <c r="T62" s="29"/>
      <c r="U62" s="3"/>
      <c r="V62" s="3"/>
      <c r="W62" s="3"/>
      <c r="X62" s="3"/>
      <c r="Y62" s="3"/>
      <c r="Z62" s="3"/>
      <c r="AA62" s="3"/>
      <c r="AB62" s="3"/>
      <c r="AC62" s="3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s="5" customFormat="1" ht="21.6" x14ac:dyDescent="0.2">
      <c r="A63" s="15">
        <v>2139</v>
      </c>
      <c r="B63" s="16" t="s">
        <v>20</v>
      </c>
      <c r="C63" s="17" t="s">
        <v>21</v>
      </c>
      <c r="D63" s="18" t="s">
        <v>270</v>
      </c>
      <c r="E63" s="16" t="s">
        <v>271</v>
      </c>
      <c r="F63" s="16" t="s">
        <v>155</v>
      </c>
      <c r="G63" s="16" t="s">
        <v>32</v>
      </c>
      <c r="H63" s="19" t="s">
        <v>258</v>
      </c>
      <c r="I63" s="27" t="s">
        <v>23</v>
      </c>
      <c r="J63" s="21">
        <v>0.8</v>
      </c>
      <c r="K63" s="27" t="s">
        <v>142</v>
      </c>
      <c r="L63" s="32" t="s">
        <v>143</v>
      </c>
      <c r="M63" s="27" t="s">
        <v>144</v>
      </c>
      <c r="N63" s="28">
        <v>1</v>
      </c>
      <c r="O63" s="29">
        <v>0.1</v>
      </c>
      <c r="P63" s="28">
        <v>1</v>
      </c>
      <c r="Q63" s="29">
        <f t="shared" si="8"/>
        <v>1</v>
      </c>
      <c r="R63" s="30">
        <f t="shared" si="9"/>
        <v>8.0000000000000018</v>
      </c>
      <c r="S63" s="29" t="s">
        <v>24</v>
      </c>
      <c r="T63" s="29"/>
      <c r="U63" s="3"/>
      <c r="V63" s="3"/>
      <c r="W63" s="3"/>
      <c r="X63" s="3"/>
      <c r="Y63" s="3"/>
      <c r="Z63" s="3"/>
      <c r="AA63" s="3"/>
      <c r="AB63" s="3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s="5" customFormat="1" ht="21.6" x14ac:dyDescent="0.2">
      <c r="A64" s="15">
        <v>2140</v>
      </c>
      <c r="B64" s="16" t="s">
        <v>20</v>
      </c>
      <c r="C64" s="17" t="s">
        <v>21</v>
      </c>
      <c r="D64" s="18" t="s">
        <v>270</v>
      </c>
      <c r="E64" s="16" t="s">
        <v>271</v>
      </c>
      <c r="F64" s="16" t="s">
        <v>155</v>
      </c>
      <c r="G64" s="16" t="s">
        <v>32</v>
      </c>
      <c r="H64" s="19" t="s">
        <v>258</v>
      </c>
      <c r="I64" s="27" t="s">
        <v>23</v>
      </c>
      <c r="J64" s="21">
        <v>0.8</v>
      </c>
      <c r="K64" s="27" t="s">
        <v>145</v>
      </c>
      <c r="L64" s="32" t="s">
        <v>146</v>
      </c>
      <c r="M64" s="6" t="s">
        <v>147</v>
      </c>
      <c r="N64" s="28">
        <v>0.9</v>
      </c>
      <c r="O64" s="29">
        <v>0.2</v>
      </c>
      <c r="P64" s="67">
        <v>0.78900000000000003</v>
      </c>
      <c r="Q64" s="29">
        <f t="shared" si="8"/>
        <v>0.88</v>
      </c>
      <c r="R64" s="30">
        <f t="shared" si="9"/>
        <v>14.080000000000004</v>
      </c>
      <c r="S64" s="29" t="s">
        <v>24</v>
      </c>
      <c r="T64" s="29"/>
      <c r="U64" s="3"/>
      <c r="V64" s="3"/>
      <c r="W64" s="3"/>
      <c r="X64" s="3"/>
      <c r="Y64" s="3"/>
      <c r="Z64" s="3"/>
      <c r="AA64" s="3"/>
      <c r="AB64" s="3"/>
      <c r="AC64" s="3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5" customFormat="1" ht="21.6" x14ac:dyDescent="0.2">
      <c r="A65" s="15">
        <v>2141</v>
      </c>
      <c r="B65" s="16" t="s">
        <v>20</v>
      </c>
      <c r="C65" s="17" t="s">
        <v>21</v>
      </c>
      <c r="D65" s="18" t="s">
        <v>270</v>
      </c>
      <c r="E65" s="16" t="s">
        <v>271</v>
      </c>
      <c r="F65" s="16" t="s">
        <v>155</v>
      </c>
      <c r="G65" s="16" t="s">
        <v>32</v>
      </c>
      <c r="H65" s="19" t="s">
        <v>258</v>
      </c>
      <c r="I65" s="27" t="s">
        <v>27</v>
      </c>
      <c r="J65" s="28">
        <v>0.2</v>
      </c>
      <c r="K65" s="27" t="s">
        <v>148</v>
      </c>
      <c r="L65" s="32" t="s">
        <v>149</v>
      </c>
      <c r="M65" s="6" t="s">
        <v>150</v>
      </c>
      <c r="N65" s="28">
        <v>1</v>
      </c>
      <c r="O65" s="29">
        <v>1</v>
      </c>
      <c r="P65" s="28">
        <v>0.8</v>
      </c>
      <c r="Q65" s="29">
        <f t="shared" si="8"/>
        <v>0.8</v>
      </c>
      <c r="R65" s="30">
        <f t="shared" si="9"/>
        <v>16.000000000000004</v>
      </c>
      <c r="S65" s="29" t="s">
        <v>24</v>
      </c>
      <c r="T65" s="29"/>
      <c r="U65" s="3"/>
      <c r="V65" s="3"/>
      <c r="W65" s="3"/>
      <c r="X65" s="3"/>
      <c r="Y65" s="3"/>
      <c r="Z65" s="3"/>
      <c r="AA65" s="3"/>
      <c r="AB65" s="3"/>
      <c r="AC65" s="3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5" customFormat="1" ht="21.6" x14ac:dyDescent="0.2">
      <c r="A66" s="15">
        <v>2142</v>
      </c>
      <c r="B66" s="16" t="s">
        <v>20</v>
      </c>
      <c r="C66" s="17" t="s">
        <v>21</v>
      </c>
      <c r="D66" s="18" t="s">
        <v>272</v>
      </c>
      <c r="E66" s="16" t="s">
        <v>273</v>
      </c>
      <c r="F66" s="16" t="s">
        <v>155</v>
      </c>
      <c r="G66" s="16" t="s">
        <v>32</v>
      </c>
      <c r="H66" s="19" t="s">
        <v>258</v>
      </c>
      <c r="I66" s="20" t="s">
        <v>23</v>
      </c>
      <c r="J66" s="21">
        <v>0.8</v>
      </c>
      <c r="K66" s="26" t="s">
        <v>30</v>
      </c>
      <c r="L66" s="31" t="s">
        <v>130</v>
      </c>
      <c r="M66" s="1" t="s">
        <v>131</v>
      </c>
      <c r="N66" s="21">
        <v>0.95</v>
      </c>
      <c r="O66" s="21">
        <v>0.15</v>
      </c>
      <c r="P66" s="21">
        <v>0.95</v>
      </c>
      <c r="Q66" s="21">
        <f t="shared" si="8"/>
        <v>1</v>
      </c>
      <c r="R66" s="22">
        <f t="shared" si="9"/>
        <v>12</v>
      </c>
      <c r="S66" s="21" t="s">
        <v>24</v>
      </c>
      <c r="T66" s="23">
        <f>SUM(R66:R73)%</f>
        <v>0.83760000000000001</v>
      </c>
      <c r="U66" s="3"/>
      <c r="V66" s="3"/>
      <c r="W66" s="3"/>
      <c r="X66" s="3"/>
      <c r="Y66" s="3"/>
      <c r="Z66" s="3"/>
      <c r="AA66" s="3"/>
      <c r="AB66" s="3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5" customFormat="1" ht="21.6" x14ac:dyDescent="0.2">
      <c r="A67" s="15">
        <v>2144</v>
      </c>
      <c r="B67" s="16" t="s">
        <v>20</v>
      </c>
      <c r="C67" s="17" t="s">
        <v>21</v>
      </c>
      <c r="D67" s="18" t="s">
        <v>272</v>
      </c>
      <c r="E67" s="16" t="s">
        <v>273</v>
      </c>
      <c r="F67" s="16" t="s">
        <v>155</v>
      </c>
      <c r="G67" s="16" t="s">
        <v>32</v>
      </c>
      <c r="H67" s="19" t="s">
        <v>258</v>
      </c>
      <c r="I67" s="20" t="s">
        <v>23</v>
      </c>
      <c r="J67" s="21">
        <v>0.8</v>
      </c>
      <c r="K67" s="26" t="s">
        <v>132</v>
      </c>
      <c r="L67" s="31" t="s">
        <v>133</v>
      </c>
      <c r="M67" s="26" t="s">
        <v>134</v>
      </c>
      <c r="N67" s="21">
        <v>0.95</v>
      </c>
      <c r="O67" s="21">
        <v>0.15</v>
      </c>
      <c r="P67" s="25">
        <v>0.9</v>
      </c>
      <c r="Q67" s="21">
        <f t="shared" ref="Q67:Q74" si="10">ROUND(IF(OR(N67="",P67=""),0,IF(AND(N67=0,P67=0),1,IF(S67="+",P67/N67,N67/P67))),2)</f>
        <v>0.95</v>
      </c>
      <c r="R67" s="22">
        <f t="shared" si="9"/>
        <v>11.399999999999999</v>
      </c>
      <c r="S67" s="21" t="s">
        <v>24</v>
      </c>
      <c r="T67" s="21"/>
      <c r="U67" s="3"/>
      <c r="V67" s="3"/>
      <c r="W67" s="3"/>
      <c r="X67" s="3"/>
      <c r="Y67" s="3"/>
      <c r="Z67" s="3"/>
      <c r="AA67" s="3"/>
      <c r="AB67" s="3"/>
      <c r="AC67" s="3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5" customFormat="1" ht="21.6" x14ac:dyDescent="0.2">
      <c r="A68" s="15">
        <v>2145</v>
      </c>
      <c r="B68" s="16" t="s">
        <v>20</v>
      </c>
      <c r="C68" s="17" t="s">
        <v>21</v>
      </c>
      <c r="D68" s="18" t="s">
        <v>272</v>
      </c>
      <c r="E68" s="16" t="s">
        <v>273</v>
      </c>
      <c r="F68" s="16" t="s">
        <v>155</v>
      </c>
      <c r="G68" s="16" t="s">
        <v>32</v>
      </c>
      <c r="H68" s="19" t="s">
        <v>258</v>
      </c>
      <c r="I68" s="20" t="s">
        <v>23</v>
      </c>
      <c r="J68" s="21">
        <v>0.8</v>
      </c>
      <c r="K68" s="26" t="s">
        <v>54</v>
      </c>
      <c r="L68" s="31" t="s">
        <v>135</v>
      </c>
      <c r="M68" s="26" t="s">
        <v>136</v>
      </c>
      <c r="N68" s="25">
        <v>0.05</v>
      </c>
      <c r="O68" s="21">
        <v>0.1</v>
      </c>
      <c r="P68" s="66">
        <v>0.2</v>
      </c>
      <c r="Q68" s="21">
        <f t="shared" si="10"/>
        <v>0.25</v>
      </c>
      <c r="R68" s="22">
        <f t="shared" si="9"/>
        <v>0</v>
      </c>
      <c r="S68" s="21" t="s">
        <v>25</v>
      </c>
      <c r="T68" s="21"/>
      <c r="U68" s="3"/>
      <c r="V68" s="3"/>
      <c r="W68" s="3"/>
      <c r="X68" s="3"/>
      <c r="Y68" s="3"/>
      <c r="Z68" s="3"/>
      <c r="AA68" s="3"/>
      <c r="AB68" s="3"/>
      <c r="AC68" s="3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5" customFormat="1" ht="21.6" x14ac:dyDescent="0.2">
      <c r="A69" s="15">
        <v>2146</v>
      </c>
      <c r="B69" s="16" t="s">
        <v>20</v>
      </c>
      <c r="C69" s="17" t="s">
        <v>21</v>
      </c>
      <c r="D69" s="18" t="s">
        <v>272</v>
      </c>
      <c r="E69" s="16" t="s">
        <v>273</v>
      </c>
      <c r="F69" s="16" t="s">
        <v>155</v>
      </c>
      <c r="G69" s="16" t="s">
        <v>32</v>
      </c>
      <c r="H69" s="19" t="s">
        <v>258</v>
      </c>
      <c r="I69" s="20" t="s">
        <v>23</v>
      </c>
      <c r="J69" s="21">
        <v>0.8</v>
      </c>
      <c r="K69" s="26" t="s">
        <v>31</v>
      </c>
      <c r="L69" s="31" t="s">
        <v>137</v>
      </c>
      <c r="M69" s="26" t="s">
        <v>138</v>
      </c>
      <c r="N69" s="64">
        <v>0.05</v>
      </c>
      <c r="O69" s="21">
        <v>0.1</v>
      </c>
      <c r="P69" s="28">
        <v>0.05</v>
      </c>
      <c r="Q69" s="21">
        <f t="shared" si="10"/>
        <v>1</v>
      </c>
      <c r="R69" s="22">
        <f t="shared" si="9"/>
        <v>8.0000000000000018</v>
      </c>
      <c r="S69" s="21" t="s">
        <v>25</v>
      </c>
      <c r="T69" s="21"/>
      <c r="U69" s="3"/>
      <c r="V69" s="3"/>
      <c r="W69" s="3"/>
      <c r="X69" s="3"/>
      <c r="Y69" s="3"/>
      <c r="Z69" s="3"/>
      <c r="AA69" s="3"/>
      <c r="AB69" s="3"/>
      <c r="AC69" s="3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5" customFormat="1" ht="21.6" x14ac:dyDescent="0.2">
      <c r="A70" s="15">
        <v>2147</v>
      </c>
      <c r="B70" s="16" t="s">
        <v>20</v>
      </c>
      <c r="C70" s="17" t="s">
        <v>21</v>
      </c>
      <c r="D70" s="18" t="s">
        <v>272</v>
      </c>
      <c r="E70" s="16" t="s">
        <v>273</v>
      </c>
      <c r="F70" s="16" t="s">
        <v>155</v>
      </c>
      <c r="G70" s="16" t="s">
        <v>32</v>
      </c>
      <c r="H70" s="19" t="s">
        <v>258</v>
      </c>
      <c r="I70" s="27" t="s">
        <v>23</v>
      </c>
      <c r="J70" s="21">
        <v>0.8</v>
      </c>
      <c r="K70" s="27" t="s">
        <v>139</v>
      </c>
      <c r="L70" s="32" t="s">
        <v>140</v>
      </c>
      <c r="M70" s="27" t="s">
        <v>141</v>
      </c>
      <c r="N70" s="28">
        <v>0.9</v>
      </c>
      <c r="O70" s="29">
        <v>0.2</v>
      </c>
      <c r="P70" s="28">
        <v>0.75</v>
      </c>
      <c r="Q70" s="29">
        <f t="shared" si="10"/>
        <v>0.83</v>
      </c>
      <c r="R70" s="30">
        <f t="shared" si="9"/>
        <v>13.280000000000003</v>
      </c>
      <c r="S70" s="29" t="s">
        <v>24</v>
      </c>
      <c r="T70" s="29"/>
      <c r="U70" s="3"/>
      <c r="V70" s="3"/>
      <c r="W70" s="3"/>
      <c r="X70" s="3"/>
      <c r="Y70" s="3"/>
      <c r="Z70" s="3"/>
      <c r="AA70" s="3"/>
      <c r="AB70" s="3"/>
      <c r="AC70" s="3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5" customFormat="1" ht="21.6" x14ac:dyDescent="0.2">
      <c r="A71" s="15">
        <v>2148</v>
      </c>
      <c r="B71" s="16" t="s">
        <v>20</v>
      </c>
      <c r="C71" s="17" t="s">
        <v>21</v>
      </c>
      <c r="D71" s="18" t="s">
        <v>272</v>
      </c>
      <c r="E71" s="16" t="s">
        <v>273</v>
      </c>
      <c r="F71" s="16" t="s">
        <v>155</v>
      </c>
      <c r="G71" s="16" t="s">
        <v>32</v>
      </c>
      <c r="H71" s="19" t="s">
        <v>258</v>
      </c>
      <c r="I71" s="27" t="s">
        <v>23</v>
      </c>
      <c r="J71" s="21">
        <v>0.8</v>
      </c>
      <c r="K71" s="27" t="s">
        <v>142</v>
      </c>
      <c r="L71" s="32" t="s">
        <v>143</v>
      </c>
      <c r="M71" s="27" t="s">
        <v>144</v>
      </c>
      <c r="N71" s="28">
        <v>1</v>
      </c>
      <c r="O71" s="29">
        <v>0.1</v>
      </c>
      <c r="P71" s="28">
        <v>1</v>
      </c>
      <c r="Q71" s="29">
        <f t="shared" si="10"/>
        <v>1</v>
      </c>
      <c r="R71" s="30">
        <f t="shared" si="9"/>
        <v>8.0000000000000018</v>
      </c>
      <c r="S71" s="29" t="s">
        <v>24</v>
      </c>
      <c r="T71" s="29"/>
      <c r="U71" s="3"/>
      <c r="V71" s="3"/>
      <c r="W71" s="3"/>
      <c r="X71" s="3"/>
      <c r="Y71" s="3"/>
      <c r="Z71" s="3"/>
      <c r="AA71" s="3"/>
      <c r="AB71" s="3"/>
      <c r="AC71" s="3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5" customFormat="1" ht="21.6" x14ac:dyDescent="0.2">
      <c r="A72" s="15">
        <v>2149</v>
      </c>
      <c r="B72" s="16" t="s">
        <v>20</v>
      </c>
      <c r="C72" s="17" t="s">
        <v>21</v>
      </c>
      <c r="D72" s="18" t="s">
        <v>272</v>
      </c>
      <c r="E72" s="16" t="s">
        <v>273</v>
      </c>
      <c r="F72" s="16" t="s">
        <v>155</v>
      </c>
      <c r="G72" s="16" t="s">
        <v>32</v>
      </c>
      <c r="H72" s="19" t="s">
        <v>258</v>
      </c>
      <c r="I72" s="27" t="s">
        <v>23</v>
      </c>
      <c r="J72" s="21">
        <v>0.8</v>
      </c>
      <c r="K72" s="27" t="s">
        <v>145</v>
      </c>
      <c r="L72" s="32" t="s">
        <v>146</v>
      </c>
      <c r="M72" s="6" t="s">
        <v>147</v>
      </c>
      <c r="N72" s="28">
        <v>0.9</v>
      </c>
      <c r="O72" s="29">
        <v>0.2</v>
      </c>
      <c r="P72" s="67">
        <v>0.78900000000000003</v>
      </c>
      <c r="Q72" s="29">
        <f t="shared" si="10"/>
        <v>0.88</v>
      </c>
      <c r="R72" s="30">
        <f t="shared" si="9"/>
        <v>14.080000000000004</v>
      </c>
      <c r="S72" s="29" t="s">
        <v>24</v>
      </c>
      <c r="T72" s="29"/>
      <c r="U72" s="3"/>
      <c r="V72" s="3"/>
      <c r="W72" s="3"/>
      <c r="X72" s="3"/>
      <c r="Y72" s="3"/>
      <c r="Z72" s="3"/>
      <c r="AA72" s="3"/>
      <c r="AB72" s="3"/>
      <c r="AC72" s="3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5" customFormat="1" ht="21.6" x14ac:dyDescent="0.2">
      <c r="A73" s="15">
        <v>2150</v>
      </c>
      <c r="B73" s="16" t="s">
        <v>20</v>
      </c>
      <c r="C73" s="17" t="s">
        <v>21</v>
      </c>
      <c r="D73" s="18" t="s">
        <v>272</v>
      </c>
      <c r="E73" s="16" t="s">
        <v>273</v>
      </c>
      <c r="F73" s="16" t="s">
        <v>155</v>
      </c>
      <c r="G73" s="16" t="s">
        <v>32</v>
      </c>
      <c r="H73" s="19" t="s">
        <v>258</v>
      </c>
      <c r="I73" s="27" t="s">
        <v>27</v>
      </c>
      <c r="J73" s="28">
        <v>0.2</v>
      </c>
      <c r="K73" s="27" t="s">
        <v>148</v>
      </c>
      <c r="L73" s="32" t="s">
        <v>149</v>
      </c>
      <c r="M73" s="6" t="s">
        <v>150</v>
      </c>
      <c r="N73" s="28">
        <v>1</v>
      </c>
      <c r="O73" s="29">
        <v>1</v>
      </c>
      <c r="P73" s="28">
        <v>0.85</v>
      </c>
      <c r="Q73" s="29">
        <f t="shared" si="10"/>
        <v>0.85</v>
      </c>
      <c r="R73" s="30">
        <f t="shared" si="9"/>
        <v>17</v>
      </c>
      <c r="S73" s="29" t="s">
        <v>24</v>
      </c>
      <c r="T73" s="29"/>
      <c r="U73" s="3"/>
      <c r="V73" s="3"/>
      <c r="W73" s="3"/>
      <c r="X73" s="3"/>
      <c r="Y73" s="3"/>
      <c r="Z73" s="3"/>
      <c r="AA73" s="3"/>
      <c r="AB73" s="3"/>
      <c r="AC73" s="3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5" customFormat="1" ht="21.6" x14ac:dyDescent="0.2">
      <c r="A74" s="15">
        <v>2151</v>
      </c>
      <c r="B74" s="16" t="s">
        <v>20</v>
      </c>
      <c r="C74" s="17" t="s">
        <v>21</v>
      </c>
      <c r="D74" s="18" t="s">
        <v>274</v>
      </c>
      <c r="E74" s="16" t="s">
        <v>275</v>
      </c>
      <c r="F74" s="16" t="s">
        <v>155</v>
      </c>
      <c r="G74" s="16" t="s">
        <v>32</v>
      </c>
      <c r="H74" s="19" t="s">
        <v>258</v>
      </c>
      <c r="I74" s="20" t="s">
        <v>23</v>
      </c>
      <c r="J74" s="21">
        <v>0.8</v>
      </c>
      <c r="K74" s="26" t="s">
        <v>30</v>
      </c>
      <c r="L74" s="31" t="s">
        <v>130</v>
      </c>
      <c r="M74" s="1" t="s">
        <v>131</v>
      </c>
      <c r="N74" s="21">
        <v>0.95</v>
      </c>
      <c r="O74" s="21">
        <v>0.15</v>
      </c>
      <c r="P74" s="21">
        <v>0.95</v>
      </c>
      <c r="Q74" s="21">
        <f t="shared" si="10"/>
        <v>1</v>
      </c>
      <c r="R74" s="22">
        <f t="shared" si="9"/>
        <v>12</v>
      </c>
      <c r="S74" s="21" t="s">
        <v>24</v>
      </c>
      <c r="T74" s="23">
        <f>SUM(R74:R81)%</f>
        <v>0.84719999999999995</v>
      </c>
      <c r="U74" s="3"/>
      <c r="V74" s="3"/>
      <c r="W74" s="3"/>
      <c r="X74" s="3"/>
      <c r="Y74" s="3"/>
      <c r="Z74" s="3"/>
      <c r="AA74" s="3"/>
      <c r="AB74" s="3"/>
      <c r="AC74" s="3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5" customFormat="1" ht="21.6" x14ac:dyDescent="0.2">
      <c r="A75" s="15">
        <v>2153</v>
      </c>
      <c r="B75" s="16" t="s">
        <v>20</v>
      </c>
      <c r="C75" s="17" t="s">
        <v>21</v>
      </c>
      <c r="D75" s="18" t="s">
        <v>274</v>
      </c>
      <c r="E75" s="16" t="s">
        <v>275</v>
      </c>
      <c r="F75" s="16" t="s">
        <v>155</v>
      </c>
      <c r="G75" s="16" t="s">
        <v>32</v>
      </c>
      <c r="H75" s="19" t="s">
        <v>258</v>
      </c>
      <c r="I75" s="20" t="s">
        <v>23</v>
      </c>
      <c r="J75" s="21">
        <v>0.8</v>
      </c>
      <c r="K75" s="26" t="s">
        <v>132</v>
      </c>
      <c r="L75" s="31" t="s">
        <v>133</v>
      </c>
      <c r="M75" s="26" t="s">
        <v>134</v>
      </c>
      <c r="N75" s="21">
        <v>0.95</v>
      </c>
      <c r="O75" s="21">
        <v>0.15</v>
      </c>
      <c r="P75" s="25">
        <v>0.9</v>
      </c>
      <c r="Q75" s="21">
        <f t="shared" ref="Q75:Q81" si="11">ROUND(IF(OR(N75="",P75=""),0,IF(AND(N75=0,P75=0),1,IF(S75="+",P75/N75,N75/P75))),2)</f>
        <v>0.95</v>
      </c>
      <c r="R75" s="22">
        <f t="shared" si="9"/>
        <v>11.399999999999999</v>
      </c>
      <c r="S75" s="21" t="s">
        <v>24</v>
      </c>
      <c r="T75" s="21"/>
      <c r="U75" s="3"/>
      <c r="V75" s="3"/>
      <c r="W75" s="3"/>
      <c r="X75" s="3"/>
      <c r="Y75" s="3"/>
      <c r="Z75" s="3"/>
      <c r="AA75" s="3"/>
      <c r="AB75" s="3"/>
      <c r="AC75" s="3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5" customFormat="1" ht="21.6" x14ac:dyDescent="0.2">
      <c r="A76" s="15">
        <v>2154</v>
      </c>
      <c r="B76" s="16" t="s">
        <v>20</v>
      </c>
      <c r="C76" s="17" t="s">
        <v>21</v>
      </c>
      <c r="D76" s="18" t="s">
        <v>274</v>
      </c>
      <c r="E76" s="16" t="s">
        <v>275</v>
      </c>
      <c r="F76" s="16" t="s">
        <v>155</v>
      </c>
      <c r="G76" s="16" t="s">
        <v>32</v>
      </c>
      <c r="H76" s="19" t="s">
        <v>258</v>
      </c>
      <c r="I76" s="20" t="s">
        <v>23</v>
      </c>
      <c r="J76" s="21">
        <v>0.8</v>
      </c>
      <c r="K76" s="26" t="s">
        <v>54</v>
      </c>
      <c r="L76" s="31" t="s">
        <v>135</v>
      </c>
      <c r="M76" s="26" t="s">
        <v>136</v>
      </c>
      <c r="N76" s="25">
        <v>0.05</v>
      </c>
      <c r="O76" s="21">
        <v>0.1</v>
      </c>
      <c r="P76" s="66">
        <v>0.2</v>
      </c>
      <c r="Q76" s="21">
        <f t="shared" si="11"/>
        <v>0.25</v>
      </c>
      <c r="R76" s="22">
        <f t="shared" si="9"/>
        <v>0</v>
      </c>
      <c r="S76" s="21" t="s">
        <v>25</v>
      </c>
      <c r="T76" s="21"/>
      <c r="U76" s="3"/>
      <c r="V76" s="3"/>
      <c r="W76" s="3"/>
      <c r="X76" s="3"/>
      <c r="Y76" s="3"/>
      <c r="Z76" s="3"/>
      <c r="AA76" s="3"/>
      <c r="AB76" s="3"/>
      <c r="AC76" s="3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5" customFormat="1" ht="21.6" x14ac:dyDescent="0.2">
      <c r="A77" s="15">
        <v>2155</v>
      </c>
      <c r="B77" s="16" t="s">
        <v>20</v>
      </c>
      <c r="C77" s="17" t="s">
        <v>21</v>
      </c>
      <c r="D77" s="18" t="s">
        <v>274</v>
      </c>
      <c r="E77" s="16" t="s">
        <v>275</v>
      </c>
      <c r="F77" s="16" t="s">
        <v>155</v>
      </c>
      <c r="G77" s="16" t="s">
        <v>32</v>
      </c>
      <c r="H77" s="19" t="s">
        <v>258</v>
      </c>
      <c r="I77" s="20" t="s">
        <v>23</v>
      </c>
      <c r="J77" s="21">
        <v>0.8</v>
      </c>
      <c r="K77" s="26" t="s">
        <v>31</v>
      </c>
      <c r="L77" s="31" t="s">
        <v>137</v>
      </c>
      <c r="M77" s="26" t="s">
        <v>138</v>
      </c>
      <c r="N77" s="64">
        <v>0.05</v>
      </c>
      <c r="O77" s="21">
        <v>0.1</v>
      </c>
      <c r="P77" s="28">
        <v>0.05</v>
      </c>
      <c r="Q77" s="21">
        <f t="shared" si="11"/>
        <v>1</v>
      </c>
      <c r="R77" s="22">
        <f t="shared" si="9"/>
        <v>8.0000000000000018</v>
      </c>
      <c r="S77" s="21" t="s">
        <v>25</v>
      </c>
      <c r="T77" s="21"/>
      <c r="U77" s="3"/>
      <c r="V77" s="3"/>
      <c r="W77" s="3"/>
      <c r="X77" s="3"/>
      <c r="Y77" s="3"/>
      <c r="Z77" s="3"/>
      <c r="AA77" s="3"/>
      <c r="AB77" s="3"/>
      <c r="AC77" s="3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5" customFormat="1" ht="21.6" x14ac:dyDescent="0.2">
      <c r="A78" s="15">
        <v>2156</v>
      </c>
      <c r="B78" s="16" t="s">
        <v>20</v>
      </c>
      <c r="C78" s="17" t="s">
        <v>21</v>
      </c>
      <c r="D78" s="18" t="s">
        <v>274</v>
      </c>
      <c r="E78" s="16" t="s">
        <v>275</v>
      </c>
      <c r="F78" s="16" t="s">
        <v>155</v>
      </c>
      <c r="G78" s="16" t="s">
        <v>32</v>
      </c>
      <c r="H78" s="19" t="s">
        <v>258</v>
      </c>
      <c r="I78" s="27" t="s">
        <v>23</v>
      </c>
      <c r="J78" s="21">
        <v>0.8</v>
      </c>
      <c r="K78" s="27" t="s">
        <v>139</v>
      </c>
      <c r="L78" s="32" t="s">
        <v>140</v>
      </c>
      <c r="M78" s="27" t="s">
        <v>141</v>
      </c>
      <c r="N78" s="28">
        <v>0.9</v>
      </c>
      <c r="O78" s="29">
        <v>0.2</v>
      </c>
      <c r="P78" s="28">
        <v>0.8</v>
      </c>
      <c r="Q78" s="29">
        <f t="shared" si="11"/>
        <v>0.89</v>
      </c>
      <c r="R78" s="30">
        <f t="shared" si="9"/>
        <v>14.240000000000002</v>
      </c>
      <c r="S78" s="29" t="s">
        <v>24</v>
      </c>
      <c r="T78" s="29"/>
      <c r="U78" s="3"/>
      <c r="V78" s="3"/>
      <c r="W78" s="3"/>
      <c r="X78" s="3"/>
      <c r="Y78" s="3"/>
      <c r="Z78" s="3"/>
      <c r="AA78" s="3"/>
      <c r="AB78" s="3"/>
      <c r="AC78" s="3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5" customFormat="1" ht="21.6" x14ac:dyDescent="0.2">
      <c r="A79" s="15">
        <v>2157</v>
      </c>
      <c r="B79" s="16" t="s">
        <v>20</v>
      </c>
      <c r="C79" s="17" t="s">
        <v>21</v>
      </c>
      <c r="D79" s="18" t="s">
        <v>274</v>
      </c>
      <c r="E79" s="16" t="s">
        <v>275</v>
      </c>
      <c r="F79" s="16" t="s">
        <v>155</v>
      </c>
      <c r="G79" s="16" t="s">
        <v>32</v>
      </c>
      <c r="H79" s="19" t="s">
        <v>258</v>
      </c>
      <c r="I79" s="27" t="s">
        <v>23</v>
      </c>
      <c r="J79" s="21">
        <v>0.8</v>
      </c>
      <c r="K79" s="27" t="s">
        <v>142</v>
      </c>
      <c r="L79" s="32" t="s">
        <v>143</v>
      </c>
      <c r="M79" s="27" t="s">
        <v>144</v>
      </c>
      <c r="N79" s="28">
        <v>1</v>
      </c>
      <c r="O79" s="29">
        <v>0.1</v>
      </c>
      <c r="P79" s="28">
        <v>1</v>
      </c>
      <c r="Q79" s="29">
        <f t="shared" si="11"/>
        <v>1</v>
      </c>
      <c r="R79" s="30">
        <f t="shared" si="9"/>
        <v>8.0000000000000018</v>
      </c>
      <c r="S79" s="29" t="s">
        <v>24</v>
      </c>
      <c r="T79" s="29"/>
      <c r="U79" s="3"/>
      <c r="V79" s="3"/>
      <c r="W79" s="3"/>
      <c r="X79" s="3"/>
      <c r="Y79" s="3"/>
      <c r="Z79" s="3"/>
      <c r="AA79" s="3"/>
      <c r="AB79" s="3"/>
      <c r="AC79" s="3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5" customFormat="1" ht="21.6" x14ac:dyDescent="0.2">
      <c r="A80" s="15">
        <v>2158</v>
      </c>
      <c r="B80" s="16" t="s">
        <v>20</v>
      </c>
      <c r="C80" s="17" t="s">
        <v>21</v>
      </c>
      <c r="D80" s="18" t="s">
        <v>274</v>
      </c>
      <c r="E80" s="16" t="s">
        <v>275</v>
      </c>
      <c r="F80" s="16" t="s">
        <v>155</v>
      </c>
      <c r="G80" s="16" t="s">
        <v>32</v>
      </c>
      <c r="H80" s="19" t="s">
        <v>258</v>
      </c>
      <c r="I80" s="27" t="s">
        <v>23</v>
      </c>
      <c r="J80" s="21">
        <v>0.8</v>
      </c>
      <c r="K80" s="27" t="s">
        <v>145</v>
      </c>
      <c r="L80" s="32" t="s">
        <v>146</v>
      </c>
      <c r="M80" s="6" t="s">
        <v>147</v>
      </c>
      <c r="N80" s="28">
        <v>0.9</v>
      </c>
      <c r="O80" s="29">
        <v>0.2</v>
      </c>
      <c r="P80" s="67">
        <v>0.78900000000000003</v>
      </c>
      <c r="Q80" s="29">
        <f t="shared" si="11"/>
        <v>0.88</v>
      </c>
      <c r="R80" s="30">
        <f t="shared" si="9"/>
        <v>14.080000000000004</v>
      </c>
      <c r="S80" s="29" t="s">
        <v>24</v>
      </c>
      <c r="T80" s="29"/>
      <c r="U80" s="3"/>
      <c r="V80" s="3"/>
      <c r="W80" s="3"/>
      <c r="X80" s="3"/>
      <c r="Y80" s="3"/>
      <c r="Z80" s="3"/>
      <c r="AA80" s="3"/>
      <c r="AB80" s="3"/>
      <c r="AC80" s="3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5" customFormat="1" ht="21.6" x14ac:dyDescent="0.2">
      <c r="A81" s="15">
        <v>2159</v>
      </c>
      <c r="B81" s="16" t="s">
        <v>20</v>
      </c>
      <c r="C81" s="17" t="s">
        <v>21</v>
      </c>
      <c r="D81" s="18" t="s">
        <v>274</v>
      </c>
      <c r="E81" s="16" t="s">
        <v>275</v>
      </c>
      <c r="F81" s="16" t="s">
        <v>155</v>
      </c>
      <c r="G81" s="16" t="s">
        <v>32</v>
      </c>
      <c r="H81" s="19" t="s">
        <v>258</v>
      </c>
      <c r="I81" s="27" t="s">
        <v>27</v>
      </c>
      <c r="J81" s="28">
        <v>0.2</v>
      </c>
      <c r="K81" s="27" t="s">
        <v>148</v>
      </c>
      <c r="L81" s="32" t="s">
        <v>149</v>
      </c>
      <c r="M81" s="6" t="s">
        <v>150</v>
      </c>
      <c r="N81" s="28">
        <v>1</v>
      </c>
      <c r="O81" s="29">
        <v>1</v>
      </c>
      <c r="P81" s="28">
        <v>0.85</v>
      </c>
      <c r="Q81" s="29">
        <f t="shared" si="11"/>
        <v>0.85</v>
      </c>
      <c r="R81" s="30">
        <f t="shared" si="9"/>
        <v>17</v>
      </c>
      <c r="S81" s="29" t="s">
        <v>24</v>
      </c>
      <c r="T81" s="29"/>
      <c r="U81" s="3"/>
      <c r="V81" s="3"/>
      <c r="W81" s="3"/>
      <c r="X81" s="3"/>
      <c r="Y81" s="3"/>
      <c r="Z81" s="3"/>
      <c r="AA81" s="3"/>
      <c r="AB81" s="3"/>
      <c r="AC81" s="3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5" customFormat="1" ht="21.6" x14ac:dyDescent="0.2">
      <c r="A82" s="15">
        <v>2169</v>
      </c>
      <c r="B82" s="16" t="s">
        <v>20</v>
      </c>
      <c r="C82" s="17" t="s">
        <v>21</v>
      </c>
      <c r="D82" s="18" t="s">
        <v>276</v>
      </c>
      <c r="E82" s="16" t="s">
        <v>277</v>
      </c>
      <c r="F82" s="16" t="s">
        <v>128</v>
      </c>
      <c r="G82" s="16" t="s">
        <v>32</v>
      </c>
      <c r="H82" s="19" t="s">
        <v>258</v>
      </c>
      <c r="I82" s="20" t="s">
        <v>23</v>
      </c>
      <c r="J82" s="21">
        <v>0.8</v>
      </c>
      <c r="K82" s="26" t="s">
        <v>30</v>
      </c>
      <c r="L82" s="31" t="s">
        <v>130</v>
      </c>
      <c r="M82" s="1" t="s">
        <v>131</v>
      </c>
      <c r="N82" s="21">
        <v>0.95</v>
      </c>
      <c r="O82" s="21">
        <v>0.15</v>
      </c>
      <c r="P82" s="21">
        <v>0.95</v>
      </c>
      <c r="Q82" s="21">
        <f t="shared" ref="Q82" si="12">ROUND(IF(OR(N82="",P82=""),0,IF(AND(N82=0,P82=0),1,IF(S82="+",P82/N82,N82/P82))),2)</f>
        <v>1</v>
      </c>
      <c r="R82" s="22">
        <f t="shared" si="9"/>
        <v>12</v>
      </c>
      <c r="S82" s="21" t="s">
        <v>24</v>
      </c>
      <c r="T82" s="23">
        <f>SUM(R82:R89)%</f>
        <v>0.8076000000000001</v>
      </c>
      <c r="U82" s="3"/>
      <c r="V82" s="3"/>
      <c r="W82" s="3"/>
      <c r="X82" s="3"/>
      <c r="Y82" s="3"/>
      <c r="Z82" s="3"/>
      <c r="AA82" s="3"/>
      <c r="AB82" s="3"/>
      <c r="AC82" s="3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5" customFormat="1" ht="21.6" x14ac:dyDescent="0.2">
      <c r="A83" s="15">
        <v>2171</v>
      </c>
      <c r="B83" s="16" t="s">
        <v>20</v>
      </c>
      <c r="C83" s="17" t="s">
        <v>21</v>
      </c>
      <c r="D83" s="18" t="s">
        <v>276</v>
      </c>
      <c r="E83" s="16" t="s">
        <v>277</v>
      </c>
      <c r="F83" s="16" t="s">
        <v>128</v>
      </c>
      <c r="G83" s="16" t="s">
        <v>32</v>
      </c>
      <c r="H83" s="19" t="s">
        <v>258</v>
      </c>
      <c r="I83" s="20" t="s">
        <v>23</v>
      </c>
      <c r="J83" s="21">
        <v>0.8</v>
      </c>
      <c r="K83" s="26" t="s">
        <v>132</v>
      </c>
      <c r="L83" s="31" t="s">
        <v>133</v>
      </c>
      <c r="M83" s="26" t="s">
        <v>134</v>
      </c>
      <c r="N83" s="21">
        <v>0.95</v>
      </c>
      <c r="O83" s="21">
        <v>0.15</v>
      </c>
      <c r="P83" s="25">
        <v>0.9</v>
      </c>
      <c r="Q83" s="21">
        <f t="shared" ref="Q83:Q89" si="13">ROUND(IF(OR(N83="",P83=""),0,IF(AND(N83=0,P83=0),1,IF(S83="+",P83/N83,N83/P83))),2)</f>
        <v>0.95</v>
      </c>
      <c r="R83" s="22">
        <f t="shared" si="9"/>
        <v>11.399999999999999</v>
      </c>
      <c r="S83" s="21" t="s">
        <v>24</v>
      </c>
      <c r="T83" s="21"/>
      <c r="U83" s="3"/>
      <c r="V83" s="3"/>
      <c r="W83" s="3"/>
      <c r="X83" s="3"/>
      <c r="Y83" s="3"/>
      <c r="Z83" s="3"/>
      <c r="AA83" s="3"/>
      <c r="AB83" s="3"/>
      <c r="AC83" s="3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5" customFormat="1" ht="21.6" x14ac:dyDescent="0.2">
      <c r="A84" s="15">
        <v>2172</v>
      </c>
      <c r="B84" s="16" t="s">
        <v>20</v>
      </c>
      <c r="C84" s="17" t="s">
        <v>21</v>
      </c>
      <c r="D84" s="18" t="s">
        <v>276</v>
      </c>
      <c r="E84" s="16" t="s">
        <v>277</v>
      </c>
      <c r="F84" s="16" t="s">
        <v>128</v>
      </c>
      <c r="G84" s="16" t="s">
        <v>32</v>
      </c>
      <c r="H84" s="19" t="s">
        <v>258</v>
      </c>
      <c r="I84" s="20" t="s">
        <v>23</v>
      </c>
      <c r="J84" s="21">
        <v>0.8</v>
      </c>
      <c r="K84" s="26" t="s">
        <v>54</v>
      </c>
      <c r="L84" s="31" t="s">
        <v>135</v>
      </c>
      <c r="M84" s="26" t="s">
        <v>136</v>
      </c>
      <c r="N84" s="25">
        <v>0.05</v>
      </c>
      <c r="O84" s="21">
        <v>0.1</v>
      </c>
      <c r="P84" s="66">
        <v>0.2</v>
      </c>
      <c r="Q84" s="21">
        <f t="shared" si="13"/>
        <v>0.25</v>
      </c>
      <c r="R84" s="22">
        <f t="shared" si="9"/>
        <v>0</v>
      </c>
      <c r="S84" s="21" t="s">
        <v>25</v>
      </c>
      <c r="T84" s="21"/>
      <c r="U84" s="3"/>
      <c r="V84" s="3"/>
      <c r="W84" s="3"/>
      <c r="X84" s="3"/>
      <c r="Y84" s="3"/>
      <c r="Z84" s="3"/>
      <c r="AA84" s="3"/>
      <c r="AB84" s="3"/>
      <c r="AC84" s="3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5" customFormat="1" ht="21.6" x14ac:dyDescent="0.2">
      <c r="A85" s="15">
        <v>2173</v>
      </c>
      <c r="B85" s="16" t="s">
        <v>20</v>
      </c>
      <c r="C85" s="17" t="s">
        <v>21</v>
      </c>
      <c r="D85" s="18" t="s">
        <v>276</v>
      </c>
      <c r="E85" s="16" t="s">
        <v>277</v>
      </c>
      <c r="F85" s="16" t="s">
        <v>128</v>
      </c>
      <c r="G85" s="16" t="s">
        <v>32</v>
      </c>
      <c r="H85" s="19" t="s">
        <v>258</v>
      </c>
      <c r="I85" s="20" t="s">
        <v>23</v>
      </c>
      <c r="J85" s="21">
        <v>0.8</v>
      </c>
      <c r="K85" s="26" t="s">
        <v>31</v>
      </c>
      <c r="L85" s="31" t="s">
        <v>137</v>
      </c>
      <c r="M85" s="26" t="s">
        <v>138</v>
      </c>
      <c r="N85" s="64">
        <v>0.05</v>
      </c>
      <c r="O85" s="21">
        <v>0.1</v>
      </c>
      <c r="P85" s="28">
        <v>0.05</v>
      </c>
      <c r="Q85" s="21">
        <f t="shared" si="13"/>
        <v>1</v>
      </c>
      <c r="R85" s="22">
        <f t="shared" si="9"/>
        <v>8.0000000000000018</v>
      </c>
      <c r="S85" s="21" t="s">
        <v>25</v>
      </c>
      <c r="T85" s="21"/>
      <c r="U85" s="3"/>
      <c r="V85" s="3"/>
      <c r="W85" s="3"/>
      <c r="X85" s="3"/>
      <c r="Y85" s="3"/>
      <c r="Z85" s="3"/>
      <c r="AA85" s="3"/>
      <c r="AB85" s="3"/>
      <c r="AC85" s="3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5" customFormat="1" ht="21.6" x14ac:dyDescent="0.2">
      <c r="A86" s="15">
        <v>2174</v>
      </c>
      <c r="B86" s="16" t="s">
        <v>20</v>
      </c>
      <c r="C86" s="17" t="s">
        <v>21</v>
      </c>
      <c r="D86" s="18" t="s">
        <v>276</v>
      </c>
      <c r="E86" s="16" t="s">
        <v>277</v>
      </c>
      <c r="F86" s="16" t="s">
        <v>128</v>
      </c>
      <c r="G86" s="16" t="s">
        <v>32</v>
      </c>
      <c r="H86" s="19" t="s">
        <v>258</v>
      </c>
      <c r="I86" s="27" t="s">
        <v>23</v>
      </c>
      <c r="J86" s="21">
        <v>0.8</v>
      </c>
      <c r="K86" s="27" t="s">
        <v>139</v>
      </c>
      <c r="L86" s="32" t="s">
        <v>140</v>
      </c>
      <c r="M86" s="27" t="s">
        <v>141</v>
      </c>
      <c r="N86" s="28">
        <v>0.9</v>
      </c>
      <c r="O86" s="29">
        <v>0.2</v>
      </c>
      <c r="P86" s="28">
        <v>0.75</v>
      </c>
      <c r="Q86" s="29">
        <f t="shared" si="13"/>
        <v>0.83</v>
      </c>
      <c r="R86" s="30">
        <f t="shared" si="9"/>
        <v>13.280000000000003</v>
      </c>
      <c r="S86" s="29" t="s">
        <v>24</v>
      </c>
      <c r="T86" s="29"/>
      <c r="U86" s="3"/>
      <c r="V86" s="3"/>
      <c r="W86" s="3"/>
      <c r="X86" s="3"/>
      <c r="Y86" s="3"/>
      <c r="Z86" s="3"/>
      <c r="AA86" s="3"/>
      <c r="AB86" s="3"/>
      <c r="AC86" s="3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5" customFormat="1" ht="21.6" x14ac:dyDescent="0.2">
      <c r="A87" s="15">
        <v>2175</v>
      </c>
      <c r="B87" s="16" t="s">
        <v>20</v>
      </c>
      <c r="C87" s="17" t="s">
        <v>21</v>
      </c>
      <c r="D87" s="18" t="s">
        <v>276</v>
      </c>
      <c r="E87" s="16" t="s">
        <v>277</v>
      </c>
      <c r="F87" s="16" t="s">
        <v>128</v>
      </c>
      <c r="G87" s="16" t="s">
        <v>32</v>
      </c>
      <c r="H87" s="19" t="s">
        <v>258</v>
      </c>
      <c r="I87" s="27" t="s">
        <v>23</v>
      </c>
      <c r="J87" s="21">
        <v>0.8</v>
      </c>
      <c r="K87" s="27" t="s">
        <v>142</v>
      </c>
      <c r="L87" s="32" t="s">
        <v>143</v>
      </c>
      <c r="M87" s="27" t="s">
        <v>144</v>
      </c>
      <c r="N87" s="28">
        <v>1</v>
      </c>
      <c r="O87" s="29">
        <v>0.1</v>
      </c>
      <c r="P87" s="28">
        <v>1</v>
      </c>
      <c r="Q87" s="29">
        <f t="shared" si="13"/>
        <v>1</v>
      </c>
      <c r="R87" s="30">
        <f t="shared" si="9"/>
        <v>8.0000000000000018</v>
      </c>
      <c r="S87" s="29" t="s">
        <v>24</v>
      </c>
      <c r="T87" s="29"/>
      <c r="U87" s="3"/>
      <c r="V87" s="3"/>
      <c r="W87" s="3"/>
      <c r="X87" s="3"/>
      <c r="Y87" s="3"/>
      <c r="Z87" s="3"/>
      <c r="AA87" s="3"/>
      <c r="AB87" s="3"/>
      <c r="AC87" s="3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5" customFormat="1" ht="21.6" x14ac:dyDescent="0.2">
      <c r="A88" s="15">
        <v>2176</v>
      </c>
      <c r="B88" s="16" t="s">
        <v>20</v>
      </c>
      <c r="C88" s="17" t="s">
        <v>21</v>
      </c>
      <c r="D88" s="18" t="s">
        <v>276</v>
      </c>
      <c r="E88" s="16" t="s">
        <v>277</v>
      </c>
      <c r="F88" s="16" t="s">
        <v>128</v>
      </c>
      <c r="G88" s="16" t="s">
        <v>32</v>
      </c>
      <c r="H88" s="19" t="s">
        <v>258</v>
      </c>
      <c r="I88" s="27" t="s">
        <v>23</v>
      </c>
      <c r="J88" s="21">
        <v>0.8</v>
      </c>
      <c r="K88" s="27" t="s">
        <v>145</v>
      </c>
      <c r="L88" s="32" t="s">
        <v>146</v>
      </c>
      <c r="M88" s="6" t="s">
        <v>147</v>
      </c>
      <c r="N88" s="28">
        <v>0.9</v>
      </c>
      <c r="O88" s="29">
        <v>0.2</v>
      </c>
      <c r="P88" s="67">
        <v>0.78900000000000003</v>
      </c>
      <c r="Q88" s="29">
        <f t="shared" si="13"/>
        <v>0.88</v>
      </c>
      <c r="R88" s="30">
        <f t="shared" si="9"/>
        <v>14.080000000000004</v>
      </c>
      <c r="S88" s="29" t="s">
        <v>24</v>
      </c>
      <c r="T88" s="29"/>
      <c r="U88" s="3"/>
      <c r="V88" s="3"/>
      <c r="W88" s="3"/>
      <c r="X88" s="3"/>
      <c r="Y88" s="3"/>
      <c r="Z88" s="3"/>
      <c r="AA88" s="3"/>
      <c r="AB88" s="3"/>
      <c r="AC88" s="3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5" customFormat="1" ht="21.6" x14ac:dyDescent="0.2">
      <c r="A89" s="15">
        <v>2177</v>
      </c>
      <c r="B89" s="16" t="s">
        <v>20</v>
      </c>
      <c r="C89" s="17" t="s">
        <v>21</v>
      </c>
      <c r="D89" s="18" t="s">
        <v>276</v>
      </c>
      <c r="E89" s="16" t="s">
        <v>277</v>
      </c>
      <c r="F89" s="16" t="s">
        <v>128</v>
      </c>
      <c r="G89" s="16" t="s">
        <v>32</v>
      </c>
      <c r="H89" s="19" t="s">
        <v>258</v>
      </c>
      <c r="I89" s="27" t="s">
        <v>27</v>
      </c>
      <c r="J89" s="28">
        <v>0.2</v>
      </c>
      <c r="K89" s="27" t="s">
        <v>148</v>
      </c>
      <c r="L89" s="32" t="s">
        <v>149</v>
      </c>
      <c r="M89" s="6" t="s">
        <v>150</v>
      </c>
      <c r="N89" s="28">
        <v>1</v>
      </c>
      <c r="O89" s="29">
        <v>1</v>
      </c>
      <c r="P89" s="28">
        <v>0.7</v>
      </c>
      <c r="Q89" s="29">
        <f t="shared" si="13"/>
        <v>0.7</v>
      </c>
      <c r="R89" s="30">
        <f t="shared" si="9"/>
        <v>13.999999999999998</v>
      </c>
      <c r="S89" s="29" t="s">
        <v>24</v>
      </c>
      <c r="T89" s="29"/>
      <c r="U89" s="3"/>
      <c r="V89" s="3"/>
      <c r="W89" s="3"/>
      <c r="X89" s="3"/>
      <c r="Y89" s="3"/>
      <c r="Z89" s="3"/>
      <c r="AA89" s="3"/>
      <c r="AB89" s="3"/>
      <c r="AC89" s="3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</sheetData>
  <autoFilter ref="A1:T89" xr:uid="{7EF4661B-8CB2-466F-8DBB-EB69CD48EE90}"/>
  <conditionalFormatting sqref="I1 K1:M1">
    <cfRule type="cellIs" dxfId="22" priority="25" operator="equal">
      <formula>"maintasks"</formula>
    </cfRule>
  </conditionalFormatting>
  <conditionalFormatting sqref="K82:M89">
    <cfRule type="cellIs" dxfId="21" priority="1" operator="equal">
      <formula>"maintasks"</formula>
    </cfRule>
  </conditionalFormatting>
  <conditionalFormatting sqref="I2:I9">
    <cfRule type="cellIs" dxfId="20" priority="24" operator="equal">
      <formula>"maintasks"</formula>
    </cfRule>
  </conditionalFormatting>
  <conditionalFormatting sqref="K2:M9">
    <cfRule type="cellIs" dxfId="19" priority="23" operator="equal">
      <formula>"maintasks"</formula>
    </cfRule>
  </conditionalFormatting>
  <conditionalFormatting sqref="I10:I17">
    <cfRule type="cellIs" dxfId="18" priority="22" operator="equal">
      <formula>"maintasks"</formula>
    </cfRule>
  </conditionalFormatting>
  <conditionalFormatting sqref="K10:M17">
    <cfRule type="cellIs" dxfId="17" priority="21" operator="equal">
      <formula>"maintasks"</formula>
    </cfRule>
  </conditionalFormatting>
  <conditionalFormatting sqref="I18:I25">
    <cfRule type="cellIs" dxfId="16" priority="20" operator="equal">
      <formula>"maintasks"</formula>
    </cfRule>
  </conditionalFormatting>
  <conditionalFormatting sqref="K18:M25">
    <cfRule type="cellIs" dxfId="15" priority="19" operator="equal">
      <formula>"maintasks"</formula>
    </cfRule>
  </conditionalFormatting>
  <conditionalFormatting sqref="I26:I33">
    <cfRule type="cellIs" dxfId="14" priority="18" operator="equal">
      <formula>"maintasks"</formula>
    </cfRule>
  </conditionalFormatting>
  <conditionalFormatting sqref="K26:M33">
    <cfRule type="cellIs" dxfId="13" priority="17" operator="equal">
      <formula>"maintasks"</formula>
    </cfRule>
  </conditionalFormatting>
  <conditionalFormatting sqref="I34:I41">
    <cfRule type="cellIs" dxfId="12" priority="16" operator="equal">
      <formula>"maintasks"</formula>
    </cfRule>
  </conditionalFormatting>
  <conditionalFormatting sqref="K34:M41">
    <cfRule type="cellIs" dxfId="11" priority="15" operator="equal">
      <formula>"maintasks"</formula>
    </cfRule>
  </conditionalFormatting>
  <conditionalFormatting sqref="I42:I49">
    <cfRule type="cellIs" dxfId="10" priority="14" operator="equal">
      <formula>"maintasks"</formula>
    </cfRule>
  </conditionalFormatting>
  <conditionalFormatting sqref="K42:M49">
    <cfRule type="cellIs" dxfId="9" priority="13" operator="equal">
      <formula>"maintasks"</formula>
    </cfRule>
  </conditionalFormatting>
  <conditionalFormatting sqref="I50:I57">
    <cfRule type="cellIs" dxfId="8" priority="12" operator="equal">
      <formula>"maintasks"</formula>
    </cfRule>
  </conditionalFormatting>
  <conditionalFormatting sqref="K50:M57">
    <cfRule type="cellIs" dxfId="7" priority="11" operator="equal">
      <formula>"maintasks"</formula>
    </cfRule>
  </conditionalFormatting>
  <conditionalFormatting sqref="I58:I65">
    <cfRule type="cellIs" dxfId="6" priority="10" operator="equal">
      <formula>"maintasks"</formula>
    </cfRule>
  </conditionalFormatting>
  <conditionalFormatting sqref="K58:M65">
    <cfRule type="cellIs" dxfId="5" priority="9" operator="equal">
      <formula>"maintasks"</formula>
    </cfRule>
  </conditionalFormatting>
  <conditionalFormatting sqref="I66:I73">
    <cfRule type="cellIs" dxfId="4" priority="8" operator="equal">
      <formula>"maintasks"</formula>
    </cfRule>
  </conditionalFormatting>
  <conditionalFormatting sqref="K66:M73">
    <cfRule type="cellIs" dxfId="3" priority="7" operator="equal">
      <formula>"maintasks"</formula>
    </cfRule>
  </conditionalFormatting>
  <conditionalFormatting sqref="I74:I81">
    <cfRule type="cellIs" dxfId="2" priority="6" operator="equal">
      <formula>"maintasks"</formula>
    </cfRule>
  </conditionalFormatting>
  <conditionalFormatting sqref="K74:M81">
    <cfRule type="cellIs" dxfId="1" priority="5" operator="equal">
      <formula>"maintasks"</formula>
    </cfRule>
  </conditionalFormatting>
  <conditionalFormatting sqref="I82:I89">
    <cfRule type="cellIs" dxfId="0" priority="2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واحد برنامه ریزی نت</vt:lpstr>
      <vt:lpstr>برق و ابزاردقیق</vt:lpstr>
      <vt:lpstr>واحد تاسیسات</vt:lpstr>
      <vt:lpstr>طراحی مهندسی</vt:lpstr>
      <vt:lpstr>مکانیک عمومی</vt:lpstr>
      <vt:lpstr>واحد ماشین آلات</vt:lpstr>
      <vt:lpstr>واحد مکانیک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2015-06-05T18:17:20Z</dcterms:created>
  <dcterms:modified xsi:type="dcterms:W3CDTF">2025-07-02T10:54:24Z</dcterms:modified>
</cp:coreProperties>
</file>