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1404\KPI Q1\دریافتی از منابع انسانی\ارسالی 14040410\"/>
    </mc:Choice>
  </mc:AlternateContent>
  <xr:revisionPtr revIDLastSave="0" documentId="13_ncr:1_{E44BA526-1747-4267-AA58-4BADD617CFD4}" xr6:coauthVersionLast="47" xr6:coauthVersionMax="47" xr10:uidLastSave="{00000000-0000-0000-0000-000000000000}"/>
  <bookViews>
    <workbookView xWindow="-28920" yWindow="-120" windowWidth="29040" windowHeight="15840" tabRatio="683" xr2:uid="{74099A9C-9871-4FD6-9E81-7D731959F279}"/>
  </bookViews>
  <sheets>
    <sheet name="Electrical1" sheetId="7" r:id="rId1"/>
    <sheet name="Electrical2" sheetId="2" r:id="rId2"/>
    <sheet name="Utilities1" sheetId="9" r:id="rId3"/>
    <sheet name="Utilities2" sheetId="5" r:id="rId4"/>
    <sheet name="Mech1" sheetId="8" r:id="rId5"/>
    <sheet name="Mech2" sheetId="3" r:id="rId6"/>
    <sheet name="Workshop" sheetId="13" r:id="rId7"/>
    <sheet name="Metal Works" sheetId="6" r:id="rId8"/>
    <sheet name="PM &amp; Engr" sheetId="4" r:id="rId9"/>
    <sheet name="Design" sheetId="10" r:id="rId10"/>
    <sheet name="Machinery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2" l="1"/>
  <c r="Q8" i="12" l="1"/>
  <c r="R8" i="12" s="1"/>
  <c r="Q9" i="12"/>
  <c r="R9" i="12" s="1"/>
  <c r="Q10" i="12"/>
  <c r="R10" i="12" s="1"/>
  <c r="Q7" i="12" l="1"/>
  <c r="Q2" i="12"/>
  <c r="R2" i="12" s="1"/>
  <c r="T2" i="10"/>
  <c r="T2" i="4"/>
  <c r="T2" i="8"/>
  <c r="T2" i="9"/>
  <c r="Q8" i="3"/>
  <c r="R8" i="3" s="1"/>
  <c r="Q8" i="8"/>
  <c r="R8" i="8" s="1"/>
  <c r="Q8" i="5"/>
  <c r="R8" i="5" s="1"/>
  <c r="Q8" i="9"/>
  <c r="R8" i="9" s="1"/>
  <c r="Q8" i="2"/>
  <c r="R8" i="2" s="1"/>
  <c r="R3" i="7"/>
  <c r="Q3" i="7"/>
  <c r="Q10" i="3"/>
  <c r="R10" i="3" s="1"/>
  <c r="Q9" i="3"/>
  <c r="R9" i="3" s="1"/>
  <c r="Q7" i="3"/>
  <c r="R7" i="3" s="1"/>
  <c r="Q6" i="3"/>
  <c r="R6" i="3" s="1"/>
  <c r="Q5" i="3"/>
  <c r="R5" i="3" s="1"/>
  <c r="Q4" i="3"/>
  <c r="R4" i="3" s="1"/>
  <c r="Q3" i="3"/>
  <c r="R3" i="3" s="1"/>
  <c r="Q2" i="3"/>
  <c r="R2" i="3" s="1"/>
  <c r="Q10" i="8"/>
  <c r="R10" i="8" s="1"/>
  <c r="Q9" i="8"/>
  <c r="R9" i="8" s="1"/>
  <c r="Q7" i="8"/>
  <c r="R7" i="8" s="1"/>
  <c r="Q6" i="8"/>
  <c r="R6" i="8" s="1"/>
  <c r="Q5" i="8"/>
  <c r="R5" i="8" s="1"/>
  <c r="Q4" i="8"/>
  <c r="R4" i="8" s="1"/>
  <c r="Q3" i="8"/>
  <c r="R3" i="8" s="1"/>
  <c r="Q2" i="8"/>
  <c r="R2" i="8" s="1"/>
  <c r="Q10" i="5"/>
  <c r="R10" i="5" s="1"/>
  <c r="Q9" i="5"/>
  <c r="R9" i="5" s="1"/>
  <c r="Q7" i="5"/>
  <c r="R7" i="5" s="1"/>
  <c r="Q6" i="5"/>
  <c r="R6" i="5" s="1"/>
  <c r="Q5" i="5"/>
  <c r="R5" i="5" s="1"/>
  <c r="Q4" i="5"/>
  <c r="R4" i="5" s="1"/>
  <c r="Q3" i="5"/>
  <c r="R3" i="5" s="1"/>
  <c r="Q2" i="5"/>
  <c r="R2" i="5" s="1"/>
  <c r="Q10" i="9"/>
  <c r="R10" i="9" s="1"/>
  <c r="Q9" i="9"/>
  <c r="R9" i="9" s="1"/>
  <c r="Q7" i="9"/>
  <c r="R7" i="9" s="1"/>
  <c r="Q6" i="9"/>
  <c r="R6" i="9" s="1"/>
  <c r="Q5" i="9"/>
  <c r="R5" i="9" s="1"/>
  <c r="Q4" i="9"/>
  <c r="R4" i="9" s="1"/>
  <c r="Q3" i="9"/>
  <c r="R3" i="9" s="1"/>
  <c r="Q2" i="9"/>
  <c r="R2" i="9" s="1"/>
  <c r="Q11" i="9"/>
  <c r="Q12" i="9"/>
  <c r="Q13" i="9"/>
  <c r="Q14" i="9"/>
  <c r="Q10" i="2"/>
  <c r="R10" i="2" s="1"/>
  <c r="Q9" i="2"/>
  <c r="R9" i="2" s="1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T2" i="3" l="1"/>
  <c r="T2" i="5"/>
  <c r="T2" i="2"/>
  <c r="Q15" i="5"/>
  <c r="R15" i="5" s="1"/>
  <c r="Q13" i="5"/>
  <c r="R13" i="5" s="1"/>
  <c r="Q14" i="5"/>
  <c r="R14" i="5" s="1"/>
  <c r="Q12" i="5"/>
  <c r="R12" i="5" s="1"/>
  <c r="Q11" i="5"/>
  <c r="R11" i="5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3" i="2"/>
  <c r="R13" i="2" s="1"/>
  <c r="Q14" i="2"/>
  <c r="R14" i="2" s="1"/>
  <c r="Q15" i="2"/>
  <c r="R15" i="2" s="1"/>
  <c r="Q16" i="2"/>
  <c r="R16" i="2" s="1"/>
  <c r="Q17" i="2"/>
  <c r="R17" i="2" s="1"/>
  <c r="Q11" i="3"/>
  <c r="R11" i="3" s="1"/>
  <c r="Q12" i="3"/>
  <c r="R12" i="3" s="1"/>
  <c r="Q13" i="3"/>
  <c r="R13" i="3" s="1"/>
  <c r="Q10" i="10"/>
  <c r="R10" i="10" s="1"/>
  <c r="Q9" i="10"/>
  <c r="R9" i="10" s="1"/>
  <c r="Q8" i="10"/>
  <c r="R8" i="10" s="1"/>
  <c r="Q11" i="4"/>
  <c r="R11" i="4" s="1"/>
  <c r="Q10" i="4"/>
  <c r="R10" i="4" s="1"/>
  <c r="Q9" i="4"/>
  <c r="R9" i="4" s="1"/>
  <c r="Q12" i="6"/>
  <c r="R12" i="6" s="1"/>
  <c r="Q11" i="6"/>
  <c r="R11" i="6" s="1"/>
  <c r="Q10" i="6"/>
  <c r="R10" i="6" s="1"/>
  <c r="Q9" i="6"/>
  <c r="R9" i="6" s="1"/>
  <c r="Q10" i="13"/>
  <c r="R10" i="13" s="1"/>
  <c r="Q11" i="13"/>
  <c r="R11" i="13" s="1"/>
  <c r="Q9" i="13"/>
  <c r="R9" i="13" s="1"/>
  <c r="Q13" i="8"/>
  <c r="R13" i="8" s="1"/>
  <c r="Q14" i="8"/>
  <c r="R14" i="8" s="1"/>
  <c r="Q12" i="8"/>
  <c r="R12" i="8" s="1"/>
  <c r="Q11" i="8"/>
  <c r="R11" i="8" s="1"/>
  <c r="R14" i="9"/>
  <c r="R13" i="9"/>
  <c r="R12" i="9"/>
  <c r="R11" i="9"/>
  <c r="Q12" i="2"/>
  <c r="R12" i="2" s="1"/>
  <c r="Q11" i="2"/>
  <c r="R11" i="2" s="1"/>
  <c r="Q15" i="7"/>
  <c r="R15" i="7" s="1"/>
  <c r="Q16" i="7"/>
  <c r="R16" i="7" s="1"/>
  <c r="Q17" i="7"/>
  <c r="R17" i="7" s="1"/>
  <c r="Q12" i="7"/>
  <c r="R12" i="7" s="1"/>
  <c r="Q13" i="7"/>
  <c r="R13" i="7" s="1"/>
  <c r="Q14" i="7"/>
  <c r="R14" i="7" s="1"/>
  <c r="Q11" i="7"/>
  <c r="R11" i="7" s="1"/>
  <c r="Q8" i="13"/>
  <c r="R8" i="13" s="1"/>
  <c r="Q4" i="7" l="1"/>
  <c r="R4" i="7" s="1"/>
  <c r="Q5" i="7"/>
  <c r="R5" i="7" s="1"/>
  <c r="Q6" i="7"/>
  <c r="R6" i="7" s="1"/>
  <c r="T2" i="7" s="1"/>
  <c r="Q7" i="7"/>
  <c r="R7" i="7" s="1"/>
  <c r="Q9" i="7"/>
  <c r="R9" i="7" s="1"/>
  <c r="R7" i="12"/>
  <c r="Q6" i="12"/>
  <c r="R6" i="12" s="1"/>
  <c r="Q5" i="12"/>
  <c r="R5" i="12" s="1"/>
  <c r="Q4" i="12"/>
  <c r="R4" i="12" s="1"/>
  <c r="Q3" i="12"/>
  <c r="R3" i="12" s="1"/>
  <c r="Q7" i="10"/>
  <c r="R7" i="10" s="1"/>
  <c r="Q6" i="10"/>
  <c r="R6" i="10" s="1"/>
  <c r="Q5" i="10"/>
  <c r="R5" i="10" s="1"/>
  <c r="Q4" i="10"/>
  <c r="R4" i="10" s="1"/>
  <c r="Q3" i="10"/>
  <c r="R3" i="10" s="1"/>
  <c r="Q2" i="10"/>
  <c r="R2" i="10" s="1"/>
  <c r="Q8" i="4"/>
  <c r="R8" i="4" s="1"/>
  <c r="Q7" i="4"/>
  <c r="R7" i="4" s="1"/>
  <c r="Q6" i="4"/>
  <c r="R6" i="4" s="1"/>
  <c r="Q5" i="4"/>
  <c r="R5" i="4" s="1"/>
  <c r="Q4" i="4"/>
  <c r="R4" i="4" s="1"/>
  <c r="Q3" i="4"/>
  <c r="R3" i="4" s="1"/>
  <c r="Q2" i="4"/>
  <c r="R2" i="4" s="1"/>
  <c r="Q8" i="6"/>
  <c r="R8" i="6" s="1"/>
  <c r="Q10" i="7"/>
  <c r="R10" i="7" s="1"/>
  <c r="Q8" i="7"/>
  <c r="R8" i="7" s="1"/>
  <c r="Q7" i="13" l="1"/>
  <c r="R7" i="13" s="1"/>
  <c r="Q6" i="13"/>
  <c r="R6" i="13" s="1"/>
  <c r="Q5" i="13"/>
  <c r="R5" i="13" s="1"/>
  <c r="Q4" i="13"/>
  <c r="R4" i="13" s="1"/>
  <c r="Q3" i="13"/>
  <c r="R3" i="13" s="1"/>
  <c r="Q2" i="13"/>
  <c r="R2" i="13" s="1"/>
  <c r="Q2" i="7"/>
  <c r="R2" i="7" s="1"/>
  <c r="T2" i="13" l="1"/>
  <c r="Q2" i="6"/>
  <c r="R2" i="6" s="1"/>
  <c r="Q3" i="6"/>
  <c r="R3" i="6" s="1"/>
  <c r="Q4" i="6"/>
  <c r="R4" i="6" s="1"/>
  <c r="Q5" i="6"/>
  <c r="R5" i="6" s="1"/>
  <c r="Q6" i="6"/>
  <c r="R6" i="6" s="1"/>
  <c r="Q7" i="6"/>
  <c r="R7" i="6" s="1"/>
  <c r="T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A576CA44-6783-4536-98FB-7638F905BD77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5CBA1179-4A07-4366-8278-A125FB0DD3C0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54BCEB7E-8658-4318-8DE1-5E5D83EA1CAB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0A108349-EFA5-45D5-BEC9-542C4AA0F694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5107F91C-2110-4577-BD1B-9B3405E9377C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34182030-A73A-42F9-9C89-A3AE8298AC79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sharedStrings.xml><?xml version="1.0" encoding="utf-8"?>
<sst xmlns="http://schemas.openxmlformats.org/spreadsheetml/2006/main" count="1838" uniqueCount="237">
  <si>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</si>
  <si>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</si>
  <si>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</si>
  <si>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</si>
  <si>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</si>
  <si>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</si>
  <si>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</si>
  <si>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Category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</si>
  <si>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</si>
  <si>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</si>
  <si>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</si>
  <si>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</si>
  <si>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</si>
  <si>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</si>
  <si>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</si>
  <si>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</si>
  <si>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</si>
  <si>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</si>
  <si>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</si>
  <si>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</si>
  <si>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فنی و مهندسی</t>
  </si>
  <si>
    <t>کارهای اصلی</t>
  </si>
  <si>
    <t>MainTasks</t>
  </si>
  <si>
    <t>پروژه ها</t>
  </si>
  <si>
    <t>Projects</t>
  </si>
  <si>
    <t>Q1</t>
  </si>
  <si>
    <t>Number of Recurring Downtime &lt; 5% of Total Downtime</t>
  </si>
  <si>
    <t>+</t>
  </si>
  <si>
    <t>-</t>
  </si>
  <si>
    <t>(Total number of completed activities in planned maintenance / Total number of activities required in planned maintenance)*100</t>
  </si>
  <si>
    <t>(Total number of completed activities in unplanned maintenance / Total number of activities required in unplanned maintenance)*100</t>
  </si>
  <si>
    <t>Completion Rate of Planned Maintenance Job (PM) - Beginning of month</t>
  </si>
  <si>
    <t>Timely Completion of Ad-Hoc Maintenance Tasks (unplanned) - During the month</t>
  </si>
  <si>
    <t>نسبت تکمیل کارهای نگهداری برنامه‌ریزی‌شده (PM) - آغاز ماه</t>
  </si>
  <si>
    <t>تعداد توقف‌های مکرر کمتر از 5% از کل توقف‌ها</t>
  </si>
  <si>
    <t>تکمیل به‌موقع وظایف موردی (برنامه ریزی نشده) - در طول ماه</t>
  </si>
  <si>
    <t>Safety - Accident service rate, Target Zero Manhour Loss</t>
  </si>
  <si>
    <t>ایمنی - نرخ حادثه، هدف صفر خسارت ساعت‌های کاری</t>
  </si>
  <si>
    <t>TKF</t>
  </si>
  <si>
    <t>Tch- Machinery SSV-Phase 1</t>
  </si>
  <si>
    <t>Khalil Deylami</t>
  </si>
  <si>
    <t>Tech - Mechanical SSV-Phase 1</t>
  </si>
  <si>
    <t>Mostafa Alizadeh</t>
  </si>
  <si>
    <t>Tech- Electrical and Precision Instrumentation SSV-Phase 1</t>
  </si>
  <si>
    <t>Tech Electrical and Precision Instrumentation SSV-Phase 2</t>
  </si>
  <si>
    <t>Mojtaba Hedayat Nasab</t>
  </si>
  <si>
    <t>Tech -Facilities SSV-Phase 1</t>
  </si>
  <si>
    <t>Mohammad Rashidi</t>
  </si>
  <si>
    <t>Tech- Facilities SSV-Phase 2</t>
  </si>
  <si>
    <t>Reza Eynolvand</t>
  </si>
  <si>
    <t>Tech- Mechanical SSV</t>
  </si>
  <si>
    <t>Mehran Almasi Far</t>
  </si>
  <si>
    <t>Tech- Mechanical SSV-Phase 2</t>
  </si>
  <si>
    <t>Ahmad Sorkhe</t>
  </si>
  <si>
    <t>Tech- Metalworking Supervisor</t>
  </si>
  <si>
    <t>Ali Asghar Kalantari</t>
  </si>
  <si>
    <t>Javad Farajollahi</t>
  </si>
  <si>
    <t>Tech-Design and Engineering SSV</t>
  </si>
  <si>
    <t>Hadi Kord</t>
  </si>
  <si>
    <t>Esmaeil karimizad</t>
  </si>
  <si>
    <t>Tech- Maintenance, Repairs Planning (PM) SSV</t>
  </si>
  <si>
    <t>Breakdown Reduction</t>
  </si>
  <si>
    <t xml:space="preserve">کاهش خرابی‌های اضطراری </t>
  </si>
  <si>
    <t>Q2</t>
  </si>
  <si>
    <t>Tech- Electrical and Precision Instrumentation SSV-Phase 2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</si>
  <si>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</si>
  <si>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</si>
  <si>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</si>
  <si>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Q3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</si>
  <si>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</si>
  <si>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</si>
  <si>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</si>
  <si>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</si>
  <si>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</si>
  <si>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</si>
  <si>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</si>
  <si>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</si>
  <si>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</si>
  <si>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</si>
  <si>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</si>
  <si>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ارزیابی دقت و کیفیت گزارش‌های داخلی و ارتباطات.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</si>
  <si>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</si>
  <si>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</si>
  <si>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</si>
  <si>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</si>
  <si>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نرخ تکمیل دستورالعمل‌ها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</si>
  <si>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</si>
  <si>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</si>
  <si>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</si>
  <si>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</si>
  <si>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Q4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</si>
  <si>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</si>
  <si>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</si>
  <si>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</si>
  <si>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</si>
  <si>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</si>
  <si>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</si>
  <si>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</si>
  <si>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</si>
  <si>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</si>
  <si>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</si>
  <si>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</si>
  <si>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</si>
  <si>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</si>
  <si>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</si>
  <si>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</si>
  <si>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</si>
  <si>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</si>
  <si>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</si>
  <si>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</si>
  <si>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Emergency Breakdown Rate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</si>
  <si>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</si>
  <si>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</si>
  <si>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</si>
  <si>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>Maintenance Report Quality-MRQ</t>
  </si>
  <si>
    <t xml:space="preserve"> کیفیت گزارش‌های نگهداری و تعمیرات</t>
  </si>
  <si>
    <t>MRQ=Number of reports meeting quality standards/Total number of maintenance reports</t>
  </si>
  <si>
    <t>Safety Incident Rate</t>
  </si>
  <si>
    <t>نرخ حوادث ایمنی</t>
  </si>
  <si>
    <t>Spare Parts Utilization Optimization</t>
  </si>
  <si>
    <t>بهینه‌سازی مصرف قطعات یدکی</t>
  </si>
  <si>
    <t>درصد استفاده از قطعات موجود در انبار نسبت به خریدهای جدید</t>
  </si>
  <si>
    <t>Reza Zallaghi</t>
  </si>
  <si>
    <t>Spare Parts Utilization (%) = (Number of Used Spare Parts from Inventory) / (Total Purchased Spare Parts) × 100</t>
  </si>
  <si>
    <t>Spare Parts Utilization</t>
  </si>
  <si>
    <t>Maintenance Cost Reduction=((Previous Month Maintenance Cost-Current Month Maintenance Cost))/(Previous Month Maintenance Cost)*100</t>
  </si>
  <si>
    <t>کاهش هزینه ‌های نگهداری و تعمیرات</t>
  </si>
  <si>
    <t>Maintenance Cost Reduction</t>
  </si>
  <si>
    <t>Rework Rate=(Number of Repeat Repairs)/(Total Repairs)*100</t>
  </si>
  <si>
    <t xml:space="preserve">کیفیت گزارش‌های نگهداری و تعمیرات </t>
  </si>
  <si>
    <t>اصلاح سیستم ارتینگ کارخانه</t>
  </si>
  <si>
    <t>راه اندازی سیستم مدیریت انرژی (اسکادا)</t>
  </si>
  <si>
    <t>داشبورد مدیریت خطوط تولید(اتوماسیون)</t>
  </si>
  <si>
    <t>پروژه صاعقه گیرهای خط تولید mdf</t>
  </si>
  <si>
    <t>Tech- Electrical and Precision Instrumentation SSV-Phase 3</t>
  </si>
  <si>
    <t>Tech- Electrical and Precision Instrumentation SSV-Phase 4</t>
  </si>
  <si>
    <t>پروژه روشنایی سوله پارکت</t>
  </si>
  <si>
    <t xml:space="preserve">پروژه نصب ترانس ساختمان مرکزی </t>
  </si>
  <si>
    <t>پروژه برق رسانی به ساختمان حراست</t>
  </si>
  <si>
    <t>اتصال چاه آب به تصفیه خانه</t>
  </si>
  <si>
    <t>Tech -Facilities SSV-Phase 2</t>
  </si>
  <si>
    <t>راه اندازی سیستم آب خنک کمپرسورخانه فاز 1</t>
  </si>
  <si>
    <t>Tech -Facilities SSV-Phase 3</t>
  </si>
  <si>
    <t>پروژه اصلاح سیستم سرمایش کندانسورهای فرمالین(طراحی و تعویض پمپ ها)</t>
  </si>
  <si>
    <t>اصلاح رولیک های میز های ملامینه(رفع لرزش میزها)</t>
  </si>
  <si>
    <t>راه اندازی وکیوم رزرو خط تولید ملامینه</t>
  </si>
  <si>
    <t>اصلاح سیستم کاتر ملامینه</t>
  </si>
  <si>
    <t>اصلاح اسکروهای رزین سازی</t>
  </si>
  <si>
    <t>اجرای پل های ارتباطی بین سیلوهای mdf</t>
  </si>
  <si>
    <t>رنگ آمیزی و اصلاح چیکر پلیت های رزین سازی</t>
  </si>
  <si>
    <t>اصلاح پایپینگ کمپرسورخانه</t>
  </si>
  <si>
    <t>پروژه اصلاح سیستم سرمایش کندانسورهای فرمالین(طراحی و تعویض پمپ ها) و نصب اسپکشن جوینت های کولینگ تاور</t>
  </si>
  <si>
    <t>اصلاح محل استقرار نیروهای فلزکاری در راستای اجرای 5s (ساخت اتاق کارکنان)</t>
  </si>
  <si>
    <t>اجرای کدینگ مکان و کدینگ تجهیز</t>
  </si>
  <si>
    <t>اجرای نرم افزار SAP مطابق برنامه ریزی تیم SAP</t>
  </si>
  <si>
    <t>اجرای ISO9001  مطابق نظر مشاور</t>
  </si>
  <si>
    <t>اصلاح پایپینگ کمپرسورخانه فاز1</t>
  </si>
  <si>
    <t>اصلاح ساکشن های قسمت فورمینگ خط تولید MDF</t>
  </si>
  <si>
    <t>پیاده سازی سیستم نت با مشارکت کارشناس نت</t>
  </si>
  <si>
    <t>پروژه ریچیپر</t>
  </si>
  <si>
    <t>اصلاح مدار اندازی فن اگزاست از حالت مستقیم به سافت استاتر</t>
  </si>
  <si>
    <t>اصلاح تغذیه برق و نحوه راه اندازی کمپرسورخانه و جابه جایی کمپرسور از پرس و انتقال به چیپر</t>
  </si>
  <si>
    <t>اصلاح تهویه کمپرسورخانه</t>
  </si>
  <si>
    <t>نصب بلت اسکیل</t>
  </si>
  <si>
    <t>ساخت تابلو برق،کابل کشی، کانکشن راه اندازی بگ فیلتر چیپر</t>
  </si>
  <si>
    <t>نصب تابلوبرق،کابل کشی، کانکشن راه اندازی بگ فیلتر زیفتر</t>
  </si>
  <si>
    <t>جابه جایی کمپرسور از پرس به چیپر</t>
  </si>
  <si>
    <t>اصلاح داکت های برگشتی از فرمینگ به درایر</t>
  </si>
  <si>
    <t>جابه جایی کمپرسورخانه به محل جدید</t>
  </si>
  <si>
    <t>Factory Earthing System Improvement</t>
  </si>
  <si>
    <t>Implementation of Energy Management System (SCADA)</t>
  </si>
  <si>
    <t>Production Line Management Dashboard (Automation)</t>
  </si>
  <si>
    <t>Lightning Protection System Project for the MDF Production Line</t>
  </si>
  <si>
    <t>Lighting Project for the Parquet Workshop</t>
  </si>
  <si>
    <t>Installation Project of the Main Building Transformer</t>
  </si>
  <si>
    <t>Power Supply Project for the Security Building</t>
  </si>
  <si>
    <t>mprovement of Power Supply and Startup Method of the Compressor Room, and Relocation of Compressor from Press Area to Chipper</t>
  </si>
  <si>
    <t>Installation of Belt Scale</t>
  </si>
  <si>
    <t>Modification of Exhaust Fan Circuit from Direct Start to Soft Starter</t>
  </si>
  <si>
    <t>Rechipper Project</t>
  </si>
  <si>
    <t>Construction of Electrical Panel, Cabling, and Connection for Startup of Chipper Bag Filter</t>
  </si>
  <si>
    <t>Installation of Electrical Panel, Cabling, and Connection for Startup of Zifter Bag Filter</t>
  </si>
  <si>
    <t>Relocation of Compressor Room to the New Location</t>
  </si>
  <si>
    <t>Connecting the Water Well to the Water Treatment Plant</t>
  </si>
  <si>
    <t>Commissioning of the Compressor Room Cooling Water System – Phase 1</t>
  </si>
  <si>
    <t>Central Cooling System for Production Halls– Phase 1</t>
  </si>
  <si>
    <t>سرمایش مرکزی سالن های تولید فاز 1</t>
  </si>
  <si>
    <t>Cooling System Improvement Project for Formalin Condensers (Design and Pump Replacement)</t>
  </si>
  <si>
    <t>Modification of Melamine Table Rollers (Eliminating Table Vibrations)</t>
  </si>
  <si>
    <t>Commissioning of Vacuum Reserve System for the Melamine Production Line</t>
  </si>
  <si>
    <t>Improvement of Melamine Cutter System</t>
  </si>
  <si>
    <t>Improvement of Resin Production Screws</t>
  </si>
  <si>
    <t>Improvement of Compressor Room Ventilation</t>
  </si>
  <si>
    <t>Relocation of Compressor from Press Area to Chipper</t>
  </si>
  <si>
    <t>Modification of Return Ducts from Forming to Dryer</t>
  </si>
  <si>
    <t>Construction of Connecting Bridges Between MDF Silos</t>
  </si>
  <si>
    <t>Painting and Improvement of Resin Production Checker Plates</t>
  </si>
  <si>
    <t>Improvement of Compressor Room Piping</t>
  </si>
  <si>
    <t>Improvement of Piping in Compressor Room – Phase 1</t>
  </si>
  <si>
    <t>Cooling System Improvement Project for Formalin Condensers (Design and Pump Replacement) and Installation of Cooling Tower Expansion Joints</t>
  </si>
  <si>
    <t>Reorganization of Metalworking Staff Area in Line with 5S Implementation (Construction of Staff Room)</t>
  </si>
  <si>
    <t>Improvement of Suction System in the Forming Section of the MDF Production Line</t>
  </si>
  <si>
    <t>Implementation of Location Coding and Equipment Coding</t>
  </si>
  <si>
    <t>Implementation of SAP Software According to the SAP Team's Planning</t>
  </si>
  <si>
    <t>Implementation of ISO 9001 Based on Consultant Recommendations</t>
  </si>
  <si>
    <t>Implementation of the Maintenance Management System with the Participation of the Maintenance Specialist</t>
  </si>
  <si>
    <t>طراحی سیستم داکتینگ بگ فیلتر چیپر</t>
  </si>
  <si>
    <t>طراحی و اجرای داکتنینگ بگ فیلتر زیفتر</t>
  </si>
  <si>
    <t>طراحی و محاسبه سیستم سرمایش کمپرسورخانه فاز 1 و فاز 2</t>
  </si>
  <si>
    <t>طراحی و محاسبه سیستم سرمایش تبدیل چیلرهای هواخنک به آب خنک ریفاینر</t>
  </si>
  <si>
    <t>طراحی و محاسبه سیستم سرمایش مرکزی</t>
  </si>
  <si>
    <t xml:space="preserve">طراحی و نظارت بر ساخت فیدرهای پلیت کانوایر </t>
  </si>
  <si>
    <t xml:space="preserve">طراحی و جانمایی انبارش مواد اولیه کارخانه </t>
  </si>
  <si>
    <t>طراحی سیستم کانوایر در زیر قسمت چین کانوایر چیپر</t>
  </si>
  <si>
    <t>Design and Calculation of Central Cooling System</t>
  </si>
  <si>
    <t>Design of Ducting System for Chipper Bag Filter</t>
  </si>
  <si>
    <t>Design and Implementation of Ducting System for Zifter Bag Filter</t>
  </si>
  <si>
    <t>Design and Supervision of Compressed Air Piping in Compressor Room – Phase 1</t>
  </si>
  <si>
    <t>Design and Calculation of Cooling System for Compressor Room – Phase 1 &amp; Phase 2</t>
  </si>
  <si>
    <t>Design and Calculation of Cooling System for Converting Refiners' Air-Cooled Chillers to Water-Cooled</t>
  </si>
  <si>
    <t>Design and Supervision of Plate Conveyor Feeders Manufacturing</t>
  </si>
  <si>
    <t>Design and Layout Planning of Raw Material Storage Area for the Factory</t>
  </si>
  <si>
    <t>Design of Conveyor System Beneath the Chipper Chain Conveyor Section</t>
  </si>
  <si>
    <t>اسیدشویی و سرویس کامل مبدل حرارتی مین موتور ریفاینر چیپر</t>
  </si>
  <si>
    <t>تعویض پایپینگ سیستم سرمایش بیرینگ الکتروفن‌های زیفتر، ترسمک و سندینگ</t>
  </si>
  <si>
    <t>تغییر و تبدیل چیلر شماره ۱ ریفاینر از سیستم هواخنک به سیستم آب‌خنک</t>
  </si>
  <si>
    <t>نصب فن‌کویل در اتاق‌های برق مربوط به واحدهای انرژی پلنت، زیفتر، پرس و اتاق فورمینگ</t>
  </si>
  <si>
    <t>طراحی و ساخت آب‌سردکن</t>
  </si>
  <si>
    <t>Acid cleaning and full servicing of the main motor heat exchanger of the refiner chipper</t>
  </si>
  <si>
    <t>Replacement of cooling piping for the bearings of the electro-fans in the Zifter, TerSmac, and Sanding units</t>
  </si>
  <si>
    <t>Conversion of Refiner Chiller No. 1 from air-cooled to water-cooled system</t>
  </si>
  <si>
    <t>Installation of fan coils in the electrical rooms of the Energy Plant, Zifter, Press, and Forming Room units</t>
  </si>
  <si>
    <t>Design and construction of an water cooler</t>
  </si>
  <si>
    <t>طراحی و نظارت بر اجرای پاییپگ هوا فشرده کمپرسورخانه فاز 1</t>
  </si>
  <si>
    <t>Breakdown Reduction (%) = 
((Breakdowns in Previous Quarter – Breakdowns in Current Quarter) / Breakdowns in Previous Quarter) × 100</t>
  </si>
  <si>
    <t>Sadegh Zehiri</t>
  </si>
  <si>
    <t>Accident Sick Leave Rate (%) = ((Number of Employees on Safety-related Sick Leave / Total Employees) × 100)-100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</si>
</sst>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B Nazanin"/>
      <charset val="178"/>
    </font>
    <font>
      <sz val="8"/>
      <name val="B Nazanin"/>
      <charset val="178"/>
    </font>
    <font>
      <sz val="12"/>
      <name val="B Nazanin"/>
      <charset val="178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10"/>
      <name val="B Nazanin"/>
      <charset val="178"/>
    </font>
    <font>
      <sz val="8"/>
      <color rgb="FF000000"/>
      <name val="B Nazanin"/>
      <charset val="178"/>
    </font>
    <font>
      <sz val="8"/>
      <color theme="0"/>
      <name val="B Nazanin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</cellStyleXfs>
  <cellXfs count="230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vertical="center"/>
    </xf>
    <xf numFmtId="1" fontId="5" fillId="3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9" fontId="4" fillId="2" borderId="5" xfId="1" applyFont="1" applyFill="1" applyBorder="1" applyAlignment="1">
      <alignment horizontal="center" vertical="center"/>
    </xf>
    <xf numFmtId="0" fontId="0" fillId="0" borderId="0" xfId="0" applyFont="1"/>
    <xf numFmtId="49" fontId="3" fillId="4" borderId="6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9" fontId="6" fillId="5" borderId="2" xfId="1" applyFont="1" applyFill="1" applyBorder="1" applyAlignment="1">
      <alignment horizontal="center" vertical="center"/>
    </xf>
    <xf numFmtId="1" fontId="6" fillId="5" borderId="2" xfId="1" applyNumberFormat="1" applyFont="1" applyFill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/>
    </xf>
    <xf numFmtId="9" fontId="6" fillId="4" borderId="2" xfId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9" fontId="11" fillId="5" borderId="2" xfId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9" fontId="14" fillId="5" borderId="2" xfId="1" applyFont="1" applyFill="1" applyBorder="1" applyAlignment="1">
      <alignment horizontal="center" vertical="center"/>
    </xf>
    <xf numFmtId="9" fontId="14" fillId="9" borderId="2" xfId="1" applyFont="1" applyFill="1" applyBorder="1" applyAlignment="1">
      <alignment horizontal="center" vertical="center"/>
    </xf>
    <xf numFmtId="1" fontId="14" fillId="5" borderId="2" xfId="1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9" fontId="12" fillId="5" borderId="2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9" fontId="8" fillId="5" borderId="10" xfId="1" applyFont="1" applyFill="1" applyBorder="1" applyAlignment="1">
      <alignment horizontal="center" vertical="center" wrapText="1"/>
    </xf>
    <xf numFmtId="9" fontId="8" fillId="5" borderId="2" xfId="1" applyFont="1" applyFill="1" applyBorder="1" applyAlignment="1">
      <alignment horizontal="center" vertical="center" wrapText="1"/>
    </xf>
    <xf numFmtId="9" fontId="8" fillId="5" borderId="2" xfId="0" applyNumberFormat="1" applyFont="1" applyFill="1" applyBorder="1" applyAlignment="1">
      <alignment horizontal="center" vertical="center" wrapText="1"/>
    </xf>
    <xf numFmtId="1" fontId="8" fillId="5" borderId="2" xfId="1" applyNumberFormat="1" applyFont="1" applyFill="1" applyBorder="1" applyAlignment="1">
      <alignment horizontal="center" vertical="center" wrapText="1"/>
    </xf>
    <xf numFmtId="10" fontId="12" fillId="5" borderId="2" xfId="0" applyNumberFormat="1" applyFont="1" applyFill="1" applyBorder="1" applyAlignment="1">
      <alignment horizontal="center" vertical="center" wrapText="1"/>
    </xf>
    <xf numFmtId="9" fontId="12" fillId="5" borderId="2" xfId="1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9" fontId="8" fillId="0" borderId="2" xfId="1" applyFont="1" applyFill="1" applyBorder="1" applyAlignment="1">
      <alignment horizontal="center" vertical="center"/>
    </xf>
    <xf numFmtId="9" fontId="14" fillId="9" borderId="2" xfId="1" applyNumberFormat="1" applyFont="1" applyFill="1" applyBorder="1" applyAlignment="1">
      <alignment horizontal="center" vertical="center"/>
    </xf>
    <xf numFmtId="9" fontId="14" fillId="11" borderId="2" xfId="1" applyFont="1" applyFill="1" applyBorder="1" applyAlignment="1">
      <alignment horizontal="center" vertical="center"/>
    </xf>
    <xf numFmtId="9" fontId="8" fillId="4" borderId="2" xfId="1" applyFont="1" applyFill="1" applyBorder="1" applyAlignment="1">
      <alignment horizontal="center" vertical="center"/>
    </xf>
    <xf numFmtId="9" fontId="12" fillId="0" borderId="10" xfId="1" applyFont="1" applyBorder="1" applyAlignment="1">
      <alignment horizontal="center" vertical="center" wrapText="1"/>
    </xf>
    <xf numFmtId="1" fontId="12" fillId="0" borderId="10" xfId="1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9" fontId="15" fillId="2" borderId="1" xfId="1" applyFont="1" applyFill="1" applyBorder="1" applyAlignment="1">
      <alignment horizontal="center" vertical="center"/>
    </xf>
    <xf numFmtId="9" fontId="14" fillId="3" borderId="1" xfId="1" applyFont="1" applyFill="1" applyBorder="1" applyAlignment="1">
      <alignment vertical="center"/>
    </xf>
    <xf numFmtId="1" fontId="14" fillId="3" borderId="1" xfId="1" applyNumberFormat="1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9" fontId="15" fillId="2" borderId="7" xfId="1" applyFont="1" applyFill="1" applyBorder="1" applyAlignment="1">
      <alignment horizontal="center" vertical="center"/>
    </xf>
    <xf numFmtId="9" fontId="14" fillId="5" borderId="3" xfId="1" applyFont="1" applyFill="1" applyBorder="1" applyAlignment="1">
      <alignment horizontal="center" vertical="center"/>
    </xf>
    <xf numFmtId="9" fontId="8" fillId="0" borderId="2" xfId="1" applyFont="1" applyBorder="1" applyAlignment="1">
      <alignment horizontal="center" vertical="center" wrapText="1"/>
    </xf>
    <xf numFmtId="9" fontId="12" fillId="0" borderId="2" xfId="1" applyFont="1" applyBorder="1" applyAlignment="1">
      <alignment horizontal="center" vertical="center" wrapText="1"/>
    </xf>
    <xf numFmtId="1" fontId="12" fillId="0" borderId="2" xfId="1" applyNumberFormat="1" applyFont="1" applyBorder="1" applyAlignment="1">
      <alignment horizontal="center" vertical="center" wrapText="1"/>
    </xf>
    <xf numFmtId="9" fontId="14" fillId="3" borderId="1" xfId="1" applyFont="1" applyFill="1" applyBorder="1" applyAlignment="1">
      <alignment horizontal="center" vertical="center"/>
    </xf>
    <xf numFmtId="1" fontId="14" fillId="3" borderId="1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 wrapText="1"/>
    </xf>
    <xf numFmtId="9" fontId="10" fillId="5" borderId="10" xfId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 wrapText="1"/>
    </xf>
    <xf numFmtId="9" fontId="14" fillId="12" borderId="2" xfId="1" applyFont="1" applyFill="1" applyBorder="1" applyAlignment="1">
      <alignment horizontal="center" vertical="center"/>
    </xf>
    <xf numFmtId="9" fontId="15" fillId="2" borderId="5" xfId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1" fontId="12" fillId="5" borderId="2" xfId="1" applyNumberFormat="1" applyFont="1" applyFill="1" applyBorder="1" applyAlignment="1">
      <alignment horizontal="center" vertical="center" wrapText="1"/>
    </xf>
    <xf numFmtId="9" fontId="8" fillId="0" borderId="2" xfId="1" applyFont="1" applyFill="1" applyBorder="1" applyAlignment="1">
      <alignment horizontal="center" vertical="center" wrapText="1"/>
    </xf>
    <xf numFmtId="49" fontId="12" fillId="4" borderId="2" xfId="0" applyNumberFormat="1" applyFont="1" applyFill="1" applyBorder="1" applyAlignment="1">
      <alignment horizontal="center" vertical="center" wrapText="1"/>
    </xf>
    <xf numFmtId="10" fontId="12" fillId="5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9" fontId="15" fillId="2" borderId="2" xfId="1" applyFont="1" applyFill="1" applyBorder="1" applyAlignment="1">
      <alignment horizontal="center" vertical="center"/>
    </xf>
    <xf numFmtId="9" fontId="14" fillId="3" borderId="2" xfId="1" applyFont="1" applyFill="1" applyBorder="1" applyAlignment="1">
      <alignment horizontal="center" vertical="center"/>
    </xf>
    <xf numFmtId="1" fontId="14" fillId="3" borderId="2" xfId="1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9" fontId="8" fillId="4" borderId="2" xfId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9" fontId="12" fillId="11" borderId="2" xfId="1" applyFont="1" applyFill="1" applyBorder="1" applyAlignment="1">
      <alignment horizontal="center" vertical="center" wrapText="1"/>
    </xf>
    <xf numFmtId="9" fontId="12" fillId="11" borderId="10" xfId="1" applyFont="1" applyFill="1" applyBorder="1" applyAlignment="1">
      <alignment horizontal="center" vertical="center" wrapText="1"/>
    </xf>
    <xf numFmtId="9" fontId="15" fillId="2" borderId="1" xfId="1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9" fontId="14" fillId="6" borderId="3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9" fontId="14" fillId="0" borderId="2" xfId="1" applyFont="1" applyFill="1" applyBorder="1" applyAlignment="1">
      <alignment horizontal="center" vertical="center"/>
    </xf>
    <xf numFmtId="1" fontId="14" fillId="0" borderId="2" xfId="1" applyNumberFormat="1" applyFont="1" applyFill="1" applyBorder="1" applyAlignment="1">
      <alignment horizontal="center" vertical="center"/>
    </xf>
    <xf numFmtId="9" fontId="14" fillId="0" borderId="3" xfId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9" fontId="8" fillId="8" borderId="2" xfId="1" applyFont="1" applyFill="1" applyBorder="1" applyAlignment="1">
      <alignment horizontal="center" vertical="center" wrapText="1"/>
    </xf>
    <xf numFmtId="9" fontId="12" fillId="8" borderId="2" xfId="1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9" fontId="8" fillId="0" borderId="8" xfId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9" fontId="12" fillId="0" borderId="9" xfId="1" applyFont="1" applyBorder="1" applyAlignment="1">
      <alignment horizontal="center" vertical="center" wrapText="1"/>
    </xf>
    <xf numFmtId="9" fontId="8" fillId="8" borderId="2" xfId="1" applyFont="1" applyFill="1" applyBorder="1" applyAlignment="1">
      <alignment horizontal="center" vertical="center"/>
    </xf>
    <xf numFmtId="9" fontId="14" fillId="8" borderId="2" xfId="1" applyFont="1" applyFill="1" applyBorder="1" applyAlignment="1">
      <alignment horizontal="center" vertical="center"/>
    </xf>
    <xf numFmtId="9" fontId="11" fillId="0" borderId="10" xfId="1" applyFont="1" applyBorder="1" applyAlignment="1">
      <alignment horizontal="center" vertical="center" wrapText="1"/>
    </xf>
    <xf numFmtId="49" fontId="12" fillId="4" borderId="9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9" fontId="14" fillId="11" borderId="8" xfId="1" applyFont="1" applyFill="1" applyBorder="1" applyAlignment="1">
      <alignment horizontal="center" vertical="center"/>
    </xf>
    <xf numFmtId="9" fontId="14" fillId="5" borderId="8" xfId="1" applyFont="1" applyFill="1" applyBorder="1" applyAlignment="1">
      <alignment horizontal="center" vertical="center"/>
    </xf>
    <xf numFmtId="1" fontId="14" fillId="5" borderId="8" xfId="1" applyNumberFormat="1" applyFont="1" applyFill="1" applyBorder="1" applyAlignment="1">
      <alignment horizontal="center" vertical="center"/>
    </xf>
    <xf numFmtId="9" fontId="12" fillId="5" borderId="9" xfId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9" fontId="12" fillId="11" borderId="8" xfId="1" applyFont="1" applyFill="1" applyBorder="1" applyAlignment="1">
      <alignment horizontal="center" vertical="center" wrapText="1"/>
    </xf>
    <xf numFmtId="9" fontId="12" fillId="0" borderId="8" xfId="1" applyFont="1" applyBorder="1" applyAlignment="1">
      <alignment horizontal="center" vertical="center" wrapText="1"/>
    </xf>
    <xf numFmtId="1" fontId="12" fillId="0" borderId="8" xfId="1" applyNumberFormat="1" applyFont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49" fontId="12" fillId="4" borderId="14" xfId="0" applyNumberFormat="1" applyFont="1" applyFill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9" fontId="12" fillId="0" borderId="14" xfId="1" applyFont="1" applyBorder="1" applyAlignment="1">
      <alignment horizontal="center" vertical="center" wrapText="1"/>
    </xf>
    <xf numFmtId="1" fontId="12" fillId="0" borderId="14" xfId="1" applyNumberFormat="1" applyFont="1" applyBorder="1" applyAlignment="1">
      <alignment horizontal="center" vertical="center" wrapText="1"/>
    </xf>
    <xf numFmtId="9" fontId="12" fillId="0" borderId="15" xfId="1" applyFont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9" fontId="12" fillId="0" borderId="17" xfId="1" applyFont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49" fontId="12" fillId="4" borderId="19" xfId="0" applyNumberFormat="1" applyFont="1" applyFill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9" fontId="12" fillId="11" borderId="19" xfId="1" applyFont="1" applyFill="1" applyBorder="1" applyAlignment="1">
      <alignment horizontal="center" vertical="center" wrapText="1"/>
    </xf>
    <xf numFmtId="9" fontId="12" fillId="0" borderId="19" xfId="1" applyFont="1" applyBorder="1" applyAlignment="1">
      <alignment horizontal="center" vertical="center" wrapText="1"/>
    </xf>
    <xf numFmtId="1" fontId="12" fillId="0" borderId="19" xfId="1" applyNumberFormat="1" applyFont="1" applyBorder="1" applyAlignment="1">
      <alignment horizontal="center" vertical="center" wrapText="1"/>
    </xf>
    <xf numFmtId="9" fontId="12" fillId="0" borderId="20" xfId="1" applyFont="1" applyBorder="1" applyAlignment="1">
      <alignment horizontal="center" vertical="center" wrapText="1"/>
    </xf>
    <xf numFmtId="49" fontId="12" fillId="4" borderId="16" xfId="0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9" fontId="8" fillId="4" borderId="8" xfId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9" fontId="12" fillId="0" borderId="2" xfId="1" applyFont="1" applyFill="1" applyBorder="1" applyAlignment="1">
      <alignment horizontal="center" vertical="center" wrapText="1"/>
    </xf>
    <xf numFmtId="49" fontId="12" fillId="4" borderId="13" xfId="0" applyNumberFormat="1" applyFont="1" applyFill="1" applyBorder="1" applyAlignment="1">
      <alignment horizontal="center" vertical="center"/>
    </xf>
    <xf numFmtId="49" fontId="12" fillId="4" borderId="14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9" fontId="8" fillId="4" borderId="14" xfId="1" applyFont="1" applyFill="1" applyBorder="1" applyAlignment="1">
      <alignment horizontal="center" vertical="center" wrapText="1"/>
    </xf>
    <xf numFmtId="9" fontId="8" fillId="0" borderId="8" xfId="1" applyFont="1" applyFill="1" applyBorder="1" applyAlignment="1">
      <alignment horizontal="center" vertical="center" wrapText="1"/>
    </xf>
    <xf numFmtId="9" fontId="8" fillId="0" borderId="8" xfId="1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9" fontId="14" fillId="8" borderId="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4" fillId="0" borderId="2" xfId="1" applyNumberFormat="1" applyFont="1" applyFill="1" applyBorder="1" applyAlignment="1">
      <alignment horizontal="center" vertical="center"/>
    </xf>
    <xf numFmtId="164" fontId="14" fillId="5" borderId="2" xfId="1" applyNumberFormat="1" applyFont="1" applyFill="1" applyBorder="1" applyAlignment="1">
      <alignment horizontal="center" vertical="center"/>
    </xf>
    <xf numFmtId="9" fontId="14" fillId="5" borderId="2" xfId="1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9" fontId="14" fillId="12" borderId="3" xfId="1" applyFont="1" applyFill="1" applyBorder="1" applyAlignment="1">
      <alignment horizontal="center" vertical="center"/>
    </xf>
    <xf numFmtId="9" fontId="8" fillId="5" borderId="3" xfId="1" applyFont="1" applyFill="1" applyBorder="1" applyAlignment="1">
      <alignment horizontal="center" vertical="center" wrapText="1"/>
    </xf>
    <xf numFmtId="9" fontId="12" fillId="0" borderId="3" xfId="1" applyFont="1" applyBorder="1" applyAlignment="1">
      <alignment horizontal="center" vertical="center" wrapText="1"/>
    </xf>
    <xf numFmtId="9" fontId="8" fillId="0" borderId="19" xfId="1" applyFont="1" applyFill="1" applyBorder="1" applyAlignment="1">
      <alignment horizontal="center" vertical="center"/>
    </xf>
    <xf numFmtId="9" fontId="8" fillId="0" borderId="19" xfId="1" applyFont="1" applyBorder="1" applyAlignment="1">
      <alignment horizontal="center" vertical="center" wrapText="1"/>
    </xf>
    <xf numFmtId="9" fontId="14" fillId="5" borderId="19" xfId="1" applyNumberFormat="1" applyFont="1" applyFill="1" applyBorder="1" applyAlignment="1">
      <alignment horizontal="center" vertical="center"/>
    </xf>
    <xf numFmtId="9" fontId="12" fillId="0" borderId="21" xfId="1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8" fillId="0" borderId="19" xfId="0" applyNumberFormat="1" applyFont="1" applyBorder="1" applyAlignment="1">
      <alignment horizontal="center" vertical="center" wrapText="1"/>
    </xf>
    <xf numFmtId="164" fontId="14" fillId="8" borderId="2" xfId="1" applyNumberFormat="1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 wrapText="1"/>
    </xf>
    <xf numFmtId="9" fontId="8" fillId="0" borderId="10" xfId="1" applyFont="1" applyBorder="1" applyAlignment="1">
      <alignment horizontal="center" vertical="center" wrapText="1"/>
    </xf>
    <xf numFmtId="9" fontId="12" fillId="8" borderId="2" xfId="0" applyNumberFormat="1" applyFont="1" applyFill="1" applyBorder="1" applyAlignment="1">
      <alignment horizontal="center" vertical="center" wrapText="1"/>
    </xf>
    <xf numFmtId="9" fontId="11" fillId="5" borderId="10" xfId="1" applyNumberFormat="1" applyFont="1" applyFill="1" applyBorder="1" applyAlignment="1">
      <alignment horizontal="center" vertical="center" wrapText="1"/>
    </xf>
    <xf numFmtId="9" fontId="8" fillId="0" borderId="14" xfId="1" applyFont="1" applyBorder="1" applyAlignment="1">
      <alignment horizontal="center" vertical="center" wrapText="1"/>
    </xf>
    <xf numFmtId="10" fontId="8" fillId="5" borderId="2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9" fontId="15" fillId="2" borderId="14" xfId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9" fontId="14" fillId="3" borderId="14" xfId="1" applyFont="1" applyFill="1" applyBorder="1" applyAlignment="1">
      <alignment vertical="center"/>
    </xf>
    <xf numFmtId="1" fontId="14" fillId="3" borderId="14" xfId="1" applyNumberFormat="1" applyFont="1" applyFill="1" applyBorder="1" applyAlignment="1">
      <alignment vertical="center"/>
    </xf>
    <xf numFmtId="0" fontId="14" fillId="3" borderId="14" xfId="0" applyFont="1" applyFill="1" applyBorder="1" applyAlignment="1">
      <alignment vertical="center"/>
    </xf>
    <xf numFmtId="9" fontId="15" fillId="2" borderId="15" xfId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9" fontId="8" fillId="5" borderId="1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0" fontId="8" fillId="5" borderId="1" xfId="1" applyNumberFormat="1" applyFont="1" applyFill="1" applyBorder="1" applyAlignment="1">
      <alignment horizontal="center" vertical="center" wrapText="1"/>
    </xf>
    <xf numFmtId="1" fontId="8" fillId="5" borderId="1" xfId="1" applyNumberFormat="1" applyFont="1" applyFill="1" applyBorder="1" applyAlignment="1">
      <alignment horizontal="center" vertical="center" wrapText="1"/>
    </xf>
    <xf numFmtId="9" fontId="8" fillId="6" borderId="5" xfId="1" applyNumberFormat="1" applyFont="1" applyFill="1" applyBorder="1" applyAlignment="1">
      <alignment horizontal="center" vertical="center" wrapText="1"/>
    </xf>
    <xf numFmtId="9" fontId="12" fillId="5" borderId="3" xfId="1" applyFont="1" applyFill="1" applyBorder="1" applyAlignment="1">
      <alignment horizontal="center" vertical="center" wrapText="1"/>
    </xf>
    <xf numFmtId="49" fontId="12" fillId="4" borderId="18" xfId="0" applyNumberFormat="1" applyFont="1" applyFill="1" applyBorder="1" applyAlignment="1">
      <alignment horizontal="center" vertical="center"/>
    </xf>
    <xf numFmtId="49" fontId="12" fillId="4" borderId="19" xfId="0" applyNumberFormat="1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9" fontId="12" fillId="5" borderId="19" xfId="1" applyFont="1" applyFill="1" applyBorder="1" applyAlignment="1">
      <alignment horizontal="center" vertical="center" wrapText="1"/>
    </xf>
    <xf numFmtId="1" fontId="12" fillId="5" borderId="19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F9555F16-A1E1-42B7-BFB6-577C627E0A82}"/>
    <cellStyle name="Percent" xfId="1" builtinId="5"/>
    <cellStyle name="Percent 2" xfId="3" xr:uid="{251B717C-D57A-43C5-B28D-6206093B2A07}"/>
  </cellStyles>
  <dxfs count="9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65EC-5C1E-467B-AA11-4F9B6380D1C2}">
  <sheetPr>
    <tabColor rgb="FF00B050"/>
  </sheetPr>
  <dimension ref="A1:T17"/>
  <sheetViews>
    <sheetView tabSelected="1" topLeftCell="L1" zoomScale="140" zoomScaleNormal="140" workbookViewId="0">
      <pane ySplit="1" topLeftCell="A2" activePane="bottomLeft" state="frozen"/>
      <selection activeCell="L1" sqref="L1"/>
      <selection pane="bottomLeft" activeCell="M10" sqref="M10"/>
    </sheetView>
  </sheetViews>
  <sheetFormatPr defaultColWidth="8.77734375" defaultRowHeight="16.8" x14ac:dyDescent="0.5"/>
  <cols>
    <col min="1" max="1" width="10" style="67" bestFit="1" customWidth="1"/>
    <col min="2" max="2" width="3.5546875" style="67" bestFit="1" customWidth="1"/>
    <col min="3" max="3" width="6.44140625" style="67" bestFit="1" customWidth="1"/>
    <col min="4" max="4" width="15" style="67" bestFit="1" customWidth="1"/>
    <col min="5" max="5" width="44.109375" style="67" customWidth="1"/>
    <col min="6" max="6" width="12.77734375" style="67" customWidth="1"/>
    <col min="7" max="7" width="18.109375" style="67" customWidth="1"/>
    <col min="8" max="8" width="13.5546875" style="67" customWidth="1"/>
    <col min="9" max="9" width="12.5546875" style="67" customWidth="1"/>
    <col min="10" max="10" width="7.88671875" style="67" bestFit="1" customWidth="1"/>
    <col min="11" max="11" width="63.77734375" style="67" bestFit="1" customWidth="1"/>
    <col min="12" max="12" width="51.77734375" style="67" bestFit="1" customWidth="1"/>
    <col min="13" max="13" width="48.5546875" style="67" customWidth="1"/>
    <col min="14" max="14" width="11.109375" style="67" customWidth="1"/>
    <col min="15" max="15" width="7.88671875" style="67" bestFit="1" customWidth="1"/>
    <col min="16" max="16" width="12.109375" style="67" customWidth="1"/>
    <col min="17" max="17" width="17.77734375" style="67" customWidth="1"/>
    <col min="18" max="18" width="13.77734375" style="67" customWidth="1"/>
    <col min="19" max="19" width="3.77734375" style="67" customWidth="1"/>
    <col min="20" max="20" width="7.5546875" style="67" customWidth="1"/>
    <col min="21" max="16384" width="8.77734375" style="67"/>
  </cols>
  <sheetData>
    <row r="1" spans="1:20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25.2" x14ac:dyDescent="0.5">
      <c r="A2" s="39" t="s">
        <v>38</v>
      </c>
      <c r="B2" s="40" t="s">
        <v>25</v>
      </c>
      <c r="C2" s="66">
        <v>5595</v>
      </c>
      <c r="D2" s="66" t="s">
        <v>42</v>
      </c>
      <c r="E2" s="66" t="s">
        <v>43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41">
        <v>0.95</v>
      </c>
      <c r="Q2" s="41">
        <f>ROUND(IF(OR(N2="",P2=""),0,IF(AND(N2=0,P2=0),1,IF(S2="+",P2/N2,N2/P2))),2)</f>
        <v>1</v>
      </c>
      <c r="R2" s="43">
        <f>IF(AND(Q2&gt;=60%,Q2&lt;100%),Q2*((O2*J2)),IF(Q2=100%,((O2*J2)*Q2)*100%,IF(Q2&gt;100%,((J2*O2)*100%)*100%,0)))*100</f>
        <v>10.5</v>
      </c>
      <c r="S2" s="41" t="s">
        <v>27</v>
      </c>
      <c r="T2" s="190">
        <f>SUM(R2:R17)%</f>
        <v>0.97270000000000001</v>
      </c>
    </row>
    <row r="3" spans="1:20" ht="25.2" x14ac:dyDescent="0.5">
      <c r="A3" s="39" t="s">
        <v>38</v>
      </c>
      <c r="B3" s="40" t="s">
        <v>25</v>
      </c>
      <c r="C3" s="40">
        <v>5595</v>
      </c>
      <c r="D3" s="40" t="s">
        <v>42</v>
      </c>
      <c r="E3" s="40" t="s">
        <v>43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7">
        <v>0.995</v>
      </c>
      <c r="Q3" s="41">
        <f>ROUND(IF(OR(N3="",P3=""),0,IF(AND(N3=0,P3=0),1,IF(S3="+",P3/N3,N3/P3))),2)</f>
        <v>1.05</v>
      </c>
      <c r="R3" s="43">
        <f>IF(AND(Q3&gt;=60%,Q3&lt;100%),Q3*((O3*J3)),IF(Q3=100%,((O3*J3)*Q3)*100%,IF(Q3&gt;100%,((J3*O3)*100%)*100%,0)))*100</f>
        <v>10.5</v>
      </c>
      <c r="S3" s="41" t="s">
        <v>27</v>
      </c>
      <c r="T3" s="79"/>
    </row>
    <row r="4" spans="1:20" ht="25.2" x14ac:dyDescent="0.5">
      <c r="A4" s="189" t="s">
        <v>38</v>
      </c>
      <c r="B4" s="44" t="s">
        <v>25</v>
      </c>
      <c r="C4" s="44">
        <v>5595</v>
      </c>
      <c r="D4" s="44" t="s">
        <v>42</v>
      </c>
      <c r="E4" s="44" t="s">
        <v>43</v>
      </c>
      <c r="F4" s="44" t="s">
        <v>58</v>
      </c>
      <c r="G4" s="44" t="s">
        <v>20</v>
      </c>
      <c r="H4" s="44" t="s">
        <v>21</v>
      </c>
      <c r="I4" s="45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41">
        <v>0.43</v>
      </c>
      <c r="Q4" s="41">
        <f t="shared" ref="Q4:Q9" si="0">ROUND(IF(OR(N4="",P4=""),0,IF(AND(N4=0,P4=0),1,IF(S4="+",P4/N4,N4/P4))),2)</f>
        <v>0.61</v>
      </c>
      <c r="R4" s="43">
        <f t="shared" ref="R4:R9" si="1">IF(AND(Q4&gt;=60%,Q4&lt;100%),Q4*((O4*J4)),IF(Q4=100%,((O4*J4)*Q4)*100%,IF(Q4&gt;100%,((J4*O4)*100%)*100%,0)))*100</f>
        <v>4.2699999999999996</v>
      </c>
      <c r="S4" s="41" t="s">
        <v>27</v>
      </c>
      <c r="T4" s="79"/>
    </row>
    <row r="5" spans="1:20" ht="37.799999999999997" x14ac:dyDescent="0.5">
      <c r="A5" s="189" t="s">
        <v>38</v>
      </c>
      <c r="B5" s="44" t="s">
        <v>25</v>
      </c>
      <c r="C5" s="44">
        <v>5595</v>
      </c>
      <c r="D5" s="44" t="s">
        <v>42</v>
      </c>
      <c r="E5" s="44" t="s">
        <v>43</v>
      </c>
      <c r="F5" s="44" t="s">
        <v>58</v>
      </c>
      <c r="G5" s="44" t="s">
        <v>20</v>
      </c>
      <c r="H5" s="4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35">
        <v>0.05</v>
      </c>
      <c r="Q5" s="41">
        <f t="shared" si="0"/>
        <v>1</v>
      </c>
      <c r="R5" s="43">
        <f t="shared" si="1"/>
        <v>5.6</v>
      </c>
      <c r="S5" s="42" t="s">
        <v>28</v>
      </c>
      <c r="T5" s="190"/>
    </row>
    <row r="6" spans="1:20" ht="25.2" x14ac:dyDescent="0.5">
      <c r="A6" s="189" t="s">
        <v>38</v>
      </c>
      <c r="B6" s="44" t="s">
        <v>25</v>
      </c>
      <c r="C6" s="44">
        <v>5595</v>
      </c>
      <c r="D6" s="44" t="s">
        <v>42</v>
      </c>
      <c r="E6" s="44" t="s">
        <v>43</v>
      </c>
      <c r="F6" s="44" t="s">
        <v>58</v>
      </c>
      <c r="G6" s="44" t="s">
        <v>20</v>
      </c>
      <c r="H6" s="4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236</v>
      </c>
      <c r="N6" s="41">
        <v>1</v>
      </c>
      <c r="O6" s="41">
        <v>0.1</v>
      </c>
      <c r="P6" s="41">
        <v>1</v>
      </c>
      <c r="Q6" s="41">
        <f t="shared" si="0"/>
        <v>1</v>
      </c>
      <c r="R6" s="43">
        <f t="shared" si="1"/>
        <v>6.9999999999999991</v>
      </c>
      <c r="S6" s="41" t="s">
        <v>27</v>
      </c>
      <c r="T6" s="79"/>
    </row>
    <row r="7" spans="1:20" ht="18.600000000000001" x14ac:dyDescent="0.5">
      <c r="A7" s="189" t="s">
        <v>38</v>
      </c>
      <c r="B7" s="44" t="s">
        <v>25</v>
      </c>
      <c r="C7" s="44">
        <v>5595</v>
      </c>
      <c r="D7" s="44" t="s">
        <v>42</v>
      </c>
      <c r="E7" s="44" t="s">
        <v>43</v>
      </c>
      <c r="F7" s="44" t="s">
        <v>58</v>
      </c>
      <c r="G7" s="44" t="s">
        <v>20</v>
      </c>
      <c r="H7" s="44" t="s">
        <v>21</v>
      </c>
      <c r="I7" s="48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99">
        <v>0.05</v>
      </c>
      <c r="Q7" s="41">
        <f t="shared" si="0"/>
        <v>1</v>
      </c>
      <c r="R7" s="43">
        <f t="shared" si="1"/>
        <v>10.5</v>
      </c>
      <c r="S7" s="41" t="s">
        <v>28</v>
      </c>
      <c r="T7" s="79"/>
    </row>
    <row r="8" spans="1:20" ht="37.799999999999997" x14ac:dyDescent="0.5">
      <c r="A8" s="197" t="s">
        <v>38</v>
      </c>
      <c r="B8" s="25" t="s">
        <v>25</v>
      </c>
      <c r="C8" s="51">
        <v>5595</v>
      </c>
      <c r="D8" s="20" t="s">
        <v>42</v>
      </c>
      <c r="E8" s="20" t="s">
        <v>43</v>
      </c>
      <c r="F8" s="20" t="s">
        <v>58</v>
      </c>
      <c r="G8" s="20" t="s">
        <v>20</v>
      </c>
      <c r="H8" s="25" t="s">
        <v>21</v>
      </c>
      <c r="I8" s="53" t="s">
        <v>22</v>
      </c>
      <c r="J8" s="41">
        <v>0.7</v>
      </c>
      <c r="K8" s="113" t="s">
        <v>61</v>
      </c>
      <c r="L8" s="113" t="s">
        <v>62</v>
      </c>
      <c r="M8" s="23" t="s">
        <v>234</v>
      </c>
      <c r="N8" s="128">
        <v>0.05</v>
      </c>
      <c r="O8" s="53">
        <v>0.1</v>
      </c>
      <c r="P8" s="200">
        <v>0.27</v>
      </c>
      <c r="Q8" s="53">
        <f>ROUND(IF(OR(N8="",P8=""),0,IF(AND(N8=0,P8=0),1,IF(S8="+",P8/N8,N8/P8))),2)</f>
        <v>5.4</v>
      </c>
      <c r="R8" s="55">
        <f>IF(AND(Q8&gt;=60%,Q8&lt;100%),Q8*((O8*J8)),IF(Q8=100%,((O8*J8)*Q8)*100%,IF(Q8&gt;100%,((J8*O8)*100%)*100%,0)))*100</f>
        <v>6.9999999999999991</v>
      </c>
      <c r="S8" s="53" t="s">
        <v>27</v>
      </c>
      <c r="T8" s="191"/>
    </row>
    <row r="9" spans="1:20" ht="25.2" x14ac:dyDescent="0.5">
      <c r="A9" s="58" t="s">
        <v>38</v>
      </c>
      <c r="B9" s="59" t="s">
        <v>25</v>
      </c>
      <c r="C9" s="59">
        <v>5595</v>
      </c>
      <c r="D9" s="59" t="s">
        <v>42</v>
      </c>
      <c r="E9" s="59" t="s">
        <v>43</v>
      </c>
      <c r="F9" s="59" t="s">
        <v>58</v>
      </c>
      <c r="G9" s="59" t="s">
        <v>20</v>
      </c>
      <c r="H9" s="183" t="s">
        <v>21</v>
      </c>
      <c r="I9" s="127" t="s">
        <v>22</v>
      </c>
      <c r="J9" s="135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>
        <v>0.90900000000000003</v>
      </c>
      <c r="Q9" s="41">
        <f t="shared" si="0"/>
        <v>1.01</v>
      </c>
      <c r="R9" s="43">
        <f t="shared" si="1"/>
        <v>8.3999999999999986</v>
      </c>
      <c r="S9" s="41" t="s">
        <v>27</v>
      </c>
      <c r="T9" s="79"/>
    </row>
    <row r="10" spans="1:20" ht="25.2" x14ac:dyDescent="0.5">
      <c r="A10" s="197" t="s">
        <v>38</v>
      </c>
      <c r="B10" s="25" t="s">
        <v>25</v>
      </c>
      <c r="C10" s="51">
        <v>5595</v>
      </c>
      <c r="D10" s="20" t="s">
        <v>42</v>
      </c>
      <c r="E10" s="20" t="s">
        <v>43</v>
      </c>
      <c r="F10" s="20" t="s">
        <v>58</v>
      </c>
      <c r="G10" s="20" t="s">
        <v>20</v>
      </c>
      <c r="H10" s="183" t="s">
        <v>21</v>
      </c>
      <c r="I10" s="53" t="s">
        <v>22</v>
      </c>
      <c r="J10" s="134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>
        <v>1</v>
      </c>
      <c r="Q10" s="81">
        <f t="shared" ref="Q10" si="2">ROUND(IF(OR(N10="",P10=""),0,IF(AND(N10=0,P10=0),1,IF(S10="+",P10/N10,N10/P10))),2)</f>
        <v>1</v>
      </c>
      <c r="R10" s="82">
        <f t="shared" ref="R10" si="3">IF(AND(Q10&gt;=60%,Q10&lt;100%),Q10*((O10*J10)),IF(Q10=100%,((O10*J10)*Q10)*100%,IF(Q10&gt;100%,((J10*O10)*100%)*100%,0)))*100</f>
        <v>3.4999999999999996</v>
      </c>
      <c r="S10" s="81" t="s">
        <v>27</v>
      </c>
      <c r="T10" s="192"/>
    </row>
    <row r="11" spans="1:20" x14ac:dyDescent="0.5">
      <c r="A11" s="197" t="s">
        <v>38</v>
      </c>
      <c r="B11" s="25" t="s">
        <v>25</v>
      </c>
      <c r="C11" s="51">
        <v>5595</v>
      </c>
      <c r="D11" s="20" t="s">
        <v>42</v>
      </c>
      <c r="E11" s="20" t="s">
        <v>43</v>
      </c>
      <c r="F11" s="20" t="s">
        <v>58</v>
      </c>
      <c r="G11" s="20" t="s">
        <v>20</v>
      </c>
      <c r="H11" s="32" t="s">
        <v>23</v>
      </c>
      <c r="I11" s="32" t="s">
        <v>24</v>
      </c>
      <c r="J11" s="60">
        <v>0.3</v>
      </c>
      <c r="K11" s="17" t="s">
        <v>169</v>
      </c>
      <c r="L11" s="17" t="s">
        <v>130</v>
      </c>
      <c r="M11" s="17"/>
      <c r="N11" s="80">
        <v>0.9</v>
      </c>
      <c r="O11" s="114">
        <v>0.25</v>
      </c>
      <c r="P11" s="188">
        <v>0.9</v>
      </c>
      <c r="Q11" s="81">
        <f t="shared" ref="Q11" si="4">ROUND(IF(OR(N11="",P11=""),0,IF(AND(N11=0,P11=0),1,IF(S11="+",P11/N11,N11/P11))),2)</f>
        <v>1</v>
      </c>
      <c r="R11" s="82">
        <f t="shared" ref="R11" si="5">IF(AND(Q11&gt;=60%,Q11&lt;100%),Q11*((O11*J11)),IF(Q11=100%,((O11*J11)*Q11)*100%,IF(Q11&gt;100%,((J11*O11)*100%)*100%,0)))*100</f>
        <v>7.5</v>
      </c>
      <c r="S11" s="81" t="s">
        <v>27</v>
      </c>
      <c r="T11" s="192"/>
    </row>
    <row r="12" spans="1:20" x14ac:dyDescent="0.5">
      <c r="A12" s="197" t="s">
        <v>38</v>
      </c>
      <c r="B12" s="25" t="s">
        <v>63</v>
      </c>
      <c r="C12" s="51">
        <v>5595</v>
      </c>
      <c r="D12" s="20" t="s">
        <v>42</v>
      </c>
      <c r="E12" s="20" t="s">
        <v>64</v>
      </c>
      <c r="F12" s="20" t="s">
        <v>58</v>
      </c>
      <c r="G12" s="20" t="s">
        <v>20</v>
      </c>
      <c r="H12" s="32" t="s">
        <v>23</v>
      </c>
      <c r="I12" s="32" t="s">
        <v>24</v>
      </c>
      <c r="J12" s="60">
        <v>0.3</v>
      </c>
      <c r="K12" s="17" t="s">
        <v>170</v>
      </c>
      <c r="L12" s="17" t="s">
        <v>131</v>
      </c>
      <c r="M12" s="17"/>
      <c r="N12" s="80">
        <v>0.7</v>
      </c>
      <c r="O12" s="114">
        <v>0.15</v>
      </c>
      <c r="P12" s="188">
        <v>0.7</v>
      </c>
      <c r="Q12" s="81">
        <f t="shared" ref="Q12:Q14" si="6">ROUND(IF(OR(N12="",P12=""),0,IF(AND(N12=0,P12=0),1,IF(S12="+",P12/N12,N12/P12))),2)</f>
        <v>1</v>
      </c>
      <c r="R12" s="82">
        <f t="shared" ref="R12:R14" si="7">IF(AND(Q12&gt;=60%,Q12&lt;100%),Q12*((O12*J12)),IF(Q12=100%,((O12*J12)*Q12)*100%,IF(Q12&gt;100%,((J12*O12)*100%)*100%,0)))*100</f>
        <v>4.5</v>
      </c>
      <c r="S12" s="81" t="s">
        <v>27</v>
      </c>
      <c r="T12" s="192"/>
    </row>
    <row r="13" spans="1:20" x14ac:dyDescent="0.5">
      <c r="A13" s="197" t="s">
        <v>38</v>
      </c>
      <c r="B13" s="25" t="s">
        <v>68</v>
      </c>
      <c r="C13" s="51">
        <v>5595</v>
      </c>
      <c r="D13" s="20" t="s">
        <v>42</v>
      </c>
      <c r="E13" s="20" t="s">
        <v>134</v>
      </c>
      <c r="F13" s="20" t="s">
        <v>58</v>
      </c>
      <c r="G13" s="20" t="s">
        <v>20</v>
      </c>
      <c r="H13" s="32" t="s">
        <v>23</v>
      </c>
      <c r="I13" s="32" t="s">
        <v>24</v>
      </c>
      <c r="J13" s="60">
        <v>0.3</v>
      </c>
      <c r="K13" s="17" t="s">
        <v>171</v>
      </c>
      <c r="L13" s="17" t="s">
        <v>132</v>
      </c>
      <c r="M13" s="17"/>
      <c r="N13" s="80">
        <v>0.5</v>
      </c>
      <c r="O13" s="114">
        <v>0.15</v>
      </c>
      <c r="P13" s="188">
        <v>0.5</v>
      </c>
      <c r="Q13" s="81">
        <f t="shared" si="6"/>
        <v>1</v>
      </c>
      <c r="R13" s="82">
        <f t="shared" si="7"/>
        <v>4.5</v>
      </c>
      <c r="S13" s="81" t="s">
        <v>27</v>
      </c>
      <c r="T13" s="192"/>
    </row>
    <row r="14" spans="1:20" x14ac:dyDescent="0.5">
      <c r="A14" s="197" t="s">
        <v>38</v>
      </c>
      <c r="B14" s="25" t="s">
        <v>90</v>
      </c>
      <c r="C14" s="51">
        <v>5595</v>
      </c>
      <c r="D14" s="20" t="s">
        <v>42</v>
      </c>
      <c r="E14" s="20" t="s">
        <v>135</v>
      </c>
      <c r="F14" s="20" t="s">
        <v>58</v>
      </c>
      <c r="G14" s="20" t="s">
        <v>20</v>
      </c>
      <c r="H14" s="32" t="s">
        <v>23</v>
      </c>
      <c r="I14" s="32" t="s">
        <v>24</v>
      </c>
      <c r="J14" s="60">
        <v>0.3</v>
      </c>
      <c r="K14" s="17" t="s">
        <v>172</v>
      </c>
      <c r="L14" s="17" t="s">
        <v>133</v>
      </c>
      <c r="M14" s="17"/>
      <c r="N14" s="80">
        <v>0.7</v>
      </c>
      <c r="O14" s="114">
        <v>0.15</v>
      </c>
      <c r="P14" s="188">
        <v>0.7</v>
      </c>
      <c r="Q14" s="81">
        <f t="shared" si="6"/>
        <v>1</v>
      </c>
      <c r="R14" s="82">
        <f t="shared" si="7"/>
        <v>4.5</v>
      </c>
      <c r="S14" s="81" t="s">
        <v>27</v>
      </c>
      <c r="T14" s="192"/>
    </row>
    <row r="15" spans="1:20" x14ac:dyDescent="0.5">
      <c r="A15" s="197" t="s">
        <v>38</v>
      </c>
      <c r="B15" s="25" t="s">
        <v>90</v>
      </c>
      <c r="C15" s="51">
        <v>5595</v>
      </c>
      <c r="D15" s="20" t="s">
        <v>42</v>
      </c>
      <c r="E15" s="20" t="s">
        <v>135</v>
      </c>
      <c r="F15" s="20" t="s">
        <v>58</v>
      </c>
      <c r="G15" s="20" t="s">
        <v>20</v>
      </c>
      <c r="H15" s="32" t="s">
        <v>23</v>
      </c>
      <c r="I15" s="32" t="s">
        <v>24</v>
      </c>
      <c r="J15" s="60">
        <v>0.3</v>
      </c>
      <c r="K15" s="17" t="s">
        <v>173</v>
      </c>
      <c r="L15" s="17" t="s">
        <v>136</v>
      </c>
      <c r="M15" s="17"/>
      <c r="N15" s="80">
        <v>0.3</v>
      </c>
      <c r="O15" s="114">
        <v>0.1</v>
      </c>
      <c r="P15" s="188">
        <v>0.3</v>
      </c>
      <c r="Q15" s="81">
        <f t="shared" ref="Q15:Q17" si="8">ROUND(IF(OR(N15="",P15=""),0,IF(AND(N15=0,P15=0),1,IF(S15="+",P15/N15,N15/P15))),2)</f>
        <v>1</v>
      </c>
      <c r="R15" s="82">
        <f t="shared" ref="R15:R17" si="9">IF(AND(Q15&gt;=60%,Q15&lt;100%),Q15*((O15*J15)),IF(Q15=100%,((O15*J15)*Q15)*100%,IF(Q15&gt;100%,((J15*O15)*100%)*100%,0)))*100</f>
        <v>3</v>
      </c>
      <c r="S15" s="81" t="s">
        <v>27</v>
      </c>
      <c r="T15" s="192"/>
    </row>
    <row r="16" spans="1:20" x14ac:dyDescent="0.5">
      <c r="A16" s="197" t="s">
        <v>38</v>
      </c>
      <c r="B16" s="25" t="s">
        <v>90</v>
      </c>
      <c r="C16" s="51">
        <v>5595</v>
      </c>
      <c r="D16" s="20" t="s">
        <v>42</v>
      </c>
      <c r="E16" s="20" t="s">
        <v>135</v>
      </c>
      <c r="F16" s="20" t="s">
        <v>58</v>
      </c>
      <c r="G16" s="20" t="s">
        <v>20</v>
      </c>
      <c r="H16" s="32" t="s">
        <v>23</v>
      </c>
      <c r="I16" s="32" t="s">
        <v>24</v>
      </c>
      <c r="J16" s="60">
        <v>0.3</v>
      </c>
      <c r="K16" s="17" t="s">
        <v>174</v>
      </c>
      <c r="L16" s="17" t="s">
        <v>137</v>
      </c>
      <c r="M16" s="17"/>
      <c r="N16" s="80">
        <v>0.1</v>
      </c>
      <c r="O16" s="114">
        <v>0.1</v>
      </c>
      <c r="P16" s="188">
        <v>0.1</v>
      </c>
      <c r="Q16" s="81">
        <f t="shared" si="8"/>
        <v>1</v>
      </c>
      <c r="R16" s="82">
        <f t="shared" si="9"/>
        <v>3</v>
      </c>
      <c r="S16" s="81" t="s">
        <v>27</v>
      </c>
      <c r="T16" s="192"/>
    </row>
    <row r="17" spans="1:20" ht="17.399999999999999" thickBot="1" x14ac:dyDescent="0.55000000000000004">
      <c r="A17" s="162" t="s">
        <v>38</v>
      </c>
      <c r="B17" s="163" t="s">
        <v>90</v>
      </c>
      <c r="C17" s="198">
        <v>5595</v>
      </c>
      <c r="D17" s="165" t="s">
        <v>42</v>
      </c>
      <c r="E17" s="165" t="s">
        <v>135</v>
      </c>
      <c r="F17" s="165" t="s">
        <v>58</v>
      </c>
      <c r="G17" s="165" t="s">
        <v>20</v>
      </c>
      <c r="H17" s="166" t="s">
        <v>23</v>
      </c>
      <c r="I17" s="166" t="s">
        <v>24</v>
      </c>
      <c r="J17" s="193">
        <v>0.3</v>
      </c>
      <c r="K17" s="167" t="s">
        <v>175</v>
      </c>
      <c r="L17" s="167" t="s">
        <v>138</v>
      </c>
      <c r="M17" s="167"/>
      <c r="N17" s="194">
        <v>1</v>
      </c>
      <c r="O17" s="168">
        <v>0.1</v>
      </c>
      <c r="P17" s="195">
        <v>1</v>
      </c>
      <c r="Q17" s="169">
        <f t="shared" si="8"/>
        <v>1</v>
      </c>
      <c r="R17" s="170">
        <f t="shared" si="9"/>
        <v>3</v>
      </c>
      <c r="S17" s="169" t="s">
        <v>27</v>
      </c>
      <c r="T17" s="196"/>
    </row>
  </sheetData>
  <phoneticPr fontId="2" type="noConversion"/>
  <conditionalFormatting sqref="A10:B10 H8:H10 A4:I8 K1:M9 N7:N8">
    <cfRule type="cellIs" dxfId="97" priority="15" operator="equal">
      <formula>"maintasks"</formula>
    </cfRule>
  </conditionalFormatting>
  <conditionalFormatting sqref="H1:I3 H9:I9">
    <cfRule type="cellIs" dxfId="96" priority="47" operator="equal">
      <formula>"maintasks"</formula>
    </cfRule>
  </conditionalFormatting>
  <conditionalFormatting sqref="K10:M10">
    <cfRule type="cellIs" dxfId="95" priority="17" operator="equal">
      <formula>"maintasks"</formula>
    </cfRule>
  </conditionalFormatting>
  <conditionalFormatting sqref="A11:B17">
    <cfRule type="cellIs" dxfId="94" priority="11" operator="equal">
      <formula>"maintasks"</formula>
    </cfRule>
  </conditionalFormatting>
  <conditionalFormatting sqref="H11:I17">
    <cfRule type="cellIs" dxfId="93" priority="10" operator="equal">
      <formula>"maintasks"</formula>
    </cfRule>
  </conditionalFormatting>
  <conditionalFormatting sqref="M12:M17 K11:N11">
    <cfRule type="cellIs" dxfId="92" priority="9" operator="equal">
      <formula>"maintasks"</formula>
    </cfRule>
  </conditionalFormatting>
  <conditionalFormatting sqref="K12:L14">
    <cfRule type="cellIs" dxfId="91" priority="8" operator="equal">
      <formula>"maintasks"</formula>
    </cfRule>
  </conditionalFormatting>
  <conditionalFormatting sqref="N12:N17">
    <cfRule type="cellIs" dxfId="90" priority="7" operator="equal">
      <formula>"maintasks"</formula>
    </cfRule>
  </conditionalFormatting>
  <conditionalFormatting sqref="K15:L17">
    <cfRule type="cellIs" dxfId="89" priority="6" operator="equal">
      <formula>"maintasks"</formula>
    </cfRule>
  </conditionalFormatting>
  <conditionalFormatting sqref="I10">
    <cfRule type="cellIs" dxfId="88" priority="5" operator="equal">
      <formula>"maintasks"</formula>
    </cfRule>
  </conditionalFormatting>
  <conditionalFormatting sqref="N10">
    <cfRule type="cellIs" dxfId="87" priority="1" operator="equal">
      <formula>"maintasks"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AE6C-3C03-4D4B-9904-0A9D82321320}">
  <sheetPr codeName="Sheet20">
    <tabColor rgb="FFFF0000"/>
  </sheetPr>
  <dimension ref="A1:T17"/>
  <sheetViews>
    <sheetView topLeftCell="L1" zoomScale="115" zoomScaleNormal="115" workbookViewId="0">
      <pane ySplit="1" topLeftCell="A2" activePane="bottomLeft" state="frozen"/>
      <selection pane="bottomLeft" activeCell="P8" sqref="P8"/>
    </sheetView>
  </sheetViews>
  <sheetFormatPr defaultColWidth="8.77734375" defaultRowHeight="73.95" customHeight="1" x14ac:dyDescent="0.5"/>
  <cols>
    <col min="1" max="1" width="10" style="67" bestFit="1" customWidth="1"/>
    <col min="2" max="2" width="3.5546875" style="67" bestFit="1" customWidth="1"/>
    <col min="3" max="3" width="5.88671875" style="67" bestFit="1" customWidth="1"/>
    <col min="4" max="4" width="18.88671875" style="67" customWidth="1"/>
    <col min="5" max="5" width="35.33203125" style="67" bestFit="1" customWidth="1"/>
    <col min="6" max="6" width="14.88671875" style="67" customWidth="1"/>
    <col min="7" max="7" width="7.21875" style="67" customWidth="1"/>
    <col min="8" max="8" width="6.88671875" style="67" customWidth="1"/>
    <col min="9" max="9" width="8.6640625" style="67" customWidth="1"/>
    <col min="10" max="10" width="7.88671875" style="67" bestFit="1" customWidth="1"/>
    <col min="11" max="11" width="63.77734375" style="67" bestFit="1" customWidth="1"/>
    <col min="12" max="12" width="51.77734375" style="67" bestFit="1" customWidth="1"/>
    <col min="13" max="13" width="42.44140625" style="67" customWidth="1"/>
    <col min="14" max="14" width="5" style="67" bestFit="1" customWidth="1"/>
    <col min="15" max="15" width="7.88671875" style="67" bestFit="1" customWidth="1"/>
    <col min="16" max="16" width="12.109375" style="67" bestFit="1" customWidth="1"/>
    <col min="17" max="17" width="17.77734375" style="67" bestFit="1" customWidth="1"/>
    <col min="18" max="18" width="13.77734375" style="67" bestFit="1" customWidth="1"/>
    <col min="19" max="19" width="3.77734375" style="67" bestFit="1" customWidth="1"/>
    <col min="20" max="20" width="7.21875" style="67" customWidth="1"/>
    <col min="21" max="16384" width="8.77734375" style="67"/>
  </cols>
  <sheetData>
    <row r="1" spans="1:20" ht="27.45" customHeight="1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78" t="s">
        <v>19</v>
      </c>
    </row>
    <row r="2" spans="1:20" ht="46.95" customHeight="1" x14ac:dyDescent="0.5">
      <c r="A2" s="39" t="s">
        <v>38</v>
      </c>
      <c r="B2" s="40" t="s">
        <v>25</v>
      </c>
      <c r="C2" s="24">
        <v>3803</v>
      </c>
      <c r="D2" s="24" t="s">
        <v>235</v>
      </c>
      <c r="E2" s="24" t="s">
        <v>44</v>
      </c>
      <c r="F2" s="24" t="s">
        <v>59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41">
        <v>0.93</v>
      </c>
      <c r="Q2" s="41">
        <f>ROUND(IF(OR(N2="",P2=""),0,IF(AND(N2=0,P2=0),1,IF(S2="+",P2/N2,N2/P2))),2)</f>
        <v>0.98</v>
      </c>
      <c r="R2" s="43">
        <f>IF(AND(Q2&gt;=60%,Q2&lt;100%),Q2*((O2*J2)),IF(Q2=100%,((O2*J2)*Q2)*100%,IF(Q2&gt;100%,((J2*O2)*100%)*100%,0)))*100</f>
        <v>10.29</v>
      </c>
      <c r="S2" s="41" t="s">
        <v>27</v>
      </c>
      <c r="T2" s="190">
        <f>SUM(R2:R17)%</f>
        <v>0.91439999999999999</v>
      </c>
    </row>
    <row r="3" spans="1:20" ht="46.95" customHeight="1" x14ac:dyDescent="0.5">
      <c r="A3" s="39" t="s">
        <v>38</v>
      </c>
      <c r="B3" s="40" t="s">
        <v>25</v>
      </c>
      <c r="C3" s="24">
        <v>3803</v>
      </c>
      <c r="D3" s="24" t="s">
        <v>235</v>
      </c>
      <c r="E3" s="24" t="s">
        <v>44</v>
      </c>
      <c r="F3" s="24" t="s">
        <v>59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7">
        <v>0.95</v>
      </c>
      <c r="Q3" s="41">
        <f t="shared" ref="Q3:Q10" si="0">ROUND(IF(OR(N3="",P3=""),0,IF(AND(N3=0,P3=0),1,IF(S3="+",P3/N3,N3/P3))),2)</f>
        <v>1</v>
      </c>
      <c r="R3" s="43">
        <f t="shared" ref="R3:R10" si="1">IF(AND(Q3&gt;=60%,Q3&lt;100%),Q3*((O3*J3)),IF(Q3=100%,((O3*J3)*Q3)*100%,IF(Q3&gt;100%,((J3*O3)*100%)*100%,0)))*100</f>
        <v>10.5</v>
      </c>
      <c r="S3" s="41" t="s">
        <v>27</v>
      </c>
      <c r="T3" s="79"/>
    </row>
    <row r="4" spans="1:20" ht="46.95" customHeight="1" x14ac:dyDescent="0.5">
      <c r="A4" s="39" t="s">
        <v>38</v>
      </c>
      <c r="B4" s="40" t="s">
        <v>25</v>
      </c>
      <c r="C4" s="24">
        <v>3803</v>
      </c>
      <c r="D4" s="24" t="s">
        <v>235</v>
      </c>
      <c r="E4" s="24" t="s">
        <v>44</v>
      </c>
      <c r="F4" s="24" t="s">
        <v>59</v>
      </c>
      <c r="G4" s="40" t="s">
        <v>20</v>
      </c>
      <c r="H4" s="24" t="s">
        <v>21</v>
      </c>
      <c r="I4" s="24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41">
        <v>0.41</v>
      </c>
      <c r="Q4" s="41">
        <f t="shared" si="0"/>
        <v>0.59</v>
      </c>
      <c r="R4" s="43">
        <f t="shared" si="1"/>
        <v>0</v>
      </c>
      <c r="S4" s="41" t="s">
        <v>27</v>
      </c>
      <c r="T4" s="79"/>
    </row>
    <row r="5" spans="1:20" ht="46.95" customHeight="1" x14ac:dyDescent="0.5">
      <c r="A5" s="39" t="s">
        <v>38</v>
      </c>
      <c r="B5" s="40" t="s">
        <v>25</v>
      </c>
      <c r="C5" s="24">
        <v>3803</v>
      </c>
      <c r="D5" s="24" t="s">
        <v>235</v>
      </c>
      <c r="E5" s="24" t="s">
        <v>44</v>
      </c>
      <c r="F5" s="24" t="s">
        <v>59</v>
      </c>
      <c r="G5" s="40" t="s">
        <v>20</v>
      </c>
      <c r="H5" s="24" t="s">
        <v>21</v>
      </c>
      <c r="I5" s="24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41">
        <v>0.05</v>
      </c>
      <c r="Q5" s="41">
        <f t="shared" si="0"/>
        <v>1</v>
      </c>
      <c r="R5" s="43">
        <f t="shared" si="1"/>
        <v>5.6</v>
      </c>
      <c r="S5" s="42" t="s">
        <v>28</v>
      </c>
      <c r="T5" s="190"/>
    </row>
    <row r="6" spans="1:20" ht="46.95" customHeight="1" x14ac:dyDescent="0.5">
      <c r="A6" s="39" t="s">
        <v>38</v>
      </c>
      <c r="B6" s="40" t="s">
        <v>25</v>
      </c>
      <c r="C6" s="24">
        <v>3803</v>
      </c>
      <c r="D6" s="24" t="s">
        <v>235</v>
      </c>
      <c r="E6" s="24" t="s">
        <v>44</v>
      </c>
      <c r="F6" s="24" t="s">
        <v>59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236</v>
      </c>
      <c r="N6" s="41">
        <v>1</v>
      </c>
      <c r="O6" s="41">
        <v>0.1</v>
      </c>
      <c r="P6" s="41">
        <v>1</v>
      </c>
      <c r="Q6" s="41">
        <f t="shared" si="0"/>
        <v>1</v>
      </c>
      <c r="R6" s="43">
        <f t="shared" si="1"/>
        <v>6.9999999999999991</v>
      </c>
      <c r="S6" s="41" t="s">
        <v>27</v>
      </c>
      <c r="T6" s="79"/>
    </row>
    <row r="7" spans="1:20" ht="46.95" customHeight="1" x14ac:dyDescent="0.5">
      <c r="A7" s="39" t="s">
        <v>38</v>
      </c>
      <c r="B7" s="40" t="s">
        <v>25</v>
      </c>
      <c r="C7" s="24">
        <v>3803</v>
      </c>
      <c r="D7" s="24" t="s">
        <v>235</v>
      </c>
      <c r="E7" s="24" t="s">
        <v>44</v>
      </c>
      <c r="F7" s="24" t="s">
        <v>59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35">
        <v>0.05</v>
      </c>
      <c r="Q7" s="41">
        <f t="shared" si="0"/>
        <v>1</v>
      </c>
      <c r="R7" s="43">
        <f t="shared" si="1"/>
        <v>10.5</v>
      </c>
      <c r="S7" s="41" t="s">
        <v>28</v>
      </c>
      <c r="T7" s="79"/>
    </row>
    <row r="8" spans="1:20" ht="46.95" customHeight="1" x14ac:dyDescent="0.5">
      <c r="A8" s="25" t="s">
        <v>38</v>
      </c>
      <c r="B8" s="25" t="s">
        <v>25</v>
      </c>
      <c r="C8" s="24">
        <v>3803</v>
      </c>
      <c r="D8" s="24" t="s">
        <v>235</v>
      </c>
      <c r="E8" s="20" t="s">
        <v>44</v>
      </c>
      <c r="F8" s="20" t="s">
        <v>59</v>
      </c>
      <c r="G8" s="20" t="s">
        <v>20</v>
      </c>
      <c r="H8" s="37" t="s">
        <v>21</v>
      </c>
      <c r="I8" s="52" t="s">
        <v>22</v>
      </c>
      <c r="J8" s="41">
        <v>0.7</v>
      </c>
      <c r="K8" s="113" t="s">
        <v>61</v>
      </c>
      <c r="L8" s="113" t="s">
        <v>62</v>
      </c>
      <c r="M8" s="23" t="s">
        <v>234</v>
      </c>
      <c r="N8" s="49">
        <v>0.05</v>
      </c>
      <c r="O8" s="53">
        <v>0.1</v>
      </c>
      <c r="P8" s="202">
        <v>0.05</v>
      </c>
      <c r="Q8" s="53">
        <f>ROUND(IF(OR(N8="",P8=""),0,IF(AND(N8=0,P8=0),1,IF(S8="+",P8/N8,N8/P8))),2)</f>
        <v>1</v>
      </c>
      <c r="R8" s="55">
        <f>IF(AND(Q8&gt;=60%,Q8&lt;100%),Q8*((O8*J8)),IF(Q8=100%,((O8*J8)*Q8)*100%,IF(Q8&gt;100%,((J8*O8)*100%)*100%,0)))*100</f>
        <v>6.9999999999999991</v>
      </c>
      <c r="S8" s="53" t="s">
        <v>27</v>
      </c>
      <c r="T8" s="191"/>
    </row>
    <row r="9" spans="1:20" ht="46.95" customHeight="1" x14ac:dyDescent="0.5">
      <c r="A9" s="25" t="s">
        <v>38</v>
      </c>
      <c r="B9" s="25" t="s">
        <v>25</v>
      </c>
      <c r="C9" s="24">
        <v>3803</v>
      </c>
      <c r="D9" s="24" t="s">
        <v>235</v>
      </c>
      <c r="E9" s="20" t="s">
        <v>44</v>
      </c>
      <c r="F9" s="20" t="s">
        <v>59</v>
      </c>
      <c r="G9" s="20" t="s">
        <v>20</v>
      </c>
      <c r="H9" s="25" t="s">
        <v>21</v>
      </c>
      <c r="I9" s="53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>
        <v>0.92</v>
      </c>
      <c r="Q9" s="41">
        <f t="shared" si="0"/>
        <v>1.02</v>
      </c>
      <c r="R9" s="43">
        <f t="shared" si="1"/>
        <v>8.3999999999999986</v>
      </c>
      <c r="S9" s="41" t="s">
        <v>27</v>
      </c>
      <c r="T9" s="79"/>
    </row>
    <row r="10" spans="1:20" ht="46.95" customHeight="1" x14ac:dyDescent="0.5">
      <c r="A10" s="25" t="s">
        <v>38</v>
      </c>
      <c r="B10" s="25" t="s">
        <v>25</v>
      </c>
      <c r="C10" s="24">
        <v>3803</v>
      </c>
      <c r="D10" s="24" t="s">
        <v>235</v>
      </c>
      <c r="E10" s="20" t="s">
        <v>44</v>
      </c>
      <c r="F10" s="20" t="s">
        <v>59</v>
      </c>
      <c r="G10" s="20" t="s">
        <v>20</v>
      </c>
      <c r="H10" s="25" t="s">
        <v>21</v>
      </c>
      <c r="I10" s="53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>
        <v>1</v>
      </c>
      <c r="Q10" s="81">
        <f t="shared" si="0"/>
        <v>1</v>
      </c>
      <c r="R10" s="82">
        <f t="shared" si="1"/>
        <v>3.4999999999999996</v>
      </c>
      <c r="S10" s="81" t="s">
        <v>27</v>
      </c>
      <c r="T10" s="192"/>
    </row>
    <row r="11" spans="1:20" ht="73.95" customHeight="1" x14ac:dyDescent="0.5">
      <c r="A11" s="37" t="s">
        <v>38</v>
      </c>
      <c r="B11" s="37" t="s">
        <v>25</v>
      </c>
      <c r="C11" s="24">
        <v>3803</v>
      </c>
      <c r="D11" s="24" t="s">
        <v>235</v>
      </c>
      <c r="E11" s="29" t="s">
        <v>44</v>
      </c>
      <c r="F11" s="29" t="s">
        <v>59</v>
      </c>
      <c r="G11" s="29" t="s">
        <v>20</v>
      </c>
      <c r="H11" s="86" t="s">
        <v>23</v>
      </c>
      <c r="I11" s="86" t="s">
        <v>24</v>
      </c>
      <c r="J11" s="63">
        <v>0.3</v>
      </c>
      <c r="K11" s="31" t="s">
        <v>179</v>
      </c>
      <c r="L11" s="31" t="s">
        <v>159</v>
      </c>
      <c r="M11" s="31"/>
      <c r="N11" s="62">
        <v>1</v>
      </c>
      <c r="O11" s="62">
        <v>0.3</v>
      </c>
      <c r="P11" s="201">
        <v>0.95</v>
      </c>
      <c r="Q11" s="64">
        <f t="shared" ref="Q11:Q12" si="2">ROUND(IF(OR(N11="",P11=""),0,IF(AND(N11=0,P11=0),1,IF(S11="+",P11/N11,N11/P11))),2)</f>
        <v>0.95</v>
      </c>
      <c r="R11" s="65">
        <f t="shared" ref="R11:R12" si="3">IF(AND(Q11&gt;=60%,Q11&lt;100%),Q11*((O11*J11)),IF(Q11=100%,((O11*J11)*Q11)*100%,IF(Q11&gt;100%,((J11*O11)*100%)*100%,0)))*100</f>
        <v>8.5499999999999989</v>
      </c>
      <c r="S11" s="64" t="s">
        <v>27</v>
      </c>
      <c r="T11" s="64"/>
    </row>
    <row r="12" spans="1:20" ht="73.95" customHeight="1" x14ac:dyDescent="0.5">
      <c r="A12" s="37" t="s">
        <v>38</v>
      </c>
      <c r="B12" s="37" t="s">
        <v>25</v>
      </c>
      <c r="C12" s="24">
        <v>3803</v>
      </c>
      <c r="D12" s="24" t="s">
        <v>235</v>
      </c>
      <c r="E12" s="29" t="s">
        <v>44</v>
      </c>
      <c r="F12" s="29" t="s">
        <v>59</v>
      </c>
      <c r="G12" s="29" t="s">
        <v>20</v>
      </c>
      <c r="H12" s="86" t="s">
        <v>23</v>
      </c>
      <c r="I12" s="86" t="s">
        <v>24</v>
      </c>
      <c r="J12" s="63">
        <v>0.3</v>
      </c>
      <c r="K12" s="31" t="s">
        <v>178</v>
      </c>
      <c r="L12" s="31" t="s">
        <v>160</v>
      </c>
      <c r="M12" s="31"/>
      <c r="N12" s="62">
        <v>1</v>
      </c>
      <c r="O12" s="62">
        <v>0.15</v>
      </c>
      <c r="P12" s="201">
        <v>1</v>
      </c>
      <c r="Q12" s="64">
        <f t="shared" si="2"/>
        <v>1</v>
      </c>
      <c r="R12" s="65">
        <f t="shared" si="3"/>
        <v>4.5</v>
      </c>
      <c r="S12" s="64" t="s">
        <v>27</v>
      </c>
      <c r="T12" s="64"/>
    </row>
    <row r="13" spans="1:20" ht="73.95" customHeight="1" x14ac:dyDescent="0.5">
      <c r="A13" s="37" t="s">
        <v>38</v>
      </c>
      <c r="B13" s="37" t="s">
        <v>25</v>
      </c>
      <c r="C13" s="24">
        <v>3803</v>
      </c>
      <c r="D13" s="24" t="s">
        <v>235</v>
      </c>
      <c r="E13" s="29" t="s">
        <v>44</v>
      </c>
      <c r="F13" s="29" t="s">
        <v>59</v>
      </c>
      <c r="G13" s="29" t="s">
        <v>20</v>
      </c>
      <c r="H13" s="86" t="s">
        <v>23</v>
      </c>
      <c r="I13" s="86" t="s">
        <v>24</v>
      </c>
      <c r="J13" s="63">
        <v>0.3</v>
      </c>
      <c r="K13" s="31" t="s">
        <v>176</v>
      </c>
      <c r="L13" s="31" t="s">
        <v>161</v>
      </c>
      <c r="M13" s="31"/>
      <c r="N13" s="62">
        <v>1</v>
      </c>
      <c r="O13" s="62">
        <v>0.15</v>
      </c>
      <c r="P13" s="201">
        <v>1</v>
      </c>
      <c r="Q13" s="64">
        <f t="shared" ref="Q13:Q17" si="4">ROUND(IF(OR(N13="",P13=""),0,IF(AND(N13=0,P13=0),1,IF(S13="+",P13/N13,N13/P13))),2)</f>
        <v>1</v>
      </c>
      <c r="R13" s="65">
        <f t="shared" ref="R13:R17" si="5">IF(AND(Q13&gt;=60%,Q13&lt;100%),Q13*((O13*J13)),IF(Q13=100%,((O13*J13)*Q13)*100%,IF(Q13&gt;100%,((J13*O13)*100%)*100%,0)))*100</f>
        <v>4.5</v>
      </c>
      <c r="S13" s="64" t="s">
        <v>27</v>
      </c>
      <c r="T13" s="64"/>
    </row>
    <row r="14" spans="1:20" ht="73.95" customHeight="1" x14ac:dyDescent="0.5">
      <c r="A14" s="37" t="s">
        <v>38</v>
      </c>
      <c r="B14" s="37" t="s">
        <v>25</v>
      </c>
      <c r="C14" s="24">
        <v>3803</v>
      </c>
      <c r="D14" s="24" t="s">
        <v>235</v>
      </c>
      <c r="E14" s="29" t="s">
        <v>44</v>
      </c>
      <c r="F14" s="29" t="s">
        <v>59</v>
      </c>
      <c r="G14" s="29" t="s">
        <v>20</v>
      </c>
      <c r="H14" s="86" t="s">
        <v>23</v>
      </c>
      <c r="I14" s="86" t="s">
        <v>24</v>
      </c>
      <c r="J14" s="63">
        <v>0.3</v>
      </c>
      <c r="K14" s="31" t="s">
        <v>177</v>
      </c>
      <c r="L14" s="31" t="s">
        <v>163</v>
      </c>
      <c r="M14" s="31"/>
      <c r="N14" s="62">
        <v>1</v>
      </c>
      <c r="O14" s="62">
        <v>0.1</v>
      </c>
      <c r="P14" s="201">
        <v>0.7</v>
      </c>
      <c r="Q14" s="64">
        <f t="shared" si="4"/>
        <v>0.7</v>
      </c>
      <c r="R14" s="65">
        <f t="shared" si="5"/>
        <v>2.0999999999999996</v>
      </c>
      <c r="S14" s="64" t="s">
        <v>27</v>
      </c>
      <c r="T14" s="64"/>
    </row>
    <row r="15" spans="1:20" ht="73.95" customHeight="1" x14ac:dyDescent="0.5">
      <c r="A15" s="37" t="s">
        <v>38</v>
      </c>
      <c r="B15" s="37" t="s">
        <v>25</v>
      </c>
      <c r="C15" s="24">
        <v>3803</v>
      </c>
      <c r="D15" s="24" t="s">
        <v>235</v>
      </c>
      <c r="E15" s="29" t="s">
        <v>44</v>
      </c>
      <c r="F15" s="29" t="s">
        <v>59</v>
      </c>
      <c r="G15" s="29" t="s">
        <v>20</v>
      </c>
      <c r="H15" s="86" t="s">
        <v>23</v>
      </c>
      <c r="I15" s="86" t="s">
        <v>24</v>
      </c>
      <c r="J15" s="63">
        <v>0.3</v>
      </c>
      <c r="K15" s="31" t="s">
        <v>180</v>
      </c>
      <c r="L15" s="31" t="s">
        <v>164</v>
      </c>
      <c r="M15" s="31"/>
      <c r="N15" s="62">
        <v>1</v>
      </c>
      <c r="O15" s="62">
        <v>0.05</v>
      </c>
      <c r="P15" s="201">
        <v>1</v>
      </c>
      <c r="Q15" s="64">
        <f t="shared" si="4"/>
        <v>1</v>
      </c>
      <c r="R15" s="65">
        <f t="shared" si="5"/>
        <v>1.5</v>
      </c>
      <c r="S15" s="64" t="s">
        <v>27</v>
      </c>
      <c r="T15" s="64"/>
    </row>
    <row r="16" spans="1:20" ht="73.95" customHeight="1" x14ac:dyDescent="0.5">
      <c r="A16" s="37" t="s">
        <v>38</v>
      </c>
      <c r="B16" s="37" t="s">
        <v>25</v>
      </c>
      <c r="C16" s="24">
        <v>3803</v>
      </c>
      <c r="D16" s="24" t="s">
        <v>235</v>
      </c>
      <c r="E16" s="29" t="s">
        <v>44</v>
      </c>
      <c r="F16" s="29" t="s">
        <v>59</v>
      </c>
      <c r="G16" s="29" t="s">
        <v>20</v>
      </c>
      <c r="H16" s="86" t="s">
        <v>23</v>
      </c>
      <c r="I16" s="86" t="s">
        <v>24</v>
      </c>
      <c r="J16" s="63">
        <v>0.3</v>
      </c>
      <c r="K16" s="31" t="s">
        <v>181</v>
      </c>
      <c r="L16" s="31" t="s">
        <v>165</v>
      </c>
      <c r="M16" s="31"/>
      <c r="N16" s="62">
        <v>1</v>
      </c>
      <c r="O16" s="62">
        <v>0.05</v>
      </c>
      <c r="P16" s="201">
        <v>1</v>
      </c>
      <c r="Q16" s="64">
        <f t="shared" si="4"/>
        <v>1</v>
      </c>
      <c r="R16" s="65">
        <f t="shared" si="5"/>
        <v>1.5</v>
      </c>
      <c r="S16" s="64" t="s">
        <v>27</v>
      </c>
      <c r="T16" s="64"/>
    </row>
    <row r="17" spans="1:20" ht="73.95" customHeight="1" x14ac:dyDescent="0.5">
      <c r="A17" s="37" t="s">
        <v>38</v>
      </c>
      <c r="B17" s="37" t="s">
        <v>25</v>
      </c>
      <c r="C17" s="24">
        <v>3803</v>
      </c>
      <c r="D17" s="24" t="s">
        <v>235</v>
      </c>
      <c r="E17" s="29" t="s">
        <v>44</v>
      </c>
      <c r="F17" s="29" t="s">
        <v>59</v>
      </c>
      <c r="G17" s="29" t="s">
        <v>20</v>
      </c>
      <c r="H17" s="86" t="s">
        <v>23</v>
      </c>
      <c r="I17" s="86" t="s">
        <v>24</v>
      </c>
      <c r="J17" s="63">
        <v>0.3</v>
      </c>
      <c r="K17" s="31" t="s">
        <v>182</v>
      </c>
      <c r="L17" s="31" t="s">
        <v>168</v>
      </c>
      <c r="M17" s="31"/>
      <c r="N17" s="62">
        <v>1</v>
      </c>
      <c r="O17" s="62">
        <v>0.2</v>
      </c>
      <c r="P17" s="201">
        <v>1</v>
      </c>
      <c r="Q17" s="64">
        <f t="shared" si="4"/>
        <v>1</v>
      </c>
      <c r="R17" s="65">
        <f t="shared" si="5"/>
        <v>6</v>
      </c>
      <c r="S17" s="64" t="s">
        <v>27</v>
      </c>
      <c r="T17" s="64"/>
    </row>
  </sheetData>
  <phoneticPr fontId="2" type="noConversion"/>
  <conditionalFormatting sqref="A8:B10 C2:F2 H1:I10 E3:F10 C3:D17">
    <cfRule type="cellIs" dxfId="86" priority="37" operator="equal">
      <formula>"maintasks"</formula>
    </cfRule>
  </conditionalFormatting>
  <conditionalFormatting sqref="K1:M1">
    <cfRule type="cellIs" dxfId="85" priority="18" operator="equal">
      <formula>"maintasks"</formula>
    </cfRule>
  </conditionalFormatting>
  <conditionalFormatting sqref="A11:B17">
    <cfRule type="cellIs" dxfId="84" priority="15" operator="equal">
      <formula>"maintasks"</formula>
    </cfRule>
  </conditionalFormatting>
  <conditionalFormatting sqref="L14:L17">
    <cfRule type="cellIs" dxfId="83" priority="12" operator="equal">
      <formula>"maintasks"</formula>
    </cfRule>
  </conditionalFormatting>
  <conditionalFormatting sqref="K11:M12 L13 K13:K17 M13:M17">
    <cfRule type="cellIs" dxfId="82" priority="13" operator="equal">
      <formula>"maintasks"</formula>
    </cfRule>
  </conditionalFormatting>
  <conditionalFormatting sqref="H11:I17">
    <cfRule type="cellIs" dxfId="81" priority="14" operator="equal">
      <formula>"maintasks"</formula>
    </cfRule>
  </conditionalFormatting>
  <conditionalFormatting sqref="K2:M5 K9:M9 K8:L8 K7:N7 K6:L6">
    <cfRule type="cellIs" dxfId="80" priority="5" operator="equal">
      <formula>"maintasks"</formula>
    </cfRule>
  </conditionalFormatting>
  <conditionalFormatting sqref="K10:M10">
    <cfRule type="cellIs" dxfId="79" priority="6" operator="equal">
      <formula>"maintasks"</formula>
    </cfRule>
  </conditionalFormatting>
  <conditionalFormatting sqref="N10">
    <cfRule type="cellIs" dxfId="78" priority="4" operator="equal">
      <formula>"maintasks"</formula>
    </cfRule>
  </conditionalFormatting>
  <conditionalFormatting sqref="M8">
    <cfRule type="cellIs" dxfId="77" priority="3" operator="equal">
      <formula>"maintasks"</formula>
    </cfRule>
  </conditionalFormatting>
  <conditionalFormatting sqref="M6">
    <cfRule type="cellIs" dxfId="76" priority="2" operator="equal">
      <formula>"maintasks"</formula>
    </cfRule>
  </conditionalFormatting>
  <conditionalFormatting sqref="N8">
    <cfRule type="cellIs" dxfId="75" priority="1" operator="equal">
      <formula>"maintasks"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C9D1-8F5D-4126-8D0E-D36540E81761}">
  <sheetPr>
    <tabColor rgb="FF00B050"/>
  </sheetPr>
  <dimension ref="A1:T14"/>
  <sheetViews>
    <sheetView topLeftCell="L1" zoomScale="160" zoomScaleNormal="160" workbookViewId="0">
      <pane ySplit="1" topLeftCell="A13" activePane="bottomLeft" state="frozen"/>
      <selection pane="bottomLeft" activeCell="Q13" sqref="Q13"/>
    </sheetView>
  </sheetViews>
  <sheetFormatPr defaultColWidth="8.77734375" defaultRowHeight="48" customHeight="1" x14ac:dyDescent="0.3"/>
  <cols>
    <col min="1" max="1" width="9.109375" style="9" bestFit="1" customWidth="1"/>
    <col min="2" max="2" width="11.21875" style="9" customWidth="1"/>
    <col min="3" max="3" width="5.109375" style="9" bestFit="1" customWidth="1"/>
    <col min="4" max="4" width="13.5546875" style="9" customWidth="1"/>
    <col min="5" max="5" width="13.21875" style="9" customWidth="1"/>
    <col min="6" max="6" width="5.88671875" style="9" bestFit="1" customWidth="1"/>
    <col min="7" max="8" width="6.6640625" style="9" bestFit="1" customWidth="1"/>
    <col min="9" max="9" width="11.44140625" style="9" customWidth="1"/>
    <col min="10" max="10" width="6.33203125" style="9" bestFit="1" customWidth="1"/>
    <col min="11" max="11" width="65.44140625" style="9" bestFit="1" customWidth="1"/>
    <col min="12" max="12" width="37.77734375" style="27" bestFit="1" customWidth="1"/>
    <col min="13" max="13" width="49.88671875" style="27" customWidth="1"/>
    <col min="14" max="14" width="5.33203125" style="9" bestFit="1" customWidth="1"/>
    <col min="15" max="15" width="8.77734375" style="9" bestFit="1" customWidth="1"/>
    <col min="16" max="16" width="13.21875" style="9" bestFit="1" customWidth="1"/>
    <col min="17" max="17" width="10.88671875" style="9" customWidth="1"/>
    <col min="18" max="18" width="6.33203125" style="9" customWidth="1"/>
    <col min="19" max="19" width="4" style="9" bestFit="1" customWidth="1"/>
    <col min="20" max="20" width="4.21875" style="9" bestFit="1" customWidth="1"/>
    <col min="21" max="16384" width="8.77734375" style="9"/>
  </cols>
  <sheetData>
    <row r="1" spans="1:20" ht="48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6" t="s">
        <v>11</v>
      </c>
      <c r="M1" s="26" t="s">
        <v>12</v>
      </c>
      <c r="N1" s="2" t="s">
        <v>13</v>
      </c>
      <c r="O1" s="4" t="s">
        <v>14</v>
      </c>
      <c r="P1" s="2" t="s">
        <v>15</v>
      </c>
      <c r="Q1" s="5" t="s">
        <v>16</v>
      </c>
      <c r="R1" s="6" t="s">
        <v>17</v>
      </c>
      <c r="S1" s="7" t="s">
        <v>18</v>
      </c>
      <c r="T1" s="8" t="s">
        <v>19</v>
      </c>
    </row>
    <row r="2" spans="1:20" ht="48" customHeight="1" x14ac:dyDescent="0.3">
      <c r="A2" s="10" t="s">
        <v>38</v>
      </c>
      <c r="B2" s="11" t="s">
        <v>25</v>
      </c>
      <c r="C2" s="11">
        <v>3073</v>
      </c>
      <c r="D2" s="11" t="s">
        <v>45</v>
      </c>
      <c r="E2" s="11" t="s">
        <v>46</v>
      </c>
      <c r="F2" s="11" t="s">
        <v>58</v>
      </c>
      <c r="G2" s="11" t="s">
        <v>20</v>
      </c>
      <c r="H2" s="12" t="s">
        <v>21</v>
      </c>
      <c r="I2" s="12" t="s">
        <v>22</v>
      </c>
      <c r="J2" s="16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188">
        <v>0.96</v>
      </c>
      <c r="Q2" s="41">
        <f>ROUND(IF(OR(N2="",P2=""),0,IF(AND(N2=0,P2=0),1,IF(S2="+",P2/N2,N2/P2))),2)</f>
        <v>1.01</v>
      </c>
      <c r="R2" s="43">
        <f>IF(AND(Q2&gt;=60%,Q2&lt;100%),Q2*((O2*J2)),IF(Q2=100%,((O2*J2)*Q2)*100%,IF(Q2&gt;100%,((J2*O2)*100%)*100%,0)))*100</f>
        <v>10.5</v>
      </c>
      <c r="S2" s="41" t="s">
        <v>27</v>
      </c>
      <c r="T2" s="190">
        <f>SUM(R2:R14)%</f>
        <v>1</v>
      </c>
    </row>
    <row r="3" spans="1:20" ht="48" customHeight="1" x14ac:dyDescent="0.3">
      <c r="A3" s="10" t="s">
        <v>38</v>
      </c>
      <c r="B3" s="11" t="s">
        <v>25</v>
      </c>
      <c r="C3" s="11">
        <v>3073</v>
      </c>
      <c r="D3" s="11" t="s">
        <v>45</v>
      </c>
      <c r="E3" s="11" t="s">
        <v>46</v>
      </c>
      <c r="F3" s="11" t="s">
        <v>58</v>
      </c>
      <c r="G3" s="11" t="s">
        <v>20</v>
      </c>
      <c r="H3" s="12" t="s">
        <v>21</v>
      </c>
      <c r="I3" s="12" t="s">
        <v>22</v>
      </c>
      <c r="J3" s="16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8">
        <v>1</v>
      </c>
      <c r="Q3" s="41">
        <f t="shared" ref="Q3:Q10" si="0">ROUND(IF(OR(N3="",P3=""),0,IF(AND(N3=0,P3=0),1,IF(S3="+",P3/N3,N3/P3))),2)</f>
        <v>1.05</v>
      </c>
      <c r="R3" s="43">
        <f t="shared" ref="R3:R10" si="1">IF(AND(Q3&gt;=60%,Q3&lt;100%),Q3*((O3*J3)),IF(Q3=100%,((O3*J3)*Q3)*100%,IF(Q3&gt;100%,((J3*O3)*100%)*100%,0)))*100</f>
        <v>10.5</v>
      </c>
      <c r="S3" s="41" t="s">
        <v>27</v>
      </c>
      <c r="T3" s="79"/>
    </row>
    <row r="4" spans="1:20" ht="48" customHeight="1" x14ac:dyDescent="0.3">
      <c r="A4" s="10" t="s">
        <v>38</v>
      </c>
      <c r="B4" s="11" t="s">
        <v>25</v>
      </c>
      <c r="C4" s="11">
        <v>3073</v>
      </c>
      <c r="D4" s="11" t="s">
        <v>45</v>
      </c>
      <c r="E4" s="11" t="s">
        <v>46</v>
      </c>
      <c r="F4" s="11" t="s">
        <v>58</v>
      </c>
      <c r="G4" s="11" t="s">
        <v>20</v>
      </c>
      <c r="H4" s="12" t="s">
        <v>21</v>
      </c>
      <c r="I4" s="12" t="s">
        <v>22</v>
      </c>
      <c r="J4" s="16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188">
        <v>1.27</v>
      </c>
      <c r="Q4" s="41">
        <f t="shared" si="0"/>
        <v>1.81</v>
      </c>
      <c r="R4" s="43">
        <f t="shared" si="1"/>
        <v>6.9999999999999991</v>
      </c>
      <c r="S4" s="41" t="s">
        <v>27</v>
      </c>
      <c r="T4" s="79"/>
    </row>
    <row r="5" spans="1:20" ht="48" customHeight="1" x14ac:dyDescent="0.3">
      <c r="A5" s="10" t="s">
        <v>38</v>
      </c>
      <c r="B5" s="11" t="s">
        <v>25</v>
      </c>
      <c r="C5" s="11">
        <v>3073</v>
      </c>
      <c r="D5" s="11" t="s">
        <v>45</v>
      </c>
      <c r="E5" s="11" t="s">
        <v>46</v>
      </c>
      <c r="F5" s="11" t="s">
        <v>58</v>
      </c>
      <c r="G5" s="11" t="s">
        <v>20</v>
      </c>
      <c r="H5" s="12" t="s">
        <v>21</v>
      </c>
      <c r="I5" s="12" t="s">
        <v>22</v>
      </c>
      <c r="J5" s="16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84">
        <v>0.05</v>
      </c>
      <c r="Q5" s="41">
        <f t="shared" si="0"/>
        <v>1</v>
      </c>
      <c r="R5" s="43">
        <f t="shared" si="1"/>
        <v>5.6</v>
      </c>
      <c r="S5" s="42" t="s">
        <v>28</v>
      </c>
      <c r="T5" s="79"/>
    </row>
    <row r="6" spans="1:20" ht="48" customHeight="1" x14ac:dyDescent="0.3">
      <c r="A6" s="10" t="s">
        <v>38</v>
      </c>
      <c r="B6" s="11" t="s">
        <v>25</v>
      </c>
      <c r="C6" s="11">
        <v>3073</v>
      </c>
      <c r="D6" s="11" t="s">
        <v>45</v>
      </c>
      <c r="E6" s="11" t="s">
        <v>46</v>
      </c>
      <c r="F6" s="11" t="s">
        <v>58</v>
      </c>
      <c r="G6" s="11" t="s">
        <v>20</v>
      </c>
      <c r="H6" s="12" t="s">
        <v>21</v>
      </c>
      <c r="I6" s="12" t="s">
        <v>22</v>
      </c>
      <c r="J6" s="16">
        <v>0.7</v>
      </c>
      <c r="K6" s="68" t="s">
        <v>36</v>
      </c>
      <c r="L6" s="18" t="s">
        <v>37</v>
      </c>
      <c r="M6" s="23" t="s">
        <v>236</v>
      </c>
      <c r="N6" s="41">
        <v>1</v>
      </c>
      <c r="O6" s="41">
        <v>0.1</v>
      </c>
      <c r="P6" s="188">
        <v>1</v>
      </c>
      <c r="Q6" s="41">
        <f t="shared" si="0"/>
        <v>1</v>
      </c>
      <c r="R6" s="43">
        <f t="shared" si="1"/>
        <v>6.9999999999999991</v>
      </c>
      <c r="S6" s="41" t="s">
        <v>27</v>
      </c>
      <c r="T6" s="79"/>
    </row>
    <row r="7" spans="1:20" ht="48" customHeight="1" x14ac:dyDescent="0.3">
      <c r="A7" s="10" t="s">
        <v>38</v>
      </c>
      <c r="B7" s="11" t="s">
        <v>25</v>
      </c>
      <c r="C7" s="11">
        <v>3073</v>
      </c>
      <c r="D7" s="11" t="s">
        <v>45</v>
      </c>
      <c r="E7" s="11" t="s">
        <v>46</v>
      </c>
      <c r="F7" s="11" t="s">
        <v>58</v>
      </c>
      <c r="G7" s="11" t="s">
        <v>20</v>
      </c>
      <c r="H7" s="12" t="s">
        <v>21</v>
      </c>
      <c r="I7" s="12" t="s">
        <v>22</v>
      </c>
      <c r="J7" s="16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>
        <v>0.05</v>
      </c>
      <c r="Q7" s="41">
        <f t="shared" si="0"/>
        <v>1</v>
      </c>
      <c r="R7" s="43">
        <f t="shared" si="1"/>
        <v>10.5</v>
      </c>
      <c r="S7" s="41" t="s">
        <v>28</v>
      </c>
      <c r="T7" s="79"/>
    </row>
    <row r="8" spans="1:20" ht="48" customHeight="1" x14ac:dyDescent="0.3">
      <c r="A8" s="21" t="s">
        <v>38</v>
      </c>
      <c r="B8" s="21" t="s">
        <v>25</v>
      </c>
      <c r="C8" s="19">
        <v>3073</v>
      </c>
      <c r="D8" s="20" t="s">
        <v>45</v>
      </c>
      <c r="E8" s="20" t="s">
        <v>46</v>
      </c>
      <c r="F8" s="20" t="s">
        <v>58</v>
      </c>
      <c r="G8" s="20" t="s">
        <v>20</v>
      </c>
      <c r="H8" s="25" t="s">
        <v>21</v>
      </c>
      <c r="I8" s="22" t="s">
        <v>22</v>
      </c>
      <c r="J8" s="16">
        <v>0.7</v>
      </c>
      <c r="K8" s="113" t="s">
        <v>61</v>
      </c>
      <c r="L8" s="113" t="s">
        <v>62</v>
      </c>
      <c r="M8" s="23" t="s">
        <v>234</v>
      </c>
      <c r="N8" s="128">
        <v>0.05</v>
      </c>
      <c r="O8" s="53">
        <v>0.1</v>
      </c>
      <c r="P8" s="202">
        <v>0.71</v>
      </c>
      <c r="Q8" s="53">
        <f>ROUND(IF(OR(N8="",P8=""),0,IF(AND(N8=0,P8=0),1,IF(S8="+",P8/N8,N8/P8))),2)</f>
        <v>14.2</v>
      </c>
      <c r="R8" s="55">
        <f>IF(AND(Q8&gt;=60%,Q8&lt;100%),Q8*((O8*J8)),IF(Q8=100%,((O8*J8)*Q8)*100%,IF(Q8&gt;100%,((J8*O8)*100%)*100%,0)))*100</f>
        <v>6.9999999999999991</v>
      </c>
      <c r="S8" s="53" t="s">
        <v>27</v>
      </c>
      <c r="T8" s="191"/>
    </row>
    <row r="9" spans="1:20" ht="48" customHeight="1" x14ac:dyDescent="0.3">
      <c r="A9" s="10" t="s">
        <v>38</v>
      </c>
      <c r="B9" s="11" t="s">
        <v>25</v>
      </c>
      <c r="C9" s="11">
        <v>3073</v>
      </c>
      <c r="D9" s="11" t="s">
        <v>45</v>
      </c>
      <c r="E9" s="11" t="s">
        <v>46</v>
      </c>
      <c r="F9" s="11" t="s">
        <v>58</v>
      </c>
      <c r="G9" s="11" t="s">
        <v>20</v>
      </c>
      <c r="H9" s="25" t="s">
        <v>21</v>
      </c>
      <c r="I9" s="22" t="s">
        <v>22</v>
      </c>
      <c r="J9" s="16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8">
        <v>0.96</v>
      </c>
      <c r="Q9" s="41">
        <f t="shared" si="0"/>
        <v>1.07</v>
      </c>
      <c r="R9" s="43">
        <f t="shared" si="1"/>
        <v>8.3999999999999986</v>
      </c>
      <c r="S9" s="41" t="s">
        <v>27</v>
      </c>
      <c r="T9" s="79"/>
    </row>
    <row r="10" spans="1:20" ht="48" customHeight="1" x14ac:dyDescent="0.3">
      <c r="A10" s="28" t="s">
        <v>38</v>
      </c>
      <c r="B10" s="28" t="s">
        <v>25</v>
      </c>
      <c r="C10" s="87">
        <v>3073</v>
      </c>
      <c r="D10" s="29" t="s">
        <v>45</v>
      </c>
      <c r="E10" s="29" t="s">
        <v>46</v>
      </c>
      <c r="F10" s="29" t="s">
        <v>58</v>
      </c>
      <c r="G10" s="29" t="s">
        <v>20</v>
      </c>
      <c r="H10" s="25" t="s">
        <v>21</v>
      </c>
      <c r="I10" s="22" t="s">
        <v>22</v>
      </c>
      <c r="J10" s="16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>
        <v>1</v>
      </c>
      <c r="Q10" s="81">
        <f t="shared" si="0"/>
        <v>1</v>
      </c>
      <c r="R10" s="82">
        <f t="shared" si="1"/>
        <v>3.4999999999999996</v>
      </c>
      <c r="S10" s="81" t="s">
        <v>27</v>
      </c>
      <c r="T10" s="192"/>
    </row>
    <row r="11" spans="1:20" ht="48" customHeight="1" x14ac:dyDescent="0.3">
      <c r="A11" s="28" t="s">
        <v>38</v>
      </c>
      <c r="B11" s="28" t="s">
        <v>25</v>
      </c>
      <c r="C11" s="87">
        <v>3073</v>
      </c>
      <c r="D11" s="29" t="s">
        <v>45</v>
      </c>
      <c r="E11" s="29" t="s">
        <v>46</v>
      </c>
      <c r="F11" s="29" t="s">
        <v>58</v>
      </c>
      <c r="G11" s="29" t="s">
        <v>20</v>
      </c>
      <c r="H11" s="86" t="s">
        <v>23</v>
      </c>
      <c r="I11" s="89" t="s">
        <v>24</v>
      </c>
      <c r="J11" s="15">
        <v>0.3</v>
      </c>
      <c r="K11" s="30" t="s">
        <v>183</v>
      </c>
      <c r="L11" s="31" t="s">
        <v>139</v>
      </c>
      <c r="M11" s="30"/>
      <c r="N11" s="136">
        <v>1</v>
      </c>
      <c r="O11" s="115">
        <v>0.2</v>
      </c>
      <c r="P11" s="203">
        <v>1</v>
      </c>
      <c r="Q11" s="13">
        <f t="shared" ref="Q11:Q14" si="2">ROUND(IF(OR(N9="",P9=""),0,IF(AND(N9=0,P9=0),1,IF(S9="+",P9/N9,N9/P9))),2)</f>
        <v>1.07</v>
      </c>
      <c r="R11" s="14">
        <f t="shared" ref="R11:R12" si="3">IF(AND(Q11&gt;=60%,Q11&lt;100%),Q11*((O11*J11)),IF(Q11=100%,((O11*J11)*Q11)*100%,IF(Q11&gt;100%,((J11*O11)*100%)*100%,0)))*100</f>
        <v>6</v>
      </c>
      <c r="S11" s="88" t="s">
        <v>27</v>
      </c>
      <c r="T11" s="88"/>
    </row>
    <row r="12" spans="1:20" ht="48" customHeight="1" x14ac:dyDescent="0.3">
      <c r="A12" s="28" t="s">
        <v>38</v>
      </c>
      <c r="B12" s="28" t="s">
        <v>63</v>
      </c>
      <c r="C12" s="87">
        <v>3073</v>
      </c>
      <c r="D12" s="29" t="s">
        <v>45</v>
      </c>
      <c r="E12" s="29" t="s">
        <v>46</v>
      </c>
      <c r="F12" s="29" t="s">
        <v>58</v>
      </c>
      <c r="G12" s="29" t="s">
        <v>20</v>
      </c>
      <c r="H12" s="86" t="s">
        <v>23</v>
      </c>
      <c r="I12" s="89" t="s">
        <v>24</v>
      </c>
      <c r="J12" s="15">
        <v>0.3</v>
      </c>
      <c r="K12" s="30" t="s">
        <v>185</v>
      </c>
      <c r="L12" s="31" t="s">
        <v>186</v>
      </c>
      <c r="M12" s="30"/>
      <c r="N12" s="136">
        <v>0.3</v>
      </c>
      <c r="O12" s="115">
        <v>0.3</v>
      </c>
      <c r="P12" s="203">
        <v>0.3</v>
      </c>
      <c r="Q12" s="13">
        <f t="shared" si="2"/>
        <v>1</v>
      </c>
      <c r="R12" s="14">
        <f t="shared" si="3"/>
        <v>9</v>
      </c>
      <c r="S12" s="88" t="s">
        <v>27</v>
      </c>
      <c r="T12" s="88"/>
    </row>
    <row r="13" spans="1:20" ht="48" customHeight="1" x14ac:dyDescent="0.3">
      <c r="A13" s="28" t="s">
        <v>38</v>
      </c>
      <c r="B13" s="28" t="s">
        <v>68</v>
      </c>
      <c r="C13" s="87">
        <v>3073</v>
      </c>
      <c r="D13" s="29" t="s">
        <v>45</v>
      </c>
      <c r="E13" s="29" t="s">
        <v>140</v>
      </c>
      <c r="F13" s="29" t="s">
        <v>58</v>
      </c>
      <c r="G13" s="29" t="s">
        <v>20</v>
      </c>
      <c r="H13" s="86" t="s">
        <v>23</v>
      </c>
      <c r="I13" s="89" t="s">
        <v>24</v>
      </c>
      <c r="J13" s="15">
        <v>0.3</v>
      </c>
      <c r="K13" s="30" t="s">
        <v>184</v>
      </c>
      <c r="L13" s="31" t="s">
        <v>141</v>
      </c>
      <c r="M13" s="30"/>
      <c r="N13" s="136">
        <v>0.3</v>
      </c>
      <c r="O13" s="115">
        <v>0.3</v>
      </c>
      <c r="P13" s="203">
        <v>0.3</v>
      </c>
      <c r="Q13" s="13">
        <f t="shared" si="2"/>
        <v>1</v>
      </c>
      <c r="R13" s="14">
        <f t="shared" ref="R13" si="4">IF(AND(Q13&gt;=60%,Q13&lt;100%),Q13*((O13*J13)),IF(Q13=100%,((O13*J13)*Q13)*100%,IF(Q13&gt;100%,((J13*O13)*100%)*100%,0)))*100</f>
        <v>9</v>
      </c>
      <c r="S13" s="88" t="s">
        <v>27</v>
      </c>
      <c r="T13" s="88"/>
    </row>
    <row r="14" spans="1:20" ht="48" customHeight="1" x14ac:dyDescent="0.3">
      <c r="A14" s="28" t="s">
        <v>38</v>
      </c>
      <c r="B14" s="28" t="s">
        <v>90</v>
      </c>
      <c r="C14" s="87">
        <v>3073</v>
      </c>
      <c r="D14" s="29" t="s">
        <v>45</v>
      </c>
      <c r="E14" s="29" t="s">
        <v>142</v>
      </c>
      <c r="F14" s="29" t="s">
        <v>58</v>
      </c>
      <c r="G14" s="29" t="s">
        <v>20</v>
      </c>
      <c r="H14" s="86" t="s">
        <v>23</v>
      </c>
      <c r="I14" s="89" t="s">
        <v>24</v>
      </c>
      <c r="J14" s="15">
        <v>0.3</v>
      </c>
      <c r="K14" s="30" t="s">
        <v>187</v>
      </c>
      <c r="L14" s="31" t="s">
        <v>143</v>
      </c>
      <c r="M14" s="30"/>
      <c r="N14" s="136">
        <v>1</v>
      </c>
      <c r="O14" s="115">
        <v>0.2</v>
      </c>
      <c r="P14" s="203">
        <v>1</v>
      </c>
      <c r="Q14" s="13">
        <f t="shared" si="2"/>
        <v>1</v>
      </c>
      <c r="R14" s="14">
        <f t="shared" ref="R14" si="5">IF(AND(Q14&gt;=60%,Q14&lt;100%),Q14*((O14*J14)),IF(Q14=100%,((O14*J14)*Q14)*100%,IF(Q14&gt;100%,((J14*O14)*100%)*100%,0)))*100</f>
        <v>6</v>
      </c>
      <c r="S14" s="88" t="s">
        <v>27</v>
      </c>
      <c r="T14" s="88"/>
    </row>
  </sheetData>
  <phoneticPr fontId="2" type="noConversion"/>
  <conditionalFormatting sqref="A10:B10 A8:B8 H1:I9 K1:M1 H8:H10">
    <cfRule type="cellIs" dxfId="74" priority="22" operator="equal">
      <formula>"maintasks"</formula>
    </cfRule>
  </conditionalFormatting>
  <conditionalFormatting sqref="I11:I14">
    <cfRule type="cellIs" dxfId="73" priority="12" operator="equal">
      <formula>"maintasks"</formula>
    </cfRule>
  </conditionalFormatting>
  <conditionalFormatting sqref="K11:N14">
    <cfRule type="cellIs" dxfId="72" priority="10" operator="equal">
      <formula>"maintasks"</formula>
    </cfRule>
  </conditionalFormatting>
  <conditionalFormatting sqref="I10">
    <cfRule type="cellIs" dxfId="71" priority="8" operator="equal">
      <formula>"maintasks"</formula>
    </cfRule>
  </conditionalFormatting>
  <conditionalFormatting sqref="H11:H14 A11:B14">
    <cfRule type="cellIs" dxfId="70" priority="11" operator="equal">
      <formula>"maintasks"</formula>
    </cfRule>
  </conditionalFormatting>
  <conditionalFormatting sqref="I10">
    <cfRule type="cellIs" dxfId="69" priority="9" operator="equal">
      <formula>"maintasks"</formula>
    </cfRule>
  </conditionalFormatting>
  <conditionalFormatting sqref="H10">
    <cfRule type="cellIs" dxfId="68" priority="6" operator="equal">
      <formula>"maintasks"</formula>
    </cfRule>
  </conditionalFormatting>
  <conditionalFormatting sqref="K2:M5 K9:M9 K8:L8 K7:N7 K6:L6">
    <cfRule type="cellIs" dxfId="67" priority="4" operator="equal">
      <formula>"maintasks"</formula>
    </cfRule>
  </conditionalFormatting>
  <conditionalFormatting sqref="K10:M10">
    <cfRule type="cellIs" dxfId="66" priority="5" operator="equal">
      <formula>"maintasks"</formula>
    </cfRule>
  </conditionalFormatting>
  <conditionalFormatting sqref="N10">
    <cfRule type="cellIs" dxfId="65" priority="3" operator="equal">
      <formula>"maintasks"</formula>
    </cfRule>
  </conditionalFormatting>
  <conditionalFormatting sqref="M8:N8">
    <cfRule type="cellIs" dxfId="64" priority="2" operator="equal">
      <formula>"maintasks"</formula>
    </cfRule>
  </conditionalFormatting>
  <conditionalFormatting sqref="M6">
    <cfRule type="cellIs" dxfId="63" priority="1" operator="equal">
      <formula>"maintasks"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8BD6-9DAB-4464-8BB0-C32DF8CF8B56}">
  <sheetPr>
    <tabColor rgb="FFFF0000"/>
  </sheetPr>
  <dimension ref="A1:T15"/>
  <sheetViews>
    <sheetView topLeftCell="L1" zoomScale="115" zoomScaleNormal="115" workbookViewId="0">
      <pane ySplit="1" topLeftCell="A5" activePane="bottomLeft" state="frozen"/>
      <selection pane="bottomLeft" activeCell="M8" sqref="M8"/>
    </sheetView>
  </sheetViews>
  <sheetFormatPr defaultColWidth="8.77734375" defaultRowHeight="52.95" customHeight="1" x14ac:dyDescent="0.5"/>
  <cols>
    <col min="1" max="1" width="9.109375" style="67" bestFit="1" customWidth="1"/>
    <col min="2" max="2" width="6.21875" style="67" customWidth="1"/>
    <col min="3" max="3" width="6.77734375" style="67" customWidth="1"/>
    <col min="4" max="4" width="20.77734375" style="67" customWidth="1"/>
    <col min="5" max="5" width="12.44140625" style="67" customWidth="1"/>
    <col min="6" max="6" width="14.6640625" style="67" customWidth="1"/>
    <col min="7" max="7" width="9.5546875" style="67" customWidth="1"/>
    <col min="8" max="8" width="8.6640625" style="67" customWidth="1"/>
    <col min="9" max="9" width="7.6640625" style="67" bestFit="1" customWidth="1"/>
    <col min="10" max="10" width="6.33203125" style="67" bestFit="1" customWidth="1"/>
    <col min="11" max="11" width="65.44140625" style="67" bestFit="1" customWidth="1"/>
    <col min="12" max="12" width="37.77734375" style="67" bestFit="1" customWidth="1"/>
    <col min="13" max="13" width="49.88671875" style="67" customWidth="1"/>
    <col min="14" max="14" width="13.88671875" style="67" customWidth="1"/>
    <col min="15" max="15" width="8.77734375" style="67" bestFit="1" customWidth="1"/>
    <col min="16" max="16" width="13.21875" style="67" bestFit="1" customWidth="1"/>
    <col min="17" max="17" width="10.88671875" style="67" customWidth="1"/>
    <col min="18" max="18" width="6.33203125" style="67" customWidth="1"/>
    <col min="19" max="19" width="4" style="67" bestFit="1" customWidth="1"/>
    <col min="20" max="20" width="4.21875" style="67" bestFit="1" customWidth="1"/>
    <col min="21" max="16384" width="8.77734375" style="67"/>
  </cols>
  <sheetData>
    <row r="1" spans="1:20" ht="31.5" customHeight="1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42.45" customHeight="1" x14ac:dyDescent="0.5">
      <c r="A2" s="40" t="s">
        <v>38</v>
      </c>
      <c r="B2" s="40" t="s">
        <v>25</v>
      </c>
      <c r="C2" s="40">
        <v>3652</v>
      </c>
      <c r="D2" s="93" t="s">
        <v>47</v>
      </c>
      <c r="E2" s="93" t="s">
        <v>48</v>
      </c>
      <c r="F2" s="93" t="s">
        <v>59</v>
      </c>
      <c r="G2" s="40" t="s">
        <v>20</v>
      </c>
      <c r="H2" s="24" t="s">
        <v>21</v>
      </c>
      <c r="I2" s="24" t="s">
        <v>22</v>
      </c>
      <c r="J2" s="41">
        <v>0.6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188">
        <v>0.79</v>
      </c>
      <c r="Q2" s="41">
        <f>ROUND(IF(OR(N2="",P2=""),0,IF(AND(N2=0,P2=0),1,IF(S2="+",P2/N2,N2/P2))),2)</f>
        <v>0.83</v>
      </c>
      <c r="R2" s="43">
        <f>IF(AND(Q2&gt;=60%,Q2&lt;100%),Q2*((O2*J2)),IF(Q2=100%,((O2*J2)*Q2)*100%,IF(Q2&gt;100%,((J2*O2)*100%)*100%,0)))*100</f>
        <v>7.4699999999999989</v>
      </c>
      <c r="S2" s="41" t="s">
        <v>27</v>
      </c>
      <c r="T2" s="190">
        <f>SUM(R2:R15)%</f>
        <v>0.92189999999999994</v>
      </c>
    </row>
    <row r="3" spans="1:20" ht="42.45" customHeight="1" x14ac:dyDescent="0.5">
      <c r="A3" s="40" t="s">
        <v>38</v>
      </c>
      <c r="B3" s="40" t="s">
        <v>25</v>
      </c>
      <c r="C3" s="40">
        <v>3652</v>
      </c>
      <c r="D3" s="93" t="s">
        <v>47</v>
      </c>
      <c r="E3" s="93" t="s">
        <v>48</v>
      </c>
      <c r="F3" s="93" t="s">
        <v>59</v>
      </c>
      <c r="G3" s="40" t="s">
        <v>20</v>
      </c>
      <c r="H3" s="24" t="s">
        <v>21</v>
      </c>
      <c r="I3" s="24" t="s">
        <v>22</v>
      </c>
      <c r="J3" s="41">
        <v>0.6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8">
        <v>0.8</v>
      </c>
      <c r="Q3" s="41">
        <f t="shared" ref="Q3:Q10" si="0">ROUND(IF(OR(N3="",P3=""),0,IF(AND(N3=0,P3=0),1,IF(S3="+",P3/N3,N3/P3))),2)</f>
        <v>0.84</v>
      </c>
      <c r="R3" s="43">
        <f t="shared" ref="R3:R10" si="1">IF(AND(Q3&gt;=60%,Q3&lt;100%),Q3*((O3*J3)),IF(Q3=100%,((O3*J3)*Q3)*100%,IF(Q3&gt;100%,((J3*O3)*100%)*100%,0)))*100</f>
        <v>7.5600000000000005</v>
      </c>
      <c r="S3" s="41" t="s">
        <v>27</v>
      </c>
      <c r="T3" s="79"/>
    </row>
    <row r="4" spans="1:20" ht="42.45" customHeight="1" x14ac:dyDescent="0.5">
      <c r="A4" s="40" t="s">
        <v>38</v>
      </c>
      <c r="B4" s="40" t="s">
        <v>25</v>
      </c>
      <c r="C4" s="40">
        <v>3652</v>
      </c>
      <c r="D4" s="93" t="s">
        <v>47</v>
      </c>
      <c r="E4" s="93" t="s">
        <v>48</v>
      </c>
      <c r="F4" s="93" t="s">
        <v>59</v>
      </c>
      <c r="G4" s="40" t="s">
        <v>20</v>
      </c>
      <c r="H4" s="24" t="s">
        <v>21</v>
      </c>
      <c r="I4" s="47" t="s">
        <v>22</v>
      </c>
      <c r="J4" s="41">
        <v>0.6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188">
        <v>1</v>
      </c>
      <c r="Q4" s="41">
        <f t="shared" si="0"/>
        <v>1.43</v>
      </c>
      <c r="R4" s="43">
        <f t="shared" si="1"/>
        <v>6</v>
      </c>
      <c r="S4" s="41" t="s">
        <v>27</v>
      </c>
      <c r="T4" s="79"/>
    </row>
    <row r="5" spans="1:20" ht="42.45" customHeight="1" x14ac:dyDescent="0.5">
      <c r="A5" s="40" t="s">
        <v>38</v>
      </c>
      <c r="B5" s="40" t="s">
        <v>25</v>
      </c>
      <c r="C5" s="40">
        <v>3652</v>
      </c>
      <c r="D5" s="93" t="s">
        <v>47</v>
      </c>
      <c r="E5" s="93" t="s">
        <v>48</v>
      </c>
      <c r="F5" s="93" t="s">
        <v>59</v>
      </c>
      <c r="G5" s="40" t="s">
        <v>20</v>
      </c>
      <c r="H5" s="2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88">
        <v>0.05</v>
      </c>
      <c r="Q5" s="41">
        <f t="shared" si="0"/>
        <v>1</v>
      </c>
      <c r="R5" s="43">
        <f t="shared" si="1"/>
        <v>5.6</v>
      </c>
      <c r="S5" s="42" t="s">
        <v>28</v>
      </c>
      <c r="T5" s="79"/>
    </row>
    <row r="6" spans="1:20" ht="42.45" customHeight="1" x14ac:dyDescent="0.5">
      <c r="A6" s="40" t="s">
        <v>38</v>
      </c>
      <c r="B6" s="40" t="s">
        <v>25</v>
      </c>
      <c r="C6" s="40">
        <v>3652</v>
      </c>
      <c r="D6" s="93" t="s">
        <v>47</v>
      </c>
      <c r="E6" s="93" t="s">
        <v>48</v>
      </c>
      <c r="F6" s="93" t="s">
        <v>59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236</v>
      </c>
      <c r="N6" s="41">
        <v>1</v>
      </c>
      <c r="O6" s="41">
        <v>0.1</v>
      </c>
      <c r="P6" s="188">
        <v>1</v>
      </c>
      <c r="Q6" s="41">
        <f t="shared" si="0"/>
        <v>1</v>
      </c>
      <c r="R6" s="43">
        <f t="shared" si="1"/>
        <v>6.9999999999999991</v>
      </c>
      <c r="S6" s="41" t="s">
        <v>27</v>
      </c>
      <c r="T6" s="79"/>
    </row>
    <row r="7" spans="1:20" ht="42.45" customHeight="1" x14ac:dyDescent="0.5">
      <c r="A7" s="40" t="s">
        <v>38</v>
      </c>
      <c r="B7" s="40" t="s">
        <v>25</v>
      </c>
      <c r="C7" s="40">
        <v>3652</v>
      </c>
      <c r="D7" s="93" t="s">
        <v>47</v>
      </c>
      <c r="E7" s="93" t="s">
        <v>48</v>
      </c>
      <c r="F7" s="93" t="s">
        <v>59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>
        <v>0.05</v>
      </c>
      <c r="Q7" s="41">
        <f t="shared" si="0"/>
        <v>1</v>
      </c>
      <c r="R7" s="43">
        <f t="shared" si="1"/>
        <v>10.5</v>
      </c>
      <c r="S7" s="41" t="s">
        <v>28</v>
      </c>
      <c r="T7" s="79"/>
    </row>
    <row r="8" spans="1:20" ht="42.45" customHeight="1" x14ac:dyDescent="0.5">
      <c r="A8" s="25" t="s">
        <v>38</v>
      </c>
      <c r="B8" s="25" t="s">
        <v>25</v>
      </c>
      <c r="C8" s="35">
        <v>3652</v>
      </c>
      <c r="D8" s="94" t="s">
        <v>47</v>
      </c>
      <c r="E8" s="94" t="s">
        <v>48</v>
      </c>
      <c r="F8" s="94" t="s">
        <v>59</v>
      </c>
      <c r="G8" s="35" t="s">
        <v>20</v>
      </c>
      <c r="H8" s="25" t="s">
        <v>21</v>
      </c>
      <c r="I8" s="53" t="s">
        <v>22</v>
      </c>
      <c r="J8" s="41">
        <v>0.7</v>
      </c>
      <c r="K8" s="113" t="s">
        <v>61</v>
      </c>
      <c r="L8" s="113" t="s">
        <v>62</v>
      </c>
      <c r="M8" s="23" t="s">
        <v>234</v>
      </c>
      <c r="N8" s="128">
        <v>0.05</v>
      </c>
      <c r="O8" s="53">
        <v>0.1</v>
      </c>
      <c r="P8" s="202">
        <v>0.05</v>
      </c>
      <c r="Q8" s="53">
        <f>ROUND(IF(OR(N8="",P8=""),0,IF(AND(N8=0,P8=0),1,IF(S8="+",P8/N8,N8/P8))),2)</f>
        <v>1</v>
      </c>
      <c r="R8" s="55">
        <f>IF(AND(Q8&gt;=60%,Q8&lt;100%),Q8*((O8*J8)),IF(Q8=100%,((O8*J8)*Q8)*100%,IF(Q8&gt;100%,((J8*O8)*100%)*100%,0)))*100</f>
        <v>6.9999999999999991</v>
      </c>
      <c r="S8" s="53" t="s">
        <v>27</v>
      </c>
      <c r="T8" s="79"/>
    </row>
    <row r="9" spans="1:20" ht="42.45" customHeight="1" x14ac:dyDescent="0.5">
      <c r="A9" s="40" t="s">
        <v>38</v>
      </c>
      <c r="B9" s="40" t="s">
        <v>25</v>
      </c>
      <c r="C9" s="40">
        <v>3652</v>
      </c>
      <c r="D9" s="93" t="s">
        <v>47</v>
      </c>
      <c r="E9" s="93" t="s">
        <v>48</v>
      </c>
      <c r="F9" s="93" t="s">
        <v>59</v>
      </c>
      <c r="G9" s="40" t="s">
        <v>20</v>
      </c>
      <c r="H9" s="25" t="s">
        <v>21</v>
      </c>
      <c r="I9" s="53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8">
        <v>0.81</v>
      </c>
      <c r="Q9" s="41">
        <f t="shared" si="0"/>
        <v>0.9</v>
      </c>
      <c r="R9" s="43">
        <f t="shared" si="1"/>
        <v>7.5600000000000005</v>
      </c>
      <c r="S9" s="41" t="s">
        <v>27</v>
      </c>
      <c r="T9" s="79"/>
    </row>
    <row r="10" spans="1:20" ht="42.45" customHeight="1" x14ac:dyDescent="0.5">
      <c r="A10" s="25" t="s">
        <v>38</v>
      </c>
      <c r="B10" s="25" t="s">
        <v>25</v>
      </c>
      <c r="C10" s="35">
        <v>3652</v>
      </c>
      <c r="D10" s="94" t="s">
        <v>47</v>
      </c>
      <c r="E10" s="94" t="s">
        <v>48</v>
      </c>
      <c r="F10" s="94" t="s">
        <v>59</v>
      </c>
      <c r="G10" s="35" t="s">
        <v>20</v>
      </c>
      <c r="H10" s="25" t="s">
        <v>21</v>
      </c>
      <c r="I10" s="53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>
        <v>1</v>
      </c>
      <c r="Q10" s="81">
        <f t="shared" si="0"/>
        <v>1</v>
      </c>
      <c r="R10" s="82">
        <f t="shared" si="1"/>
        <v>3.4999999999999996</v>
      </c>
      <c r="S10" s="81" t="s">
        <v>27</v>
      </c>
      <c r="T10" s="192"/>
    </row>
    <row r="11" spans="1:20" ht="52.95" customHeight="1" x14ac:dyDescent="0.5">
      <c r="A11" s="25" t="s">
        <v>38</v>
      </c>
      <c r="B11" s="25" t="s">
        <v>25</v>
      </c>
      <c r="C11" s="35">
        <v>3652</v>
      </c>
      <c r="D11" s="94" t="s">
        <v>47</v>
      </c>
      <c r="E11" s="94" t="s">
        <v>48</v>
      </c>
      <c r="F11" s="94" t="s">
        <v>59</v>
      </c>
      <c r="G11" s="35" t="s">
        <v>20</v>
      </c>
      <c r="H11" s="35" t="s">
        <v>23</v>
      </c>
      <c r="I11" s="20" t="s">
        <v>24</v>
      </c>
      <c r="J11" s="63">
        <v>0.3</v>
      </c>
      <c r="K11" s="17" t="s">
        <v>228</v>
      </c>
      <c r="L11" s="17" t="s">
        <v>223</v>
      </c>
      <c r="M11" s="17"/>
      <c r="N11" s="186">
        <v>1</v>
      </c>
      <c r="O11" s="114">
        <v>0.1</v>
      </c>
      <c r="P11" s="80">
        <v>1</v>
      </c>
      <c r="Q11" s="81">
        <f t="shared" ref="Q11:Q12" si="2">ROUND(IF(OR(N11="",P11=""),0,IF(AND(N11=0,P11=0),1,IF(S11="+",P11/N11,N11/P11))),2)</f>
        <v>1</v>
      </c>
      <c r="R11" s="82">
        <f t="shared" ref="R11:R12" si="3">IF(AND(Q11&gt;=60%,Q11&lt;100%),Q11*((O11*J11)),IF(Q11=100%,((O11*J11)*Q11)*100%,IF(Q11&gt;100%,((J11*O11)*100%)*100%,0)))*100</f>
        <v>3</v>
      </c>
      <c r="S11" s="81" t="s">
        <v>27</v>
      </c>
      <c r="T11" s="81"/>
    </row>
    <row r="12" spans="1:20" ht="52.95" customHeight="1" x14ac:dyDescent="0.5">
      <c r="A12" s="25" t="s">
        <v>38</v>
      </c>
      <c r="B12" s="25" t="s">
        <v>25</v>
      </c>
      <c r="C12" s="35">
        <v>3652</v>
      </c>
      <c r="D12" s="94" t="s">
        <v>47</v>
      </c>
      <c r="E12" s="94" t="s">
        <v>48</v>
      </c>
      <c r="F12" s="94" t="s">
        <v>59</v>
      </c>
      <c r="G12" s="35" t="s">
        <v>20</v>
      </c>
      <c r="H12" s="35" t="s">
        <v>23</v>
      </c>
      <c r="I12" s="20" t="s">
        <v>24</v>
      </c>
      <c r="J12" s="63">
        <v>0.3</v>
      </c>
      <c r="K12" s="17" t="s">
        <v>229</v>
      </c>
      <c r="L12" s="17" t="s">
        <v>224</v>
      </c>
      <c r="M12" s="17"/>
      <c r="N12" s="186">
        <v>1</v>
      </c>
      <c r="O12" s="114">
        <v>0.3</v>
      </c>
      <c r="P12" s="80">
        <v>1</v>
      </c>
      <c r="Q12" s="81">
        <f t="shared" si="2"/>
        <v>1</v>
      </c>
      <c r="R12" s="82">
        <f t="shared" si="3"/>
        <v>9</v>
      </c>
      <c r="S12" s="81" t="s">
        <v>27</v>
      </c>
      <c r="T12" s="81"/>
    </row>
    <row r="13" spans="1:20" ht="52.95" customHeight="1" x14ac:dyDescent="0.5">
      <c r="A13" s="25" t="s">
        <v>38</v>
      </c>
      <c r="B13" s="25" t="s">
        <v>25</v>
      </c>
      <c r="C13" s="35">
        <v>3652</v>
      </c>
      <c r="D13" s="94" t="s">
        <v>47</v>
      </c>
      <c r="E13" s="94" t="s">
        <v>48</v>
      </c>
      <c r="F13" s="94" t="s">
        <v>59</v>
      </c>
      <c r="G13" s="35" t="s">
        <v>20</v>
      </c>
      <c r="H13" s="35" t="s">
        <v>23</v>
      </c>
      <c r="I13" s="20" t="s">
        <v>24</v>
      </c>
      <c r="J13" s="63">
        <v>0.3</v>
      </c>
      <c r="K13" s="17" t="s">
        <v>230</v>
      </c>
      <c r="L13" s="17" t="s">
        <v>225</v>
      </c>
      <c r="M13" s="17"/>
      <c r="N13" s="186">
        <v>1</v>
      </c>
      <c r="O13" s="114">
        <v>0.3</v>
      </c>
      <c r="P13" s="80">
        <v>1</v>
      </c>
      <c r="Q13" s="81">
        <f t="shared" ref="Q13:Q14" si="4">ROUND(IF(OR(N13="",P13=""),0,IF(AND(N13=0,P13=0),1,IF(S13="+",P13/N13,N13/P13))),2)</f>
        <v>1</v>
      </c>
      <c r="R13" s="82">
        <f t="shared" ref="R13:R14" si="5">IF(AND(Q13&gt;=60%,Q13&lt;100%),Q13*((O13*J13)),IF(Q13=100%,((O13*J13)*Q13)*100%,IF(Q13&gt;100%,((J13*O13)*100%)*100%,0)))*100</f>
        <v>9</v>
      </c>
      <c r="S13" s="81" t="s">
        <v>27</v>
      </c>
      <c r="T13" s="81"/>
    </row>
    <row r="14" spans="1:20" ht="52.95" customHeight="1" x14ac:dyDescent="0.5">
      <c r="A14" s="25" t="s">
        <v>38</v>
      </c>
      <c r="B14" s="25" t="s">
        <v>25</v>
      </c>
      <c r="C14" s="35">
        <v>3652</v>
      </c>
      <c r="D14" s="94" t="s">
        <v>47</v>
      </c>
      <c r="E14" s="94" t="s">
        <v>48</v>
      </c>
      <c r="F14" s="94" t="s">
        <v>59</v>
      </c>
      <c r="G14" s="35" t="s">
        <v>20</v>
      </c>
      <c r="H14" s="35" t="s">
        <v>23</v>
      </c>
      <c r="I14" s="20" t="s">
        <v>24</v>
      </c>
      <c r="J14" s="63">
        <v>0.3</v>
      </c>
      <c r="K14" s="17" t="s">
        <v>231</v>
      </c>
      <c r="L14" s="17" t="s">
        <v>226</v>
      </c>
      <c r="M14" s="17"/>
      <c r="N14" s="186">
        <v>1</v>
      </c>
      <c r="O14" s="114">
        <v>0.2</v>
      </c>
      <c r="P14" s="80">
        <v>1</v>
      </c>
      <c r="Q14" s="81">
        <f t="shared" si="4"/>
        <v>1</v>
      </c>
      <c r="R14" s="82">
        <f t="shared" si="5"/>
        <v>6</v>
      </c>
      <c r="S14" s="81" t="s">
        <v>27</v>
      </c>
      <c r="T14" s="81"/>
    </row>
    <row r="15" spans="1:20" ht="52.95" customHeight="1" x14ac:dyDescent="0.5">
      <c r="A15" s="25" t="s">
        <v>38</v>
      </c>
      <c r="B15" s="25" t="s">
        <v>25</v>
      </c>
      <c r="C15" s="35">
        <v>3652</v>
      </c>
      <c r="D15" s="94" t="s">
        <v>47</v>
      </c>
      <c r="E15" s="94" t="s">
        <v>48</v>
      </c>
      <c r="F15" s="94" t="s">
        <v>59</v>
      </c>
      <c r="G15" s="35" t="s">
        <v>20</v>
      </c>
      <c r="H15" s="35" t="s">
        <v>23</v>
      </c>
      <c r="I15" s="20" t="s">
        <v>24</v>
      </c>
      <c r="J15" s="63">
        <v>0.3</v>
      </c>
      <c r="K15" s="17" t="s">
        <v>232</v>
      </c>
      <c r="L15" s="17" t="s">
        <v>227</v>
      </c>
      <c r="M15" s="17"/>
      <c r="N15" s="186">
        <v>1</v>
      </c>
      <c r="O15" s="114">
        <v>0.1</v>
      </c>
      <c r="P15" s="80">
        <v>1</v>
      </c>
      <c r="Q15" s="81">
        <f t="shared" ref="Q15" si="6">ROUND(IF(OR(N15="",P15=""),0,IF(AND(N15=0,P15=0),1,IF(S15="+",P15/N15,N15/P15))),2)</f>
        <v>1</v>
      </c>
      <c r="R15" s="82">
        <f t="shared" ref="R15" si="7">IF(AND(Q15&gt;=60%,Q15&lt;100%),Q15*((O15*J15)),IF(Q15=100%,((O15*J15)*Q15)*100%,IF(Q15&gt;100%,((J15*O15)*100%)*100%,0)))*100</f>
        <v>3</v>
      </c>
      <c r="S15" s="81" t="s">
        <v>27</v>
      </c>
      <c r="T15" s="81"/>
    </row>
  </sheetData>
  <phoneticPr fontId="2" type="noConversion"/>
  <conditionalFormatting sqref="A10:B10 A8:B8 K1:M1 H8:H9">
    <cfRule type="cellIs" dxfId="62" priority="28" operator="equal">
      <formula>"maintasks"</formula>
    </cfRule>
  </conditionalFormatting>
  <conditionalFormatting sqref="H1:I7">
    <cfRule type="cellIs" dxfId="61" priority="77" operator="equal">
      <formula>"maintasks"</formula>
    </cfRule>
  </conditionalFormatting>
  <conditionalFormatting sqref="I7">
    <cfRule type="cellIs" dxfId="60" priority="34" operator="equal">
      <formula>"maintasks"</formula>
    </cfRule>
  </conditionalFormatting>
  <conditionalFormatting sqref="A11:B14">
    <cfRule type="cellIs" dxfId="59" priority="11" operator="equal">
      <formula>"maintasks"</formula>
    </cfRule>
  </conditionalFormatting>
  <conditionalFormatting sqref="H10">
    <cfRule type="cellIs" dxfId="58" priority="9" operator="equal">
      <formula>"maintasks"</formula>
    </cfRule>
  </conditionalFormatting>
  <conditionalFormatting sqref="K11:M14">
    <cfRule type="cellIs" dxfId="57" priority="8" operator="equal">
      <formula>"maintasks"</formula>
    </cfRule>
  </conditionalFormatting>
  <conditionalFormatting sqref="A15:B15">
    <cfRule type="cellIs" dxfId="56" priority="7" operator="equal">
      <formula>"maintasks"</formula>
    </cfRule>
  </conditionalFormatting>
  <conditionalFormatting sqref="K15:M15">
    <cfRule type="cellIs" dxfId="55" priority="6" operator="equal">
      <formula>"maintasks"</formula>
    </cfRule>
  </conditionalFormatting>
  <conditionalFormatting sqref="K2:M5 K9:M9 K8:L8 K7:N7 K6:L6">
    <cfRule type="cellIs" dxfId="54" priority="4" operator="equal">
      <formula>"maintasks"</formula>
    </cfRule>
  </conditionalFormatting>
  <conditionalFormatting sqref="K10:M10">
    <cfRule type="cellIs" dxfId="53" priority="5" operator="equal">
      <formula>"maintasks"</formula>
    </cfRule>
  </conditionalFormatting>
  <conditionalFormatting sqref="N10">
    <cfRule type="cellIs" dxfId="52" priority="3" operator="equal">
      <formula>"maintasks"</formula>
    </cfRule>
  </conditionalFormatting>
  <conditionalFormatting sqref="M8:N8">
    <cfRule type="cellIs" dxfId="51" priority="2" operator="equal">
      <formula>"maintasks"</formula>
    </cfRule>
  </conditionalFormatting>
  <conditionalFormatting sqref="M6">
    <cfRule type="cellIs" dxfId="50" priority="1" operator="equal">
      <formula>"maintasks"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3A71-B263-41A8-926E-BC7C1EDB8D9A}">
  <sheetPr>
    <tabColor rgb="FF00B050"/>
  </sheetPr>
  <dimension ref="A1:T14"/>
  <sheetViews>
    <sheetView topLeftCell="L1" zoomScaleNormal="100" workbookViewId="0">
      <pane ySplit="1" topLeftCell="A8" activePane="bottomLeft" state="frozen"/>
      <selection pane="bottomLeft" activeCell="L14" sqref="L11:L14"/>
    </sheetView>
  </sheetViews>
  <sheetFormatPr defaultColWidth="8.77734375" defaultRowHeight="46.05" customHeight="1" x14ac:dyDescent="0.5"/>
  <cols>
    <col min="1" max="1" width="5.5546875" style="67" bestFit="1" customWidth="1"/>
    <col min="2" max="2" width="5.44140625" style="67" customWidth="1"/>
    <col min="3" max="3" width="5.88671875" style="67" bestFit="1" customWidth="1"/>
    <col min="4" max="4" width="9.21875" style="67" bestFit="1" customWidth="1"/>
    <col min="5" max="5" width="19.21875" style="67" bestFit="1" customWidth="1"/>
    <col min="6" max="6" width="13.6640625" style="67" customWidth="1"/>
    <col min="7" max="7" width="9.6640625" style="67" customWidth="1"/>
    <col min="8" max="8" width="13" style="67" customWidth="1"/>
    <col min="9" max="9" width="7" style="67" bestFit="1" customWidth="1"/>
    <col min="10" max="10" width="7.21875" style="67" bestFit="1" customWidth="1"/>
    <col min="11" max="11" width="55.77734375" style="67" bestFit="1" customWidth="1"/>
    <col min="12" max="12" width="53.109375" style="67" bestFit="1" customWidth="1"/>
    <col min="13" max="13" width="93.44140625" style="67" bestFit="1" customWidth="1"/>
    <col min="14" max="14" width="15.77734375" style="67" customWidth="1"/>
    <col min="15" max="15" width="10.21875" style="67" bestFit="1" customWidth="1"/>
    <col min="16" max="16" width="16" style="67" bestFit="1" customWidth="1"/>
    <col min="17" max="17" width="22.88671875" style="67" bestFit="1" customWidth="1"/>
    <col min="18" max="18" width="6.21875" style="67" customWidth="1"/>
    <col min="19" max="19" width="5.77734375" style="67" customWidth="1"/>
    <col min="20" max="20" width="4.77734375" style="67" customWidth="1"/>
    <col min="21" max="16384" width="8.77734375" style="67"/>
  </cols>
  <sheetData>
    <row r="1" spans="1:20" ht="25.05" customHeight="1" x14ac:dyDescent="0.5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46.05" customHeight="1" x14ac:dyDescent="0.5">
      <c r="A2" s="40" t="s">
        <v>38</v>
      </c>
      <c r="B2" s="40" t="s">
        <v>25</v>
      </c>
      <c r="C2" s="95">
        <v>5217</v>
      </c>
      <c r="D2" s="66" t="s">
        <v>40</v>
      </c>
      <c r="E2" s="96" t="s">
        <v>41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188">
        <v>0.9</v>
      </c>
      <c r="Q2" s="41">
        <f>ROUND(IF(OR(N2="",P2=""),0,IF(AND(N2=0,P2=0),1,IF(S2="+",P2/N2,N2/P2))),2)</f>
        <v>0.95</v>
      </c>
      <c r="R2" s="43">
        <f>IF(AND(Q2&gt;=60%,Q2&lt;100%),Q2*((O2*J2)),IF(Q2=100%,((O2*J2)*Q2)*100%,IF(Q2&gt;100%,((J2*O2)*100%)*100%,0)))*100</f>
        <v>9.9749999999999996</v>
      </c>
      <c r="S2" s="41" t="s">
        <v>27</v>
      </c>
      <c r="T2" s="190">
        <f>SUM(R2:R14)%</f>
        <v>0.91467000000000009</v>
      </c>
    </row>
    <row r="3" spans="1:20" ht="46.05" customHeight="1" x14ac:dyDescent="0.5">
      <c r="A3" s="40" t="s">
        <v>38</v>
      </c>
      <c r="B3" s="40" t="s">
        <v>25</v>
      </c>
      <c r="C3" s="40">
        <v>5217</v>
      </c>
      <c r="D3" s="40" t="s">
        <v>40</v>
      </c>
      <c r="E3" s="40" t="s">
        <v>41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7">
        <v>0.99299999999999999</v>
      </c>
      <c r="Q3" s="41">
        <f t="shared" ref="Q3:Q10" si="0">ROUND(IF(OR(N3="",P3=""),0,IF(AND(N3=0,P3=0),1,IF(S3="+",P3/N3,N3/P3))),2)</f>
        <v>1.05</v>
      </c>
      <c r="R3" s="43">
        <f t="shared" ref="R3:R10" si="1">IF(AND(Q3&gt;=60%,Q3&lt;100%),Q3*((O3*J3)),IF(Q3=100%,((O3*J3)*Q3)*100%,IF(Q3&gt;100%,((J3*O3)*100%)*100%,0)))*100</f>
        <v>10.5</v>
      </c>
      <c r="S3" s="41" t="s">
        <v>27</v>
      </c>
      <c r="T3" s="79"/>
    </row>
    <row r="4" spans="1:20" ht="46.05" customHeight="1" x14ac:dyDescent="0.5">
      <c r="A4" s="40" t="s">
        <v>38</v>
      </c>
      <c r="B4" s="40" t="s">
        <v>25</v>
      </c>
      <c r="C4" s="40">
        <v>5217</v>
      </c>
      <c r="D4" s="40" t="s">
        <v>40</v>
      </c>
      <c r="E4" s="40" t="s">
        <v>41</v>
      </c>
      <c r="F4" s="40" t="s">
        <v>58</v>
      </c>
      <c r="G4" s="40" t="s">
        <v>20</v>
      </c>
      <c r="H4" s="24" t="s">
        <v>21</v>
      </c>
      <c r="I4" s="47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188">
        <v>0.3</v>
      </c>
      <c r="Q4" s="41">
        <f t="shared" si="0"/>
        <v>0.43</v>
      </c>
      <c r="R4" s="43">
        <f t="shared" si="1"/>
        <v>0</v>
      </c>
      <c r="S4" s="41" t="s">
        <v>27</v>
      </c>
      <c r="T4" s="79"/>
    </row>
    <row r="5" spans="1:20" ht="46.05" customHeight="1" x14ac:dyDescent="0.5">
      <c r="A5" s="40" t="s">
        <v>38</v>
      </c>
      <c r="B5" s="40" t="s">
        <v>25</v>
      </c>
      <c r="C5" s="40">
        <v>5217</v>
      </c>
      <c r="D5" s="40" t="s">
        <v>40</v>
      </c>
      <c r="E5" s="40" t="s">
        <v>41</v>
      </c>
      <c r="F5" s="40" t="s">
        <v>58</v>
      </c>
      <c r="G5" s="40" t="s">
        <v>20</v>
      </c>
      <c r="H5" s="2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84">
        <v>0.05</v>
      </c>
      <c r="Q5" s="41">
        <f t="shared" si="0"/>
        <v>1</v>
      </c>
      <c r="R5" s="43">
        <f t="shared" si="1"/>
        <v>5.6</v>
      </c>
      <c r="S5" s="42" t="s">
        <v>28</v>
      </c>
      <c r="T5" s="79"/>
    </row>
    <row r="6" spans="1:20" ht="46.05" customHeight="1" x14ac:dyDescent="0.5">
      <c r="A6" s="40" t="s">
        <v>38</v>
      </c>
      <c r="B6" s="40" t="s">
        <v>25</v>
      </c>
      <c r="C6" s="40">
        <v>5217</v>
      </c>
      <c r="D6" s="40" t="s">
        <v>40</v>
      </c>
      <c r="E6" s="40" t="s">
        <v>41</v>
      </c>
      <c r="F6" s="40" t="s">
        <v>58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236</v>
      </c>
      <c r="N6" s="41">
        <v>1</v>
      </c>
      <c r="O6" s="41">
        <v>0.1</v>
      </c>
      <c r="P6" s="188">
        <v>1</v>
      </c>
      <c r="Q6" s="41">
        <f t="shared" si="0"/>
        <v>1</v>
      </c>
      <c r="R6" s="43">
        <f t="shared" si="1"/>
        <v>6.9999999999999991</v>
      </c>
      <c r="S6" s="41" t="s">
        <v>27</v>
      </c>
      <c r="T6" s="79"/>
    </row>
    <row r="7" spans="1:20" ht="46.05" customHeight="1" x14ac:dyDescent="0.5">
      <c r="A7" s="40" t="s">
        <v>38</v>
      </c>
      <c r="B7" s="40" t="s">
        <v>25</v>
      </c>
      <c r="C7" s="40">
        <v>5217</v>
      </c>
      <c r="D7" s="40" t="s">
        <v>40</v>
      </c>
      <c r="E7" s="40" t="s">
        <v>41</v>
      </c>
      <c r="F7" s="40" t="s">
        <v>58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>
        <v>0.05</v>
      </c>
      <c r="Q7" s="41">
        <f t="shared" si="0"/>
        <v>1</v>
      </c>
      <c r="R7" s="43">
        <f t="shared" si="1"/>
        <v>10.5</v>
      </c>
      <c r="S7" s="41" t="s">
        <v>28</v>
      </c>
      <c r="T7" s="79"/>
    </row>
    <row r="8" spans="1:20" ht="46.05" customHeight="1" x14ac:dyDescent="0.5">
      <c r="A8" s="37" t="s">
        <v>38</v>
      </c>
      <c r="B8" s="37" t="s">
        <v>25</v>
      </c>
      <c r="C8" s="90">
        <v>5217</v>
      </c>
      <c r="D8" s="90" t="s">
        <v>40</v>
      </c>
      <c r="E8" s="90" t="s">
        <v>41</v>
      </c>
      <c r="F8" s="90" t="s">
        <v>58</v>
      </c>
      <c r="G8" s="90" t="s">
        <v>20</v>
      </c>
      <c r="H8" s="37" t="s">
        <v>21</v>
      </c>
      <c r="I8" s="52" t="s">
        <v>22</v>
      </c>
      <c r="J8" s="41">
        <v>0.7</v>
      </c>
      <c r="K8" s="113" t="s">
        <v>61</v>
      </c>
      <c r="L8" s="113" t="s">
        <v>62</v>
      </c>
      <c r="M8" s="23" t="s">
        <v>234</v>
      </c>
      <c r="N8" s="128">
        <v>0.05</v>
      </c>
      <c r="O8" s="53">
        <v>0.1</v>
      </c>
      <c r="P8" s="200">
        <v>0.39</v>
      </c>
      <c r="Q8" s="53">
        <f>ROUND(IF(OR(N8="",P8=""),0,IF(AND(N8=0,P8=0),1,IF(S8="+",P8/N8,N8/P8))),2)</f>
        <v>7.8</v>
      </c>
      <c r="R8" s="55">
        <f>IF(AND(Q8&gt;=60%,Q8&lt;100%),Q8*((O8*J8)),IF(Q8=100%,((O8*J8)*Q8)*100%,IF(Q8&gt;100%,((J8*O8)*100%)*100%,0)))*100</f>
        <v>6.9999999999999991</v>
      </c>
      <c r="S8" s="53" t="s">
        <v>27</v>
      </c>
      <c r="T8" s="79"/>
    </row>
    <row r="9" spans="1:20" ht="46.05" customHeight="1" x14ac:dyDescent="0.5">
      <c r="A9" s="40" t="s">
        <v>38</v>
      </c>
      <c r="B9" s="40" t="s">
        <v>25</v>
      </c>
      <c r="C9" s="40">
        <v>5217</v>
      </c>
      <c r="D9" s="40" t="s">
        <v>40</v>
      </c>
      <c r="E9" s="40" t="s">
        <v>41</v>
      </c>
      <c r="F9" s="40" t="s">
        <v>58</v>
      </c>
      <c r="G9" s="40" t="s">
        <v>20</v>
      </c>
      <c r="H9" s="37" t="s">
        <v>21</v>
      </c>
      <c r="I9" s="52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>
        <v>0.78900000000000003</v>
      </c>
      <c r="Q9" s="41">
        <f t="shared" si="0"/>
        <v>0.88</v>
      </c>
      <c r="R9" s="43">
        <f t="shared" si="1"/>
        <v>7.3920000000000003</v>
      </c>
      <c r="S9" s="41" t="s">
        <v>27</v>
      </c>
      <c r="T9" s="79"/>
    </row>
    <row r="10" spans="1:20" ht="46.05" customHeight="1" x14ac:dyDescent="0.5">
      <c r="A10" s="25" t="s">
        <v>38</v>
      </c>
      <c r="B10" s="25" t="s">
        <v>25</v>
      </c>
      <c r="C10" s="35">
        <v>5217</v>
      </c>
      <c r="D10" s="35" t="s">
        <v>40</v>
      </c>
      <c r="E10" s="35" t="s">
        <v>41</v>
      </c>
      <c r="F10" s="35" t="s">
        <v>58</v>
      </c>
      <c r="G10" s="35" t="s">
        <v>20</v>
      </c>
      <c r="H10" s="37" t="s">
        <v>21</v>
      </c>
      <c r="I10" s="52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>
        <v>1</v>
      </c>
      <c r="Q10" s="81">
        <f t="shared" si="0"/>
        <v>1</v>
      </c>
      <c r="R10" s="82">
        <f t="shared" si="1"/>
        <v>3.4999999999999996</v>
      </c>
      <c r="S10" s="81" t="s">
        <v>27</v>
      </c>
      <c r="T10" s="192"/>
    </row>
    <row r="11" spans="1:20" ht="46.05" customHeight="1" x14ac:dyDescent="0.5">
      <c r="A11" s="25" t="s">
        <v>38</v>
      </c>
      <c r="B11" s="25" t="s">
        <v>25</v>
      </c>
      <c r="C11" s="35">
        <v>5217</v>
      </c>
      <c r="D11" s="35" t="s">
        <v>40</v>
      </c>
      <c r="E11" s="35" t="s">
        <v>41</v>
      </c>
      <c r="F11" s="35" t="s">
        <v>58</v>
      </c>
      <c r="G11" s="35" t="s">
        <v>20</v>
      </c>
      <c r="H11" s="38" t="s">
        <v>23</v>
      </c>
      <c r="I11" s="38" t="s">
        <v>24</v>
      </c>
      <c r="J11" s="63">
        <v>0.3</v>
      </c>
      <c r="K11" s="17" t="s">
        <v>188</v>
      </c>
      <c r="L11" s="17" t="s">
        <v>144</v>
      </c>
      <c r="M11" s="17"/>
      <c r="N11" s="62">
        <v>0.5</v>
      </c>
      <c r="O11" s="62">
        <v>0.3</v>
      </c>
      <c r="P11" s="53">
        <v>0.5</v>
      </c>
      <c r="Q11" s="57">
        <f t="shared" ref="Q11:Q12" si="2">ROUND(IF(OR(N11="",P11=""),0,IF(AND(N11=0,P11=0),1,IF(S11="+",P11/N11,N11/P11))),2)</f>
        <v>1</v>
      </c>
      <c r="R11" s="97">
        <f t="shared" ref="R11:R12" si="3">IF(AND(Q11&gt;=60%,Q11&lt;100%),Q11*((O11*J11)),IF(Q11=100%,((O11*J11)*Q11)*100%,IF(Q11&gt;100%,((J11*O11)*100%)*100%,0)))*100</f>
        <v>9</v>
      </c>
      <c r="S11" s="57" t="s">
        <v>27</v>
      </c>
      <c r="T11" s="57"/>
    </row>
    <row r="12" spans="1:20" ht="46.05" customHeight="1" x14ac:dyDescent="0.5">
      <c r="A12" s="25" t="s">
        <v>38</v>
      </c>
      <c r="B12" s="25" t="s">
        <v>25</v>
      </c>
      <c r="C12" s="35">
        <v>5217</v>
      </c>
      <c r="D12" s="35" t="s">
        <v>40</v>
      </c>
      <c r="E12" s="35" t="s">
        <v>41</v>
      </c>
      <c r="F12" s="35" t="s">
        <v>58</v>
      </c>
      <c r="G12" s="35" t="s">
        <v>20</v>
      </c>
      <c r="H12" s="38" t="s">
        <v>23</v>
      </c>
      <c r="I12" s="38" t="s">
        <v>24</v>
      </c>
      <c r="J12" s="63">
        <v>0.3</v>
      </c>
      <c r="K12" s="17" t="s">
        <v>189</v>
      </c>
      <c r="L12" s="17" t="s">
        <v>145</v>
      </c>
      <c r="M12" s="17"/>
      <c r="N12" s="62">
        <v>0.5</v>
      </c>
      <c r="O12" s="62">
        <v>0.25</v>
      </c>
      <c r="P12" s="53">
        <v>0.5</v>
      </c>
      <c r="Q12" s="57">
        <f t="shared" si="2"/>
        <v>1</v>
      </c>
      <c r="R12" s="97">
        <f t="shared" si="3"/>
        <v>7.5</v>
      </c>
      <c r="S12" s="57" t="s">
        <v>27</v>
      </c>
      <c r="T12" s="57"/>
    </row>
    <row r="13" spans="1:20" ht="46.05" customHeight="1" x14ac:dyDescent="0.5">
      <c r="A13" s="25" t="s">
        <v>38</v>
      </c>
      <c r="B13" s="25" t="s">
        <v>25</v>
      </c>
      <c r="C13" s="35">
        <v>5217</v>
      </c>
      <c r="D13" s="35" t="s">
        <v>40</v>
      </c>
      <c r="E13" s="35" t="s">
        <v>41</v>
      </c>
      <c r="F13" s="35" t="s">
        <v>58</v>
      </c>
      <c r="G13" s="35" t="s">
        <v>20</v>
      </c>
      <c r="H13" s="38" t="s">
        <v>23</v>
      </c>
      <c r="I13" s="38" t="s">
        <v>24</v>
      </c>
      <c r="J13" s="63">
        <v>0.3</v>
      </c>
      <c r="K13" s="17" t="s">
        <v>190</v>
      </c>
      <c r="L13" s="17" t="s">
        <v>146</v>
      </c>
      <c r="M13" s="17"/>
      <c r="N13" s="62">
        <v>0.8</v>
      </c>
      <c r="O13" s="62">
        <v>0.25</v>
      </c>
      <c r="P13" s="53">
        <v>0.8</v>
      </c>
      <c r="Q13" s="57">
        <f t="shared" ref="Q13:Q14" si="4">ROUND(IF(OR(N13="",P13=""),0,IF(AND(N13=0,P13=0),1,IF(S13="+",P13/N13,N13/P13))),2)</f>
        <v>1</v>
      </c>
      <c r="R13" s="97">
        <f t="shared" ref="R13:R14" si="5">IF(AND(Q13&gt;=60%,Q13&lt;100%),Q13*((O13*J13)),IF(Q13=100%,((O13*J13)*Q13)*100%,IF(Q13&gt;100%,((J13*O13)*100%)*100%,0)))*100</f>
        <v>7.5</v>
      </c>
      <c r="S13" s="57" t="s">
        <v>27</v>
      </c>
      <c r="T13" s="57"/>
    </row>
    <row r="14" spans="1:20" ht="46.05" customHeight="1" x14ac:dyDescent="0.5">
      <c r="A14" s="25" t="s">
        <v>38</v>
      </c>
      <c r="B14" s="25" t="s">
        <v>25</v>
      </c>
      <c r="C14" s="35">
        <v>5217</v>
      </c>
      <c r="D14" s="35" t="s">
        <v>40</v>
      </c>
      <c r="E14" s="35" t="s">
        <v>41</v>
      </c>
      <c r="F14" s="35" t="s">
        <v>58</v>
      </c>
      <c r="G14" s="35" t="s">
        <v>20</v>
      </c>
      <c r="H14" s="38" t="s">
        <v>23</v>
      </c>
      <c r="I14" s="38" t="s">
        <v>24</v>
      </c>
      <c r="J14" s="63">
        <v>0.3</v>
      </c>
      <c r="K14" s="17" t="s">
        <v>191</v>
      </c>
      <c r="L14" s="17" t="s">
        <v>147</v>
      </c>
      <c r="M14" s="17"/>
      <c r="N14" s="62">
        <v>1</v>
      </c>
      <c r="O14" s="62">
        <v>0.2</v>
      </c>
      <c r="P14" s="53">
        <v>1</v>
      </c>
      <c r="Q14" s="57">
        <f t="shared" si="4"/>
        <v>1</v>
      </c>
      <c r="R14" s="97">
        <f t="shared" si="5"/>
        <v>6</v>
      </c>
      <c r="S14" s="57" t="s">
        <v>27</v>
      </c>
      <c r="T14" s="57"/>
    </row>
  </sheetData>
  <phoneticPr fontId="2" type="noConversion"/>
  <conditionalFormatting sqref="A10:B10 A8:B8 H1:I8 K1:M1">
    <cfRule type="cellIs" dxfId="49" priority="22" operator="equal">
      <formula>"maintasks"</formula>
    </cfRule>
  </conditionalFormatting>
  <conditionalFormatting sqref="H11:I14 A11:B14">
    <cfRule type="cellIs" dxfId="48" priority="12" operator="equal">
      <formula>"maintasks"</formula>
    </cfRule>
  </conditionalFormatting>
  <conditionalFormatting sqref="L11:M14">
    <cfRule type="cellIs" dxfId="47" priority="11" operator="equal">
      <formula>"maintasks"</formula>
    </cfRule>
  </conditionalFormatting>
  <conditionalFormatting sqref="K11:K14">
    <cfRule type="cellIs" dxfId="46" priority="10" operator="equal">
      <formula>"maintasks"</formula>
    </cfRule>
  </conditionalFormatting>
  <conditionalFormatting sqref="H9:I9">
    <cfRule type="cellIs" dxfId="45" priority="8" operator="equal">
      <formula>"maintasks"</formula>
    </cfRule>
  </conditionalFormatting>
  <conditionalFormatting sqref="H10:I10">
    <cfRule type="cellIs" dxfId="44" priority="7" operator="equal">
      <formula>"maintasks"</formula>
    </cfRule>
  </conditionalFormatting>
  <conditionalFormatting sqref="K2:M5 K9:M9 K8:L8 K7:N7 K6:L6">
    <cfRule type="cellIs" dxfId="43" priority="4" operator="equal">
      <formula>"maintasks"</formula>
    </cfRule>
  </conditionalFormatting>
  <conditionalFormatting sqref="K10:M10">
    <cfRule type="cellIs" dxfId="42" priority="5" operator="equal">
      <formula>"maintasks"</formula>
    </cfRule>
  </conditionalFormatting>
  <conditionalFormatting sqref="N10">
    <cfRule type="cellIs" dxfId="41" priority="3" operator="equal">
      <formula>"maintasks"</formula>
    </cfRule>
  </conditionalFormatting>
  <conditionalFormatting sqref="M8:N8">
    <cfRule type="cellIs" dxfId="40" priority="2" operator="equal">
      <formula>"maintasks"</formula>
    </cfRule>
  </conditionalFormatting>
  <conditionalFormatting sqref="M6">
    <cfRule type="cellIs" dxfId="39" priority="1" operator="equal">
      <formula>"maintasks"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06A-CC09-4DFA-9777-DB5485EB1898}">
  <sheetPr>
    <tabColor rgb="FFFF0000"/>
  </sheetPr>
  <dimension ref="A1:T13"/>
  <sheetViews>
    <sheetView topLeftCell="G1" zoomScaleNormal="100" workbookViewId="0">
      <pane ySplit="1" topLeftCell="A8" activePane="bottomLeft" state="frozen"/>
      <selection activeCell="M1" sqref="M1"/>
      <selection pane="bottomLeft" activeCell="L8" sqref="L8:N8"/>
    </sheetView>
  </sheetViews>
  <sheetFormatPr defaultColWidth="8.77734375" defaultRowHeight="30.45" customHeight="1" x14ac:dyDescent="0.4"/>
  <cols>
    <col min="1" max="1" width="9.109375" style="104" bestFit="1" customWidth="1"/>
    <col min="2" max="2" width="2.77734375" style="104" bestFit="1" customWidth="1"/>
    <col min="3" max="3" width="5.88671875" style="104" bestFit="1" customWidth="1"/>
    <col min="4" max="4" width="11.77734375" style="104" customWidth="1"/>
    <col min="5" max="5" width="19.21875" style="104" bestFit="1" customWidth="1"/>
    <col min="6" max="6" width="11.21875" style="104" bestFit="1" customWidth="1"/>
    <col min="7" max="8" width="6.6640625" style="104" bestFit="1" customWidth="1"/>
    <col min="9" max="9" width="6.77734375" style="104" bestFit="1" customWidth="1"/>
    <col min="10" max="10" width="6.33203125" style="104" bestFit="1" customWidth="1"/>
    <col min="11" max="11" width="56.77734375" style="104" bestFit="1" customWidth="1"/>
    <col min="12" max="12" width="51.77734375" style="104" bestFit="1" customWidth="1"/>
    <col min="13" max="13" width="46" style="104" customWidth="1"/>
    <col min="14" max="14" width="7.21875" style="104" customWidth="1"/>
    <col min="15" max="15" width="7.109375" style="104" bestFit="1" customWidth="1"/>
    <col min="16" max="16" width="10.88671875" style="104" bestFit="1" customWidth="1"/>
    <col min="17" max="17" width="15.109375" style="104" bestFit="1" customWidth="1"/>
    <col min="18" max="18" width="11.77734375" style="104" bestFit="1" customWidth="1"/>
    <col min="19" max="19" width="3.109375" style="104" bestFit="1" customWidth="1"/>
    <col min="20" max="20" width="3.21875" style="104" bestFit="1" customWidth="1"/>
    <col min="21" max="16384" width="8.77734375" style="104"/>
  </cols>
  <sheetData>
    <row r="1" spans="1:20" ht="24" customHeight="1" x14ac:dyDescent="0.4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6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  <c r="O1" s="106" t="s">
        <v>14</v>
      </c>
      <c r="P1" s="105" t="s">
        <v>15</v>
      </c>
      <c r="Q1" s="107" t="s">
        <v>16</v>
      </c>
      <c r="R1" s="108" t="s">
        <v>17</v>
      </c>
      <c r="S1" s="109" t="s">
        <v>18</v>
      </c>
      <c r="T1" s="106" t="s">
        <v>19</v>
      </c>
    </row>
    <row r="2" spans="1:20" ht="30.45" customHeight="1" x14ac:dyDescent="0.4">
      <c r="A2" s="40" t="s">
        <v>38</v>
      </c>
      <c r="B2" s="40" t="s">
        <v>25</v>
      </c>
      <c r="C2" s="40">
        <v>5927</v>
      </c>
      <c r="D2" s="40" t="s">
        <v>51</v>
      </c>
      <c r="E2" s="40" t="s">
        <v>52</v>
      </c>
      <c r="F2" s="40" t="s">
        <v>59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41">
        <v>0.72</v>
      </c>
      <c r="Q2" s="41">
        <f>ROUND(IF(OR(N2="",P2=""),0,IF(AND(N2=0,P2=0),1,IF(S2="+",P2/N2,N2/P2))),2)</f>
        <v>0.76</v>
      </c>
      <c r="R2" s="43">
        <f>IF(AND(Q2&gt;=60%,Q2&lt;100%),Q2*((O2*J2)),IF(Q2=100%,((O2*J2)*Q2)*100%,IF(Q2&gt;100%,((J2*O2)*100%)*100%,0)))*100</f>
        <v>7.9799999999999995</v>
      </c>
      <c r="S2" s="41" t="s">
        <v>27</v>
      </c>
      <c r="T2" s="190">
        <f>SUM(R2:R13)%</f>
        <v>0.69655</v>
      </c>
    </row>
    <row r="3" spans="1:20" ht="30.45" customHeight="1" x14ac:dyDescent="0.4">
      <c r="A3" s="40" t="s">
        <v>38</v>
      </c>
      <c r="B3" s="40" t="s">
        <v>25</v>
      </c>
      <c r="C3" s="40">
        <v>5927</v>
      </c>
      <c r="D3" s="40" t="s">
        <v>51</v>
      </c>
      <c r="E3" s="40" t="s">
        <v>52</v>
      </c>
      <c r="F3" s="40" t="s">
        <v>59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41">
        <v>0.88</v>
      </c>
      <c r="Q3" s="41">
        <f t="shared" ref="Q3:Q10" si="0">ROUND(IF(OR(N3="",P3=""),0,IF(AND(N3=0,P3=0),1,IF(S3="+",P3/N3,N3/P3))),2)</f>
        <v>0.93</v>
      </c>
      <c r="R3" s="43">
        <f t="shared" ref="R3:R10" si="1">IF(AND(Q3&gt;=60%,Q3&lt;100%),Q3*((O3*J3)),IF(Q3=100%,((O3*J3)*Q3)*100%,IF(Q3&gt;100%,((J3*O3)*100%)*100%,0)))*100</f>
        <v>9.7650000000000006</v>
      </c>
      <c r="S3" s="41" t="s">
        <v>27</v>
      </c>
      <c r="T3" s="79"/>
    </row>
    <row r="4" spans="1:20" ht="30.45" customHeight="1" x14ac:dyDescent="0.4">
      <c r="A4" s="59" t="s">
        <v>38</v>
      </c>
      <c r="B4" s="59" t="s">
        <v>25</v>
      </c>
      <c r="C4" s="59">
        <v>5927</v>
      </c>
      <c r="D4" s="59" t="s">
        <v>51</v>
      </c>
      <c r="E4" s="59" t="s">
        <v>52</v>
      </c>
      <c r="F4" s="59" t="s">
        <v>59</v>
      </c>
      <c r="G4" s="59" t="s">
        <v>20</v>
      </c>
      <c r="H4" s="44" t="s">
        <v>21</v>
      </c>
      <c r="I4" s="47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41">
        <v>0.44</v>
      </c>
      <c r="Q4" s="41">
        <f t="shared" si="0"/>
        <v>0.63</v>
      </c>
      <c r="R4" s="43">
        <f t="shared" si="1"/>
        <v>4.4099999999999993</v>
      </c>
      <c r="S4" s="41" t="s">
        <v>27</v>
      </c>
      <c r="T4" s="79"/>
    </row>
    <row r="5" spans="1:20" ht="30.45" customHeight="1" x14ac:dyDescent="0.4">
      <c r="A5" s="59" t="s">
        <v>38</v>
      </c>
      <c r="B5" s="59" t="s">
        <v>25</v>
      </c>
      <c r="C5" s="59">
        <v>5927</v>
      </c>
      <c r="D5" s="59" t="s">
        <v>51</v>
      </c>
      <c r="E5" s="59" t="s">
        <v>52</v>
      </c>
      <c r="F5" s="59" t="s">
        <v>59</v>
      </c>
      <c r="G5" s="59" t="s">
        <v>20</v>
      </c>
      <c r="H5" s="4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41">
        <v>0.05</v>
      </c>
      <c r="Q5" s="41">
        <f t="shared" si="0"/>
        <v>1</v>
      </c>
      <c r="R5" s="43">
        <f t="shared" si="1"/>
        <v>5.6</v>
      </c>
      <c r="S5" s="42" t="s">
        <v>28</v>
      </c>
      <c r="T5" s="79"/>
    </row>
    <row r="6" spans="1:20" ht="30.45" customHeight="1" x14ac:dyDescent="0.4">
      <c r="A6" s="59" t="s">
        <v>38</v>
      </c>
      <c r="B6" s="59" t="s">
        <v>25</v>
      </c>
      <c r="C6" s="59">
        <v>5927</v>
      </c>
      <c r="D6" s="59" t="s">
        <v>51</v>
      </c>
      <c r="E6" s="59" t="s">
        <v>52</v>
      </c>
      <c r="F6" s="59" t="s">
        <v>59</v>
      </c>
      <c r="G6" s="59" t="s">
        <v>20</v>
      </c>
      <c r="H6" s="4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236</v>
      </c>
      <c r="N6" s="41">
        <v>1</v>
      </c>
      <c r="O6" s="41">
        <v>0.1</v>
      </c>
      <c r="P6" s="188">
        <v>1</v>
      </c>
      <c r="Q6" s="41">
        <f t="shared" si="0"/>
        <v>1</v>
      </c>
      <c r="R6" s="43">
        <f t="shared" si="1"/>
        <v>6.9999999999999991</v>
      </c>
      <c r="S6" s="41" t="s">
        <v>27</v>
      </c>
      <c r="T6" s="79"/>
    </row>
    <row r="7" spans="1:20" ht="30.45" customHeight="1" x14ac:dyDescent="0.4">
      <c r="A7" s="40" t="s">
        <v>38</v>
      </c>
      <c r="B7" s="40" t="s">
        <v>25</v>
      </c>
      <c r="C7" s="40">
        <v>5927</v>
      </c>
      <c r="D7" s="40" t="s">
        <v>51</v>
      </c>
      <c r="E7" s="40" t="s">
        <v>52</v>
      </c>
      <c r="F7" s="40" t="s">
        <v>59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>
        <v>0.05</v>
      </c>
      <c r="Q7" s="41">
        <f t="shared" si="0"/>
        <v>1</v>
      </c>
      <c r="R7" s="43">
        <f t="shared" si="1"/>
        <v>10.5</v>
      </c>
      <c r="S7" s="41" t="s">
        <v>28</v>
      </c>
      <c r="T7" s="79"/>
    </row>
    <row r="8" spans="1:20" ht="30.45" customHeight="1" x14ac:dyDescent="0.4">
      <c r="A8" s="25" t="s">
        <v>38</v>
      </c>
      <c r="B8" s="25" t="s">
        <v>25</v>
      </c>
      <c r="C8" s="99">
        <v>5927</v>
      </c>
      <c r="D8" s="99" t="s">
        <v>51</v>
      </c>
      <c r="E8" s="99" t="s">
        <v>52</v>
      </c>
      <c r="F8" s="99" t="s">
        <v>59</v>
      </c>
      <c r="G8" s="20" t="s">
        <v>20</v>
      </c>
      <c r="H8" s="25" t="s">
        <v>21</v>
      </c>
      <c r="I8" s="53" t="s">
        <v>22</v>
      </c>
      <c r="J8" s="41">
        <v>0.7</v>
      </c>
      <c r="K8" s="113" t="s">
        <v>61</v>
      </c>
      <c r="L8" s="113" t="s">
        <v>62</v>
      </c>
      <c r="M8" s="23" t="s">
        <v>234</v>
      </c>
      <c r="N8" s="128">
        <v>0.05</v>
      </c>
      <c r="O8" s="53">
        <v>0.1</v>
      </c>
      <c r="P8" s="202">
        <v>0.05</v>
      </c>
      <c r="Q8" s="53">
        <f>ROUND(IF(OR(N8="",P8=""),0,IF(AND(N8=0,P8=0),1,IF(S8="+",P8/N8,N8/P8))),2)</f>
        <v>1</v>
      </c>
      <c r="R8" s="55">
        <f>IF(AND(Q8&gt;=60%,Q8&lt;100%),Q8*((O8*J8)),IF(Q8=100%,((O8*J8)*Q8)*100%,IF(Q8&gt;100%,((J8*O8)*100%)*100%,0)))*100</f>
        <v>6.9999999999999991</v>
      </c>
      <c r="S8" s="53" t="s">
        <v>27</v>
      </c>
      <c r="T8" s="79"/>
    </row>
    <row r="9" spans="1:20" ht="30.45" customHeight="1" x14ac:dyDescent="0.4">
      <c r="A9" s="25" t="s">
        <v>38</v>
      </c>
      <c r="B9" s="25" t="s">
        <v>25</v>
      </c>
      <c r="C9" s="99">
        <v>5927</v>
      </c>
      <c r="D9" s="99" t="s">
        <v>51</v>
      </c>
      <c r="E9" s="99" t="s">
        <v>52</v>
      </c>
      <c r="F9" s="99" t="s">
        <v>59</v>
      </c>
      <c r="G9" s="20" t="s">
        <v>20</v>
      </c>
      <c r="H9" s="25" t="s">
        <v>21</v>
      </c>
      <c r="I9" s="53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>
        <v>0.94</v>
      </c>
      <c r="Q9" s="41">
        <f t="shared" si="0"/>
        <v>1.04</v>
      </c>
      <c r="R9" s="43">
        <f t="shared" si="1"/>
        <v>8.3999999999999986</v>
      </c>
      <c r="S9" s="41" t="s">
        <v>27</v>
      </c>
      <c r="T9" s="79"/>
    </row>
    <row r="10" spans="1:20" ht="30.45" customHeight="1" x14ac:dyDescent="0.4">
      <c r="A10" s="25" t="s">
        <v>38</v>
      </c>
      <c r="B10" s="25" t="s">
        <v>25</v>
      </c>
      <c r="C10" s="99">
        <v>5927</v>
      </c>
      <c r="D10" s="99" t="s">
        <v>51</v>
      </c>
      <c r="E10" s="99" t="s">
        <v>52</v>
      </c>
      <c r="F10" s="99" t="s">
        <v>59</v>
      </c>
      <c r="G10" s="20" t="s">
        <v>20</v>
      </c>
      <c r="H10" s="25" t="s">
        <v>21</v>
      </c>
      <c r="I10" s="53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>
        <v>0.05</v>
      </c>
      <c r="Q10" s="81">
        <f t="shared" si="0"/>
        <v>0.05</v>
      </c>
      <c r="R10" s="82">
        <f t="shared" si="1"/>
        <v>0</v>
      </c>
      <c r="S10" s="81" t="s">
        <v>27</v>
      </c>
      <c r="T10" s="192"/>
    </row>
    <row r="11" spans="1:20" ht="30.45" customHeight="1" x14ac:dyDescent="0.4">
      <c r="A11" s="25" t="s">
        <v>38</v>
      </c>
      <c r="B11" s="25" t="s">
        <v>25</v>
      </c>
      <c r="C11" s="99">
        <v>5927</v>
      </c>
      <c r="D11" s="99" t="s">
        <v>51</v>
      </c>
      <c r="E11" s="99" t="s">
        <v>52</v>
      </c>
      <c r="F11" s="99" t="s">
        <v>59</v>
      </c>
      <c r="G11" s="20" t="s">
        <v>20</v>
      </c>
      <c r="H11" s="32" t="s">
        <v>23</v>
      </c>
      <c r="I11" s="32" t="s">
        <v>24</v>
      </c>
      <c r="J11" s="60">
        <v>0.3</v>
      </c>
      <c r="K11" s="17" t="s">
        <v>192</v>
      </c>
      <c r="L11" s="17" t="s">
        <v>162</v>
      </c>
      <c r="M11" s="17"/>
      <c r="N11" s="62">
        <v>1</v>
      </c>
      <c r="O11" s="62">
        <v>0.4</v>
      </c>
      <c r="P11" s="53">
        <v>0.5</v>
      </c>
      <c r="Q11" s="57">
        <f t="shared" ref="Q11:Q13" si="2">ROUND(IF(OR(N11="",P11=""),0,IF(AND(N11=0,P11=0),1,IF(S11="+",P11/N11,N11/P11))),2)</f>
        <v>0.5</v>
      </c>
      <c r="R11" s="97">
        <f t="shared" ref="R11:R13" si="3">IF(AND(Q11&gt;=60%,Q11&lt;100%),Q11*((O11*J11)),IF(Q11=100%,((O11*J11)*Q11)*100%,IF(Q11&gt;100%,((J11*O11)*100%)*100%,0)))*100</f>
        <v>0</v>
      </c>
      <c r="S11" s="57" t="s">
        <v>27</v>
      </c>
      <c r="T11" s="57"/>
    </row>
    <row r="12" spans="1:20" ht="30.45" customHeight="1" x14ac:dyDescent="0.4">
      <c r="A12" s="25" t="s">
        <v>38</v>
      </c>
      <c r="B12" s="25" t="s">
        <v>25</v>
      </c>
      <c r="C12" s="99">
        <v>5927</v>
      </c>
      <c r="D12" s="99" t="s">
        <v>51</v>
      </c>
      <c r="E12" s="99" t="s">
        <v>52</v>
      </c>
      <c r="F12" s="99" t="s">
        <v>59</v>
      </c>
      <c r="G12" s="20" t="s">
        <v>20</v>
      </c>
      <c r="H12" s="32" t="s">
        <v>23</v>
      </c>
      <c r="I12" s="32" t="s">
        <v>24</v>
      </c>
      <c r="J12" s="60">
        <v>0.3</v>
      </c>
      <c r="K12" s="17" t="s">
        <v>193</v>
      </c>
      <c r="L12" s="17" t="s">
        <v>166</v>
      </c>
      <c r="M12" s="17"/>
      <c r="N12" s="62">
        <v>1</v>
      </c>
      <c r="O12" s="62">
        <v>0.3</v>
      </c>
      <c r="P12" s="53">
        <v>1</v>
      </c>
      <c r="Q12" s="57">
        <f t="shared" si="2"/>
        <v>1</v>
      </c>
      <c r="R12" s="97">
        <f t="shared" si="3"/>
        <v>9</v>
      </c>
      <c r="S12" s="57" t="s">
        <v>27</v>
      </c>
      <c r="T12" s="57"/>
    </row>
    <row r="13" spans="1:20" ht="30.45" customHeight="1" x14ac:dyDescent="0.4">
      <c r="A13" s="25" t="s">
        <v>38</v>
      </c>
      <c r="B13" s="25" t="s">
        <v>25</v>
      </c>
      <c r="C13" s="99">
        <v>5927</v>
      </c>
      <c r="D13" s="99" t="s">
        <v>51</v>
      </c>
      <c r="E13" s="99" t="s">
        <v>52</v>
      </c>
      <c r="F13" s="99" t="s">
        <v>59</v>
      </c>
      <c r="G13" s="20" t="s">
        <v>20</v>
      </c>
      <c r="H13" s="32" t="s">
        <v>23</v>
      </c>
      <c r="I13" s="32" t="s">
        <v>24</v>
      </c>
      <c r="J13" s="60">
        <v>0.3</v>
      </c>
      <c r="K13" s="17" t="s">
        <v>194</v>
      </c>
      <c r="L13" s="17" t="s">
        <v>167</v>
      </c>
      <c r="M13" s="17"/>
      <c r="N13" s="62">
        <v>1</v>
      </c>
      <c r="O13" s="62">
        <v>0.3</v>
      </c>
      <c r="P13" s="53">
        <v>0.5</v>
      </c>
      <c r="Q13" s="57">
        <f t="shared" si="2"/>
        <v>0.5</v>
      </c>
      <c r="R13" s="97">
        <f t="shared" si="3"/>
        <v>0</v>
      </c>
      <c r="S13" s="57" t="s">
        <v>27</v>
      </c>
      <c r="T13" s="57"/>
    </row>
  </sheetData>
  <phoneticPr fontId="2" type="noConversion"/>
  <conditionalFormatting sqref="H8:H10 H11:I13 A8:B13 K11:M13">
    <cfRule type="cellIs" dxfId="38" priority="21" operator="equal">
      <formula>"maintasks"</formula>
    </cfRule>
  </conditionalFormatting>
  <conditionalFormatting sqref="H1:I10">
    <cfRule type="cellIs" dxfId="37" priority="27" operator="equal">
      <formula>"maintasks"</formula>
    </cfRule>
  </conditionalFormatting>
  <conditionalFormatting sqref="K1:M1">
    <cfRule type="cellIs" dxfId="36" priority="19" operator="equal">
      <formula>"maintasks"</formula>
    </cfRule>
  </conditionalFormatting>
  <conditionalFormatting sqref="K10:M10">
    <cfRule type="cellIs" dxfId="35" priority="5" operator="equal">
      <formula>"maintasks"</formula>
    </cfRule>
  </conditionalFormatting>
  <conditionalFormatting sqref="K2:M5 K9:M9 K8:L8 K7:N7 K6:L6">
    <cfRule type="cellIs" dxfId="34" priority="4" operator="equal">
      <formula>"maintasks"</formula>
    </cfRule>
  </conditionalFormatting>
  <conditionalFormatting sqref="N10">
    <cfRule type="cellIs" dxfId="33" priority="3" operator="equal">
      <formula>"maintasks"</formula>
    </cfRule>
  </conditionalFormatting>
  <conditionalFormatting sqref="M8:N8">
    <cfRule type="cellIs" dxfId="32" priority="2" operator="equal">
      <formula>"maintasks"</formula>
    </cfRule>
  </conditionalFormatting>
  <conditionalFormatting sqref="M6">
    <cfRule type="cellIs" dxfId="31" priority="1" operator="equal">
      <formula>"maintasks"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8FB1-9C19-4C78-9C36-A47E3833F62E}">
  <sheetPr>
    <tabColor rgb="FF00B050"/>
  </sheetPr>
  <dimension ref="A1:T11"/>
  <sheetViews>
    <sheetView zoomScale="90" zoomScaleNormal="90" workbookViewId="0">
      <selection activeCell="L16" sqref="L16"/>
    </sheetView>
  </sheetViews>
  <sheetFormatPr defaultColWidth="8.77734375" defaultRowHeight="33.450000000000003" customHeight="1" x14ac:dyDescent="0.4"/>
  <cols>
    <col min="1" max="1" width="5.5546875" style="104" bestFit="1" customWidth="1"/>
    <col min="2" max="2" width="3.21875" style="104" bestFit="1" customWidth="1"/>
    <col min="3" max="3" width="5.88671875" style="104" bestFit="1" customWidth="1"/>
    <col min="4" max="4" width="9.21875" style="104" bestFit="1" customWidth="1"/>
    <col min="5" max="5" width="17.44140625" style="104" bestFit="1" customWidth="1"/>
    <col min="6" max="7" width="7.33203125" style="104" bestFit="1" customWidth="1"/>
    <col min="8" max="8" width="6.88671875" style="104" bestFit="1" customWidth="1"/>
    <col min="9" max="9" width="7" style="104" bestFit="1" customWidth="1"/>
    <col min="10" max="10" width="7.21875" style="104" bestFit="1" customWidth="1"/>
    <col min="11" max="11" width="55.77734375" style="104" bestFit="1" customWidth="1"/>
    <col min="12" max="12" width="53.109375" style="104" bestFit="1" customWidth="1"/>
    <col min="13" max="13" width="96" style="104" customWidth="1"/>
    <col min="14" max="14" width="7.77734375" style="104" customWidth="1"/>
    <col min="15" max="15" width="7.21875" style="104" bestFit="1" customWidth="1"/>
    <col min="16" max="16" width="11.21875" style="104" bestFit="1" customWidth="1"/>
    <col min="17" max="17" width="16.21875" style="104" bestFit="1" customWidth="1"/>
    <col min="18" max="18" width="12.77734375" style="104" bestFit="1" customWidth="1"/>
    <col min="19" max="19" width="3.5546875" style="104" bestFit="1" customWidth="1"/>
    <col min="20" max="20" width="3.33203125" style="104" bestFit="1" customWidth="1"/>
    <col min="21" max="16384" width="8.77734375" style="104"/>
  </cols>
  <sheetData>
    <row r="1" spans="1:20" ht="25.5" customHeight="1" x14ac:dyDescent="0.4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33.450000000000003" customHeight="1" x14ac:dyDescent="0.4">
      <c r="A2" s="39" t="s">
        <v>38</v>
      </c>
      <c r="B2" s="40" t="s">
        <v>25</v>
      </c>
      <c r="C2" s="40">
        <v>5392</v>
      </c>
      <c r="D2" s="40" t="s">
        <v>49</v>
      </c>
      <c r="E2" s="40" t="s">
        <v>50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48" t="s">
        <v>33</v>
      </c>
      <c r="M2" s="48" t="s">
        <v>29</v>
      </c>
      <c r="N2" s="42">
        <v>0.95</v>
      </c>
      <c r="O2" s="41">
        <v>0.15</v>
      </c>
      <c r="P2" s="41">
        <v>0.93</v>
      </c>
      <c r="Q2" s="41">
        <f t="shared" ref="Q2:Q7" si="0">ROUND(IF(OR(N2="",P2=""),0,IF(AND(N2=0,P2=0),1,IF(S2="+",P2/N2,N2/P2))),2)</f>
        <v>0.98</v>
      </c>
      <c r="R2" s="43">
        <f t="shared" ref="R2:R7" si="1">IF(AND(Q2&gt;=60%,Q2&lt;100%),Q2*((O2*J2)),IF(Q2=100%,((O2*J2)*Q2)*100%,IF(Q2&gt;100%,((J2*O2)*100%)*100%,0)))*100</f>
        <v>10.29</v>
      </c>
      <c r="S2" s="41" t="s">
        <v>27</v>
      </c>
      <c r="T2" s="91">
        <f>SUM(R2:R11)%</f>
        <v>0.87054999999999993</v>
      </c>
    </row>
    <row r="3" spans="1:20" ht="33.450000000000003" customHeight="1" x14ac:dyDescent="0.4">
      <c r="A3" s="39" t="s">
        <v>38</v>
      </c>
      <c r="B3" s="40" t="s">
        <v>25</v>
      </c>
      <c r="C3" s="40">
        <v>5392</v>
      </c>
      <c r="D3" s="40" t="s">
        <v>49</v>
      </c>
      <c r="E3" s="40" t="s">
        <v>50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48" t="s">
        <v>35</v>
      </c>
      <c r="M3" s="48" t="s">
        <v>30</v>
      </c>
      <c r="N3" s="42">
        <v>0.95</v>
      </c>
      <c r="O3" s="41">
        <v>0.15</v>
      </c>
      <c r="P3" s="187">
        <v>0.98799999999999999</v>
      </c>
      <c r="Q3" s="41">
        <f t="shared" si="0"/>
        <v>1.04</v>
      </c>
      <c r="R3" s="43">
        <f t="shared" si="1"/>
        <v>10.5</v>
      </c>
      <c r="S3" s="41" t="s">
        <v>27</v>
      </c>
      <c r="T3" s="79"/>
    </row>
    <row r="4" spans="1:20" ht="33.450000000000003" customHeight="1" x14ac:dyDescent="0.4">
      <c r="A4" s="39" t="s">
        <v>38</v>
      </c>
      <c r="B4" s="40" t="s">
        <v>25</v>
      </c>
      <c r="C4" s="40">
        <v>5392</v>
      </c>
      <c r="D4" s="40" t="s">
        <v>49</v>
      </c>
      <c r="E4" s="40" t="s">
        <v>50</v>
      </c>
      <c r="F4" s="40" t="s">
        <v>58</v>
      </c>
      <c r="G4" s="40" t="s">
        <v>20</v>
      </c>
      <c r="H4" s="24" t="s">
        <v>21</v>
      </c>
      <c r="I4" s="47" t="s">
        <v>22</v>
      </c>
      <c r="J4" s="41">
        <v>0.7</v>
      </c>
      <c r="K4" s="69" t="s">
        <v>124</v>
      </c>
      <c r="L4" s="50" t="s">
        <v>120</v>
      </c>
      <c r="M4" s="46" t="s">
        <v>123</v>
      </c>
      <c r="N4" s="42">
        <v>0.7</v>
      </c>
      <c r="O4" s="41">
        <v>0.15</v>
      </c>
      <c r="P4" s="41">
        <v>1.18</v>
      </c>
      <c r="Q4" s="41">
        <f t="shared" si="0"/>
        <v>1.69</v>
      </c>
      <c r="R4" s="43">
        <f t="shared" si="1"/>
        <v>10.5</v>
      </c>
      <c r="S4" s="41" t="s">
        <v>27</v>
      </c>
      <c r="T4" s="79"/>
    </row>
    <row r="5" spans="1:20" ht="33.450000000000003" customHeight="1" x14ac:dyDescent="0.4">
      <c r="A5" s="39" t="s">
        <v>38</v>
      </c>
      <c r="B5" s="40" t="s">
        <v>25</v>
      </c>
      <c r="C5" s="40">
        <v>5392</v>
      </c>
      <c r="D5" s="40" t="s">
        <v>49</v>
      </c>
      <c r="E5" s="40" t="s">
        <v>50</v>
      </c>
      <c r="F5" s="40" t="s">
        <v>58</v>
      </c>
      <c r="G5" s="40" t="s">
        <v>20</v>
      </c>
      <c r="H5" s="24" t="s">
        <v>21</v>
      </c>
      <c r="I5" s="47" t="s">
        <v>22</v>
      </c>
      <c r="J5" s="41">
        <v>0.7</v>
      </c>
      <c r="K5" s="50" t="s">
        <v>127</v>
      </c>
      <c r="L5" s="50" t="s">
        <v>126</v>
      </c>
      <c r="M5" s="46" t="s">
        <v>125</v>
      </c>
      <c r="N5" s="42">
        <v>0.05</v>
      </c>
      <c r="O5" s="41">
        <v>0.15</v>
      </c>
      <c r="P5" s="41">
        <v>0.05</v>
      </c>
      <c r="Q5" s="41">
        <f t="shared" si="0"/>
        <v>1</v>
      </c>
      <c r="R5" s="43">
        <f t="shared" si="1"/>
        <v>10.5</v>
      </c>
      <c r="S5" s="42" t="s">
        <v>28</v>
      </c>
      <c r="T5" s="79"/>
    </row>
    <row r="6" spans="1:20" ht="33.450000000000003" customHeight="1" x14ac:dyDescent="0.4">
      <c r="A6" s="39" t="s">
        <v>38</v>
      </c>
      <c r="B6" s="40" t="s">
        <v>25</v>
      </c>
      <c r="C6" s="40">
        <v>5392</v>
      </c>
      <c r="D6" s="40" t="s">
        <v>49</v>
      </c>
      <c r="E6" s="40" t="s">
        <v>50</v>
      </c>
      <c r="F6" s="40" t="s">
        <v>58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48" t="s">
        <v>37</v>
      </c>
      <c r="M6" s="23" t="s">
        <v>236</v>
      </c>
      <c r="N6" s="41">
        <v>1</v>
      </c>
      <c r="O6" s="41">
        <v>0.15</v>
      </c>
      <c r="P6" s="41">
        <v>0.95</v>
      </c>
      <c r="Q6" s="41">
        <f t="shared" si="0"/>
        <v>0.95</v>
      </c>
      <c r="R6" s="43">
        <f t="shared" si="1"/>
        <v>9.9749999999999996</v>
      </c>
      <c r="S6" s="41" t="s">
        <v>27</v>
      </c>
      <c r="T6" s="79"/>
    </row>
    <row r="7" spans="1:20" ht="33.450000000000003" customHeight="1" x14ac:dyDescent="0.4">
      <c r="A7" s="39" t="s">
        <v>38</v>
      </c>
      <c r="B7" s="40" t="s">
        <v>25</v>
      </c>
      <c r="C7" s="40">
        <v>5392</v>
      </c>
      <c r="D7" s="40" t="s">
        <v>49</v>
      </c>
      <c r="E7" s="40" t="s">
        <v>50</v>
      </c>
      <c r="F7" s="40" t="s">
        <v>58</v>
      </c>
      <c r="G7" s="40" t="s">
        <v>20</v>
      </c>
      <c r="H7" s="24" t="s">
        <v>21</v>
      </c>
      <c r="I7" s="24" t="s">
        <v>22</v>
      </c>
      <c r="J7" s="41">
        <v>0.7</v>
      </c>
      <c r="K7" s="50" t="s">
        <v>114</v>
      </c>
      <c r="L7" s="50" t="s">
        <v>129</v>
      </c>
      <c r="M7" s="50" t="s">
        <v>116</v>
      </c>
      <c r="N7" s="61">
        <v>0.9</v>
      </c>
      <c r="O7" s="62">
        <v>0.15</v>
      </c>
      <c r="P7" s="41">
        <v>0.88</v>
      </c>
      <c r="Q7" s="41">
        <f t="shared" si="0"/>
        <v>0.98</v>
      </c>
      <c r="R7" s="43">
        <f t="shared" si="1"/>
        <v>10.29</v>
      </c>
      <c r="S7" s="41" t="s">
        <v>27</v>
      </c>
      <c r="T7" s="79"/>
    </row>
    <row r="8" spans="1:20" ht="33.450000000000003" customHeight="1" x14ac:dyDescent="0.4">
      <c r="A8" s="129" t="s">
        <v>38</v>
      </c>
      <c r="B8" s="129" t="s">
        <v>25</v>
      </c>
      <c r="C8" s="137">
        <v>5392</v>
      </c>
      <c r="D8" s="137" t="s">
        <v>49</v>
      </c>
      <c r="E8" s="137" t="s">
        <v>50</v>
      </c>
      <c r="F8" s="137" t="s">
        <v>58</v>
      </c>
      <c r="G8" s="130" t="s">
        <v>20</v>
      </c>
      <c r="H8" s="24" t="s">
        <v>21</v>
      </c>
      <c r="I8" s="24" t="s">
        <v>22</v>
      </c>
      <c r="J8" s="131">
        <v>0.7</v>
      </c>
      <c r="K8" s="132" t="s">
        <v>65</v>
      </c>
      <c r="L8" s="132" t="s">
        <v>66</v>
      </c>
      <c r="M8" s="132" t="s">
        <v>67</v>
      </c>
      <c r="N8" s="41">
        <v>1</v>
      </c>
      <c r="O8" s="139">
        <v>0.1</v>
      </c>
      <c r="P8" s="140">
        <v>1</v>
      </c>
      <c r="Q8" s="140">
        <f t="shared" ref="Q8" si="2">ROUND(IF(OR(N8="",P8=""),0,IF(AND(N8=0,P8=0),1,IF(S8="+",P8/N8,N8/P8))),2)</f>
        <v>1</v>
      </c>
      <c r="R8" s="141">
        <f t="shared" ref="R8" si="3">IF(AND(Q8&gt;=60%,Q8&lt;100%),Q8*((O8*J8)),IF(Q8=100%,((O8*J8)*Q8)*100%,IF(Q8&gt;100%,((J8*O8)*100%)*100%,0)))*100</f>
        <v>6.9999999999999991</v>
      </c>
      <c r="S8" s="142" t="s">
        <v>27</v>
      </c>
      <c r="T8" s="142"/>
    </row>
    <row r="9" spans="1:20" ht="33.450000000000003" customHeight="1" x14ac:dyDescent="0.4">
      <c r="A9" s="25" t="s">
        <v>38</v>
      </c>
      <c r="B9" s="25" t="s">
        <v>25</v>
      </c>
      <c r="C9" s="99">
        <v>5392</v>
      </c>
      <c r="D9" s="99" t="s">
        <v>49</v>
      </c>
      <c r="E9" s="99" t="s">
        <v>50</v>
      </c>
      <c r="F9" s="99" t="s">
        <v>58</v>
      </c>
      <c r="G9" s="20" t="s">
        <v>20</v>
      </c>
      <c r="H9" s="38" t="s">
        <v>23</v>
      </c>
      <c r="I9" s="38" t="s">
        <v>24</v>
      </c>
      <c r="J9" s="60">
        <v>0.3</v>
      </c>
      <c r="K9" s="17" t="s">
        <v>195</v>
      </c>
      <c r="L9" s="17" t="s">
        <v>148</v>
      </c>
      <c r="M9" s="17"/>
      <c r="N9" s="62">
        <v>0.7</v>
      </c>
      <c r="O9" s="62">
        <v>0.3</v>
      </c>
      <c r="P9" s="41">
        <v>0.7</v>
      </c>
      <c r="Q9" s="41">
        <f t="shared" ref="Q9" si="4">ROUND(IF(OR(N9="",P9=""),0,IF(AND(N9=0,P9=0),1,IF(S9="+",P9/N9,N9/P9))),2)</f>
        <v>1</v>
      </c>
      <c r="R9" s="43">
        <f t="shared" ref="R9" si="5">IF(AND(Q9&gt;=60%,Q9&lt;100%),Q9*((O9*J9)),IF(Q9=100%,((O9*J9)*Q9)*100%,IF(Q9&gt;100%,((J9*O9)*100%)*100%,0)))*100</f>
        <v>9</v>
      </c>
      <c r="S9" s="57" t="s">
        <v>27</v>
      </c>
      <c r="T9" s="57"/>
    </row>
    <row r="10" spans="1:20" ht="33.450000000000003" customHeight="1" x14ac:dyDescent="0.4">
      <c r="A10" s="25" t="s">
        <v>38</v>
      </c>
      <c r="B10" s="25" t="s">
        <v>63</v>
      </c>
      <c r="C10" s="99">
        <v>5393</v>
      </c>
      <c r="D10" s="99" t="s">
        <v>49</v>
      </c>
      <c r="E10" s="99" t="s">
        <v>50</v>
      </c>
      <c r="F10" s="99" t="s">
        <v>58</v>
      </c>
      <c r="G10" s="20" t="s">
        <v>20</v>
      </c>
      <c r="H10" s="38" t="s">
        <v>23</v>
      </c>
      <c r="I10" s="38" t="s">
        <v>24</v>
      </c>
      <c r="J10" s="60">
        <v>0.3</v>
      </c>
      <c r="K10" s="17" t="s">
        <v>196</v>
      </c>
      <c r="L10" s="17" t="s">
        <v>149</v>
      </c>
      <c r="M10" s="17"/>
      <c r="N10" s="62">
        <v>1</v>
      </c>
      <c r="O10" s="62">
        <v>0.4</v>
      </c>
      <c r="P10" s="41">
        <v>0</v>
      </c>
      <c r="Q10" s="41">
        <f t="shared" ref="Q10:Q11" si="6">ROUND(IF(OR(N10="",P10=""),0,IF(AND(N10=0,P10=0),1,IF(S10="+",P10/N10,N10/P10))),2)</f>
        <v>0</v>
      </c>
      <c r="R10" s="43">
        <f t="shared" ref="R10:R11" si="7">IF(AND(Q10&gt;=60%,Q10&lt;100%),Q10*((O10*J10)),IF(Q10=100%,((O10*J10)*Q10)*100%,IF(Q10&gt;100%,((J10*O10)*100%)*100%,0)))*100</f>
        <v>0</v>
      </c>
      <c r="S10" s="57" t="s">
        <v>27</v>
      </c>
      <c r="T10" s="57"/>
    </row>
    <row r="11" spans="1:20" ht="33.450000000000003" customHeight="1" x14ac:dyDescent="0.4">
      <c r="A11" s="25" t="s">
        <v>38</v>
      </c>
      <c r="B11" s="25" t="s">
        <v>68</v>
      </c>
      <c r="C11" s="99">
        <v>5394</v>
      </c>
      <c r="D11" s="99" t="s">
        <v>49</v>
      </c>
      <c r="E11" s="99" t="s">
        <v>50</v>
      </c>
      <c r="F11" s="99" t="s">
        <v>58</v>
      </c>
      <c r="G11" s="20" t="s">
        <v>20</v>
      </c>
      <c r="H11" s="38" t="s">
        <v>23</v>
      </c>
      <c r="I11" s="38" t="s">
        <v>24</v>
      </c>
      <c r="J11" s="60">
        <v>0.3</v>
      </c>
      <c r="K11" s="17" t="s">
        <v>197</v>
      </c>
      <c r="L11" s="17" t="s">
        <v>150</v>
      </c>
      <c r="M11" s="17"/>
      <c r="N11" s="62">
        <v>1</v>
      </c>
      <c r="O11" s="62">
        <v>0.3</v>
      </c>
      <c r="P11" s="41">
        <v>1</v>
      </c>
      <c r="Q11" s="41">
        <f t="shared" si="6"/>
        <v>1</v>
      </c>
      <c r="R11" s="43">
        <f t="shared" si="7"/>
        <v>9</v>
      </c>
      <c r="S11" s="57" t="s">
        <v>27</v>
      </c>
      <c r="T11" s="57"/>
    </row>
  </sheetData>
  <conditionalFormatting sqref="A8:B11 H1:I11 K9:M11">
    <cfRule type="cellIs" dxfId="30" priority="19" operator="equal">
      <formula>"maintasks"</formula>
    </cfRule>
  </conditionalFormatting>
  <conditionalFormatting sqref="K8:M8">
    <cfRule type="cellIs" dxfId="29" priority="13" operator="equal">
      <formula>"maintasks"</formula>
    </cfRule>
  </conditionalFormatting>
  <conditionalFormatting sqref="K1:M5 K7:M7 K6:L6">
    <cfRule type="cellIs" dxfId="28" priority="5" operator="equal">
      <formula>"maintasks"</formula>
    </cfRule>
  </conditionalFormatting>
  <conditionalFormatting sqref="M6">
    <cfRule type="cellIs" dxfId="27" priority="1" operator="equal">
      <formula>"maintasks"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FD32-1DAB-46A0-95FE-EA29AF826673}">
  <sheetPr>
    <tabColor rgb="FF00B050"/>
  </sheetPr>
  <dimension ref="A1:T12"/>
  <sheetViews>
    <sheetView topLeftCell="F1" zoomScale="115" zoomScaleNormal="115" workbookViewId="0">
      <pane ySplit="1" topLeftCell="A2" activePane="bottomLeft" state="frozen"/>
      <selection pane="bottomLeft" activeCell="M2" sqref="L2:M2"/>
    </sheetView>
  </sheetViews>
  <sheetFormatPr defaultColWidth="8.77734375" defaultRowHeight="26.55" customHeight="1" x14ac:dyDescent="0.5"/>
  <cols>
    <col min="1" max="1" width="9.33203125" style="117" bestFit="1" customWidth="1"/>
    <col min="2" max="2" width="3.33203125" style="117" customWidth="1"/>
    <col min="3" max="3" width="5.88671875" style="117" customWidth="1"/>
    <col min="4" max="4" width="9.6640625" style="117" customWidth="1"/>
    <col min="5" max="5" width="8.21875" style="117" customWidth="1"/>
    <col min="6" max="6" width="6.44140625" style="117" customWidth="1"/>
    <col min="7" max="7" width="6.77734375" style="117" customWidth="1"/>
    <col min="8" max="8" width="8.33203125" style="117" customWidth="1"/>
    <col min="9" max="9" width="6.88671875" style="117" bestFit="1" customWidth="1"/>
    <col min="10" max="10" width="5.77734375" style="117" customWidth="1"/>
    <col min="11" max="11" width="62.44140625" style="117" bestFit="1" customWidth="1"/>
    <col min="12" max="12" width="37.44140625" style="126" bestFit="1" customWidth="1"/>
    <col min="13" max="13" width="62.109375" style="117" customWidth="1"/>
    <col min="14" max="14" width="4.5546875" style="117" bestFit="1" customWidth="1"/>
    <col min="15" max="15" width="7.44140625" style="117" bestFit="1" customWidth="1"/>
    <col min="16" max="16" width="11.21875" style="117" bestFit="1" customWidth="1"/>
    <col min="17" max="17" width="16.21875" style="117" bestFit="1" customWidth="1"/>
    <col min="18" max="18" width="12.77734375" style="117" bestFit="1" customWidth="1"/>
    <col min="19" max="20" width="3.5546875" style="117" bestFit="1" customWidth="1"/>
    <col min="21" max="16384" width="8.77734375" style="117"/>
  </cols>
  <sheetData>
    <row r="1" spans="1:20" ht="26.55" customHeight="1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116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26.55" customHeight="1" x14ac:dyDescent="0.5">
      <c r="A2" s="39" t="s">
        <v>38</v>
      </c>
      <c r="B2" s="40" t="s">
        <v>25</v>
      </c>
      <c r="C2" s="40">
        <v>3076</v>
      </c>
      <c r="D2" s="40" t="s">
        <v>53</v>
      </c>
      <c r="E2" s="40" t="s">
        <v>54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118" t="s">
        <v>31</v>
      </c>
      <c r="L2" s="119" t="s">
        <v>33</v>
      </c>
      <c r="M2" s="120" t="s">
        <v>29</v>
      </c>
      <c r="N2" s="42">
        <v>0.95</v>
      </c>
      <c r="O2" s="41">
        <v>0.15</v>
      </c>
      <c r="P2" s="41">
        <v>0.92500000000000004</v>
      </c>
      <c r="Q2" s="41">
        <f t="shared" ref="Q2:Q7" si="0">ROUND(IF(OR(N2="",P2=""),0,IF(AND(N2=0,P2=0),1,IF(S2="+",P2/N2,N2/P2))),2)</f>
        <v>0.97</v>
      </c>
      <c r="R2" s="43">
        <f t="shared" ref="R2:R7" si="1">IF(AND(Q2&gt;=60%,Q2&lt;100%),Q2*((O2*J2)),IF(Q2=100%,((O2*J2)*Q2)*100%,IF(Q2&gt;100%,((J2*O2)*100%)*100%,0)))*100</f>
        <v>10.184999999999999</v>
      </c>
      <c r="S2" s="41" t="s">
        <v>27</v>
      </c>
      <c r="T2" s="121">
        <f>SUM(R2:R12)%</f>
        <v>0.86739999999999995</v>
      </c>
    </row>
    <row r="3" spans="1:20" ht="26.55" customHeight="1" x14ac:dyDescent="0.5">
      <c r="A3" s="39" t="s">
        <v>38</v>
      </c>
      <c r="B3" s="40" t="s">
        <v>25</v>
      </c>
      <c r="C3" s="40">
        <v>3076</v>
      </c>
      <c r="D3" s="40" t="s">
        <v>53</v>
      </c>
      <c r="E3" s="40" t="s">
        <v>54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118" t="s">
        <v>32</v>
      </c>
      <c r="L3" s="119" t="s">
        <v>35</v>
      </c>
      <c r="M3" s="120" t="s">
        <v>30</v>
      </c>
      <c r="N3" s="42">
        <v>0.95</v>
      </c>
      <c r="O3" s="41">
        <v>0.15</v>
      </c>
      <c r="P3" s="41">
        <v>0.97499999999999998</v>
      </c>
      <c r="Q3" s="41">
        <f t="shared" si="0"/>
        <v>1.03</v>
      </c>
      <c r="R3" s="43">
        <f t="shared" si="1"/>
        <v>10.5</v>
      </c>
      <c r="S3" s="41" t="s">
        <v>27</v>
      </c>
      <c r="T3" s="79"/>
    </row>
    <row r="4" spans="1:20" ht="26.55" customHeight="1" x14ac:dyDescent="0.5">
      <c r="A4" s="39" t="s">
        <v>38</v>
      </c>
      <c r="B4" s="40" t="s">
        <v>25</v>
      </c>
      <c r="C4" s="40">
        <v>3076</v>
      </c>
      <c r="D4" s="40" t="s">
        <v>53</v>
      </c>
      <c r="E4" s="40" t="s">
        <v>54</v>
      </c>
      <c r="F4" s="40" t="s">
        <v>58</v>
      </c>
      <c r="G4" s="40" t="s">
        <v>20</v>
      </c>
      <c r="H4" s="24" t="s">
        <v>21</v>
      </c>
      <c r="I4" s="24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0.15</v>
      </c>
      <c r="P4" s="41">
        <v>1.07</v>
      </c>
      <c r="Q4" s="41">
        <f t="shared" si="0"/>
        <v>1.53</v>
      </c>
      <c r="R4" s="43">
        <f t="shared" si="1"/>
        <v>10.5</v>
      </c>
      <c r="S4" s="41" t="s">
        <v>27</v>
      </c>
      <c r="T4" s="79"/>
    </row>
    <row r="5" spans="1:20" ht="26.55" customHeight="1" x14ac:dyDescent="0.5">
      <c r="A5" s="39" t="s">
        <v>38</v>
      </c>
      <c r="B5" s="40" t="s">
        <v>25</v>
      </c>
      <c r="C5" s="40">
        <v>3076</v>
      </c>
      <c r="D5" s="40" t="s">
        <v>53</v>
      </c>
      <c r="E5" s="40" t="s">
        <v>54</v>
      </c>
      <c r="F5" s="40" t="s">
        <v>58</v>
      </c>
      <c r="G5" s="40" t="s">
        <v>20</v>
      </c>
      <c r="H5" s="24" t="s">
        <v>21</v>
      </c>
      <c r="I5" s="24" t="s">
        <v>22</v>
      </c>
      <c r="J5" s="41">
        <v>0.7</v>
      </c>
      <c r="K5" s="34" t="s">
        <v>127</v>
      </c>
      <c r="L5" s="33" t="s">
        <v>126</v>
      </c>
      <c r="M5" s="46" t="s">
        <v>125</v>
      </c>
      <c r="N5" s="42">
        <v>0.05</v>
      </c>
      <c r="O5" s="41">
        <v>0.15</v>
      </c>
      <c r="P5" s="41">
        <v>0.05</v>
      </c>
      <c r="Q5" s="41">
        <f t="shared" si="0"/>
        <v>1</v>
      </c>
      <c r="R5" s="43">
        <f t="shared" si="1"/>
        <v>10.5</v>
      </c>
      <c r="S5" s="42" t="s">
        <v>28</v>
      </c>
      <c r="T5" s="79"/>
    </row>
    <row r="6" spans="1:20" ht="26.55" customHeight="1" x14ac:dyDescent="0.5">
      <c r="A6" s="39" t="s">
        <v>38</v>
      </c>
      <c r="B6" s="40" t="s">
        <v>25</v>
      </c>
      <c r="C6" s="40">
        <v>3076</v>
      </c>
      <c r="D6" s="40" t="s">
        <v>53</v>
      </c>
      <c r="E6" s="40" t="s">
        <v>54</v>
      </c>
      <c r="F6" s="40" t="s">
        <v>58</v>
      </c>
      <c r="G6" s="40" t="s">
        <v>20</v>
      </c>
      <c r="H6" s="24" t="s">
        <v>21</v>
      </c>
      <c r="I6" s="24" t="s">
        <v>22</v>
      </c>
      <c r="J6" s="41">
        <v>0.7</v>
      </c>
      <c r="K6" s="118" t="s">
        <v>36</v>
      </c>
      <c r="L6" s="119" t="s">
        <v>37</v>
      </c>
      <c r="M6" s="23" t="s">
        <v>236</v>
      </c>
      <c r="N6" s="41">
        <v>1</v>
      </c>
      <c r="O6" s="41">
        <v>0.15</v>
      </c>
      <c r="P6" s="41">
        <v>1</v>
      </c>
      <c r="Q6" s="41">
        <f t="shared" si="0"/>
        <v>1</v>
      </c>
      <c r="R6" s="43">
        <f t="shared" si="1"/>
        <v>10.5</v>
      </c>
      <c r="S6" s="41" t="s">
        <v>27</v>
      </c>
      <c r="T6" s="79"/>
    </row>
    <row r="7" spans="1:20" ht="26.55" customHeight="1" x14ac:dyDescent="0.5">
      <c r="A7" s="39" t="s">
        <v>38</v>
      </c>
      <c r="B7" s="40" t="s">
        <v>25</v>
      </c>
      <c r="C7" s="40">
        <v>3076</v>
      </c>
      <c r="D7" s="40" t="s">
        <v>53</v>
      </c>
      <c r="E7" s="40" t="s">
        <v>54</v>
      </c>
      <c r="F7" s="40" t="s">
        <v>58</v>
      </c>
      <c r="G7" s="40" t="s">
        <v>20</v>
      </c>
      <c r="H7" s="24" t="s">
        <v>21</v>
      </c>
      <c r="I7" s="24" t="s">
        <v>22</v>
      </c>
      <c r="J7" s="41">
        <v>0.7</v>
      </c>
      <c r="K7" s="122" t="s">
        <v>114</v>
      </c>
      <c r="L7" s="33" t="s">
        <v>129</v>
      </c>
      <c r="M7" s="50" t="s">
        <v>116</v>
      </c>
      <c r="N7" s="61">
        <v>0.9</v>
      </c>
      <c r="O7" s="62">
        <v>0.15</v>
      </c>
      <c r="P7" s="123">
        <v>0.85</v>
      </c>
      <c r="Q7" s="123">
        <f t="shared" si="0"/>
        <v>0.94</v>
      </c>
      <c r="R7" s="124">
        <f t="shared" si="1"/>
        <v>9.8699999999999992</v>
      </c>
      <c r="S7" s="123" t="s">
        <v>27</v>
      </c>
      <c r="T7" s="125"/>
    </row>
    <row r="8" spans="1:20" ht="26.55" customHeight="1" thickBot="1" x14ac:dyDescent="0.55000000000000004">
      <c r="A8" s="143" t="s">
        <v>38</v>
      </c>
      <c r="B8" s="143" t="s">
        <v>25</v>
      </c>
      <c r="C8" s="144">
        <v>3076</v>
      </c>
      <c r="D8" s="144" t="s">
        <v>53</v>
      </c>
      <c r="E8" s="144" t="s">
        <v>54</v>
      </c>
      <c r="F8" s="144" t="s">
        <v>58</v>
      </c>
      <c r="G8" s="145" t="s">
        <v>20</v>
      </c>
      <c r="H8" s="24" t="s">
        <v>21</v>
      </c>
      <c r="I8" s="47" t="s">
        <v>22</v>
      </c>
      <c r="J8" s="41">
        <v>0.7</v>
      </c>
      <c r="K8" s="147" t="s">
        <v>65</v>
      </c>
      <c r="L8" s="147" t="s">
        <v>66</v>
      </c>
      <c r="M8" s="147" t="s">
        <v>67</v>
      </c>
      <c r="N8" s="80">
        <v>1</v>
      </c>
      <c r="O8" s="148">
        <v>0.1</v>
      </c>
      <c r="P8" s="182">
        <v>1</v>
      </c>
      <c r="Q8" s="149">
        <f t="shared" ref="Q8" si="2">ROUND(IF(OR(N8="",P8=""),0,IF(AND(N8=0,P8=0),1,IF(S8="+",P8/N8,N8/P8))),2)</f>
        <v>1</v>
      </c>
      <c r="R8" s="150">
        <f t="shared" ref="R8" si="3">IF(AND(Q8&gt;=60%,Q8&lt;100%),Q8*((O8*J8)),IF(Q8=100%,((O8*J8)*Q8)*100%,IF(Q8&gt;100%,((J8*O8)*100%)*100%,0)))*100</f>
        <v>6.9999999999999991</v>
      </c>
      <c r="S8" s="149" t="s">
        <v>27</v>
      </c>
      <c r="T8" s="133"/>
    </row>
    <row r="9" spans="1:20" ht="26.55" customHeight="1" x14ac:dyDescent="0.5">
      <c r="A9" s="151" t="s">
        <v>38</v>
      </c>
      <c r="B9" s="152" t="s">
        <v>25</v>
      </c>
      <c r="C9" s="153">
        <v>3076</v>
      </c>
      <c r="D9" s="153" t="s">
        <v>53</v>
      </c>
      <c r="E9" s="153" t="s">
        <v>54</v>
      </c>
      <c r="F9" s="153" t="s">
        <v>58</v>
      </c>
      <c r="G9" s="154" t="s">
        <v>20</v>
      </c>
      <c r="H9" s="155" t="s">
        <v>23</v>
      </c>
      <c r="I9" s="155" t="s">
        <v>24</v>
      </c>
      <c r="J9" s="60">
        <v>0.3</v>
      </c>
      <c r="K9" s="156" t="s">
        <v>198</v>
      </c>
      <c r="L9" s="17" t="s">
        <v>156</v>
      </c>
      <c r="M9" s="17"/>
      <c r="N9" s="62">
        <v>1</v>
      </c>
      <c r="O9" s="62">
        <v>0.25</v>
      </c>
      <c r="P9" s="204">
        <v>1</v>
      </c>
      <c r="Q9" s="157">
        <f t="shared" ref="Q9:Q12" si="4">ROUND(IF(OR(N9="",P9=""),0,IF(AND(N9=0,P9=0),1,IF(S9="+",P9/N9,N9/P9))),2)</f>
        <v>1</v>
      </c>
      <c r="R9" s="158">
        <f t="shared" ref="R9:R12" si="5">IF(AND(Q9&gt;=60%,Q9&lt;100%),Q9*((O9*J9)),IF(Q9=100%,((O9*J9)*Q9)*100%,IF(Q9&gt;100%,((J9*O9)*100%)*100%,0)))*100</f>
        <v>7.5</v>
      </c>
      <c r="S9" s="157" t="s">
        <v>27</v>
      </c>
      <c r="T9" s="159"/>
    </row>
    <row r="10" spans="1:20" ht="26.55" customHeight="1" x14ac:dyDescent="0.5">
      <c r="A10" s="160" t="s">
        <v>38</v>
      </c>
      <c r="B10" s="143" t="s">
        <v>25</v>
      </c>
      <c r="C10" s="144">
        <v>3076</v>
      </c>
      <c r="D10" s="144" t="s">
        <v>53</v>
      </c>
      <c r="E10" s="144" t="s">
        <v>54</v>
      </c>
      <c r="F10" s="144" t="s">
        <v>58</v>
      </c>
      <c r="G10" s="145" t="s">
        <v>20</v>
      </c>
      <c r="H10" s="146" t="s">
        <v>23</v>
      </c>
      <c r="I10" s="146" t="s">
        <v>24</v>
      </c>
      <c r="J10" s="60">
        <v>0.3</v>
      </c>
      <c r="K10" s="147" t="s">
        <v>199</v>
      </c>
      <c r="L10" s="31" t="s">
        <v>151</v>
      </c>
      <c r="M10" s="30"/>
      <c r="N10" s="62">
        <v>1</v>
      </c>
      <c r="O10" s="115">
        <v>0.2</v>
      </c>
      <c r="P10" s="182">
        <v>1</v>
      </c>
      <c r="Q10" s="149">
        <f t="shared" si="4"/>
        <v>1</v>
      </c>
      <c r="R10" s="150">
        <f t="shared" si="5"/>
        <v>6</v>
      </c>
      <c r="S10" s="149" t="s">
        <v>27</v>
      </c>
      <c r="T10" s="161"/>
    </row>
    <row r="11" spans="1:20" ht="26.55" customHeight="1" x14ac:dyDescent="0.5">
      <c r="A11" s="160" t="s">
        <v>38</v>
      </c>
      <c r="B11" s="143" t="s">
        <v>25</v>
      </c>
      <c r="C11" s="144">
        <v>3076</v>
      </c>
      <c r="D11" s="144" t="s">
        <v>53</v>
      </c>
      <c r="E11" s="144" t="s">
        <v>54</v>
      </c>
      <c r="F11" s="144" t="s">
        <v>58</v>
      </c>
      <c r="G11" s="145" t="s">
        <v>20</v>
      </c>
      <c r="H11" s="146" t="s">
        <v>23</v>
      </c>
      <c r="I11" s="146" t="s">
        <v>24</v>
      </c>
      <c r="J11" s="60">
        <v>0.3</v>
      </c>
      <c r="K11" s="147" t="s">
        <v>200</v>
      </c>
      <c r="L11" s="147" t="s">
        <v>152</v>
      </c>
      <c r="M11" s="147"/>
      <c r="N11" s="62">
        <v>0.75</v>
      </c>
      <c r="O11" s="148">
        <v>0.15</v>
      </c>
      <c r="P11" s="182">
        <v>0.7</v>
      </c>
      <c r="Q11" s="149">
        <f t="shared" si="4"/>
        <v>0.93</v>
      </c>
      <c r="R11" s="150">
        <f t="shared" si="5"/>
        <v>4.1849999999999996</v>
      </c>
      <c r="S11" s="149" t="s">
        <v>27</v>
      </c>
      <c r="T11" s="161"/>
    </row>
    <row r="12" spans="1:20" ht="26.55" customHeight="1" thickBot="1" x14ac:dyDescent="0.55000000000000004">
      <c r="A12" s="162" t="s">
        <v>38</v>
      </c>
      <c r="B12" s="163" t="s">
        <v>25</v>
      </c>
      <c r="C12" s="164">
        <v>3076</v>
      </c>
      <c r="D12" s="164" t="s">
        <v>53</v>
      </c>
      <c r="E12" s="164" t="s">
        <v>54</v>
      </c>
      <c r="F12" s="164" t="s">
        <v>58</v>
      </c>
      <c r="G12" s="165" t="s">
        <v>20</v>
      </c>
      <c r="H12" s="166" t="s">
        <v>23</v>
      </c>
      <c r="I12" s="166" t="s">
        <v>24</v>
      </c>
      <c r="J12" s="60">
        <v>0.3</v>
      </c>
      <c r="K12" s="167" t="s">
        <v>201</v>
      </c>
      <c r="L12" s="167" t="s">
        <v>157</v>
      </c>
      <c r="M12" s="167"/>
      <c r="N12" s="62">
        <v>1</v>
      </c>
      <c r="O12" s="168">
        <v>0.4</v>
      </c>
      <c r="P12" s="194">
        <v>0.5</v>
      </c>
      <c r="Q12" s="169">
        <f t="shared" si="4"/>
        <v>0.5</v>
      </c>
      <c r="R12" s="170">
        <f t="shared" si="5"/>
        <v>0</v>
      </c>
      <c r="S12" s="169" t="s">
        <v>27</v>
      </c>
      <c r="T12" s="171"/>
    </row>
  </sheetData>
  <conditionalFormatting sqref="A8:B8">
    <cfRule type="cellIs" dxfId="26" priority="92" operator="equal">
      <formula>"maintasks"</formula>
    </cfRule>
  </conditionalFormatting>
  <conditionalFormatting sqref="H1:I6 K8:M8 H7">
    <cfRule type="cellIs" dxfId="25" priority="23" operator="equal">
      <formula>"maintasks"</formula>
    </cfRule>
  </conditionalFormatting>
  <conditionalFormatting sqref="I6">
    <cfRule type="cellIs" dxfId="24" priority="72" operator="equal">
      <formula>"maintasks"</formula>
    </cfRule>
  </conditionalFormatting>
  <conditionalFormatting sqref="K1:M5 K7:M7 K6:L6">
    <cfRule type="cellIs" dxfId="23" priority="17" operator="equal">
      <formula>"maintasks"</formula>
    </cfRule>
  </conditionalFormatting>
  <conditionalFormatting sqref="A9:B12">
    <cfRule type="cellIs" dxfId="22" priority="16" operator="equal">
      <formula>"maintasks"</formula>
    </cfRule>
  </conditionalFormatting>
  <conditionalFormatting sqref="H9:I12">
    <cfRule type="cellIs" dxfId="21" priority="15" operator="equal">
      <formula>"maintasks"</formula>
    </cfRule>
  </conditionalFormatting>
  <conditionalFormatting sqref="K11:M12 K9:K10">
    <cfRule type="cellIs" dxfId="20" priority="14" operator="equal">
      <formula>"maintasks"</formula>
    </cfRule>
  </conditionalFormatting>
  <conditionalFormatting sqref="L9:M9">
    <cfRule type="cellIs" dxfId="19" priority="13" operator="equal">
      <formula>"maintasks"</formula>
    </cfRule>
  </conditionalFormatting>
  <conditionalFormatting sqref="I7">
    <cfRule type="cellIs" dxfId="18" priority="6" operator="equal">
      <formula>"maintasks"</formula>
    </cfRule>
  </conditionalFormatting>
  <conditionalFormatting sqref="L10:M10">
    <cfRule type="cellIs" dxfId="17" priority="12" operator="equal">
      <formula>"maintasks"</formula>
    </cfRule>
  </conditionalFormatting>
  <conditionalFormatting sqref="I7">
    <cfRule type="cellIs" dxfId="16" priority="7" operator="equal">
      <formula>"maintasks"</formula>
    </cfRule>
  </conditionalFormatting>
  <conditionalFormatting sqref="H8">
    <cfRule type="cellIs" dxfId="15" priority="5" operator="equal">
      <formula>"maintasks"</formula>
    </cfRule>
  </conditionalFormatting>
  <conditionalFormatting sqref="I8">
    <cfRule type="cellIs" dxfId="14" priority="3" operator="equal">
      <formula>"maintasks"</formula>
    </cfRule>
  </conditionalFormatting>
  <conditionalFormatting sqref="I8">
    <cfRule type="cellIs" dxfId="13" priority="4" operator="equal">
      <formula>"maintasks"</formula>
    </cfRule>
  </conditionalFormatting>
  <conditionalFormatting sqref="N8">
    <cfRule type="cellIs" dxfId="12" priority="2" operator="equal">
      <formula>"maintasks"</formula>
    </cfRule>
  </conditionalFormatting>
  <conditionalFormatting sqref="M6">
    <cfRule type="cellIs" dxfId="11" priority="1" operator="equal">
      <formula>"maintasks"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4998-4113-4799-8CBE-D155C613A68C}">
  <sheetPr>
    <tabColor rgb="FF00B050"/>
  </sheetPr>
  <dimension ref="A1:T11"/>
  <sheetViews>
    <sheetView topLeftCell="L1" zoomScale="160" zoomScaleNormal="160" workbookViewId="0">
      <pane ySplit="1" topLeftCell="A2" activePane="bottomLeft" state="frozen"/>
      <selection pane="bottomLeft" activeCell="P11" sqref="P11"/>
    </sheetView>
  </sheetViews>
  <sheetFormatPr defaultColWidth="8.77734375" defaultRowHeight="12.6" x14ac:dyDescent="0.4"/>
  <cols>
    <col min="1" max="1" width="9.109375" style="101" bestFit="1" customWidth="1"/>
    <col min="2" max="2" width="2.77734375" style="101" bestFit="1" customWidth="1"/>
    <col min="3" max="3" width="5.109375" style="101" bestFit="1" customWidth="1"/>
    <col min="4" max="4" width="8.44140625" style="101" bestFit="1" customWidth="1"/>
    <col min="5" max="5" width="11.109375" style="101" bestFit="1" customWidth="1"/>
    <col min="6" max="6" width="5.88671875" style="101" bestFit="1" customWidth="1"/>
    <col min="7" max="7" width="15.33203125" style="101" customWidth="1"/>
    <col min="8" max="8" width="6.6640625" style="101" bestFit="1" customWidth="1"/>
    <col min="9" max="9" width="10.44140625" style="101" customWidth="1"/>
    <col min="10" max="10" width="8" style="101" customWidth="1"/>
    <col min="11" max="11" width="55.44140625" style="101" bestFit="1" customWidth="1"/>
    <col min="12" max="12" width="50.109375" style="103" customWidth="1"/>
    <col min="13" max="13" width="63.77734375" style="101" customWidth="1"/>
    <col min="14" max="14" width="7.77734375" style="101" customWidth="1"/>
    <col min="15" max="15" width="7.109375" style="101" bestFit="1" customWidth="1"/>
    <col min="16" max="16" width="10.6640625" style="101" bestFit="1" customWidth="1"/>
    <col min="17" max="17" width="14.88671875" style="101" bestFit="1" customWidth="1"/>
    <col min="18" max="18" width="8.77734375" style="101"/>
    <col min="19" max="19" width="3.109375" style="101" bestFit="1" customWidth="1"/>
    <col min="20" max="20" width="3.44140625" style="101" bestFit="1" customWidth="1"/>
    <col min="21" max="21" width="24.44140625" style="101" customWidth="1"/>
    <col min="22" max="16384" width="8.77734375" style="101"/>
  </cols>
  <sheetData>
    <row r="1" spans="1:20" ht="18" customHeight="1" x14ac:dyDescent="0.4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75" t="s">
        <v>16</v>
      </c>
      <c r="R1" s="76" t="s">
        <v>17</v>
      </c>
      <c r="S1" s="77" t="s">
        <v>18</v>
      </c>
      <c r="T1" s="92" t="s">
        <v>19</v>
      </c>
    </row>
    <row r="2" spans="1:20" x14ac:dyDescent="0.4">
      <c r="A2" s="39" t="s">
        <v>38</v>
      </c>
      <c r="B2" s="40" t="s">
        <v>25</v>
      </c>
      <c r="C2" s="40">
        <v>5546</v>
      </c>
      <c r="D2" s="40" t="s">
        <v>55</v>
      </c>
      <c r="E2" s="40" t="s">
        <v>60</v>
      </c>
      <c r="F2" s="40" t="s">
        <v>58</v>
      </c>
      <c r="G2" s="40" t="s">
        <v>20</v>
      </c>
      <c r="H2" s="24" t="s">
        <v>21</v>
      </c>
      <c r="I2" s="25" t="s">
        <v>22</v>
      </c>
      <c r="J2" s="53">
        <v>0.7</v>
      </c>
      <c r="K2" s="23" t="s">
        <v>69</v>
      </c>
      <c r="L2" s="23" t="s">
        <v>70</v>
      </c>
      <c r="M2" s="23" t="s">
        <v>71</v>
      </c>
      <c r="N2" s="53">
        <v>0.95</v>
      </c>
      <c r="O2" s="53">
        <v>0.2</v>
      </c>
      <c r="P2" s="53">
        <v>0.95</v>
      </c>
      <c r="Q2" s="53">
        <f>ROUND(IF(OR(N2="",P2=""),0,IF(AND(N2=0,P2=0),1,IF(S2="+",P2/N2,N2/P2))),2)</f>
        <v>1</v>
      </c>
      <c r="R2" s="55">
        <f>IF(AND(Q2&gt;=60%,Q2&lt;100%),Q2*((O2*J2)),IF(Q2=100%,((O2*J2)*Q2)*100%,IF(Q2&gt;100%,((J2*O2)*100%)*100%,0)))*100</f>
        <v>13.999999999999998</v>
      </c>
      <c r="S2" s="53" t="s">
        <v>27</v>
      </c>
      <c r="T2" s="110">
        <f>SUM(R2:R11)%</f>
        <v>0.81699999999999984</v>
      </c>
    </row>
    <row r="3" spans="1:20" x14ac:dyDescent="0.4">
      <c r="A3" s="39" t="s">
        <v>38</v>
      </c>
      <c r="B3" s="40" t="s">
        <v>25</v>
      </c>
      <c r="C3" s="40">
        <v>5546</v>
      </c>
      <c r="D3" s="40" t="s">
        <v>55</v>
      </c>
      <c r="E3" s="40" t="s">
        <v>60</v>
      </c>
      <c r="F3" s="40" t="s">
        <v>58</v>
      </c>
      <c r="G3" s="40" t="s">
        <v>20</v>
      </c>
      <c r="H3" s="24" t="s">
        <v>21</v>
      </c>
      <c r="I3" s="25" t="s">
        <v>22</v>
      </c>
      <c r="J3" s="53">
        <v>0.7</v>
      </c>
      <c r="K3" s="23" t="s">
        <v>72</v>
      </c>
      <c r="L3" s="23" t="s">
        <v>73</v>
      </c>
      <c r="M3" s="23" t="s">
        <v>74</v>
      </c>
      <c r="N3" s="53">
        <v>0.1</v>
      </c>
      <c r="O3" s="53">
        <v>0.2</v>
      </c>
      <c r="P3" s="54">
        <v>0.1</v>
      </c>
      <c r="Q3" s="53">
        <f>ROUND(IF(OR(N3="",P3=""),0,IF(AND(N3=0,P3=0),1,IF(S3="+",P3/N3,N3/P3))),2)</f>
        <v>1</v>
      </c>
      <c r="R3" s="55">
        <f>IF(AND(Q3&gt;=60%,Q3&lt;100%),Q3*((O3*J3)),IF(Q3=100%,((O3*J3)*Q3)*100%,IF(Q3&gt;100%,((J3*O3)*100%)*100%,0)))*100</f>
        <v>13.999999999999998</v>
      </c>
      <c r="S3" s="53" t="s">
        <v>28</v>
      </c>
      <c r="T3" s="53"/>
    </row>
    <row r="4" spans="1:20" x14ac:dyDescent="0.4">
      <c r="A4" s="39" t="s">
        <v>38</v>
      </c>
      <c r="B4" s="40" t="s">
        <v>25</v>
      </c>
      <c r="C4" s="40">
        <v>5546</v>
      </c>
      <c r="D4" s="40" t="s">
        <v>55</v>
      </c>
      <c r="E4" s="40" t="s">
        <v>60</v>
      </c>
      <c r="F4" s="40" t="s">
        <v>58</v>
      </c>
      <c r="G4" s="40" t="s">
        <v>20</v>
      </c>
      <c r="H4" s="24" t="s">
        <v>21</v>
      </c>
      <c r="I4" s="25" t="s">
        <v>22</v>
      </c>
      <c r="J4" s="53">
        <v>0.7</v>
      </c>
      <c r="K4" s="23" t="s">
        <v>75</v>
      </c>
      <c r="L4" s="23" t="s">
        <v>76</v>
      </c>
      <c r="M4" s="23" t="s">
        <v>77</v>
      </c>
      <c r="N4" s="53">
        <v>0.95</v>
      </c>
      <c r="O4" s="53">
        <v>0.2</v>
      </c>
      <c r="P4" s="54">
        <v>0.95</v>
      </c>
      <c r="Q4" s="53">
        <f t="shared" ref="Q4:Q8" si="0">ROUND(IF(OR(N4="",P4=""),0,IF(AND(N4=0,P4=0),1,IF(S4="+",P4/N4,N4/P4))),2)</f>
        <v>1</v>
      </c>
      <c r="R4" s="55">
        <f>IF(AND(Q4&gt;=60%,Q4&lt;100%),Q4*((O4*J4)),IF(Q4=100%,((O4*J4)*Q4)*100%,IF(Q4&gt;100%,((J4*O4)*100%)*100%,0)))*100</f>
        <v>13.999999999999998</v>
      </c>
      <c r="S4" s="53" t="s">
        <v>28</v>
      </c>
      <c r="T4" s="53"/>
    </row>
    <row r="5" spans="1:20" x14ac:dyDescent="0.4">
      <c r="A5" s="39" t="s">
        <v>38</v>
      </c>
      <c r="B5" s="40" t="s">
        <v>25</v>
      </c>
      <c r="C5" s="40">
        <v>5546</v>
      </c>
      <c r="D5" s="40" t="s">
        <v>55</v>
      </c>
      <c r="E5" s="40" t="s">
        <v>60</v>
      </c>
      <c r="F5" s="40" t="s">
        <v>58</v>
      </c>
      <c r="G5" s="40" t="s">
        <v>20</v>
      </c>
      <c r="H5" s="24" t="s">
        <v>21</v>
      </c>
      <c r="I5" s="25" t="s">
        <v>22</v>
      </c>
      <c r="J5" s="53">
        <v>0.7</v>
      </c>
      <c r="K5" s="23" t="s">
        <v>78</v>
      </c>
      <c r="L5" s="23" t="s">
        <v>79</v>
      </c>
      <c r="M5" s="23" t="s">
        <v>80</v>
      </c>
      <c r="N5" s="53">
        <v>0.95</v>
      </c>
      <c r="O5" s="53">
        <v>0.2</v>
      </c>
      <c r="P5" s="54">
        <v>0.95</v>
      </c>
      <c r="Q5" s="53">
        <f t="shared" si="0"/>
        <v>1</v>
      </c>
      <c r="R5" s="55">
        <f>IF(AND(Q5&gt;=60%,Q5&lt;100%),Q5*((O5*J5)),IF(Q5=100%,((O5*J5)*Q5)*100%,IF(Q5&gt;100%,((J5*O5)*100%)*100%,0)))*100</f>
        <v>13.999999999999998</v>
      </c>
      <c r="S5" s="53" t="s">
        <v>27</v>
      </c>
      <c r="T5" s="53"/>
    </row>
    <row r="6" spans="1:20" x14ac:dyDescent="0.4">
      <c r="A6" s="39" t="s">
        <v>38</v>
      </c>
      <c r="B6" s="40" t="s">
        <v>25</v>
      </c>
      <c r="C6" s="40">
        <v>5546</v>
      </c>
      <c r="D6" s="40" t="s">
        <v>55</v>
      </c>
      <c r="E6" s="40" t="s">
        <v>60</v>
      </c>
      <c r="F6" s="40" t="s">
        <v>58</v>
      </c>
      <c r="G6" s="40" t="s">
        <v>20</v>
      </c>
      <c r="H6" s="24" t="s">
        <v>21</v>
      </c>
      <c r="I6" s="25" t="s">
        <v>22</v>
      </c>
      <c r="J6" s="53">
        <v>0.7</v>
      </c>
      <c r="K6" s="23" t="s">
        <v>81</v>
      </c>
      <c r="L6" s="36" t="s">
        <v>82</v>
      </c>
      <c r="M6" s="23" t="s">
        <v>83</v>
      </c>
      <c r="N6" s="57">
        <v>0.95</v>
      </c>
      <c r="O6" s="53">
        <v>0.11</v>
      </c>
      <c r="P6" s="54">
        <v>0.95</v>
      </c>
      <c r="Q6" s="53">
        <f>ROUND(IF(OR(N6="",P6=""),0,IF(AND(N6=0,P6=0),1,IF(S6="+",P6/N6,N6/P6))),2)</f>
        <v>1</v>
      </c>
      <c r="R6" s="55">
        <f t="shared" ref="R6:R8" si="1">IF(AND(Q6&gt;=60%,Q6&lt;100%),Q6*((O6*J6)),IF(Q6=100%,((O6*J6)*Q6)*100%,IF(Q6&gt;100%,((J6*O6)*100%)*100%,0)))*100</f>
        <v>7.7</v>
      </c>
      <c r="S6" s="53" t="s">
        <v>27</v>
      </c>
      <c r="T6" s="53"/>
    </row>
    <row r="7" spans="1:20" x14ac:dyDescent="0.4">
      <c r="A7" s="39" t="s">
        <v>38</v>
      </c>
      <c r="B7" s="40" t="s">
        <v>25</v>
      </c>
      <c r="C7" s="40">
        <v>5546</v>
      </c>
      <c r="D7" s="40" t="s">
        <v>55</v>
      </c>
      <c r="E7" s="40" t="s">
        <v>60</v>
      </c>
      <c r="F7" s="40" t="s">
        <v>58</v>
      </c>
      <c r="G7" s="40" t="s">
        <v>20</v>
      </c>
      <c r="H7" s="24" t="s">
        <v>21</v>
      </c>
      <c r="I7" s="17" t="s">
        <v>24</v>
      </c>
      <c r="J7" s="112">
        <v>0.3</v>
      </c>
      <c r="K7" s="17" t="s">
        <v>84</v>
      </c>
      <c r="L7" s="17" t="s">
        <v>85</v>
      </c>
      <c r="M7" s="17" t="s">
        <v>86</v>
      </c>
      <c r="N7" s="80">
        <v>0.7</v>
      </c>
      <c r="O7" s="81">
        <v>0.2</v>
      </c>
      <c r="P7" s="80">
        <v>0.7</v>
      </c>
      <c r="Q7" s="81">
        <f t="shared" si="0"/>
        <v>1</v>
      </c>
      <c r="R7" s="82">
        <f t="shared" si="1"/>
        <v>6</v>
      </c>
      <c r="S7" s="81" t="s">
        <v>27</v>
      </c>
      <c r="T7" s="81"/>
    </row>
    <row r="8" spans="1:20" ht="13.2" thickBot="1" x14ac:dyDescent="0.45">
      <c r="A8" s="39" t="s">
        <v>38</v>
      </c>
      <c r="B8" s="40" t="s">
        <v>25</v>
      </c>
      <c r="C8" s="40">
        <v>5546</v>
      </c>
      <c r="D8" s="40" t="s">
        <v>55</v>
      </c>
      <c r="E8" s="40" t="s">
        <v>60</v>
      </c>
      <c r="F8" s="40" t="s">
        <v>58</v>
      </c>
      <c r="G8" s="40" t="s">
        <v>20</v>
      </c>
      <c r="H8" s="24" t="s">
        <v>21</v>
      </c>
      <c r="I8" s="17" t="s">
        <v>24</v>
      </c>
      <c r="J8" s="112">
        <v>0.3</v>
      </c>
      <c r="K8" s="17" t="s">
        <v>87</v>
      </c>
      <c r="L8" s="17" t="s">
        <v>88</v>
      </c>
      <c r="M8" s="17" t="s">
        <v>89</v>
      </c>
      <c r="N8" s="80">
        <v>0.8</v>
      </c>
      <c r="O8" s="81">
        <v>0.2</v>
      </c>
      <c r="P8" s="80">
        <v>0.8</v>
      </c>
      <c r="Q8" s="81">
        <f t="shared" si="0"/>
        <v>1</v>
      </c>
      <c r="R8" s="82">
        <f t="shared" si="1"/>
        <v>6</v>
      </c>
      <c r="S8" s="81" t="s">
        <v>27</v>
      </c>
      <c r="T8" s="81"/>
    </row>
    <row r="9" spans="1:20" x14ac:dyDescent="0.4">
      <c r="A9" s="177" t="s">
        <v>38</v>
      </c>
      <c r="B9" s="178" t="s">
        <v>25</v>
      </c>
      <c r="C9" s="178">
        <v>5546</v>
      </c>
      <c r="D9" s="178" t="s">
        <v>55</v>
      </c>
      <c r="E9" s="178" t="s">
        <v>60</v>
      </c>
      <c r="F9" s="178" t="s">
        <v>58</v>
      </c>
      <c r="G9" s="178" t="s">
        <v>20</v>
      </c>
      <c r="H9" s="179" t="s">
        <v>23</v>
      </c>
      <c r="I9" s="156" t="s">
        <v>24</v>
      </c>
      <c r="J9" s="180">
        <v>0.3</v>
      </c>
      <c r="K9" s="175" t="s">
        <v>202</v>
      </c>
      <c r="L9" s="175" t="s">
        <v>153</v>
      </c>
      <c r="M9" s="175"/>
      <c r="N9" s="98">
        <v>1</v>
      </c>
      <c r="O9" s="176">
        <v>0.4</v>
      </c>
      <c r="P9" s="80">
        <v>0</v>
      </c>
      <c r="Q9" s="81">
        <f t="shared" ref="Q9:Q11" si="2">ROUND(IF(OR(N9="",P9=""),0,IF(AND(N9=0,P9=0),1,IF(S9="+",P9/N9,N9/P9))),2)</f>
        <v>0</v>
      </c>
      <c r="R9" s="82">
        <f t="shared" ref="R9:R11" si="3">IF(AND(Q9&gt;=60%,Q9&lt;100%),Q9*((O9*J9)),IF(Q9=100%,((O9*J9)*Q9)*100%,IF(Q9&gt;100%,((J9*O9)*100%)*100%,0)))*100</f>
        <v>0</v>
      </c>
      <c r="S9" s="81" t="s">
        <v>27</v>
      </c>
      <c r="T9" s="81"/>
    </row>
    <row r="10" spans="1:20" x14ac:dyDescent="0.4">
      <c r="A10" s="172" t="s">
        <v>38</v>
      </c>
      <c r="B10" s="173" t="s">
        <v>25</v>
      </c>
      <c r="C10" s="173">
        <v>5546</v>
      </c>
      <c r="D10" s="173" t="s">
        <v>55</v>
      </c>
      <c r="E10" s="173" t="s">
        <v>60</v>
      </c>
      <c r="F10" s="173" t="s">
        <v>58</v>
      </c>
      <c r="G10" s="173" t="s">
        <v>20</v>
      </c>
      <c r="H10" s="138" t="s">
        <v>23</v>
      </c>
      <c r="I10" s="147" t="s">
        <v>24</v>
      </c>
      <c r="J10" s="174">
        <v>0.3</v>
      </c>
      <c r="K10" s="175" t="s">
        <v>203</v>
      </c>
      <c r="L10" s="175" t="s">
        <v>154</v>
      </c>
      <c r="M10" s="175"/>
      <c r="N10" s="98">
        <v>1</v>
      </c>
      <c r="O10" s="176">
        <v>0.1</v>
      </c>
      <c r="P10" s="80">
        <v>1</v>
      </c>
      <c r="Q10" s="81">
        <f t="shared" si="2"/>
        <v>1</v>
      </c>
      <c r="R10" s="82">
        <f t="shared" si="3"/>
        <v>3</v>
      </c>
      <c r="S10" s="81" t="s">
        <v>27</v>
      </c>
      <c r="T10" s="81"/>
    </row>
    <row r="11" spans="1:20" x14ac:dyDescent="0.4">
      <c r="A11" s="172" t="s">
        <v>38</v>
      </c>
      <c r="B11" s="173" t="s">
        <v>25</v>
      </c>
      <c r="C11" s="173">
        <v>5546</v>
      </c>
      <c r="D11" s="40" t="s">
        <v>55</v>
      </c>
      <c r="E11" s="40" t="s">
        <v>60</v>
      </c>
      <c r="F11" s="40" t="s">
        <v>58</v>
      </c>
      <c r="G11" s="40" t="s">
        <v>20</v>
      </c>
      <c r="H11" s="38" t="s">
        <v>23</v>
      </c>
      <c r="I11" s="17" t="s">
        <v>24</v>
      </c>
      <c r="J11" s="112">
        <v>0.3</v>
      </c>
      <c r="K11" s="175" t="s">
        <v>204</v>
      </c>
      <c r="L11" s="175" t="s">
        <v>155</v>
      </c>
      <c r="M11" s="175"/>
      <c r="N11" s="98">
        <v>0.6</v>
      </c>
      <c r="O11" s="176">
        <v>0.1</v>
      </c>
      <c r="P11" s="80">
        <v>0.6</v>
      </c>
      <c r="Q11" s="81">
        <f t="shared" si="2"/>
        <v>1</v>
      </c>
      <c r="R11" s="82">
        <f t="shared" si="3"/>
        <v>3</v>
      </c>
      <c r="S11" s="81" t="s">
        <v>27</v>
      </c>
      <c r="T11" s="81"/>
    </row>
  </sheetData>
  <conditionalFormatting sqref="H1:I8">
    <cfRule type="cellIs" dxfId="10" priority="4" operator="equal">
      <formula>"maintasks"</formula>
    </cfRule>
  </conditionalFormatting>
  <conditionalFormatting sqref="K1:M8">
    <cfRule type="cellIs" dxfId="9" priority="7" operator="equal">
      <formula>"maintasks"</formula>
    </cfRule>
  </conditionalFormatting>
  <conditionalFormatting sqref="H9:I11">
    <cfRule type="cellIs" dxfId="8" priority="3" operator="equal">
      <formula>"maintasks"</formula>
    </cfRule>
  </conditionalFormatting>
  <conditionalFormatting sqref="K9:M11">
    <cfRule type="cellIs" dxfId="7" priority="2" operator="equal">
      <formula>"maintasks"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98C1-8C54-4872-B631-709FD64A16F1}">
  <sheetPr>
    <tabColor rgb="FF00B050"/>
  </sheetPr>
  <dimension ref="A1:T16"/>
  <sheetViews>
    <sheetView topLeftCell="L1" zoomScale="130" zoomScaleNormal="130" workbookViewId="0">
      <pane ySplit="1" topLeftCell="A2" activePane="bottomLeft" state="frozen"/>
      <selection activeCell="L1" sqref="L1"/>
      <selection pane="bottomLeft" activeCell="I2" sqref="I2:O6"/>
    </sheetView>
  </sheetViews>
  <sheetFormatPr defaultColWidth="8.77734375" defaultRowHeight="12.6" x14ac:dyDescent="0.4"/>
  <cols>
    <col min="1" max="1" width="5.5546875" style="101" bestFit="1" customWidth="1"/>
    <col min="2" max="2" width="3.21875" style="101" bestFit="1" customWidth="1"/>
    <col min="3" max="3" width="5.88671875" style="101" bestFit="1" customWidth="1"/>
    <col min="4" max="4" width="17.21875" style="101" customWidth="1"/>
    <col min="5" max="5" width="40.5546875" style="101" customWidth="1"/>
    <col min="6" max="7" width="7.33203125" style="101" bestFit="1" customWidth="1"/>
    <col min="8" max="8" width="6.88671875" style="101" bestFit="1" customWidth="1"/>
    <col min="9" max="9" width="16.21875" style="101" customWidth="1"/>
    <col min="10" max="10" width="7.21875" style="101" bestFit="1" customWidth="1"/>
    <col min="11" max="11" width="57.44140625" style="101" customWidth="1"/>
    <col min="12" max="12" width="35.21875" style="103" customWidth="1"/>
    <col min="13" max="13" width="45.88671875" style="101" customWidth="1"/>
    <col min="14" max="14" width="4.44140625" style="101" bestFit="1" customWidth="1"/>
    <col min="15" max="15" width="7.21875" style="101" bestFit="1" customWidth="1"/>
    <col min="16" max="16" width="11.21875" style="101" bestFit="1" customWidth="1"/>
    <col min="17" max="17" width="16.21875" style="101" bestFit="1" customWidth="1"/>
    <col min="18" max="18" width="12.77734375" style="101" bestFit="1" customWidth="1"/>
    <col min="19" max="19" width="3.44140625" style="101" bestFit="1" customWidth="1"/>
    <col min="20" max="20" width="6.77734375" style="101" customWidth="1"/>
    <col min="21" max="16384" width="8.77734375" style="101"/>
  </cols>
  <sheetData>
    <row r="1" spans="1:20" ht="21" customHeight="1" x14ac:dyDescent="0.4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75" t="s">
        <v>16</v>
      </c>
      <c r="R1" s="76" t="s">
        <v>17</v>
      </c>
      <c r="S1" s="77" t="s">
        <v>18</v>
      </c>
      <c r="T1" s="92" t="s">
        <v>19</v>
      </c>
    </row>
    <row r="2" spans="1:20" ht="15.45" customHeight="1" x14ac:dyDescent="0.4">
      <c r="A2" s="39" t="s">
        <v>38</v>
      </c>
      <c r="B2" s="40" t="s">
        <v>25</v>
      </c>
      <c r="C2" s="40">
        <v>3681</v>
      </c>
      <c r="D2" s="40" t="s">
        <v>56</v>
      </c>
      <c r="E2" s="40" t="s">
        <v>57</v>
      </c>
      <c r="F2" s="40" t="s">
        <v>58</v>
      </c>
      <c r="G2" s="40" t="s">
        <v>20</v>
      </c>
      <c r="H2" s="24" t="s">
        <v>21</v>
      </c>
      <c r="I2" s="25" t="s">
        <v>22</v>
      </c>
      <c r="J2" s="53">
        <v>0.7</v>
      </c>
      <c r="K2" s="23" t="s">
        <v>91</v>
      </c>
      <c r="L2" s="23" t="s">
        <v>92</v>
      </c>
      <c r="M2" s="23" t="s">
        <v>93</v>
      </c>
      <c r="N2" s="53">
        <v>0.95</v>
      </c>
      <c r="O2" s="53">
        <v>0.2</v>
      </c>
      <c r="P2" s="53">
        <v>0.92</v>
      </c>
      <c r="Q2" s="53">
        <f>ROUND(IF(OR(N2="",P2=""),0,IF(AND(N2=0,P2=0),1,IF(S2="+",P2/N2,N2/P2))),2)</f>
        <v>0.97</v>
      </c>
      <c r="R2" s="55">
        <f>IF(AND(Q2&gt;=60%,Q2&lt;100%),Q2*((O2*J2)),IF(Q2=100%,((O2*J2)*Q2)*100%,IF(Q2&gt;100%,((J2*O2)*100%)*100%,0)))*100</f>
        <v>13.579999999999998</v>
      </c>
      <c r="S2" s="53" t="s">
        <v>27</v>
      </c>
      <c r="T2" s="110">
        <f>SUM(R2:R16)%</f>
        <v>0.91459999999999997</v>
      </c>
    </row>
    <row r="3" spans="1:20" ht="15.45" customHeight="1" x14ac:dyDescent="0.4">
      <c r="A3" s="39" t="s">
        <v>38</v>
      </c>
      <c r="B3" s="40" t="s">
        <v>63</v>
      </c>
      <c r="C3" s="40">
        <v>3682</v>
      </c>
      <c r="D3" s="40" t="s">
        <v>56</v>
      </c>
      <c r="E3" s="40" t="s">
        <v>57</v>
      </c>
      <c r="F3" s="40" t="s">
        <v>58</v>
      </c>
      <c r="G3" s="40" t="s">
        <v>20</v>
      </c>
      <c r="H3" s="24" t="s">
        <v>21</v>
      </c>
      <c r="I3" s="25" t="s">
        <v>22</v>
      </c>
      <c r="J3" s="53">
        <v>0.7</v>
      </c>
      <c r="K3" s="23" t="s">
        <v>94</v>
      </c>
      <c r="L3" s="23" t="s">
        <v>95</v>
      </c>
      <c r="M3" s="23" t="s">
        <v>96</v>
      </c>
      <c r="N3" s="53">
        <v>0.95</v>
      </c>
      <c r="O3" s="53">
        <v>0.2</v>
      </c>
      <c r="P3" s="54">
        <v>0.95</v>
      </c>
      <c r="Q3" s="53">
        <f>ROUND(IF(OR(N3="",P3=""),0,IF(AND(N3=0,P3=0),1,IF(S3="+",P3/N3,N3/P3))),2)</f>
        <v>1</v>
      </c>
      <c r="R3" s="55">
        <f>IF(AND(Q3&gt;=60%,Q3&lt;100%),Q3*((O3*J3)),IF(Q3=100%,((O3*J3)*Q3)*100%,IF(Q3&gt;100%,((J3*O3)*100%)*100%,0)))*100</f>
        <v>13.999999999999998</v>
      </c>
      <c r="S3" s="53" t="s">
        <v>27</v>
      </c>
      <c r="T3" s="53"/>
    </row>
    <row r="4" spans="1:20" ht="15.45" customHeight="1" x14ac:dyDescent="0.4">
      <c r="A4" s="39" t="s">
        <v>38</v>
      </c>
      <c r="B4" s="40" t="s">
        <v>68</v>
      </c>
      <c r="C4" s="40">
        <v>3683</v>
      </c>
      <c r="D4" s="40" t="s">
        <v>56</v>
      </c>
      <c r="E4" s="40" t="s">
        <v>57</v>
      </c>
      <c r="F4" s="40" t="s">
        <v>58</v>
      </c>
      <c r="G4" s="40" t="s">
        <v>20</v>
      </c>
      <c r="H4" s="24" t="s">
        <v>21</v>
      </c>
      <c r="I4" s="25" t="s">
        <v>22</v>
      </c>
      <c r="J4" s="53">
        <v>0.7</v>
      </c>
      <c r="K4" s="23" t="s">
        <v>97</v>
      </c>
      <c r="L4" s="23" t="s">
        <v>98</v>
      </c>
      <c r="M4" s="23" t="s">
        <v>99</v>
      </c>
      <c r="N4" s="55">
        <v>3</v>
      </c>
      <c r="O4" s="53">
        <v>0.2</v>
      </c>
      <c r="P4" s="55">
        <v>5</v>
      </c>
      <c r="Q4" s="53">
        <f t="shared" ref="Q4:Q5" si="0">ROUND(IF(OR(N4="",P4=""),0,IF(AND(N4=0,P4=0),1,IF(S4="+",P4/N4,N4/P4))),2)</f>
        <v>0.6</v>
      </c>
      <c r="R4" s="55">
        <f>IF(AND(Q4&gt;=60%,Q4&lt;100%),Q4*((O4*J4)),IF(Q4=100%,((O4*J4)*Q4)*100%,IF(Q4&gt;100%,((J4*O4)*100%)*100%,0)))*100</f>
        <v>8.3999999999999986</v>
      </c>
      <c r="S4" s="53" t="s">
        <v>28</v>
      </c>
      <c r="T4" s="53"/>
    </row>
    <row r="5" spans="1:20" ht="15.45" customHeight="1" x14ac:dyDescent="0.4">
      <c r="A5" s="39" t="s">
        <v>38</v>
      </c>
      <c r="B5" s="40" t="s">
        <v>90</v>
      </c>
      <c r="C5" s="40">
        <v>3684</v>
      </c>
      <c r="D5" s="40" t="s">
        <v>56</v>
      </c>
      <c r="E5" s="40" t="s">
        <v>57</v>
      </c>
      <c r="F5" s="40" t="s">
        <v>58</v>
      </c>
      <c r="G5" s="40" t="s">
        <v>20</v>
      </c>
      <c r="H5" s="24" t="s">
        <v>21</v>
      </c>
      <c r="I5" s="25" t="s">
        <v>22</v>
      </c>
      <c r="J5" s="53">
        <v>0.7</v>
      </c>
      <c r="K5" s="23" t="s">
        <v>100</v>
      </c>
      <c r="L5" s="23" t="s">
        <v>101</v>
      </c>
      <c r="M5" s="23" t="s">
        <v>102</v>
      </c>
      <c r="N5" s="53">
        <v>0.98</v>
      </c>
      <c r="O5" s="53">
        <v>0.2</v>
      </c>
      <c r="P5" s="56">
        <v>0.95</v>
      </c>
      <c r="Q5" s="53">
        <f t="shared" si="0"/>
        <v>0.97</v>
      </c>
      <c r="R5" s="55">
        <f>IF(AND(Q5&gt;=60%,Q5&lt;100%),Q5*((O5*J5)),IF(Q5=100%,((O5*J5)*Q5)*100%,IF(Q5&gt;100%,((J5*O5)*100%)*100%,0)))*100</f>
        <v>13.579999999999998</v>
      </c>
      <c r="S5" s="53" t="s">
        <v>27</v>
      </c>
      <c r="T5" s="53"/>
    </row>
    <row r="6" spans="1:20" ht="15.45" customHeight="1" x14ac:dyDescent="0.4">
      <c r="A6" s="39" t="s">
        <v>38</v>
      </c>
      <c r="B6" s="40" t="s">
        <v>25</v>
      </c>
      <c r="C6" s="40">
        <v>3685</v>
      </c>
      <c r="D6" s="40" t="s">
        <v>56</v>
      </c>
      <c r="E6" s="40" t="s">
        <v>57</v>
      </c>
      <c r="F6" s="40" t="s">
        <v>58</v>
      </c>
      <c r="G6" s="40" t="s">
        <v>20</v>
      </c>
      <c r="H6" s="24" t="s">
        <v>21</v>
      </c>
      <c r="I6" s="25" t="s">
        <v>22</v>
      </c>
      <c r="J6" s="53">
        <v>0.7</v>
      </c>
      <c r="K6" s="23" t="s">
        <v>103</v>
      </c>
      <c r="L6" s="23" t="s">
        <v>104</v>
      </c>
      <c r="M6" s="23" t="s">
        <v>105</v>
      </c>
      <c r="N6" s="57">
        <v>0.9</v>
      </c>
      <c r="O6" s="53">
        <v>0.1</v>
      </c>
      <c r="P6" s="100">
        <v>0.9</v>
      </c>
      <c r="Q6" s="53">
        <f>ROUND(IF(OR(N6="",P6=""),0,IF(AND(N6=0,P6=0),1,IF(S6="+",P6/N6,N6/P6))),2)</f>
        <v>1</v>
      </c>
      <c r="R6" s="55">
        <f t="shared" ref="R6:R7" si="1">IF(AND(Q6&gt;=60%,Q6&lt;100%),Q6*((O6*J6)),IF(Q6=100%,((O6*J6)*Q6)*100%,IF(Q6&gt;100%,((J6*O6)*100%)*100%,0)))*100</f>
        <v>6.9999999999999991</v>
      </c>
      <c r="S6" s="53" t="s">
        <v>27</v>
      </c>
      <c r="T6" s="53"/>
    </row>
    <row r="7" spans="1:20" ht="28.8" customHeight="1" x14ac:dyDescent="0.4">
      <c r="A7" s="39" t="s">
        <v>38</v>
      </c>
      <c r="B7" s="40" t="s">
        <v>68</v>
      </c>
      <c r="C7" s="40">
        <v>3687</v>
      </c>
      <c r="D7" s="40" t="s">
        <v>56</v>
      </c>
      <c r="E7" s="40" t="s">
        <v>57</v>
      </c>
      <c r="F7" s="40" t="s">
        <v>58</v>
      </c>
      <c r="G7" s="40" t="s">
        <v>20</v>
      </c>
      <c r="H7" s="38" t="s">
        <v>23</v>
      </c>
      <c r="I7" s="25" t="s">
        <v>22</v>
      </c>
      <c r="J7" s="53">
        <v>0.7</v>
      </c>
      <c r="K7" s="36" t="s">
        <v>65</v>
      </c>
      <c r="L7" s="36" t="s">
        <v>66</v>
      </c>
      <c r="M7" s="36" t="s">
        <v>67</v>
      </c>
      <c r="N7" s="53">
        <v>1</v>
      </c>
      <c r="O7" s="57">
        <v>0.1</v>
      </c>
      <c r="P7" s="53">
        <v>1</v>
      </c>
      <c r="Q7" s="57">
        <f>ROUND(IF(OR(N7="",P7=""),0,IF(AND(N7=0,P7=0),1,IF(S7="+",P7/N7,N7/P7))),2)</f>
        <v>1</v>
      </c>
      <c r="R7" s="97">
        <f t="shared" si="1"/>
        <v>6.9999999999999991</v>
      </c>
      <c r="S7" s="57" t="s">
        <v>27</v>
      </c>
      <c r="T7" s="57"/>
    </row>
    <row r="8" spans="1:20" x14ac:dyDescent="0.4">
      <c r="A8" s="172" t="s">
        <v>38</v>
      </c>
      <c r="B8" s="173" t="s">
        <v>63</v>
      </c>
      <c r="C8" s="173">
        <v>3686</v>
      </c>
      <c r="D8" s="173" t="s">
        <v>56</v>
      </c>
      <c r="E8" s="173" t="s">
        <v>57</v>
      </c>
      <c r="F8" s="173" t="s">
        <v>58</v>
      </c>
      <c r="G8" s="173" t="s">
        <v>20</v>
      </c>
      <c r="H8" s="138" t="s">
        <v>23</v>
      </c>
      <c r="I8" s="143" t="s">
        <v>24</v>
      </c>
      <c r="J8" s="181">
        <v>0.3</v>
      </c>
      <c r="K8" s="147" t="s">
        <v>214</v>
      </c>
      <c r="L8" s="147" t="s">
        <v>210</v>
      </c>
      <c r="M8" s="147"/>
      <c r="N8" s="182">
        <v>1</v>
      </c>
      <c r="O8" s="149">
        <v>0.2</v>
      </c>
      <c r="P8" s="182">
        <v>0.9</v>
      </c>
      <c r="Q8" s="149">
        <f t="shared" ref="Q8:Q10" si="2">ROUND(IF(OR(N8="",P8=""),0,IF(AND(N8=0,P8=0),1,IF(S8="+",P8/N8,N8/P8))),2)</f>
        <v>0.9</v>
      </c>
      <c r="R8" s="150">
        <f t="shared" ref="R8:R10" si="3">IF(AND(Q8&gt;=60%,Q8&lt;100%),Q8*((O8*J8)),IF(Q8=100%,((O8*J8)*Q8)*100%,IF(Q8&gt;100%,((J8*O8)*100%)*100%,0)))*100</f>
        <v>5.4</v>
      </c>
      <c r="S8" s="149" t="s">
        <v>27</v>
      </c>
      <c r="T8" s="149"/>
    </row>
    <row r="9" spans="1:20" x14ac:dyDescent="0.4">
      <c r="A9" s="172" t="s">
        <v>38</v>
      </c>
      <c r="B9" s="173" t="s">
        <v>63</v>
      </c>
      <c r="C9" s="173">
        <v>3686</v>
      </c>
      <c r="D9" s="173" t="s">
        <v>56</v>
      </c>
      <c r="E9" s="173" t="s">
        <v>57</v>
      </c>
      <c r="F9" s="173" t="s">
        <v>58</v>
      </c>
      <c r="G9" s="173" t="s">
        <v>20</v>
      </c>
      <c r="H9" s="138" t="s">
        <v>23</v>
      </c>
      <c r="I9" s="143" t="s">
        <v>24</v>
      </c>
      <c r="J9" s="181">
        <v>0.3</v>
      </c>
      <c r="K9" s="147" t="s">
        <v>215</v>
      </c>
      <c r="L9" s="147" t="s">
        <v>206</v>
      </c>
      <c r="M9" s="147"/>
      <c r="N9" s="182">
        <v>1</v>
      </c>
      <c r="O9" s="149">
        <v>0.05</v>
      </c>
      <c r="P9" s="182">
        <v>0.9</v>
      </c>
      <c r="Q9" s="149">
        <f t="shared" si="2"/>
        <v>0.9</v>
      </c>
      <c r="R9" s="150">
        <f t="shared" si="3"/>
        <v>1.35</v>
      </c>
      <c r="S9" s="149" t="s">
        <v>27</v>
      </c>
      <c r="T9" s="149"/>
    </row>
    <row r="10" spans="1:20" x14ac:dyDescent="0.4">
      <c r="A10" s="172" t="s">
        <v>38</v>
      </c>
      <c r="B10" s="173" t="s">
        <v>63</v>
      </c>
      <c r="C10" s="173">
        <v>3686</v>
      </c>
      <c r="D10" s="173" t="s">
        <v>56</v>
      </c>
      <c r="E10" s="173" t="s">
        <v>57</v>
      </c>
      <c r="F10" s="173" t="s">
        <v>58</v>
      </c>
      <c r="G10" s="173" t="s">
        <v>20</v>
      </c>
      <c r="H10" s="138" t="s">
        <v>23</v>
      </c>
      <c r="I10" s="143" t="s">
        <v>24</v>
      </c>
      <c r="J10" s="181">
        <v>0.3</v>
      </c>
      <c r="K10" s="147" t="s">
        <v>216</v>
      </c>
      <c r="L10" s="147" t="s">
        <v>207</v>
      </c>
      <c r="M10" s="147"/>
      <c r="N10" s="182">
        <v>1</v>
      </c>
      <c r="O10" s="149">
        <v>0.15</v>
      </c>
      <c r="P10" s="182">
        <v>0.7</v>
      </c>
      <c r="Q10" s="149">
        <f t="shared" si="2"/>
        <v>0.7</v>
      </c>
      <c r="R10" s="150">
        <f t="shared" si="3"/>
        <v>3.15</v>
      </c>
      <c r="S10" s="149" t="s">
        <v>27</v>
      </c>
      <c r="T10" s="149"/>
    </row>
    <row r="11" spans="1:20" x14ac:dyDescent="0.4">
      <c r="A11" s="39" t="s">
        <v>38</v>
      </c>
      <c r="B11" s="40" t="s">
        <v>90</v>
      </c>
      <c r="C11" s="173">
        <v>3686</v>
      </c>
      <c r="D11" s="173" t="s">
        <v>56</v>
      </c>
      <c r="E11" s="173" t="s">
        <v>57</v>
      </c>
      <c r="F11" s="173" t="s">
        <v>58</v>
      </c>
      <c r="G11" s="173" t="s">
        <v>20</v>
      </c>
      <c r="H11" s="138" t="s">
        <v>23</v>
      </c>
      <c r="I11" s="143" t="s">
        <v>24</v>
      </c>
      <c r="J11" s="181">
        <v>0.3</v>
      </c>
      <c r="K11" s="17" t="s">
        <v>217</v>
      </c>
      <c r="L11" s="17" t="s">
        <v>233</v>
      </c>
      <c r="M11" s="17"/>
      <c r="N11" s="182">
        <v>1</v>
      </c>
      <c r="O11" s="81">
        <v>0.1</v>
      </c>
      <c r="P11" s="182">
        <v>1</v>
      </c>
      <c r="Q11" s="81">
        <f t="shared" ref="Q11:Q16" si="4">ROUND(IF(OR(N11="",P11=""),0,IF(AND(N11=0,P11=0),1,IF(S11="+",P11/N11,N11/P11))),2)</f>
        <v>1</v>
      </c>
      <c r="R11" s="82">
        <f t="shared" ref="R11:R16" si="5">IF(AND(Q11&gt;=60%,Q11&lt;100%),Q11*((O11*J11)),IF(Q11=100%,((O11*J11)*Q11)*100%,IF(Q11&gt;100%,((J11*O11)*100%)*100%,0)))*100</f>
        <v>3</v>
      </c>
      <c r="S11" s="81" t="s">
        <v>27</v>
      </c>
      <c r="T11" s="81"/>
    </row>
    <row r="12" spans="1:20" ht="25.2" x14ac:dyDescent="0.4">
      <c r="A12" s="39" t="s">
        <v>38</v>
      </c>
      <c r="B12" s="40" t="s">
        <v>25</v>
      </c>
      <c r="C12" s="173">
        <v>3686</v>
      </c>
      <c r="D12" s="173" t="s">
        <v>56</v>
      </c>
      <c r="E12" s="173" t="s">
        <v>57</v>
      </c>
      <c r="F12" s="173" t="s">
        <v>58</v>
      </c>
      <c r="G12" s="173" t="s">
        <v>20</v>
      </c>
      <c r="H12" s="138" t="s">
        <v>23</v>
      </c>
      <c r="I12" s="143" t="s">
        <v>24</v>
      </c>
      <c r="J12" s="181">
        <v>0.3</v>
      </c>
      <c r="K12" s="17" t="s">
        <v>218</v>
      </c>
      <c r="L12" s="17" t="s">
        <v>208</v>
      </c>
      <c r="M12" s="17"/>
      <c r="N12" s="182">
        <v>1</v>
      </c>
      <c r="O12" s="81">
        <v>0.1</v>
      </c>
      <c r="P12" s="182">
        <v>1</v>
      </c>
      <c r="Q12" s="81">
        <f t="shared" si="4"/>
        <v>1</v>
      </c>
      <c r="R12" s="82">
        <f t="shared" si="5"/>
        <v>3</v>
      </c>
      <c r="S12" s="81" t="s">
        <v>27</v>
      </c>
      <c r="T12" s="81"/>
    </row>
    <row r="13" spans="1:20" ht="25.2" x14ac:dyDescent="0.4">
      <c r="A13" s="39" t="s">
        <v>38</v>
      </c>
      <c r="B13" s="40" t="s">
        <v>63</v>
      </c>
      <c r="C13" s="173">
        <v>3686</v>
      </c>
      <c r="D13" s="173" t="s">
        <v>56</v>
      </c>
      <c r="E13" s="173" t="s">
        <v>57</v>
      </c>
      <c r="F13" s="173" t="s">
        <v>58</v>
      </c>
      <c r="G13" s="173" t="s">
        <v>20</v>
      </c>
      <c r="H13" s="138" t="s">
        <v>23</v>
      </c>
      <c r="I13" s="143" t="s">
        <v>24</v>
      </c>
      <c r="J13" s="181">
        <v>0.3</v>
      </c>
      <c r="K13" s="17" t="s">
        <v>219</v>
      </c>
      <c r="L13" s="17" t="s">
        <v>209</v>
      </c>
      <c r="M13" s="17"/>
      <c r="N13" s="182">
        <v>1</v>
      </c>
      <c r="O13" s="81">
        <v>0.15</v>
      </c>
      <c r="P13" s="182">
        <v>1</v>
      </c>
      <c r="Q13" s="81">
        <f t="shared" si="4"/>
        <v>1</v>
      </c>
      <c r="R13" s="82">
        <f t="shared" si="5"/>
        <v>4.5</v>
      </c>
      <c r="S13" s="81" t="s">
        <v>27</v>
      </c>
      <c r="T13" s="81"/>
    </row>
    <row r="14" spans="1:20" x14ac:dyDescent="0.4">
      <c r="A14" s="39" t="s">
        <v>38</v>
      </c>
      <c r="B14" s="40" t="s">
        <v>68</v>
      </c>
      <c r="C14" s="173">
        <v>3686</v>
      </c>
      <c r="D14" s="173" t="s">
        <v>56</v>
      </c>
      <c r="E14" s="173" t="s">
        <v>57</v>
      </c>
      <c r="F14" s="173" t="s">
        <v>58</v>
      </c>
      <c r="G14" s="173" t="s">
        <v>20</v>
      </c>
      <c r="H14" s="138" t="s">
        <v>23</v>
      </c>
      <c r="I14" s="143" t="s">
        <v>24</v>
      </c>
      <c r="J14" s="181">
        <v>0.3</v>
      </c>
      <c r="K14" s="17" t="s">
        <v>220</v>
      </c>
      <c r="L14" s="17" t="s">
        <v>211</v>
      </c>
      <c r="M14" s="17"/>
      <c r="N14" s="182">
        <v>1</v>
      </c>
      <c r="O14" s="81">
        <v>0.15</v>
      </c>
      <c r="P14" s="182">
        <v>1</v>
      </c>
      <c r="Q14" s="81">
        <f t="shared" si="4"/>
        <v>1</v>
      </c>
      <c r="R14" s="82">
        <f t="shared" si="5"/>
        <v>4.5</v>
      </c>
      <c r="S14" s="81" t="s">
        <v>27</v>
      </c>
      <c r="T14" s="81"/>
    </row>
    <row r="15" spans="1:20" x14ac:dyDescent="0.4">
      <c r="A15" s="39" t="s">
        <v>38</v>
      </c>
      <c r="B15" s="40" t="s">
        <v>90</v>
      </c>
      <c r="C15" s="173">
        <v>3686</v>
      </c>
      <c r="D15" s="173" t="s">
        <v>56</v>
      </c>
      <c r="E15" s="173" t="s">
        <v>57</v>
      </c>
      <c r="F15" s="173" t="s">
        <v>58</v>
      </c>
      <c r="G15" s="173" t="s">
        <v>20</v>
      </c>
      <c r="H15" s="138" t="s">
        <v>23</v>
      </c>
      <c r="I15" s="143" t="s">
        <v>24</v>
      </c>
      <c r="J15" s="181">
        <v>0.3</v>
      </c>
      <c r="K15" s="17" t="s">
        <v>221</v>
      </c>
      <c r="L15" s="17" t="s">
        <v>212</v>
      </c>
      <c r="M15" s="17"/>
      <c r="N15" s="182">
        <v>1</v>
      </c>
      <c r="O15" s="81">
        <v>0.05</v>
      </c>
      <c r="P15" s="182">
        <v>1</v>
      </c>
      <c r="Q15" s="81">
        <f t="shared" si="4"/>
        <v>1</v>
      </c>
      <c r="R15" s="82">
        <f t="shared" si="5"/>
        <v>1.5</v>
      </c>
      <c r="S15" s="81" t="s">
        <v>27</v>
      </c>
      <c r="T15" s="81"/>
    </row>
    <row r="16" spans="1:20" x14ac:dyDescent="0.4">
      <c r="A16" s="39" t="s">
        <v>38</v>
      </c>
      <c r="B16" s="40" t="s">
        <v>25</v>
      </c>
      <c r="C16" s="40">
        <v>3686</v>
      </c>
      <c r="D16" s="40" t="s">
        <v>56</v>
      </c>
      <c r="E16" s="40" t="s">
        <v>57</v>
      </c>
      <c r="F16" s="40" t="s">
        <v>58</v>
      </c>
      <c r="G16" s="40" t="s">
        <v>20</v>
      </c>
      <c r="H16" s="38" t="s">
        <v>23</v>
      </c>
      <c r="I16" s="25" t="s">
        <v>24</v>
      </c>
      <c r="J16" s="98">
        <v>0.3</v>
      </c>
      <c r="K16" s="17" t="s">
        <v>222</v>
      </c>
      <c r="L16" s="17" t="s">
        <v>213</v>
      </c>
      <c r="M16" s="17"/>
      <c r="N16" s="80">
        <v>1</v>
      </c>
      <c r="O16" s="81">
        <v>0.05</v>
      </c>
      <c r="P16" s="80">
        <v>1</v>
      </c>
      <c r="Q16" s="81">
        <f t="shared" si="4"/>
        <v>1</v>
      </c>
      <c r="R16" s="82">
        <f t="shared" si="5"/>
        <v>1.5</v>
      </c>
      <c r="S16" s="81" t="s">
        <v>27</v>
      </c>
      <c r="T16" s="81"/>
    </row>
  </sheetData>
  <phoneticPr fontId="2" type="noConversion"/>
  <conditionalFormatting sqref="K9:M16 H1:I16">
    <cfRule type="cellIs" dxfId="6" priority="4" operator="equal">
      <formula>"maintasks"</formula>
    </cfRule>
  </conditionalFormatting>
  <conditionalFormatting sqref="K1:M7">
    <cfRule type="cellIs" dxfId="5" priority="5" operator="equal">
      <formula>"maintasks"</formula>
    </cfRule>
  </conditionalFormatting>
  <conditionalFormatting sqref="K8:M8">
    <cfRule type="cellIs" dxfId="4" priority="2" operator="equal">
      <formula>"maintasks"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BC08-F20A-4E13-BC13-050C620273A5}">
  <sheetPr>
    <tabColor rgb="FFFF0000"/>
  </sheetPr>
  <dimension ref="A1:V10"/>
  <sheetViews>
    <sheetView topLeftCell="L1" zoomScaleNormal="100" workbookViewId="0">
      <pane ySplit="1" topLeftCell="A2" activePane="bottomLeft" state="frozen"/>
      <selection activeCell="J1" sqref="J1"/>
      <selection pane="bottomLeft" activeCell="P3" sqref="P3"/>
    </sheetView>
  </sheetViews>
  <sheetFormatPr defaultColWidth="8.77734375" defaultRowHeight="12.6" x14ac:dyDescent="0.4"/>
  <cols>
    <col min="1" max="1" width="5.5546875" style="101" bestFit="1" customWidth="1"/>
    <col min="2" max="2" width="3.21875" style="101" bestFit="1" customWidth="1"/>
    <col min="3" max="3" width="5.88671875" style="101" bestFit="1" customWidth="1"/>
    <col min="4" max="4" width="14.21875" style="101" customWidth="1"/>
    <col min="5" max="5" width="23.88671875" style="101" customWidth="1"/>
    <col min="6" max="6" width="18.77734375" style="101" customWidth="1"/>
    <col min="7" max="7" width="8" style="101" bestFit="1" customWidth="1"/>
    <col min="8" max="8" width="7.109375" style="101" bestFit="1" customWidth="1"/>
    <col min="9" max="9" width="11.88671875" style="101" customWidth="1"/>
    <col min="10" max="10" width="8.109375" style="101" bestFit="1" customWidth="1"/>
    <col min="11" max="11" width="42.5546875" style="101" customWidth="1"/>
    <col min="12" max="12" width="34.33203125" style="111" customWidth="1"/>
    <col min="13" max="13" width="73.77734375" style="111" customWidth="1"/>
    <col min="14" max="14" width="5.77734375" style="101" bestFit="1" customWidth="1"/>
    <col min="15" max="15" width="7.21875" style="101" bestFit="1" customWidth="1"/>
    <col min="16" max="16" width="11.21875" style="101" bestFit="1" customWidth="1"/>
    <col min="17" max="17" width="16.21875" style="101" bestFit="1" customWidth="1"/>
    <col min="18" max="18" width="12.77734375" style="101" bestFit="1" customWidth="1"/>
    <col min="19" max="19" width="3.44140625" style="101" bestFit="1" customWidth="1"/>
    <col min="20" max="20" width="6.77734375" style="101" customWidth="1"/>
    <col min="21" max="21" width="16.5546875" style="101" customWidth="1"/>
    <col min="22" max="16384" width="8.77734375" style="101"/>
  </cols>
  <sheetData>
    <row r="1" spans="1:22" ht="20.55" customHeight="1" thickBot="1" x14ac:dyDescent="0.45">
      <c r="A1" s="206" t="s">
        <v>0</v>
      </c>
      <c r="B1" s="207" t="s">
        <v>1</v>
      </c>
      <c r="C1" s="207" t="s">
        <v>2</v>
      </c>
      <c r="D1" s="207" t="s">
        <v>3</v>
      </c>
      <c r="E1" s="207" t="s">
        <v>4</v>
      </c>
      <c r="F1" s="207" t="s">
        <v>5</v>
      </c>
      <c r="G1" s="207" t="s">
        <v>6</v>
      </c>
      <c r="H1" s="207" t="s">
        <v>7</v>
      </c>
      <c r="I1" s="207" t="s">
        <v>8</v>
      </c>
      <c r="J1" s="208" t="s">
        <v>9</v>
      </c>
      <c r="K1" s="207" t="s">
        <v>10</v>
      </c>
      <c r="L1" s="209" t="s">
        <v>11</v>
      </c>
      <c r="M1" s="209" t="s">
        <v>12</v>
      </c>
      <c r="N1" s="207" t="s">
        <v>13</v>
      </c>
      <c r="O1" s="208" t="s">
        <v>14</v>
      </c>
      <c r="P1" s="207" t="s">
        <v>15</v>
      </c>
      <c r="Q1" s="210" t="s">
        <v>16</v>
      </c>
      <c r="R1" s="211" t="s">
        <v>17</v>
      </c>
      <c r="S1" s="212" t="s">
        <v>18</v>
      </c>
      <c r="T1" s="213" t="s">
        <v>19</v>
      </c>
    </row>
    <row r="2" spans="1:22" ht="18.45" customHeight="1" x14ac:dyDescent="0.4">
      <c r="A2" s="214" t="s">
        <v>38</v>
      </c>
      <c r="B2" s="215" t="s">
        <v>25</v>
      </c>
      <c r="C2" s="215">
        <v>3527</v>
      </c>
      <c r="D2" s="215" t="s">
        <v>122</v>
      </c>
      <c r="E2" s="215" t="s">
        <v>39</v>
      </c>
      <c r="F2" s="215" t="s">
        <v>58</v>
      </c>
      <c r="G2" s="215" t="s">
        <v>20</v>
      </c>
      <c r="H2" s="216" t="s">
        <v>21</v>
      </c>
      <c r="I2" s="217" t="s">
        <v>22</v>
      </c>
      <c r="J2" s="218">
        <v>0.7</v>
      </c>
      <c r="K2" s="219" t="s">
        <v>106</v>
      </c>
      <c r="L2" s="219" t="s">
        <v>107</v>
      </c>
      <c r="M2" s="219" t="s">
        <v>108</v>
      </c>
      <c r="N2" s="218">
        <v>0.95</v>
      </c>
      <c r="O2" s="218">
        <v>0.1</v>
      </c>
      <c r="P2" s="220">
        <v>0.1202</v>
      </c>
      <c r="Q2" s="218">
        <f>ROUND(IF(OR(N2="",P2=""),0,IF(AND(N2=0,P2=0),1,IF(S2="+",P2/N2,N2/P2))),2)</f>
        <v>0.13</v>
      </c>
      <c r="R2" s="221">
        <f>IF(AND(Q2&gt;=60%,Q2&lt;100%),Q2*((O2*J2)),IF(Q2=100%,((O2*J2)*Q2)*100%,IF(Q2&gt;100%,((J2*O2)*100%)*100%,0)))*100</f>
        <v>0</v>
      </c>
      <c r="S2" s="218" t="s">
        <v>27</v>
      </c>
      <c r="T2" s="222">
        <f>SUM(R2:R10)%</f>
        <v>0.47950000000000004</v>
      </c>
      <c r="U2" s="102"/>
      <c r="V2" s="102"/>
    </row>
    <row r="3" spans="1:22" ht="32.4" customHeight="1" x14ac:dyDescent="0.4">
      <c r="A3" s="39" t="s">
        <v>38</v>
      </c>
      <c r="B3" s="40" t="s">
        <v>25</v>
      </c>
      <c r="C3" s="40">
        <v>3527</v>
      </c>
      <c r="D3" s="40" t="s">
        <v>122</v>
      </c>
      <c r="E3" s="40" t="s">
        <v>39</v>
      </c>
      <c r="F3" s="40" t="s">
        <v>58</v>
      </c>
      <c r="G3" s="40" t="s">
        <v>20</v>
      </c>
      <c r="H3" s="24" t="s">
        <v>21</v>
      </c>
      <c r="I3" s="25" t="s">
        <v>22</v>
      </c>
      <c r="J3" s="53">
        <v>0.7</v>
      </c>
      <c r="K3" s="23" t="s">
        <v>109</v>
      </c>
      <c r="L3" s="23" t="s">
        <v>33</v>
      </c>
      <c r="M3" s="23" t="s">
        <v>29</v>
      </c>
      <c r="N3" s="53">
        <v>0.95</v>
      </c>
      <c r="O3" s="53">
        <v>0.1</v>
      </c>
      <c r="P3" s="205">
        <v>0.1988</v>
      </c>
      <c r="Q3" s="53">
        <f>ROUND(IF(OR(N3="",P3=""),0,IF(AND(N3=0,P3=0),1,IF(S3="+",P3/N3,N3/P3))),2)</f>
        <v>0.21</v>
      </c>
      <c r="R3" s="55">
        <f>IF(AND(Q3&gt;=60%,Q3&lt;100%),Q3*((O3*J3)),IF(Q3=100%,((O3*J3)*Q3)*100%,IF(Q3&gt;100%,((J3*O3)*100%)*100%,0)))*100</f>
        <v>0</v>
      </c>
      <c r="S3" s="53" t="s">
        <v>27</v>
      </c>
      <c r="T3" s="191"/>
    </row>
    <row r="4" spans="1:22" ht="25.8" customHeight="1" x14ac:dyDescent="0.4">
      <c r="A4" s="39" t="s">
        <v>38</v>
      </c>
      <c r="B4" s="40" t="s">
        <v>25</v>
      </c>
      <c r="C4" s="40">
        <v>3527</v>
      </c>
      <c r="D4" s="40" t="s">
        <v>122</v>
      </c>
      <c r="E4" s="40" t="s">
        <v>39</v>
      </c>
      <c r="F4" s="40" t="s">
        <v>58</v>
      </c>
      <c r="G4" s="40" t="s">
        <v>20</v>
      </c>
      <c r="H4" s="24" t="s">
        <v>21</v>
      </c>
      <c r="I4" s="25" t="s">
        <v>22</v>
      </c>
      <c r="J4" s="53">
        <v>0.7</v>
      </c>
      <c r="K4" s="23" t="s">
        <v>110</v>
      </c>
      <c r="L4" s="23" t="s">
        <v>62</v>
      </c>
      <c r="M4" s="23" t="s">
        <v>234</v>
      </c>
      <c r="N4" s="53">
        <v>0.05</v>
      </c>
      <c r="O4" s="53">
        <v>0.1</v>
      </c>
      <c r="P4" s="54">
        <v>0</v>
      </c>
      <c r="Q4" s="53">
        <f t="shared" ref="Q4:Q5" si="0">ROUND(IF(OR(N4="",P4=""),0,IF(AND(N4=0,P4=0),1,IF(S4="+",P4/N4,N4/P4))),2)</f>
        <v>0</v>
      </c>
      <c r="R4" s="55">
        <f>IF(AND(Q4&gt;=60%,Q4&lt;100%),Q4*((O4*J4)),IF(Q4=100%,((O4*J4)*Q4)*100%,IF(Q4&gt;100%,((J4*O4)*100%)*100%,0)))*100</f>
        <v>0</v>
      </c>
      <c r="S4" s="53" t="s">
        <v>27</v>
      </c>
      <c r="T4" s="191"/>
    </row>
    <row r="5" spans="1:22" ht="18.45" customHeight="1" x14ac:dyDescent="0.4">
      <c r="A5" s="39" t="s">
        <v>38</v>
      </c>
      <c r="B5" s="40" t="s">
        <v>25</v>
      </c>
      <c r="C5" s="40">
        <v>3527</v>
      </c>
      <c r="D5" s="40" t="s">
        <v>122</v>
      </c>
      <c r="E5" s="40" t="s">
        <v>39</v>
      </c>
      <c r="F5" s="40" t="s">
        <v>58</v>
      </c>
      <c r="G5" s="40" t="s">
        <v>20</v>
      </c>
      <c r="H5" s="24" t="s">
        <v>21</v>
      </c>
      <c r="I5" s="25" t="s">
        <v>22</v>
      </c>
      <c r="J5" s="53">
        <v>0.7</v>
      </c>
      <c r="K5" s="23" t="s">
        <v>111</v>
      </c>
      <c r="L5" s="23" t="s">
        <v>112</v>
      </c>
      <c r="M5" s="23" t="s">
        <v>113</v>
      </c>
      <c r="N5" s="53">
        <v>0.05</v>
      </c>
      <c r="O5" s="53">
        <v>0.15</v>
      </c>
      <c r="P5" s="56">
        <v>0.05</v>
      </c>
      <c r="Q5" s="53">
        <f t="shared" si="0"/>
        <v>1</v>
      </c>
      <c r="R5" s="55">
        <f>IF(AND(Q5&gt;=60%,Q5&lt;100%),Q5*((O5*J5)),IF(Q5=100%,((O5*J5)*Q5)*100%,IF(Q5&gt;100%,((J5*O5)*100%)*100%,0)))*100</f>
        <v>10.5</v>
      </c>
      <c r="S5" s="53" t="s">
        <v>28</v>
      </c>
      <c r="T5" s="191"/>
    </row>
    <row r="6" spans="1:22" ht="18.45" customHeight="1" x14ac:dyDescent="0.4">
      <c r="A6" s="39" t="s">
        <v>38</v>
      </c>
      <c r="B6" s="40" t="s">
        <v>25</v>
      </c>
      <c r="C6" s="40">
        <v>3527</v>
      </c>
      <c r="D6" s="40" t="s">
        <v>122</v>
      </c>
      <c r="E6" s="40" t="s">
        <v>39</v>
      </c>
      <c r="F6" s="40" t="s">
        <v>58</v>
      </c>
      <c r="G6" s="40" t="s">
        <v>20</v>
      </c>
      <c r="H6" s="24" t="s">
        <v>21</v>
      </c>
      <c r="I6" s="25" t="s">
        <v>22</v>
      </c>
      <c r="J6" s="53">
        <v>0.7</v>
      </c>
      <c r="K6" s="23" t="s">
        <v>114</v>
      </c>
      <c r="L6" s="23" t="s">
        <v>115</v>
      </c>
      <c r="M6" s="23" t="s">
        <v>116</v>
      </c>
      <c r="N6" s="57">
        <v>0.9</v>
      </c>
      <c r="O6" s="53">
        <v>0.15</v>
      </c>
      <c r="P6" s="56">
        <v>0.81</v>
      </c>
      <c r="Q6" s="53">
        <f>ROUND(IF(OR(N6="",P6=""),0,IF(AND(N6=0,P6=0),1,IF(S6="+",P6/N6,N6/P6))),2)</f>
        <v>0.9</v>
      </c>
      <c r="R6" s="55">
        <f t="shared" ref="R6:R7" si="1">IF(AND(Q6&gt;=60%,Q6&lt;100%),Q6*((O6*J6)),IF(Q6=100%,((O6*J6)*Q6)*100%,IF(Q6&gt;100%,((J6*O6)*100%)*100%,0)))*100</f>
        <v>9.4499999999999993</v>
      </c>
      <c r="S6" s="53" t="s">
        <v>27</v>
      </c>
      <c r="T6" s="191"/>
    </row>
    <row r="7" spans="1:22" ht="30.6" customHeight="1" x14ac:dyDescent="0.4">
      <c r="A7" s="39" t="s">
        <v>38</v>
      </c>
      <c r="B7" s="40" t="s">
        <v>25</v>
      </c>
      <c r="C7" s="40">
        <v>3527</v>
      </c>
      <c r="D7" s="40" t="s">
        <v>122</v>
      </c>
      <c r="E7" s="40" t="s">
        <v>39</v>
      </c>
      <c r="F7" s="40" t="s">
        <v>58</v>
      </c>
      <c r="G7" s="40" t="s">
        <v>20</v>
      </c>
      <c r="H7" s="24" t="s">
        <v>21</v>
      </c>
      <c r="I7" s="25" t="s">
        <v>22</v>
      </c>
      <c r="J7" s="53">
        <v>0.7</v>
      </c>
      <c r="K7" s="36" t="s">
        <v>117</v>
      </c>
      <c r="L7" s="36" t="s">
        <v>118</v>
      </c>
      <c r="M7" s="23" t="s">
        <v>236</v>
      </c>
      <c r="N7" s="53">
        <v>1</v>
      </c>
      <c r="O7" s="53">
        <v>0.15</v>
      </c>
      <c r="P7" s="53">
        <v>0.94399999999999995</v>
      </c>
      <c r="Q7" s="57">
        <f>ROUND(IF(OR(N7="",P7=""),0,IF(AND(N7=0,P7=0),1,IF(S7="+",P7/N7,N7/P7))),2)</f>
        <v>1.06</v>
      </c>
      <c r="R7" s="97">
        <f t="shared" si="1"/>
        <v>10.5</v>
      </c>
      <c r="S7" s="57" t="s">
        <v>28</v>
      </c>
      <c r="T7" s="223"/>
    </row>
    <row r="8" spans="1:22" ht="18.45" customHeight="1" x14ac:dyDescent="0.4">
      <c r="A8" s="39" t="s">
        <v>38</v>
      </c>
      <c r="B8" s="40" t="s">
        <v>25</v>
      </c>
      <c r="C8" s="40">
        <v>3527</v>
      </c>
      <c r="D8" s="40" t="s">
        <v>122</v>
      </c>
      <c r="E8" s="40" t="s">
        <v>39</v>
      </c>
      <c r="F8" s="40" t="s">
        <v>58</v>
      </c>
      <c r="G8" s="40" t="s">
        <v>20</v>
      </c>
      <c r="H8" s="24" t="s">
        <v>21</v>
      </c>
      <c r="I8" s="17" t="s">
        <v>22</v>
      </c>
      <c r="J8" s="53">
        <v>0.7</v>
      </c>
      <c r="K8" s="36" t="s">
        <v>119</v>
      </c>
      <c r="L8" s="36" t="s">
        <v>120</v>
      </c>
      <c r="M8" s="36" t="s">
        <v>121</v>
      </c>
      <c r="N8" s="53">
        <v>0.7</v>
      </c>
      <c r="O8" s="53">
        <v>0.15</v>
      </c>
      <c r="P8" s="53">
        <v>1.05</v>
      </c>
      <c r="Q8" s="57">
        <f>ROUND(IF(OR(N8="",P8=""),0,IF(AND(N8=0,P8=0),1,IF(S8="+",P8/N8,N8/P8))),2)</f>
        <v>1.5</v>
      </c>
      <c r="R8" s="97">
        <f>IF(AND(Q8&gt;=60%,Q8&lt;100%),Q8*((O8*J8)),IF(Q8=100%,((O8*J8)*Q8)*100%,IF(Q8&gt;100%,((J8*O8)*100%)*100%,0)))*100</f>
        <v>10.5</v>
      </c>
      <c r="S8" s="57" t="s">
        <v>27</v>
      </c>
      <c r="T8" s="223"/>
    </row>
    <row r="9" spans="1:22" ht="18.45" customHeight="1" x14ac:dyDescent="0.4">
      <c r="A9" s="39" t="s">
        <v>38</v>
      </c>
      <c r="B9" s="40" t="s">
        <v>25</v>
      </c>
      <c r="C9" s="40">
        <v>3527</v>
      </c>
      <c r="D9" s="40" t="s">
        <v>122</v>
      </c>
      <c r="E9" s="40" t="s">
        <v>39</v>
      </c>
      <c r="F9" s="40" t="s">
        <v>58</v>
      </c>
      <c r="G9" s="40" t="s">
        <v>20</v>
      </c>
      <c r="H9" s="24" t="s">
        <v>21</v>
      </c>
      <c r="I9" s="17" t="s">
        <v>22</v>
      </c>
      <c r="J9" s="53">
        <v>0.7</v>
      </c>
      <c r="K9" s="17" t="s">
        <v>65</v>
      </c>
      <c r="L9" s="17" t="s">
        <v>66</v>
      </c>
      <c r="M9" s="17" t="s">
        <v>67</v>
      </c>
      <c r="N9" s="80">
        <v>1</v>
      </c>
      <c r="O9" s="81">
        <v>0.1</v>
      </c>
      <c r="P9" s="80">
        <v>1</v>
      </c>
      <c r="Q9" s="57">
        <f t="shared" ref="Q9:Q10" si="2">ROUND(IF(OR(N9="",P9=""),0,IF(AND(N9=0,P9=0),1,IF(S9="+",P9/N9,N9/P9))),2)</f>
        <v>1</v>
      </c>
      <c r="R9" s="97">
        <f t="shared" ref="R9" si="3">IF(AND(Q9&gt;=60%,Q9&lt;100%),Q9*((O9*J9)),IF(Q9=100%,((O9*J9)*Q9)*100%,IF(Q9&gt;100%,((J9*O9)*100%)*100%,0)))*100</f>
        <v>6.9999999999999991</v>
      </c>
      <c r="S9" s="81" t="s">
        <v>27</v>
      </c>
      <c r="T9" s="192"/>
    </row>
    <row r="10" spans="1:22" s="185" customFormat="1" ht="31.2" customHeight="1" thickBot="1" x14ac:dyDescent="0.35">
      <c r="A10" s="224" t="s">
        <v>38</v>
      </c>
      <c r="B10" s="225" t="s">
        <v>25</v>
      </c>
      <c r="C10" s="225">
        <v>3527</v>
      </c>
      <c r="D10" s="225" t="s">
        <v>122</v>
      </c>
      <c r="E10" s="225" t="s">
        <v>39</v>
      </c>
      <c r="F10" s="225" t="s">
        <v>58</v>
      </c>
      <c r="G10" s="225" t="s">
        <v>20</v>
      </c>
      <c r="H10" s="226" t="s">
        <v>23</v>
      </c>
      <c r="I10" s="167" t="s">
        <v>24</v>
      </c>
      <c r="J10" s="194">
        <v>0.3</v>
      </c>
      <c r="K10" s="167" t="s">
        <v>205</v>
      </c>
      <c r="L10" s="227" t="s">
        <v>158</v>
      </c>
      <c r="M10" s="167"/>
      <c r="N10" s="194">
        <v>1</v>
      </c>
      <c r="O10" s="169">
        <v>1</v>
      </c>
      <c r="P10" s="194">
        <v>0</v>
      </c>
      <c r="Q10" s="228">
        <f t="shared" si="2"/>
        <v>0</v>
      </c>
      <c r="R10" s="229">
        <f>IF(AND(Q10&gt;=60%,Q10&lt;100%),Q10*((O10*J10)),IF(Q10=100%,((O10*J10)*Q10)*100%,IF(Q10&gt;100%,((J10*O10)*100%)*100%,0)))*100</f>
        <v>0</v>
      </c>
      <c r="S10" s="169" t="s">
        <v>27</v>
      </c>
      <c r="T10" s="196"/>
    </row>
  </sheetData>
  <conditionalFormatting sqref="H1:I9 K1:M6 K8:M9 K7:L7">
    <cfRule type="cellIs" dxfId="3" priority="4" operator="equal">
      <formula>"maintasks"</formula>
    </cfRule>
  </conditionalFormatting>
  <conditionalFormatting sqref="K10 M10">
    <cfRule type="cellIs" dxfId="2" priority="2" operator="equal">
      <formula>"maintasks"</formula>
    </cfRule>
  </conditionalFormatting>
  <conditionalFormatting sqref="H10:I10">
    <cfRule type="cellIs" dxfId="1" priority="3" operator="equal">
      <formula>"maintasks"</formula>
    </cfRule>
  </conditionalFormatting>
  <conditionalFormatting sqref="M7">
    <cfRule type="cellIs" dxfId="0" priority="1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Electrical1</vt:lpstr>
      <vt:lpstr>Electrical2</vt:lpstr>
      <vt:lpstr>Utilities1</vt:lpstr>
      <vt:lpstr>Utilities2</vt:lpstr>
      <vt:lpstr>Mech1</vt:lpstr>
      <vt:lpstr>Mech2</vt:lpstr>
      <vt:lpstr>Workshop</vt:lpstr>
      <vt:lpstr>Metal Works</vt:lpstr>
      <vt:lpstr>PM &amp; Engr</vt:lpstr>
      <vt:lpstr>Design</vt:lpstr>
      <vt:lpstr>Machinery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2025-03-15T07:46:11Z</dcterms:created>
  <dcterms:modified xsi:type="dcterms:W3CDTF">2025-07-11T04:50:27Z</dcterms:modified>
</cp:coreProperties>
</file>