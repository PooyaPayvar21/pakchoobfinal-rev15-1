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دکستاپ\kpi پرسنل فصل بهار\دریافتی از منابع انسانی\"/>
    </mc:Choice>
  </mc:AlternateContent>
  <xr:revisionPtr revIDLastSave="0" documentId="13_ncr:1_{73A36D09-6B2F-4A72-AEB3-7C6EC42272A2}" xr6:coauthVersionLast="47" xr6:coauthVersionMax="47" xr10:uidLastSave="{00000000-0000-0000-0000-000000000000}"/>
  <bookViews>
    <workbookView xWindow="-28920" yWindow="-120" windowWidth="29040" windowHeight="15840" tabRatio="683" xr2:uid="{74099A9C-9871-4FD6-9E81-7D731959F279}"/>
  </bookViews>
  <sheets>
    <sheet name="Electrical1" sheetId="7" r:id="rId1"/>
    <sheet name="Electrical2" sheetId="2" r:id="rId2"/>
    <sheet name="Utilities1" sheetId="9" r:id="rId3"/>
    <sheet name="Utilities2" sheetId="5" r:id="rId4"/>
    <sheet name="Mech1" sheetId="8" r:id="rId5"/>
    <sheet name="Mech2" sheetId="3" r:id="rId6"/>
    <sheet name="Workshop" sheetId="13" r:id="rId7"/>
    <sheet name="Metal Works" sheetId="6" r:id="rId8"/>
    <sheet name="PM &amp; Engr" sheetId="4" r:id="rId9"/>
    <sheet name="Design" sheetId="10" r:id="rId10"/>
    <sheet name="Machinery"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3" i="12" l="1"/>
  <c r="R23" i="12" s="1"/>
  <c r="Q22" i="12"/>
  <c r="R22" i="12" s="1"/>
  <c r="Q21" i="12"/>
  <c r="R21" i="12" s="1"/>
  <c r="Q20" i="12"/>
  <c r="R20" i="12" s="1"/>
  <c r="Q19" i="12"/>
  <c r="R19" i="12" s="1"/>
  <c r="Q18" i="12"/>
  <c r="R18" i="12" s="1"/>
  <c r="Q17" i="12"/>
  <c r="R17" i="12" s="1"/>
  <c r="Q16" i="12"/>
  <c r="R16" i="12" s="1"/>
  <c r="R15" i="12"/>
  <c r="Q15" i="12"/>
  <c r="Q22" i="10"/>
  <c r="R22" i="10" s="1"/>
  <c r="Q21" i="10"/>
  <c r="R21" i="10" s="1"/>
  <c r="R20" i="10"/>
  <c r="Q20" i="10"/>
  <c r="Q19" i="10"/>
  <c r="R19" i="10" s="1"/>
  <c r="Q18" i="10"/>
  <c r="R18" i="10" s="1"/>
  <c r="Q17" i="10"/>
  <c r="R17" i="10" s="1"/>
  <c r="R16" i="10"/>
  <c r="Q16" i="10"/>
  <c r="Q24" i="4"/>
  <c r="R24" i="4" s="1"/>
  <c r="Q23" i="4"/>
  <c r="R23" i="4" s="1"/>
  <c r="Q22" i="4"/>
  <c r="R22" i="4" s="1"/>
  <c r="Q21" i="4"/>
  <c r="R21" i="4" s="1"/>
  <c r="R20" i="4"/>
  <c r="Q20" i="4"/>
  <c r="Q19" i="4"/>
  <c r="R19" i="4" s="1"/>
  <c r="Q18" i="4"/>
  <c r="R18" i="4" s="1"/>
  <c r="Q17" i="4"/>
  <c r="R17" i="4" s="1"/>
  <c r="Q16" i="4"/>
  <c r="R16" i="4" s="1"/>
  <c r="Q15" i="6"/>
  <c r="R15" i="6" s="1"/>
  <c r="Q15" i="13"/>
  <c r="R15" i="13" s="1"/>
  <c r="Q18" i="3"/>
  <c r="R18" i="3" s="1"/>
  <c r="Q17" i="3"/>
  <c r="R17" i="3" s="1"/>
  <c r="Q18" i="8"/>
  <c r="R18" i="8" s="1"/>
  <c r="Q17" i="8"/>
  <c r="R17" i="8" s="1"/>
  <c r="Q18" i="5"/>
  <c r="R18" i="5" s="1"/>
  <c r="Q17" i="5"/>
  <c r="R17" i="5" s="1"/>
  <c r="Q18" i="9"/>
  <c r="R18" i="9" s="1"/>
  <c r="Q17" i="9"/>
  <c r="R17" i="9" s="1"/>
  <c r="Q19" i="2"/>
  <c r="R19" i="2" s="1"/>
  <c r="Q18" i="2"/>
  <c r="R18" i="2" s="1"/>
  <c r="Q19" i="7"/>
  <c r="R19" i="7" s="1"/>
  <c r="Q18" i="7"/>
  <c r="R18" i="7" s="1"/>
  <c r="Q16" i="3"/>
  <c r="R16" i="3" s="1"/>
  <c r="Q15" i="3"/>
  <c r="R15" i="3" s="1"/>
  <c r="Q16" i="8"/>
  <c r="R16" i="8" s="1"/>
  <c r="Q15" i="8"/>
  <c r="R15" i="8" s="1"/>
  <c r="Q16" i="5"/>
  <c r="R16" i="5" s="1"/>
  <c r="Q15" i="5"/>
  <c r="R15" i="5" s="1"/>
  <c r="Q16" i="9"/>
  <c r="R16" i="9" s="1"/>
  <c r="Q15" i="9"/>
  <c r="R15" i="9" s="1"/>
  <c r="Q17" i="2"/>
  <c r="R17" i="2" s="1"/>
  <c r="R16" i="2"/>
  <c r="Q16" i="2"/>
  <c r="Q17" i="7"/>
  <c r="R17" i="7" s="1"/>
  <c r="Q16" i="7"/>
  <c r="R16" i="7" s="1"/>
  <c r="T15" i="12" l="1"/>
  <c r="T16" i="10"/>
  <c r="T16" i="4"/>
  <c r="Q14" i="10" l="1"/>
  <c r="R14" i="10" s="1"/>
  <c r="Q13" i="10"/>
  <c r="R13" i="10" s="1"/>
  <c r="Q12" i="10"/>
  <c r="R12" i="10" s="1"/>
  <c r="Q11" i="10"/>
  <c r="R11" i="10" s="1"/>
  <c r="Q10" i="10"/>
  <c r="R10" i="10" s="1"/>
  <c r="Q9" i="10"/>
  <c r="R9" i="10" s="1"/>
  <c r="Q8" i="10"/>
  <c r="R8" i="10" s="1"/>
  <c r="Q7" i="10"/>
  <c r="R7" i="10" s="1"/>
  <c r="Q6" i="10"/>
  <c r="R6" i="10" s="1"/>
  <c r="Q5" i="10"/>
  <c r="R5" i="10" s="1"/>
  <c r="Q4" i="10"/>
  <c r="R4" i="10" s="1"/>
  <c r="Q3" i="10"/>
  <c r="R3" i="10" s="1"/>
  <c r="Q2" i="10"/>
  <c r="R2" i="10" s="1"/>
  <c r="Q13" i="9"/>
  <c r="R13" i="9" s="1"/>
  <c r="Q12" i="9"/>
  <c r="R12" i="9" s="1"/>
  <c r="Q11" i="9"/>
  <c r="R11" i="9" s="1"/>
  <c r="Q10" i="9"/>
  <c r="R10" i="9" s="1"/>
  <c r="Q9" i="9"/>
  <c r="R9" i="9" s="1"/>
  <c r="Q8" i="9"/>
  <c r="R8" i="9" s="1"/>
  <c r="Q7" i="9"/>
  <c r="R7" i="9" s="1"/>
  <c r="Q6" i="9"/>
  <c r="R6" i="9" s="1"/>
  <c r="Q5" i="9"/>
  <c r="R5" i="9" s="1"/>
  <c r="Q4" i="9"/>
  <c r="R4" i="9" s="1"/>
  <c r="Q3" i="9"/>
  <c r="R3" i="9" s="1"/>
  <c r="Q2" i="9"/>
  <c r="R2" i="9" s="1"/>
  <c r="Q13" i="13"/>
  <c r="R13" i="13" s="1"/>
  <c r="Q12" i="13"/>
  <c r="R12" i="13" s="1"/>
  <c r="Q11" i="13"/>
  <c r="R11" i="13" s="1"/>
  <c r="Q10" i="13"/>
  <c r="R10" i="13" s="1"/>
  <c r="Q9" i="13"/>
  <c r="R9" i="13" s="1"/>
  <c r="Q8" i="13"/>
  <c r="R8" i="13" s="1"/>
  <c r="Q7" i="13"/>
  <c r="R7" i="13" s="1"/>
  <c r="Q6" i="13"/>
  <c r="R6" i="13" s="1"/>
  <c r="Q5" i="13"/>
  <c r="R5" i="13" s="1"/>
  <c r="Q4" i="13"/>
  <c r="R4" i="13" s="1"/>
  <c r="Q3" i="13"/>
  <c r="R3" i="13" s="1"/>
  <c r="Q2" i="13"/>
  <c r="R2" i="13" s="1"/>
  <c r="Q13" i="12"/>
  <c r="R13" i="12" s="1"/>
  <c r="Q12" i="12"/>
  <c r="R12" i="12" s="1"/>
  <c r="Q11" i="12"/>
  <c r="R11" i="12" s="1"/>
  <c r="Q10" i="12"/>
  <c r="R10" i="12" s="1"/>
  <c r="Q9" i="12"/>
  <c r="R9" i="12" s="1"/>
  <c r="Q8" i="12"/>
  <c r="R8" i="12" s="1"/>
  <c r="Q7" i="12"/>
  <c r="R7" i="12" s="1"/>
  <c r="Q6" i="12"/>
  <c r="R6" i="12" s="1"/>
  <c r="Q5" i="12"/>
  <c r="R5" i="12" s="1"/>
  <c r="Q4" i="12"/>
  <c r="R4" i="12" s="1"/>
  <c r="Q3" i="12"/>
  <c r="R3" i="12" s="1"/>
  <c r="Q2" i="12"/>
  <c r="R2" i="12" s="1"/>
  <c r="Q13" i="8"/>
  <c r="R13" i="8" s="1"/>
  <c r="Q12" i="8"/>
  <c r="R12" i="8" s="1"/>
  <c r="Q11" i="8"/>
  <c r="R11" i="8" s="1"/>
  <c r="Q10" i="8"/>
  <c r="R10" i="8" s="1"/>
  <c r="Q9" i="8"/>
  <c r="R9" i="8" s="1"/>
  <c r="Q8" i="8"/>
  <c r="R8" i="8" s="1"/>
  <c r="Q7" i="8"/>
  <c r="R7" i="8" s="1"/>
  <c r="Q6" i="8"/>
  <c r="R6" i="8" s="1"/>
  <c r="Q5" i="8"/>
  <c r="R5" i="8" s="1"/>
  <c r="Q4" i="8"/>
  <c r="R4" i="8" s="1"/>
  <c r="Q3" i="8"/>
  <c r="R3" i="8" s="1"/>
  <c r="Q2" i="8"/>
  <c r="R2" i="8" s="1"/>
  <c r="Q14" i="7"/>
  <c r="R14" i="7" s="1"/>
  <c r="Q13" i="7"/>
  <c r="R13" i="7" s="1"/>
  <c r="Q12" i="7"/>
  <c r="R12" i="7" s="1"/>
  <c r="Q11" i="7"/>
  <c r="R11" i="7" s="1"/>
  <c r="Q10" i="7"/>
  <c r="R10" i="7" s="1"/>
  <c r="Q9" i="7"/>
  <c r="R9" i="7" s="1"/>
  <c r="Q8" i="7"/>
  <c r="R8" i="7" s="1"/>
  <c r="Q7" i="7"/>
  <c r="R7" i="7" s="1"/>
  <c r="Q6" i="7"/>
  <c r="R6" i="7" s="1"/>
  <c r="Q5" i="7"/>
  <c r="R5" i="7" s="1"/>
  <c r="Q4" i="7"/>
  <c r="R4" i="7" s="1"/>
  <c r="Q3" i="7"/>
  <c r="R3" i="7" s="1"/>
  <c r="Q2" i="7"/>
  <c r="R2" i="7" s="1"/>
  <c r="Q13" i="2"/>
  <c r="R13" i="2" s="1"/>
  <c r="Q9" i="5"/>
  <c r="Q10" i="5"/>
  <c r="Q12" i="5"/>
  <c r="R12" i="5" s="1"/>
  <c r="Q13" i="5"/>
  <c r="R13" i="5" s="1"/>
  <c r="T2" i="7" l="1"/>
  <c r="Q2" i="6"/>
  <c r="R2" i="6" s="1"/>
  <c r="Q3" i="6"/>
  <c r="R3" i="6" s="1"/>
  <c r="Q4" i="6"/>
  <c r="R4" i="6" s="1"/>
  <c r="Q5" i="6"/>
  <c r="R5" i="6" s="1"/>
  <c r="Q6" i="6"/>
  <c r="R6" i="6" s="1"/>
  <c r="Q7" i="6"/>
  <c r="R7" i="6" s="1"/>
  <c r="Q8" i="6"/>
  <c r="R8" i="6" s="1"/>
  <c r="Q9" i="6"/>
  <c r="R9" i="6" s="1"/>
  <c r="Q10" i="6"/>
  <c r="R10" i="6" s="1"/>
  <c r="Q11" i="6"/>
  <c r="R11" i="6" s="1"/>
  <c r="Q12" i="6"/>
  <c r="R12" i="6" s="1"/>
  <c r="Q13" i="6"/>
  <c r="R13" i="6" s="1"/>
  <c r="T2" i="6" l="1"/>
  <c r="Q2" i="5"/>
  <c r="R2" i="5" s="1"/>
  <c r="Q3" i="5"/>
  <c r="R3" i="5" s="1"/>
  <c r="Q4" i="5"/>
  <c r="R4" i="5" s="1"/>
  <c r="Q5" i="5"/>
  <c r="R5" i="5" s="1"/>
  <c r="Q6" i="5"/>
  <c r="R6" i="5" s="1"/>
  <c r="Q7" i="5"/>
  <c r="R7" i="5"/>
  <c r="Q8" i="5"/>
  <c r="R8" i="5" s="1"/>
  <c r="R9" i="5"/>
  <c r="R10" i="5"/>
  <c r="Q11" i="5"/>
  <c r="R11" i="5" s="1"/>
  <c r="Q2" i="4"/>
  <c r="R2" i="4" s="1"/>
  <c r="Q3" i="4"/>
  <c r="R3" i="4" s="1"/>
  <c r="Q4" i="4"/>
  <c r="R4" i="4" s="1"/>
  <c r="Q5" i="4"/>
  <c r="R5" i="4"/>
  <c r="Q6" i="4"/>
  <c r="R6" i="4"/>
  <c r="Q7" i="4"/>
  <c r="R7" i="4"/>
  <c r="Q8" i="4"/>
  <c r="R8" i="4" s="1"/>
  <c r="Q9" i="4"/>
  <c r="R9" i="4" s="1"/>
  <c r="Q10" i="4"/>
  <c r="R10" i="4" s="1"/>
  <c r="Q11" i="4"/>
  <c r="R11" i="4" s="1"/>
  <c r="Q12" i="4"/>
  <c r="R12" i="4" s="1"/>
  <c r="Q13" i="4"/>
  <c r="R13" i="4" s="1"/>
  <c r="Q14" i="4"/>
  <c r="R14" i="4" s="1"/>
  <c r="Q2" i="3"/>
  <c r="R2" i="3" s="1"/>
  <c r="Q3" i="3"/>
  <c r="R3" i="3" s="1"/>
  <c r="Q4" i="3"/>
  <c r="R4" i="3" s="1"/>
  <c r="Q5" i="3"/>
  <c r="R5" i="3" s="1"/>
  <c r="Q6" i="3"/>
  <c r="R6" i="3" s="1"/>
  <c r="Q7" i="3"/>
  <c r="R7" i="3" s="1"/>
  <c r="Q8" i="3"/>
  <c r="R8" i="3" s="1"/>
  <c r="Q9" i="3"/>
  <c r="R9" i="3" s="1"/>
  <c r="Q10" i="3"/>
  <c r="R10" i="3" s="1"/>
  <c r="Q11" i="3"/>
  <c r="R11" i="3" s="1"/>
  <c r="Q12" i="3"/>
  <c r="R12" i="3" s="1"/>
  <c r="Q13" i="3"/>
  <c r="R13" i="3" s="1"/>
  <c r="Q3" i="2"/>
  <c r="R3" i="2" s="1"/>
  <c r="Q2" i="2"/>
  <c r="R2" i="2" s="1"/>
  <c r="Q5" i="2"/>
  <c r="R5" i="2" s="1"/>
  <c r="Q6" i="2"/>
  <c r="R6" i="2" s="1"/>
  <c r="Q4" i="2"/>
  <c r="R4" i="2" s="1"/>
  <c r="Q7" i="2"/>
  <c r="R7" i="2" s="1"/>
  <c r="Q8" i="2"/>
  <c r="R8" i="2" s="1"/>
  <c r="Q10" i="2"/>
  <c r="R10" i="2" s="1"/>
  <c r="Q11" i="2"/>
  <c r="R11" i="2" s="1"/>
  <c r="Q12" i="2"/>
  <c r="R12" i="2" s="1"/>
  <c r="Q9" i="2"/>
  <c r="R9" i="2" s="1"/>
  <c r="Q14" i="2"/>
  <c r="R14" i="2" s="1"/>
</calcChain>
</file>

<file path=xl/sharedStrings.xml><?xml version="1.0" encoding="utf-8"?>
<sst xmlns="http://schemas.openxmlformats.org/spreadsheetml/2006/main" count="2695" uniqueCount="266">
  <si>
    <t>نام شرکت</t>
  </si>
  <si>
    <t>فصل</t>
  </si>
  <si>
    <t>کد پرسنلی</t>
  </si>
  <si>
    <t>نام و نام خانوادگی</t>
  </si>
  <si>
    <t>عنوان شغلی</t>
  </si>
  <si>
    <t>مدیر مستقیم</t>
  </si>
  <si>
    <t>دپارتمان</t>
  </si>
  <si>
    <t>Category</t>
  </si>
  <si>
    <t>دسته بندی</t>
  </si>
  <si>
    <t>obj weight</t>
  </si>
  <si>
    <t>KPI En</t>
  </si>
  <si>
    <t>KPI Fa</t>
  </si>
  <si>
    <t>kpi INFO</t>
  </si>
  <si>
    <t>target</t>
  </si>
  <si>
    <t>KPI weight</t>
  </si>
  <si>
    <t>KPI Achievement</t>
  </si>
  <si>
    <t>Percentage Achievement</t>
  </si>
  <si>
    <t>Score Achievement</t>
  </si>
  <si>
    <t>type</t>
  </si>
  <si>
    <t>Sum</t>
  </si>
  <si>
    <t>فنی و مهندسی</t>
  </si>
  <si>
    <t>کارهای اصلی</t>
  </si>
  <si>
    <t>MainTasks</t>
  </si>
  <si>
    <t>پروژه ها</t>
  </si>
  <si>
    <t>Projects</t>
  </si>
  <si>
    <t>Q1</t>
  </si>
  <si>
    <t>تهیه و آرشیو نقشه‌های به‌روزشده تابلوها تا پایان سه‌ماهه اول</t>
  </si>
  <si>
    <t>گزارش ممیزی تعمیرات ماشین‌آلات و اقدامات اصلاحی (هفتگی و ماهانه)</t>
  </si>
  <si>
    <t>آموزش فرآیند تعمیر و نگهداری</t>
  </si>
  <si>
    <t>طراحی و ساخت یا بهینه‌سازی حداقل یک تجهیز در هر فصل همراه با گزارش عملکرد</t>
  </si>
  <si>
    <t>Maintenance Cost as per Budget or within YTD Average Cost Including Current Month</t>
  </si>
  <si>
    <t>Spare Parts Availability as per Machine Supplier Advice Based on Consumption &amp; Lead Time</t>
  </si>
  <si>
    <t>Number of Recurring Downtime &lt; 5% of Total Downtime</t>
  </si>
  <si>
    <t>Preparation and Archiving of Updated Electrical Panel Drawings by End of Q1</t>
  </si>
  <si>
    <t>Machine Maintenance Audit Report &amp; Corrective Action (Weekly &amp; Monthly)</t>
  </si>
  <si>
    <t>Training on Maintenance Process</t>
  </si>
  <si>
    <t>Design and Fabrication or Optimization of at Least One Equipment per Quarter with Performance Report</t>
  </si>
  <si>
    <t>Cost Deviation = Actual Repair Cost (YTD including current month) - Budgeted or Average Monthly Cost</t>
  </si>
  <si>
    <t>(Total Downtime - Number of recurring failures time in 15 days after trouble shooting) / Total Downtime</t>
  </si>
  <si>
    <t>Actual spare parts available as per target stock / Total target stock (weightage to be decided in next quarter)</t>
  </si>
  <si>
    <t>1 Hour / person / Month</t>
  </si>
  <si>
    <t>Weekly &amp; Monthly Report</t>
  </si>
  <si>
    <t>Project Follow-up Status = Done / Not Done</t>
  </si>
  <si>
    <t>+</t>
  </si>
  <si>
    <t>-</t>
  </si>
  <si>
    <t>پیگیری پروژه سرمایش انبار کاغذ آغشته</t>
  </si>
  <si>
    <t>پروژه روشنایی انبارهای خام</t>
  </si>
  <si>
    <t>Monitoring of the cooling project for the impregnated paper warehouse</t>
  </si>
  <si>
    <t>(Total number of completed activities in planned maintenance / Total number of activities required in planned maintenance)*100</t>
  </si>
  <si>
    <t>(Total number of completed activities in unplanned maintenance / Total number of activities required in unplanned maintenance)*100</t>
  </si>
  <si>
    <t>Completion Rate of Planned Maintenance Job (PM) - Beginning of month</t>
  </si>
  <si>
    <t>Timely Completion of Ad-Hoc Maintenance Tasks (unplanned) - During the month</t>
  </si>
  <si>
    <t>SOP documentation for Production to be completed in Q1 (Part of ISO)</t>
  </si>
  <si>
    <t>All policy, process and procedure to be written &amp; approved by dept manager, quality &amp; factory manager</t>
  </si>
  <si>
    <t>Total Performance Management system - 5S documentation Monthly report</t>
  </si>
  <si>
    <t>To be submitted to Department &amp; Factory Manager</t>
  </si>
  <si>
    <t>Contract Finalization to be completed in Q1</t>
  </si>
  <si>
    <t>Electrical Material Supply to be completed in Q1</t>
  </si>
  <si>
    <t>Prepare Master Data for Maintenance activity, Resources &amp; Targetted Time</t>
  </si>
  <si>
    <t>نسبت تکمیل کارهای نگهداری برنامه‌ریزی‌شده (PM) - آغاز ماه</t>
  </si>
  <si>
    <t>دسترسی قطعات یدکی بر اساس راهنمایی تامین‌کننده ماشین و بر اساس مصرف و زمان تحویل</t>
  </si>
  <si>
    <t>تعداد توقف‌های مکرر کمتر از 5% از کل توقف‌ها</t>
  </si>
  <si>
    <t>تکمیل به‌موقع وظایف موردی (برنامه ریزی نشده) - در طول ماه</t>
  </si>
  <si>
    <t>هزینه تعمیرات و نگهداری بر اساس بودجه یا در محدوده میانگین هزینه سال تا کنون (YTD) شامل ماه جاری</t>
  </si>
  <si>
    <t>تکمیل مستندسازی SOP برای تولید در طول فصل اول (جزء استاندارد ISO)</t>
  </si>
  <si>
    <t>Safety - Accident service rate, Target Zero Manhour Loss</t>
  </si>
  <si>
    <t>ایمنی - نرخ حادثه، هدف صفر خسارت ساعت‌های کاری</t>
  </si>
  <si>
    <t>Any manhour lost due to accident in the responsible workplace area, the achievement score is ZERO LTI. If no LTI accident, the achievement score is 100%</t>
  </si>
  <si>
    <t>سیستم مدیریت عملکرد کلی - مستندسازی 5S، گزارش ماهانه</t>
  </si>
  <si>
    <t>Project plan to be submitted with activities and timeline approved by factory manager</t>
  </si>
  <si>
    <t>آماده‌سازی داده‌های اصلی برای فعالیت های تعمیر و نگهداری، منابع و زمان هدف‌گذاری شده</t>
  </si>
  <si>
    <t>TKF</t>
  </si>
  <si>
    <t>Tch- Machinery SSV-Phase 1</t>
  </si>
  <si>
    <t>Khalil Deylami</t>
  </si>
  <si>
    <t>Tech - Mechanical SSV-Phase 1</t>
  </si>
  <si>
    <t>Mostafa Alizadeh</t>
  </si>
  <si>
    <t>Tech- Electrical and Precision Instrumentation SSV-Phase 1</t>
  </si>
  <si>
    <t>Mehdi Zadeh Hossein</t>
  </si>
  <si>
    <t>Tech Electrical and Precision Instrumentation SSV-Phase 2</t>
  </si>
  <si>
    <t>Mojtaba Hedayat Nasab</t>
  </si>
  <si>
    <t>Tech -Facilities SSV-Phase 1</t>
  </si>
  <si>
    <t>Mohammad Rashidi</t>
  </si>
  <si>
    <t>Tech- Facilities SSV-Phase 2</t>
  </si>
  <si>
    <t>Reza Eynolvand</t>
  </si>
  <si>
    <t>Tech- Mechanical SSV</t>
  </si>
  <si>
    <t>Mehran Almasi Far</t>
  </si>
  <si>
    <t>Tech- Mechanical SSV-Phase 2</t>
  </si>
  <si>
    <t>Ahmad Sorkhe</t>
  </si>
  <si>
    <t>Tech- Metalworking Supervisor</t>
  </si>
  <si>
    <t>Ali Asghar Kalantari</t>
  </si>
  <si>
    <t>Javad Farajollahi</t>
  </si>
  <si>
    <t>Tech-Design and Engineering SSV</t>
  </si>
  <si>
    <t>Progress of Generator Construction Project (Contract Finalization)</t>
  </si>
  <si>
    <t>Follow-up on Electrical Projects (Electrical Material Supply)</t>
  </si>
  <si>
    <t>Hadi Kord</t>
  </si>
  <si>
    <t>Esmaeil karimizad</t>
  </si>
  <si>
    <t>Report on MDF mechanical work development project progress</t>
  </si>
  <si>
    <t>Report on Phase1 mechanical work development project progress</t>
  </si>
  <si>
    <t>Report on Phase1 Machinery work development project progress</t>
  </si>
  <si>
    <t>Report on Metal work development project progress</t>
  </si>
  <si>
    <t>Tech- Maintenance, Repairs Planning (PM) SSV</t>
  </si>
  <si>
    <t>Report on Utilities work development project progress</t>
  </si>
  <si>
    <t>Layout of Utilities machinery and process flow</t>
  </si>
  <si>
    <t>Monitoring of the utilities efficiency and quality</t>
  </si>
  <si>
    <t>Progress on Generator Project (Contract Finalization)</t>
  </si>
  <si>
    <t>Progress on MDF1 development projects</t>
  </si>
  <si>
    <t>SOP documentation for manitenance planning to be completed in Q1 (Part of ISO)</t>
  </si>
  <si>
    <t>Report on non-moving &amp; high inventory of spare parts with suggested action plan</t>
  </si>
  <si>
    <t>Report on pending purchase request with suggested action plan</t>
  </si>
  <si>
    <t>Training maintenance &amp; production staff on preventive maintenance &amp; condition monitoring</t>
  </si>
  <si>
    <t>Identification of Foreign Spare Parts to be developed with Iran Suppliers</t>
  </si>
  <si>
    <t>Completion of Planned Development projects design &amp; engineering</t>
  </si>
  <si>
    <t>SOP documentation for Design &amp; engineering to be completed in Q1 (Part of ISO)</t>
  </si>
  <si>
    <t>Report on design &amp; engineering proposal for reducing maintenance cost &amp; machine downtime</t>
  </si>
  <si>
    <t>Remarks</t>
  </si>
  <si>
    <t>این شاخص به درستی تعریف گردیده است و در فایل KPI ارسالی توسط اینجانب نیز وجود داشته اما نکته قابل ذکر این است که مطابق با شاخص های جهانی تارگت می بایست 95 درصد در نظر گرفته شود.</t>
  </si>
  <si>
    <t>"This KPI has been correctly defined and was also included in the KPI file previously submitted by me; however, it is worth noting that, according to global benchmarks, the target should be set at 95%."</t>
  </si>
  <si>
    <t>این شاخص در نگهداری و تعمیرات  به عنوان نرخ پاسخ‌دهی واحد نگهداری و تعمیرات(Maintenance Responsiveness Rate) و نکته قابل ذکر این است که مطابق با شاخص های جهانی تارگت می بایست 95 درصد در نظر گرفته شود.</t>
  </si>
  <si>
    <t>این شاخص به درستی تبین نشده است و انتخاب تارگت 100 درصد کاملا اشتباه می باشد چون غیر قابل دستیابی می باشد، بهتر است با شاخص کاهش هزینه ‌های نگهداری و تعمیرات(Maintenance Cost Reduction) با هدف گذاری نزولی تعیین شود و این شاخص در طول سه ماه بررسی گردد و درصورت کاهش 5 درصدی نسبت به ماه های گذشته امتیاز لازم برای آن واحد در نظر گرفته شود و فرمول محاسبه به شرح زیر می باشد.
Maintenance Cost Reduction=((Previous Month Maintenance Cost-Current Month Maintenance Cost))/(Previous Month Maintenance Cost)*100</t>
  </si>
  <si>
    <t>این شاخص به درستی مشخص شده است و هدف گذاری آن هم کاملا درست می باشد و و در فایل KPI ارسالی توسط اینجانب نیز وجود داشته است.</t>
  </si>
  <si>
    <t>این شاخص به درستی مشخص شده است و هدف گذاری آن هم کاملا درست می باشد و در فایل KPI ارسالی توسط اینجانب نیز وجود داشته است تحت عنوان درصد کاهش تعمیرات تکراری (Rework Rate) و این شاخص برای توقفات در نظر گرفته می شود، اما فرمول محاسبه آن می بایست اصلاح گردد، فرمول به شرح زیر می باشد:
Rework Rate=(Number of Repeat Repairs)/(Total Repairs)*100</t>
  </si>
  <si>
    <t>تعریف این شاخص با ویژگی های اصلی KPI مغایرت دارد این شاخص ارتباطی با روسای واحد های فنی ندارد و این KPI می بایست برای واحد برنامه ریزی نگهداری و تعمیرات ارسال شود، بهتر است این شاخص با کیفیت گزارش‌های نگهداری و تعمیرات (Maintenance Report Quality-MRQ) جایگزین شود و تارگت 90 درصد برای آن درنظر گرفته شود.
این شاخص نشان می‌دهد که گزارش‌های ثبت‌شده توسط واحد نگهداری و تعمیرات، چقدر کامل، دقیق، قابل تحلیل و استاندارد هستند. تمرکز این شاخص روی کیفیت مستندسازی فعالیت‌های انجام‌شده است.
مواردی که معمولاً برای ارزیابی MRQ بررسی می‌شوند:
	تکمیل بودن گزارش (همه فیلدها مثل تاریخ، زمان شروع/پایان، قطعات مصرفی، نیروی انسانی، علت خرابی و ... پر شده باشند)
	دقت فنی اطلاعات (علت‌یابی درست، شرح دقیق فعالیت، اقدامات پیشگیرانه و ...)
	قابلیت ردیابی و تحلیل (امکان تحلیل اطلاعات برای بهبود برنامه‌ریزی و کاهش خرابی‌ها)
فرمول مد نظر برای این شاخص:
MRQ=Number of reports meeting quality standards/Total number of maintenance reports
در ISO 14224 و EN 15341، کیفیت داده‌های نگهداری (از جمله گزارش‌ها) به عنوان یک عامل کلیدی در تحلیل قابلیت اطمینان، قابلیت نگهداری و بهبود عملکرد تجهیزات شناخته می‌شود.
این شاخص معمولاً در دسته نشانگرهای فرآیندی (Process Indicators) قرار می‌گیرد.</t>
  </si>
  <si>
    <t>با بررسی این شاخص از منظر ویژگی‌ های اصلی شاخص‌ های کلیدی عملکرد (KPI)، مشخص می ‌شود که شاخص مذکور دارای مغایرت ‌های اساسی با معیارهای یک KPI اثر بخش بوده و قابلیت اندازه‌ گیری عینی و پیوسته را ندارد. در ادامه دلایل اصلی حذف این شاخص به شرح زیر ارائه می‌گردد:
	عدم شفافیت در هدف شاخص:
این عبارت بیشتر بیانگر یک فعالیت یا فاز اجرایی از یک پروژه زیرساختی است و هدف عملکردی مشخص و قابل ارزیابی در آن تعریف نشده است.
	نبود مبنای عددی برای اندازه ‌گیری:
این شاخص فاقد یک فرمول عددی شفاف برای ارزیابی، سنجش و مقایسه عملکرد در طول زمان است. در نتیجه نمی ‌توان عملکرد افراد یا واحدها را بر اساس آن به‌ صورت کمی تحلیل نمود.
	وابستگی شدید به پروژه ‌های توسعه ‌ای و تصمیمات مدیریتی:
این شاخص بیش از آن ‌که عملکرد اجرایی فرد یا تیم را بسنجد، به تصمیم ‌گیری‌ های سطح کلان و پیشرفت پروژه‌ های سیستماتیک مانند استقرار CMMS وابسته است.
	نتیجه‌ گیری:
با توجه به عدم برخورداری از ویژگی ‌های کلیدی یک KPI شامل قابلیت سنجش، تکرارپذیری، هدف‌ محوری و ارتباط مستقیم با عملکرد افراد، پیشنهاد می‌ گردد این شاخص از فهرست شاخص ‌های ارزیابی حذف گردد.</t>
  </si>
  <si>
    <t>همچنین در خصوص شاخص ‌هایی مانند Total Performance Management system و 5S documentation Monthly report، respectfully عرض می ‌نمایم که این موارد با وجود اهمیت فرهنگی و سیستمی، لزوماً شاخص ‌های کلیدی عملکرد (KPI) در حوزه فنی و نگهداری و تعمیرات محسوب نمی‌شوند.
هدف از طراحی KPIهای فنی، سنجش کمی و دقیق عملکرد عملیاتی واحدهای مرتبط با نگهداری، تعمیرات، و پشتیبانی فنی است؛ به‌ گونه ‌ای که این شاخص ‌ها امکان مقایسه، تحلیل و تصمیم‌ گیری مؤثر جهت بهبود عملکرد را فراهم کنند. از این رو، شاخص ‌هایی مانند TPM و 5S که بیشتر ناظر بر وضعیت کلی نظم، انضباط و فرهنگ سازمانی هستند، پیشنهاد می ‌شود به ‌صورت مستقل در ارزیابی ‌های سیستمی یا برنامه ‌های ارتقاء بهره ‌وری لحاظ گردند، و در فهرست شاخص ‌های کلیدی عملکرد فنی قرار نگیرند، لذا درخواست می گردد این شاخص حذف گردد.</t>
  </si>
  <si>
    <t xml:space="preserve">	آموزش فرآیند تعمیر و نگهداری (Training on Maintenance Process)
این شاخص درست تعریف شده است اما ابهام در نحوه اندازه گیری آن وجود دارد که بهتر است فرمول دقیق زیر برای آن تعریف گردد و تارگت آن باید 90% در نظر گرفته شود تا قابل دستیابی باشد و در بازه زمانی آینده تارگت افزایش یابد.
Training Achievement Rate (%)=(Total training hours delivered to maintenance staff)⁄(Total planned training hours)*100
پارامتر	توضیح
Total training hours delivered	مجموع ساعت آموزش برگزار شده برای کارکنان نگهداری و تعمیرات توسط رئیس فنی یا هماهنگی او.
Total planned training hours	مجموع ساعت آموزش برنامه‌ریزی‌ شده در برنامه فصلی یا سالانه آموزش. این مقدار معمولاً توسط واحد برنامه‌ریزی یا خود رئیس فنی تعیین می ‌شه (مثلاً 1 ساعت به‌ازای هر نفر در هر ماه).</t>
  </si>
  <si>
    <r>
      <t xml:space="preserve">	در خصوص شاخص‌های کلیدی عملکرد (KPIs) که به‌صورت مجزا برای رئیس واحد برق و ابزار دقیق تعریف شده‌اند و ماهیت پروژه‌محور دارند، پیشنهاد می‌گردد این شاخص‌ها به‌صورت کلی‌تر و در قالب یک شاخص تجمیعی بررسی شوند.
شاخص‌های فعلی به شرح زیر هستند::
	واحد برق و ابزاردقیق
	</t>
    </r>
    <r>
      <rPr>
        <sz val="11"/>
        <color theme="1"/>
        <rFont val="Times New Roman"/>
        <family val="1"/>
      </rPr>
      <t>Preparation and Archiving of Updated Electrical Panel Drawings by End of Q1
	Progress of Generator Construction Project (Contract Finalization)
	Follow-up on Electrical Projects (Electrical Material Supply)</t>
    </r>
    <r>
      <rPr>
        <sz val="11"/>
        <color theme="1"/>
        <rFont val="B Nazanin"/>
        <charset val="178"/>
      </rPr>
      <t xml:space="preserve">
با توجه به اینکه این شاخص ‌ها از نوع پروژه‌ای و موردی هستند، تعریف آن ‌ها به ‌صورت جداگانه در قالب KPI ممکن است منجر به پراکندگی و دشواری در پایش کلی عملکرد واحدهای فنی گردد.
پیشنهاد:
به‌جای شاخص ‌های فوق، یک شاخص کلی با عنوان "نرخ تکمیل پروژه‌ها (Project Completion Rate)" تعریف شود تا از طریق آن بتوان تمام پروژه‌های مربوط به واحدهای مختلف را به ‌صورت متمرکز و قابل سنجش ارزیابی و پیگیری نمود. این روش امکان کنترل، مقایسه و تحلیل بهتر عملکرد واحدهای فنی را فراهم می ‌سازد و تارگت آن جهت هدف گذاری اصولی 90 درصد باشد و پس از پایش چندماهه، مطابق با نیاز مجموعه تارگت افزایش یابد.
فرمول محاسبه آن به شرح زیر می باشد:
Project Completion Rate (%)=Number of Completed Projects⁄(Total Number of Planned Projects)*100	
Number of Completed Projects	تعداد پروژه‌هایی که در بازه زمانی مشخص (مثلاً فصل) با موفقیت و طبق برنامه تکمیل شده‌اند.
Total Number of Planned Projects	کل تعداد پروژه‌هایی که برای آن بازه زمانی برنامه‌ریزی شده‌اند.</t>
    </r>
  </si>
  <si>
    <t>“This indicator in maintenance is referred to as the Maintenance Responsiveness Rate, and it is worth noting that, according to global benchmarks, the target should be set at 95%.”</t>
  </si>
  <si>
    <t>"This KPI has not been clearly defined, and setting a target of 100% is entirely inappropriate, as it is unachievable. It is recommended to replace it with the Maintenance Cost Reduction indicator, with a downward trend as the target. This KPI should be monitored over a three-month period, and if a 5% reduction is achieved compared to previous months, the respective unit should be awarded the relevant score. The calculation formula is as follows:
Maintenance Cost Reduction (%) = ((Previous Month Maintenance Cost – Current Month Maintenance Cost) / Previous Month Maintenance Cost) × 100"</t>
  </si>
  <si>
    <t>"This KPI has been correctly defined, and its target has also been appropriately set. It was included in the KPI file previously submitted by me."</t>
  </si>
  <si>
    <t>"This KPI has been correctly defined, and its target is also appropriately set. It was included in the KPI file previously submitted by me under the title 'Rework Rate.' This indicator is considered specifically for downtime events. However, its calculation formula should be revised as follows:
Rework Rate (%) = (Number of Repeat Repairs / Total Repairs) × 100"</t>
  </si>
  <si>
    <t>"The definition of this KPI contradicts the main characteristics of a key performance indicator. This KPI is not relevant to the heads of technical departments and should instead be assigned to the Maintenance Planning Unit. It is recommended to replace this KPI with the Maintenance Report Quality (MRQ) indicator, setting a target of 90%.
This indicator measures how complete, accurate, analyzable, and standardized the reports submitted by the maintenance unit are. Its focus is on the quality of documentation of performed activities.
Common criteria for evaluating MRQ include:
Completeness of the report (all fields such as date, start/end time, used parts, manpower, failure cause, etc. are filled out)
Technical accuracy of information (correct root cause analysis, detailed description of activities, preventive actions, etc.)
Traceability and analyzability (the ability to analyze data for improving planning and reducing failures)
The formula for this indicator is:
MRQ = \frac{\text{Number of reports meeting quality standards}}{\text{Total number of maintenance reports}} \times 100
According to ISO 14224 and EN 15341, the quality of maintenance data (including reports) is recognized as a key factor in analyzing reliability, maintainability, and improving equipment performance.
This indicator is generally classified as a Process Indicator."</t>
  </si>
  <si>
    <t>"Regarding indicators such as the Total Performance Management (TPM) system and the 5S Documentation Monthly Report, respectfully, I would like to point out that although these are important from a cultural and systemic perspective, they are not necessarily considered Key Performance Indicators (KPIs) in the technical and maintenance fields.
The purpose of designing technical KPIs is to quantitatively and accurately measure the operational performance of units related to maintenance, repairs, and technical support, enabling comparison, analysis, and effective decision-making to improve performance.
Therefore, indicators like TPM and 5S, which mainly reflect the overall status of organizational discipline, orderliness, and culture, are recommended to be considered separately in systemic evaluations or productivity improvement programs and should not be included in the list of technical KPIs. Accordingly, it is requested that these indicators be removed."</t>
  </si>
  <si>
    <t>Regarding the KPIs defined separately for the Head of Electrical and Instrumentation Unit, which are project-based in nature, it is recommended that these KPIs be reviewed more comprehensively as a consolidated indicator.
The current KPIs are as follows:
Preparation and Archiving of Updated Electrical Panel Drawings by End of Q1
Progress of Generator Construction Project (Contract Finalization)
Follow-up on Electrical Projects (Electrical Material Supply)
Since these KPIs are project-specific and task-oriented, defining them individually as separate KPIs may lead to fragmentation and difficulties in monitoring the overall performance of technical units.
Recommendation:
Instead of the above KPIs, define a general indicator called "Project Completion Rate" to centrally evaluate and track all projects related to various units in a measurable way. This approach enables better control, comparison, and analysis of the technical units’ performance. The target should be set initially at 90%, and after monitoring over a few months, it can be increased according to the organization's needs.
The formula for calculation is as follows:
Project Completion Rate (%)=Number of Completed Projects/Total Number of Planned Projects×100
Number of Completed Projects: The number of projects successfully completed within a specified period (e.g., a quarter) according to the plan.
Total Number of Planned Projects: The total number of projects planned for that period.</t>
  </si>
  <si>
    <t xml:space="preserve">Upon reviewing this indicator from the perspective of the fundamental characteristics of effective Key Performance Indicators (KPIs), it becomes clear that this indicator fundamentally conflicts with the criteria of an effective KPI and lacks objective and continuous measurability. The main reasons for recommending the removal of this indicator are as follows:
Lack of clarity in the indicator’s objective:
This phrase mostly describes an activity or execution phase of an infrastructure project and does not define a clear and evaluable performance goal.
Absence of a numerical basis for measurement:
This indicator lacks a clear numerical formula for evaluation, measurement, and comparison of performance over time. Consequently, it is not possible to quantitatively analyze the performance of individuals or units based on it.
High dependency on development projects and managerial decisions:
This indicator measures more the progress of systematic projects, such as CMMS implementation, and is dependent on high-level decisions rather than individual or team operational performance.
Conclusion:
Given the lack of key features of an effective KPI, including measurability, repeatability, goal-orientation, and direct relation to individual performance, it is recommended that this indicator be removed from the evaluation KPI list.
</t>
  </si>
  <si>
    <t>Training on Maintenance Process
This indicator is correctly defined; however, there is ambiguity regarding its measurement method. It is recommended to define the following precise formula for it, with a target of 90% to ensure achievability. The target can be increased in future periods.
Training Achievement Rate (%) = (Total training hours delivered to maintenance staff) / (Total planned training hours) × 100
Total training hours delivered:The total number of training hours provided to maintenance staff by the technical manager or under their coordination.
Total planned training hours:The total number of training hours planned in the seasonal or annual training program. This value is usually determined by the planning unit or the technical manager themselves (e.g., 1 hour per person per month).</t>
  </si>
  <si>
    <t>5595</t>
  </si>
  <si>
    <t>Breakdown Reduction</t>
  </si>
  <si>
    <t xml:space="preserve">کاهش خرابی‌های اضطراری </t>
  </si>
  <si>
    <t>Breakdown Reduction=(Emergency Breakdowns This Month-Emergency Breakdowns Last Month)/Emergency Breakdowns Last Month</t>
  </si>
  <si>
    <t>حداقل 10% کاهش نسبت به ماه گذشته</t>
  </si>
  <si>
    <t>Q2</t>
  </si>
  <si>
    <t>5596</t>
  </si>
  <si>
    <t>Tech- Electrical and Precision Instrumentation SSV-Phase 2</t>
  </si>
  <si>
    <t>Participation Rate</t>
  </si>
  <si>
    <t xml:space="preserve">نرخ مشارکت در جلسات و ارائه پیشنهادات بهبود </t>
  </si>
  <si>
    <t>Participation Rate=Number of Suggestions Given/Total Number of Meetings*100</t>
  </si>
  <si>
    <r>
      <t xml:space="preserve">در خصوص شاخص‌های کلیدی عملکرد (KPIs) که به‌صورت مجزا برای رئیس واحد برق و ابزار دقیق تعریف شده‌اند و ماهیت پروژه‌محور دارند، پیشنهاد می‌گردد این شاخص‌ها به‌صورت کلی‌تر و در قالب یک شاخص تجمیعی بررسی شوند.
شاخص‌های فعلی به شرح زیر هستند::
	واحد تاسیسات
	</t>
    </r>
    <r>
      <rPr>
        <sz val="11"/>
        <color theme="1"/>
        <rFont val="Times New Roman"/>
        <family val="1"/>
      </rPr>
      <t>Design and Fabrication or Optimization of at Least One
Equipment per Quarter with Performance
Layout of Utilities machinery and process flow
Monitoring of the utility’s efficiency and quality
Report on Utilities work development project progress</t>
    </r>
    <r>
      <rPr>
        <sz val="11"/>
        <color theme="1"/>
        <rFont val="B Nazanin"/>
        <charset val="178"/>
      </rPr>
      <t xml:space="preserve">
با توجه به اینکه این شاخص ‌ها از نوع پروژه‌ای و موردی هستند، تعریف آن ‌ها به ‌صورت جداگانه در قالب KPI ممکن است منجر به پراکندگی و دشواری در پایش کلی عملکرد واحدهای فنی گردد.
پیشنهاد:
به‌جای شاخص ‌های فوق، یک شاخص کلی با عنوان "نرخ تکمیل پروژه‌ها (Project Completion Rate)" تعریف شود تا از طریق آن بتوان تمام پروژه‌های مربوط به واحدهای مختلف را به ‌صورت متمرکز و قابل سنجش ارزیابی و پیگیری نمود. این روش امکان کنترل، مقایسه و تحلیل بهتر عملکرد واحدهای فنی را فراهم می ‌سازد و تارگت آن جهت هدف گذاری اصولی 90 درصد باشد و پس از پایش چندماهه، مطابق با نیاز مجموعه تارگت افزایش یابد.
فرمول محاسبه آن به شرح زیر می باشد:
Project Completion Rate (%)=Number of Completed Projects⁄(Total Number of Planned Projects)*100	
Number of Completed Projects	تعداد پروژه‌هایی که در بازه زمانی مشخص (مثلاً فصل) با موفقیت و طبق برنامه تکمیل شده‌اند.
Total Number of Planned Projects	کل تعداد پروژه‌هایی که برای آن بازه زمانی برنامه‌ریزی شده‌اند</t>
    </r>
  </si>
  <si>
    <t>Regarding the Key Performance Indicators (KPIs) that have been defined separately for the Head of Utilities and are project-based in nature, it is recommended that these KPIs be reviewed in a more general form and combined into a consolidated indicator.
The current KPIs are as follows:
Utilities Department:
Design and fabrication or optimization of at least one equipment per quarter with performance improvement
Layout of utilities machinery and process flow
Monitoring of the utility’s efficiency and quality
Report on utilities work development project progress
Since these KPIs are project-specific and case-based, defining them individually as separate KPIs may lead to fragmentation and make overall performance monitoring of technical units more difficult.
Recommendation:
Instead of the above individual KPIs, a general KPI titled "Project Completion Rate" should be defined. This will allow for centralized and measurable evaluation and tracking of all projects related to various units. This approach enables better control, comparison, and analysis of the performance of technical departments. The proposed target for this KPI is 90%, which can be gradually increased based on multi-month performance monitoring and organizational needs.
Formula:
Project Completion Rate (%) = (Number of Completed Projects / Total Number of Planned Projects) × 100
Number of Completed Projects:The number of projects successfully completed within a defined timeframe (e.g., quarterly).
Total Number of Planned Projects: The total number of projects that were planned for that timeframe.</t>
  </si>
  <si>
    <t>"Regarding indicators such as the Total Performance Management (TPM) system and the 5S Documentation Monthly Report, respectfully, I would like to point out that although these are important from a cultural and systemic perspective, they are not necessarily considered Key Performance Indicators (KPIs) in the technical and maintenance fields.
The purpose of designing technical KPIs is to quantitatively and accurately measure the operational performance of units related to maintenance, repairs, and technical support, enabling comparison, analysis, and effective decision-making to improve performance.
Therefore, indicators like TPM and 5S, which mainly reflect the overall status of organizational discipline, orderliness, and culture, are recommended to be considered separately in systemic evaluations or productivity improvement programs and should not be included in the list of technical KPIs. Accordingly, it is requested that these indicators be removed."</t>
  </si>
  <si>
    <t xml:space="preserve">پیشنهاد افزودن شاخص‌های تکمیلی برای روسای واحدهای فنی.
با توجه به نقش مؤثر روسای واحدهای برق و ابزار دقیق، مکانیک، و تأسیسات در بهبود عملکرد نگهداری و تعمیرات، پیشنهاد می‌گردد شاخص‌های عملکردی زیر نیز برای این افراد در نظر گرفته شود تا ارزیابی کامل‌تری از نقش مدیریتی و اثربخشی اقدامات ایشان حاصل گردد:
Suggestion for Adding Complementary KPIs for Heads of Technical Units
Given the significant role of the heads of Electrical and Instrumentation, Mechanical, and Utilities units in improving maintenance performance, it is proposed that the following performance indicators also be considered for these individuals. This will allow for a more comprehensive assessment of their managerial roles and the effectiveness of their actions:
</t>
  </si>
  <si>
    <t>MTTR Performance</t>
  </si>
  <si>
    <t xml:space="preserve">میانگین زمان تعمیر (MTTR) نسبت به استاندارد </t>
  </si>
  <si>
    <t>MTTR Performance=(Current MTTR-Previous Month MTTR)/Previous Month MTTR*100</t>
  </si>
  <si>
    <t>نزولی</t>
  </si>
  <si>
    <t>MTBF Improvement</t>
  </si>
  <si>
    <t xml:space="preserve">افزایش فاصله بین خرابی‌ها (MTBF) </t>
  </si>
  <si>
    <t>MTBF Improvement=(Current MTBF-Previous Month MTBF)/Previous Month MTBF*100</t>
  </si>
  <si>
    <t>هدف افزایش حداقل 5%</t>
  </si>
  <si>
    <t>Q3</t>
  </si>
  <si>
    <t xml:space="preserve">	در خصوص شاخص‌های کلیدی عملکرد (KPIs) که به‌صورت مجزا برای رئیس واحد مکانیک  تعریف شده‌اند و ماهیت پروژه‌محور دارند، پیشنهاد می‌گردد این شاخص‌ها به‌صورت کلی‌تر و در قالب یک شاخص تجمیعی بررسی شوند.
شاخص‌های فعلی به شرح زیر هستند::
	واحد مکانیک
	 Machine Maintenance Audit Report &amp; Corrective Action (Weekly &amp; Monthly)
Report on Phase1 Machinery work development project progress	
با توجه به اینکه این شاخص ‌ها از نوع پروژه‌ای و موردی هستند، تعریف آن ‌ها به ‌صورت جداگانه در قالب KPI ممکن است منجر به پراکندگی و دشواری در پایش کلی عملکرد واحدهای فنی گردد.
پیشنهاد:
به‌جای شاخص ‌های فوق، یک شاخص کلی با عنوان "نرخ تکمیل پروژه‌ها (Project Completion Rate)" تعریف شود تا از طریق آن بتوان تمام پروژه‌های مربوط به واحدهای مختلف را به ‌صورت متمرکز و قابل سنجش ارزیابی و پیگیری نمود. این روش امکان کنترل، مقایسه و تحلیل بهتر عملکرد واحدهای فنی را فراهم می ‌سازد و تارگت آن جهت هدف گذاری اصولی 90 درصد باشد و پس از پایش چندماهه، مطابق با نیاز مجموعه تارگت افزایش یابد.
فرمول محاسبه آن به شرح زیر می باشد:
Project Completion Rate (%)=Number of Completed Projects⁄(Total Number of Planned Projects)*100	
Number of Completed Projects	تعداد پروژه‌هایی که در بازه زمانی مشخص (مثلاً فصل) با موفقیت و طبق برنامه تکمیل شده‌اند.
Total Number of Planned Projects	کل تعداد پروژه‌هایی که برای آن بازه زمانی برنامه‌ریزی شده‌اند.</t>
  </si>
  <si>
    <t>Regarding the Key Performance Indicators (KPIs) that have been individually defined for the Head of the Mechanical Unit and are project-oriented in nature, it is recommended that these indicators be reviewed in a more general and consolidated format.
The current KPIs are as follows:
Mechanical Unit:
Machine Maintenance Audit Report &amp; Corrective Action (Weekly &amp; Monthly)
Report on Phase 1 Machinery Work Development Project ProgressSince these KPIs are project-specific and task-oriented, defining them individually as separate KPIs may lead to fragmentation and difficulties in monitoring the overall performance of technical units.
Recommendation:
Instead of the above KPIs, define a general indicator called "Project Completion Rate" to centrally evaluate and track all projects related to various units in a measurable way. This approach enables better control, comparison, and analysis of the technical units’ performance. The target should be set initially at 90%, and after monitoring over a few months, it can be increased according to the organization's needs.
The formula for calculation is as follows:
Project Completion Rate (%)=Number of Completed Projects/Total Number of Planned Projects×100
Number of Completed Projects: The number of projects successfully completed within a specified period (e.g., a quarter) according to the plan.
Total Number of Planned Projects: The total number of projects planned for that period.</t>
  </si>
  <si>
    <t>با توجه به اینکه این شاخص مربوط به واحدهای اجرایی است و واحد   Workshop  به‌عنوان واحد پشتیبان واحدهای اجرایی عمل می‌کند، این شاخص برای واحد Workshop معنا و کاربردی ندارد. لذا پیشنهاد می‌شود این شاخص از مجموعه شاخص‌های واحد Workshop حذف گردد.</t>
  </si>
  <si>
    <t>Since this indicator pertains to operational units, and the Workshop unit functions as a support unit for those operational departments, this KPI is not meaningful or applicable for the Workshop unit. Therefore, it is recommended that this indicator be removed from the set of KPIs assigned to the Workshop unit.</t>
  </si>
  <si>
    <t xml:space="preserve">	در خصوص شاخص‌های کلیدی عملکرد (KPIs) که به‌صورت مجزا برای رئیس واحدWorkshop  تعریف شده‌اند و ماهیت پروژه‌محور دارند، پیشنهاد می‌گردد این شاخص‌ها به‌صورت کلی‌تر و در قالب یک شاخص تجمیعی بررسی شوند.
شاخص‌های فعلی به شرح زیر هستند::
	واحد Workshop
	 Machine Maintenance Audit Report &amp; Corrective Action (Weekly &amp; Monthly)
Report on Phase1 Machinery work development project progress	
با توجه به اینکه این شاخص ‌ها از نوع پروژه‌ای و موردی هستند، تعریف آن ‌ها به ‌صورت جداگانه در قالب KPI ممکن است منجر به پراکندگی و دشواری در پایش کلی عملکرد واحدهای فنی گردد.
پیشنهاد:
به‌جای شاخص ‌های فوق، یک شاخص کلی با عنوان "نرخ تکمیل پروژه‌ها (Project Completion Rate)" تعریف شود تا از طریق آن بتوان تمام پروژه‌های مربوط به واحدهای مختلف را به ‌صورت متمرکز و قابل سنجش ارزیابی و پیگیری نمود. این روش امکان کنترل، مقایسه و تحلیل بهتر عملکرد واحدهای فنی را فراهم می ‌سازد و تارگت آن جهت هدف گذاری اصولی 90 درصد باشد و پس از پایش چندماهه، مطابق با نیاز مجموعه تارگت افزایش یابد.
فرمول محاسبه آن به شرح زیر می باشد:
Project Completion Rate (%)=Number of Completed Projects⁄(Total Number of Planned Projects)*100	
Number of Completed Projects	تعداد پروژه‌هایی که در بازه زمانی مشخص (مثلاً فصل) با موفقیت و طبق برنامه تکمیل شده‌اند.
Total Number of Planned Projects	کل تعداد پروژه‌هایی که برای آن بازه زمانی برنامه‌ریزی شده‌اند.</t>
  </si>
  <si>
    <t>Regarding the Key Performance Indicators (KPIs) that have been individually defined for the Head of the Workshop Unit and are project-oriented in nature, it is recommended that these indicators be reviewed in a more general and consolidated format.
The current KPIs are as follows:
Workshop Unit:
Machine Maintenance Audit Report &amp; Corrective Action (Weekly &amp; Monthly)
Report on Phase 1 Machinery Work Development Project ProgressSince these KPIs are project-specific and task-oriented, defining them individually as separate KPIs may lead to fragmentation and difficulties in monitoring the overall performance of technical units.
Recommendation:
Instead of the above KPIs, define a general indicator called "Project Completion Rate" to centrally evaluate and track all projects related to various units in a measurable way. This approach enables better control, comparison, and analysis of the technical units’ performance. The target should be set initially at 90%, and after monitoring over a few months, it can be increased according to the organization's needs.
The formula for calculation is as follows:
Project Completion Rate (%)=Number of Completed Projects/Total Number of Planned Projects×100
Number of Completed Projects: The number of projects successfully completed within a specified period (e.g., a quarter) according to the plan.
Total Number of Planned Projects: The total number of projects planned for that period.</t>
  </si>
  <si>
    <t xml:space="preserve">	در خصوص شاخص‌های کلیدی عملکرد (KPIs) که به‌صورت مجزا برای رئیس واحدMetal Works  تعریف شده‌اند و ماهیت پروژه‌محور دارند، پیشنهاد می‌گردد این شاخص‌ها به‌صورت کلی‌تر و در قالب یک شاخص تجمیعی بررسی شوند.
شاخص‌های فعلی به شرح زیر هستند::
	واحد Metal Works
Design and Fabrication or Optimization of at Least One Equipment per Quarter with Performance Report
Monitoring of the cooling project for the impregnated paper warehouse
Report on Metal work development project progress	
با توجه به اینکه این شاخص ‌ها از نوع پروژه‌ای و موردی هستند، تعریف آن ‌ها به ‌صورت جداگانه در قالب KPI ممکن است منجر به پراکندگی و دشواری در پایش کلی عملکرد واحدهای فنی گردد.
پیشنهاد:
به‌جای شاخص ‌های فوق، یک شاخص کلی با عنوان "نرخ تکمیل پروژه‌ها (Project Completion Rate)" تعریف شود تا از طریق آن بتوان تمام پروژه‌های مربوط به واحدهای مختلف را به ‌صورت متمرکز و قابل سنجش ارزیابی و پیگیری نمود. این روش امکان کنترل، مقایسه و تحلیل بهتر عملکرد واحدهای فنی را فراهم می ‌سازد و تارگت آن جهت هدف گذاری اصولی 90 درصد باشد و پس از پایش چندماهه، مطابق با نیاز مجموعه تارگت افزایش یابد.
فرمول محاسبه آن به شرح زیر می باشد:
Project Completion Rate (%)=Number of Completed Projects⁄(Total Number of Planned Projects)*100	
Number of Completed Projects	تعداد پروژه‌هایی که در بازه زمانی مشخص (مثلاً فصل) با موفقیت و طبق برنامه تکمیل شده‌اند.
Total Number of Planned Projects	کل تعداد پروژه‌هایی که برای آن بازه زمانی برنامه‌ریزی شده‌اند.</t>
  </si>
  <si>
    <t>Regarding the Key Performance Indicators (KPIs) defined separately for the Head of the Metal Works Unit, which are project-based in nature, it is recommended that these KPIs be reviewed in a more consolidated manner and evaluated through an aggregated indicator.
The current indicators are as follows:
Metal Works Unit:
Machine Maintenance Audit Report &amp; Corrective Action (Weekly &amp; Monthly)
Report on Phase 1 Machinery Work Development Project ProgressSince these KPIs are project-specific and task-oriented, defining them individually as separate KPIs may lead to fragmentation and difficulties in monitoring the overall performance of technical units.
Recommendation:
Instead of the above KPIs, define a general indicator called "Project Completion Rate" to centrally evaluate and track all projects related to various units in a measurable way. This approach enables better control, comparison, and analysis of the technical units’ performance. The target should be set initially at 90%, and after monitoring over a few months, it can be increased according to the organization's needs.
The formula for calculation is as follows:
Project Completion Rate (%)=Number of Completed Projects/Total Number of Planned Projects×100
Number of Completed Projects: The number of projects successfully completed within a specified period (e.g., a quarter) according to the plan.
Total Number of Planned Projects: The total number of projects planned for that period.</t>
  </si>
  <si>
    <t>با توجه به اینکه این شاخص مربوط به واحدهای اجرایی است و واحد   Metal Works  به‌عنوان واحد پشتیبان واحدهای اجرایی عمل می‌کند، این شاخص برای واحد Metal Works معنا و کاربردی ندارد. لذا پیشنهاد می‌شود این شاخص از مجموعه شاخص‌های واحد Metal Works حذف گردد.</t>
  </si>
  <si>
    <t>Since this indicator pertains to operational units, and the Metal Works unit functions as a support unit for those operational departments, this KPI is not meaningful or applicable for the Metal Works unit. Therefore, it is recommended that this indicator be removed from the set of KPIs assigned to the Metal Works unit.</t>
  </si>
  <si>
    <t>با توجه به وظایف و ماهیت استراتژیک واحد برنامه‌ریزی نگهداری و تعمیرات، شاخص‌های عملکردی (KPIs) فعلی که عمدتاً بر فعالیت ‌های اجرایی تمرکز دارند، به طور کامل منعکس‌ کننده کارایی و اثربخشی این واحد نمی ‌باشند. در راستای همسویی هرچه بیشتر شاخص‌های عملکردی با اهداف و مأموریت ‌های اصلی واحد برنامه‌ریزی و ارزیابی دقیق ‌تر عملکرد، پیشنهاد می‌ گردد شاخص‌های ذیل به عنوان KPIs اصلی برای واحد برنامه‌ریزی نگهداری و تعمیرات مورد تصویب و اجرا قرار گیرند:
شاخص‌های عملکردی (KPIs) پیشنهادی برای واحد برنامه‌ریزی نگهداری و تعمیرات:
Given the strategic nature and responsibilities of the Maintenance Planning Unit, the current performance indicators (KPIs), which primarily focus on operational activities, do not fully reflect the unit’s efficiency and effectiveness.
To better align the KPIs with the core objectives and mission of the Planning Unit and to enable a more accurate evaluation of its performance, it is recommended that the following be adopted and implemented as the main KPIs for the Maintenance Planning Unit:
Proposed Performance Indicators (KPIs) for the Maintenance Planning Unit:</t>
  </si>
  <si>
    <t>Maintenance Needs Prediction Accuracy</t>
  </si>
  <si>
    <t>دقت در پیش‌بینی نیازهای نگهداری و تعمیرات</t>
  </si>
  <si>
    <t>ارزیابی دقت پیش‌بینی نیازهای نگهداری و تعمیرات برای ماشین‌آلات.</t>
  </si>
  <si>
    <t>Reduction of Program Delays</t>
  </si>
  <si>
    <t>کاهش تاخیر در اجرای برنامه‌ها</t>
  </si>
  <si>
    <t>درصد کاهش تاخیر در اجرای برنامه‌های نگهداری و تعمیرات.</t>
  </si>
  <si>
    <t>10% کاهش</t>
  </si>
  <si>
    <t>Budget vs Actual Repair Costs</t>
  </si>
  <si>
    <t>مقایسه بودجه تعمیرات با هزینه واقعی</t>
  </si>
  <si>
    <t>مقایسه هزینه واقعی تعمیرات با بودجه تعیین شده.</t>
  </si>
  <si>
    <t>Quality of Reporting and Internal Communication</t>
  </si>
  <si>
    <t>کیفیت گزارش‌دهی و ارتباطات داخلی</t>
  </si>
  <si>
    <t>ارزیابی دقت و کیفیت گزارش‌های داخلی و ارتباطات.</t>
  </si>
  <si>
    <t>Compliance with Safety Standards in Planning</t>
  </si>
  <si>
    <t>رعایت استانداردهای ایمنی در برنامه‌ریزی تعمیرات</t>
  </si>
  <si>
    <t>ارزیابی میزان رعایت استانداردهای ایمنی در هنگام برنامه‌ریزی تعمیرات.</t>
  </si>
  <si>
    <t>Completion Rate of Procedures</t>
  </si>
  <si>
    <t>نرخ تکمیل دستورالعمل‌ها</t>
  </si>
  <si>
    <t>درصد تکمیل دستورالعمل‌های نگهداری و تعمیرات.</t>
  </si>
  <si>
    <t>Technical Documentation Archiving</t>
  </si>
  <si>
    <t>آرشیو مستندات فنی</t>
  </si>
  <si>
    <t>ارزیابی وضعیت بایگانی مستندات فنی.</t>
  </si>
  <si>
    <t>MTBF (Mean Time Between Failures)</t>
  </si>
  <si>
    <t>MTBF (میانگین زمان بین خرابی‌ها)</t>
  </si>
  <si>
    <t>میانگین زمان بین خرابی‌های ماشین‌آلات.</t>
  </si>
  <si>
    <t>افزایش 10%</t>
  </si>
  <si>
    <t>Completion Rate of Machine Projects</t>
  </si>
  <si>
    <t>نرخ تکمیل پروژه‌ها</t>
  </si>
  <si>
    <t>درصد تکمیل پروژه‌ها در زمان و بودجه پیش‌بینی شده.</t>
  </si>
  <si>
    <t>Q4</t>
  </si>
  <si>
    <t>شاخص های کلیدی عملکرد تعریف شه برای واحد دفتر فنی مرتبط با شرح وظایف این واحد  نبوده است پس در راستای بهبود فرآیند ارزیابی عملکرد و تحقق اهداف استراتژیک واحد دفتر فنی (طراحی و مهندسی)، بدین‌وسیله شاخص‌های کلیدی عملکرد (KPI) پیشنهادی به شرح زیر جهت استحضار و تصویب ایفاد می‌گردد:
The currently defined Key Performance Indicators (KPIs) for the Technical Office Unit do not align with the actual responsibilities of this unit.
Therefore, in order to improve the performance evaluation process and ensure the achievement of the strategic objectives of the Technical Office (Design and Engineering), the proposed Key Performance Indicators (KPIs) are hereby submitted for your review and approval as follows:</t>
  </si>
  <si>
    <t>Drawing Completion Rate</t>
  </si>
  <si>
    <t>نرخ تکمیل نقشه‌ها در زمان مقرر</t>
  </si>
  <si>
    <t>درصد نقشه‌های طراحی یا اصلاح‌شده که در موعد مقرر تحویل داده شده‌اند</t>
  </si>
  <si>
    <t>≥ 95%</t>
  </si>
  <si>
    <t>Drawing Accuracy Rate</t>
  </si>
  <si>
    <t>درصد صحت نقشه‌ها</t>
  </si>
  <si>
    <t>درصد نقشه‌هایی که بدون نیاز به اصلاح توسط تولید یا نگهداری تأیید شده‌اند</t>
  </si>
  <si>
    <t>≥ 98%</t>
  </si>
  <si>
    <t>Design Change Response Time</t>
  </si>
  <si>
    <t>میانگین زمان پاسخ به درخواست تغییرات طراحی</t>
  </si>
  <si>
    <t>میانگین زمان پاسخ‌گویی به تغییرات ارسالی از واحدهای دیگر</t>
  </si>
  <si>
    <t>≤ 3 days</t>
  </si>
  <si>
    <t>BOM Accuracy</t>
  </si>
  <si>
    <t>دقت در تهیه لیست اقلام (BOM)</t>
  </si>
  <si>
    <t>درصد BOMهایی که بدون خطا تحویل داده شده‌اند</t>
  </si>
  <si>
    <t>Technical Documentation Update Rate</t>
  </si>
  <si>
    <t>نرخ به‌روزرسانی مستندات فنی</t>
  </si>
  <si>
    <t>درصد به‌روزرسانی‌هایی که طبق برنامه زمان‌بندی‌شده انجام شده‌اند</t>
  </si>
  <si>
    <t>≥ 90%</t>
  </si>
  <si>
    <t>Project Completion Rate</t>
  </si>
  <si>
    <t>نرخ تکمیل پروژه‌های مهندسی</t>
  </si>
  <si>
    <t>درصد پروژه‌هایی که طبق برنامه تحویل شده‌اند</t>
  </si>
  <si>
    <t>Innovation &amp; Cooperation</t>
  </si>
  <si>
    <t>Innovation Index</t>
  </si>
  <si>
    <t>شاخص نوآوری</t>
  </si>
  <si>
    <t>تعداد جلسات یا تعاملات ثبت‌شده با سایر واحدها (PM، تولید، انبار...)</t>
  </si>
  <si>
    <t>≥ 2 per quarter</t>
  </si>
  <si>
    <t>شاخص‌های تعیین‌شده برای واحد ماشین‌آلات با ویژگی‌های اصلی شاخص‌های کلیدی عملکرد (KPI) مغایرت داشته و متناسب با شرح وظایف این واحد تدوین نشده‌اند.
بر همین اساس، ضروری است این شاخص‌ها بازنگری شده و مطابق با شاخص‌های استاندارد و وظایف تخصصی واحد ماشین‌آلات، به شرح زیر اصلاح گردند:
The KPIs defined for the Machinery Unit are not aligned with the fundamental characteristics of effective Key Performance Indicators (KPIs) and have not been developed in accordance with the responsibilities of this unit.
Therefore, it is essential to revise these indicators and replace them with standard KPIs that accurately reflect the core functions and duties of the Machinery Unit, as outlined below:</t>
  </si>
  <si>
    <t>Equipment Availability Rate</t>
  </si>
  <si>
    <t>نرخ آماده‌به‌کاری ماشین‌آلات</t>
  </si>
  <si>
    <t>درصد زمانی که ماشین‌آلات در دسترس و قابل بهره‌برداری هستند</t>
  </si>
  <si>
    <t>Preventive Maintenance Compliance</t>
  </si>
  <si>
    <t>درصد اجرای PM ماشین‌آلات</t>
  </si>
  <si>
    <t>نسبت تعمیرات پیشگیرانه انجام‌شده به کل برنامه‌ریزی‌شده</t>
  </si>
  <si>
    <t>Emergency Breakdown Rate</t>
  </si>
  <si>
    <t>نرخ خرابی‌های اضطراری ماشین‌آلات</t>
  </si>
  <si>
    <t>نسبت خرابی‌های اضطراری به کل خرابی‌ها</t>
  </si>
  <si>
    <t>≤ 10%</t>
  </si>
  <si>
    <t>Maintenance Budget Deviation</t>
  </si>
  <si>
    <t>انحراف هزینه از بودجه ماشین‌آلات</t>
  </si>
  <si>
    <t>اختلاف هزینه واقعی نگهداری و تعمیر با بودجه مصوب</t>
  </si>
  <si>
    <t>≤ ±5%</t>
  </si>
  <si>
    <t>Maintenance Report Quality-MRQ</t>
  </si>
  <si>
    <t xml:space="preserve"> کیفیت گزارش‌های نگهداری و تعمیرات</t>
  </si>
  <si>
    <t>MRQ=Number of reports meeting quality standards/Total number of maintenance reports</t>
  </si>
  <si>
    <t>Safety Incident Rate</t>
  </si>
  <si>
    <t>نرخ حوادث ایمنی</t>
  </si>
  <si>
    <t>تعداد حوادث یا شبه‌حادثه مرتبط با ماشین‌آلات در یک دوره زمانی</t>
  </si>
  <si>
    <t>صفر حادثه</t>
  </si>
  <si>
    <t>Spare Parts Utilization Optimization</t>
  </si>
  <si>
    <t>بهینه‌سازی مصرف قطعات یدکی</t>
  </si>
  <si>
    <t>درصد استفاده از قطعات موجود در انبار نسبت به خریدهای جدید</t>
  </si>
  <si>
    <t>≥ 70%</t>
  </si>
  <si>
    <t>Mean Time Between Failures (MTBF)</t>
  </si>
  <si>
    <t>میانگین زمان بین دو خرابی (MTBF)</t>
  </si>
  <si>
    <t>مدت زمان میانگین بین دو خرابی متوالی در ماشین‌آلات</t>
  </si>
  <si>
    <t>روند صعودی ≥ 300h</t>
  </si>
  <si>
    <t>Mean Time To Repair (MTTR)</t>
  </si>
  <si>
    <t>میانگین زمان تعمیر ماشین‌آلات (MTTR)</t>
  </si>
  <si>
    <t>مدت زمان میانگین برای تعمیر ماشین‌آلات بعد از خرابی</t>
  </si>
  <si>
    <t>روند نزولی ≤ 2h</t>
  </si>
  <si>
    <t>Project Completion Rate (%)=Number of Completed Projects⁄(Total Number of Planned Projects)*100</t>
  </si>
  <si>
    <t>Reza Zallaghi</t>
  </si>
  <si>
    <t>این شاخص به‌درستی تعریف نشده است. پیشنهاد می‌گردد به‌جای آن، شاخص «بهینه‌سازی مصرف قطعات یدکی» با فرمول زیر مورد استفاده قرار گیرد. همچنین، با توجه به شرایط فعلی، تارگت اولیه این شاخص ۷۰٪ تعیین گردد و در KPI فصل دوم، متناسب با بهبود وضعیت، افزایش یابد.
همان‌طور که مستحضرید، KPI باید قابل دستیابی باشد؛ تعیین تارگت‌های غیرواقعی و دور از دسترس که در عمل محقق نمی‌شوند، اشتباه بوده و منجر به تضعیف فرآیند ارزیابی می‌گردد. بنابراین، لازم است هدف‌گذاری به‌صورت مرحله‌ای انجام شده و در چند گام به تارگت واقعی و نهایی برسیم.
Spare Parts Utilization (%) = (Number of Used Spare Parts from Inventory) / (Total Purchased Spare Parts) × 100
شایان ذکر است، محاسبه دقیق این شاخص زمانی امکان‌پذیر خواهد بود که قطعات یدکی مورد نیاز در انبار موجود باشد. در شرایط فعلی که انبار فاقد موجودی کافی است، طبیعتاً خریدهای انجام‌شده با هدف تکمیل موجودی اولیه بوده و نمی‌توان تحلیل دقیق و کاربردی بر اساس این شاخص ارائه داد.</t>
  </si>
  <si>
    <t>This KPI has not been properly defined. It is recommended to replace it with the “Spare Parts Utilization” indicator, using the following formula. Given the current circumstances, the initial target should be set at 70%, and adjusted upward in the second quarter's KPIs as conditions improve.
As you know, KPIs must be achievable; setting unrealistically high targets that cannot be met undermines the effectiveness of the evaluation process. Therefore, goal-setting should be done in phases, progressing step-by-step toward the final desired target.
Spare Parts Utilization (%) = (Number of Used Spare Parts from Inventory) / (Total Purchased Spare Parts) × 100
It is important to note that accurate calculation of this KPI is only feasible when the necessary spare parts are available in inventory. Currently, the warehouse lacks sufficient stock, so the recent purchases have primarily aimed to replenish inventory rather than reflect actual usage. As a result, meaningful analysis based on this KPI is not yet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</si>
</sst>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8"/>
      <color theme="1"/>
      <name val="Calibri"/>
      <family val="2"/>
      <scheme val="minor"/>
    </font>
    <font>
      <b/>
      <sz val="8"/>
      <color theme="0"/>
      <name val="Calibri"/>
      <family val="2"/>
      <scheme val="minor"/>
    </font>
    <font>
      <b/>
      <sz val="8"/>
      <color rgb="FF000000"/>
      <name val="Calibri"/>
      <family val="2"/>
      <scheme val="minor"/>
    </font>
    <font>
      <sz val="8"/>
      <color rgb="FF000000"/>
      <name val="Calibri"/>
      <family val="2"/>
      <scheme val="minor"/>
    </font>
    <font>
      <sz val="11"/>
      <color theme="1"/>
      <name val="B Nazanin"/>
      <charset val="178"/>
    </font>
    <font>
      <sz val="11"/>
      <color theme="1"/>
      <name val="Times New Roman"/>
      <family val="1"/>
    </font>
    <font>
      <sz val="8"/>
      <name val="B Nazanin"/>
      <charset val="178"/>
    </font>
    <font>
      <sz val="12"/>
      <name val="B Nazanin"/>
      <charset val="178"/>
    </font>
    <font>
      <sz val="12"/>
      <color theme="1"/>
      <name val="B Nazanin"/>
      <charset val="178"/>
    </font>
    <font>
      <sz val="8"/>
      <color theme="1"/>
      <name val="Times New Roman"/>
      <family val="1"/>
    </font>
    <font>
      <sz val="8"/>
      <name val="Times New Roman"/>
      <family val="1"/>
    </font>
    <font>
      <sz val="8"/>
      <color theme="1"/>
      <name val="B Nazanin"/>
      <charset val="178"/>
    </font>
    <font>
      <b/>
      <sz val="8"/>
      <color theme="0"/>
      <name val="B Nazanin"/>
      <charset val="178"/>
    </font>
  </fonts>
  <fills count="10">
    <fill>
      <patternFill patternType="none"/>
    </fill>
    <fill>
      <patternFill patternType="gray125"/>
    </fill>
    <fill>
      <patternFill patternType="solid">
        <fgColor theme="8" tint="0.39997558519241921"/>
        <bgColor indexed="64"/>
      </patternFill>
    </fill>
    <fill>
      <patternFill patternType="solid">
        <fgColor rgb="FFD9E7FD"/>
        <bgColor rgb="FFD9E7FD"/>
      </patternFill>
    </fill>
    <fill>
      <patternFill patternType="solid">
        <fgColor theme="0"/>
        <bgColor indexed="64"/>
      </patternFill>
    </fill>
    <fill>
      <patternFill patternType="solid">
        <fgColor theme="9" tint="0.79998168889431442"/>
        <bgColor indexed="64"/>
      </patternFill>
    </fill>
    <fill>
      <patternFill patternType="solid">
        <fgColor theme="8"/>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theme="8"/>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93">
    <xf numFmtId="0" fontId="0" fillId="0" borderId="0" xfId="0"/>
    <xf numFmtId="0" fontId="2" fillId="4" borderId="2" xfId="0" applyFont="1" applyFill="1" applyBorder="1" applyAlignment="1">
      <alignment horizontal="left" vertical="center" wrapText="1"/>
    </xf>
    <xf numFmtId="0" fontId="2" fillId="4" borderId="2" xfId="0" applyFont="1" applyFill="1" applyBorder="1" applyAlignment="1">
      <alignment horizontal="right" vertical="center" wrapText="1"/>
    </xf>
    <xf numFmtId="0" fontId="5" fillId="2" borderId="6" xfId="0" applyFont="1" applyFill="1" applyBorder="1" applyAlignment="1">
      <alignment horizontal="center" vertical="center"/>
    </xf>
    <xf numFmtId="0" fontId="5" fillId="2" borderId="1" xfId="0" applyFont="1" applyFill="1" applyBorder="1" applyAlignment="1">
      <alignment horizontal="center" vertical="center"/>
    </xf>
    <xf numFmtId="1" fontId="5" fillId="2" borderId="1" xfId="0" applyNumberFormat="1" applyFont="1" applyFill="1" applyBorder="1" applyAlignment="1">
      <alignment horizontal="center" vertical="center"/>
    </xf>
    <xf numFmtId="9" fontId="5" fillId="2" borderId="1" xfId="1" applyFont="1" applyFill="1" applyBorder="1" applyAlignment="1">
      <alignment horizontal="center" vertical="center"/>
    </xf>
    <xf numFmtId="9" fontId="6" fillId="3" borderId="1" xfId="1" applyFont="1" applyFill="1" applyBorder="1" applyAlignment="1">
      <alignment vertical="center"/>
    </xf>
    <xf numFmtId="1" fontId="6" fillId="3" borderId="1" xfId="1" applyNumberFormat="1" applyFont="1" applyFill="1" applyBorder="1" applyAlignment="1">
      <alignment vertical="center"/>
    </xf>
    <xf numFmtId="0" fontId="6" fillId="3" borderId="1" xfId="0" applyFont="1" applyFill="1" applyBorder="1" applyAlignment="1">
      <alignment vertical="center"/>
    </xf>
    <xf numFmtId="9" fontId="5" fillId="2" borderId="7" xfId="1" applyFont="1" applyFill="1" applyBorder="1" applyAlignment="1">
      <alignment horizontal="center" vertical="center"/>
    </xf>
    <xf numFmtId="0" fontId="0" fillId="0" borderId="0" xfId="0" applyFont="1"/>
    <xf numFmtId="49" fontId="4" fillId="4" borderId="8" xfId="0" applyNumberFormat="1" applyFont="1" applyFill="1" applyBorder="1" applyAlignment="1">
      <alignment horizontal="center" vertical="center"/>
    </xf>
    <xf numFmtId="49"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9" fontId="7" fillId="5" borderId="2" xfId="1" applyFont="1" applyFill="1" applyBorder="1" applyAlignment="1">
      <alignment horizontal="center" vertical="center"/>
    </xf>
    <xf numFmtId="0" fontId="2" fillId="5" borderId="2" xfId="0" applyFont="1" applyFill="1" applyBorder="1" applyAlignment="1">
      <alignment horizontal="left" vertical="center"/>
    </xf>
    <xf numFmtId="0" fontId="2" fillId="5" borderId="2" xfId="0" applyFont="1" applyFill="1" applyBorder="1" applyAlignment="1">
      <alignment horizontal="right" vertical="center"/>
    </xf>
    <xf numFmtId="0" fontId="4" fillId="5" borderId="2" xfId="0" applyFont="1" applyFill="1" applyBorder="1" applyAlignment="1">
      <alignment horizontal="left" vertical="center"/>
    </xf>
    <xf numFmtId="1" fontId="7" fillId="5" borderId="2" xfId="1" applyNumberFormat="1" applyFont="1" applyFill="1" applyBorder="1" applyAlignment="1">
      <alignment horizontal="center" vertical="center"/>
    </xf>
    <xf numFmtId="9" fontId="7" fillId="6" borderId="4" xfId="1" applyFont="1" applyFill="1" applyBorder="1" applyAlignment="1">
      <alignment horizontal="center" vertical="center"/>
    </xf>
    <xf numFmtId="9" fontId="7" fillId="5" borderId="4" xfId="1" applyFont="1" applyFill="1" applyBorder="1" applyAlignment="1">
      <alignment horizontal="center" vertical="center"/>
    </xf>
    <xf numFmtId="0" fontId="2" fillId="4" borderId="2" xfId="0" applyFont="1" applyFill="1" applyBorder="1" applyAlignment="1">
      <alignment horizontal="center" vertical="center"/>
    </xf>
    <xf numFmtId="9" fontId="2" fillId="4" borderId="2" xfId="1" applyFont="1" applyFill="1" applyBorder="1" applyAlignment="1">
      <alignment horizontal="center" vertical="center"/>
    </xf>
    <xf numFmtId="9" fontId="7" fillId="4" borderId="2" xfId="1" applyFont="1" applyFill="1" applyBorder="1" applyAlignment="1">
      <alignment horizontal="center" vertical="center"/>
    </xf>
    <xf numFmtId="9" fontId="7" fillId="0" borderId="2" xfId="1" applyFont="1" applyFill="1" applyBorder="1" applyAlignment="1">
      <alignment horizontal="center" vertical="center"/>
    </xf>
    <xf numFmtId="1" fontId="7" fillId="0" borderId="2" xfId="1" applyNumberFormat="1" applyFont="1" applyFill="1" applyBorder="1" applyAlignment="1">
      <alignment horizontal="center" vertical="center"/>
    </xf>
    <xf numFmtId="9" fontId="7" fillId="0" borderId="4" xfId="1" applyFont="1" applyFill="1" applyBorder="1" applyAlignment="1">
      <alignment horizontal="center" vertical="center"/>
    </xf>
    <xf numFmtId="0" fontId="2" fillId="4" borderId="2" xfId="0" applyFont="1" applyFill="1" applyBorder="1" applyAlignment="1">
      <alignment horizontal="right" vertical="center"/>
    </xf>
    <xf numFmtId="0" fontId="2" fillId="4" borderId="2" xfId="0" applyFont="1" applyFill="1" applyBorder="1" applyAlignment="1">
      <alignment horizontal="left" vertical="center"/>
    </xf>
    <xf numFmtId="0" fontId="4" fillId="0" borderId="2" xfId="0" applyFont="1" applyBorder="1" applyAlignment="1">
      <alignment horizontal="left"/>
    </xf>
    <xf numFmtId="49" fontId="4" fillId="4" borderId="9" xfId="0" applyNumberFormat="1" applyFont="1" applyFill="1" applyBorder="1" applyAlignment="1">
      <alignment horizontal="center" vertical="center"/>
    </xf>
    <xf numFmtId="49" fontId="4" fillId="4" borderId="3" xfId="0" applyNumberFormat="1" applyFont="1" applyFill="1" applyBorder="1" applyAlignment="1">
      <alignment horizontal="center" vertical="center"/>
    </xf>
    <xf numFmtId="0" fontId="2" fillId="4" borderId="3" xfId="0" applyFont="1" applyFill="1" applyBorder="1" applyAlignment="1">
      <alignment horizontal="center" vertical="center"/>
    </xf>
    <xf numFmtId="9" fontId="2" fillId="4" borderId="3" xfId="1" applyFont="1" applyFill="1" applyBorder="1" applyAlignment="1">
      <alignment horizontal="center" vertical="center"/>
    </xf>
    <xf numFmtId="0" fontId="2" fillId="4" borderId="3" xfId="0" applyFont="1" applyFill="1" applyBorder="1" applyAlignment="1">
      <alignment horizontal="left" vertical="center"/>
    </xf>
    <xf numFmtId="9" fontId="7" fillId="4" borderId="3" xfId="1" applyFont="1" applyFill="1" applyBorder="1" applyAlignment="1">
      <alignment horizontal="center" vertical="center"/>
    </xf>
    <xf numFmtId="9" fontId="7" fillId="0" borderId="3" xfId="1" applyFont="1" applyFill="1" applyBorder="1" applyAlignment="1">
      <alignment horizontal="center" vertical="center"/>
    </xf>
    <xf numFmtId="1" fontId="7" fillId="0" borderId="3" xfId="1" applyNumberFormat="1" applyFont="1" applyFill="1" applyBorder="1" applyAlignment="1">
      <alignment horizontal="center" vertical="center"/>
    </xf>
    <xf numFmtId="9" fontId="7" fillId="0" borderId="5" xfId="1" applyFont="1" applyFill="1" applyBorder="1" applyAlignment="1">
      <alignment horizontal="center" vertical="center"/>
    </xf>
    <xf numFmtId="0" fontId="0" fillId="0" borderId="0" xfId="0" applyFont="1" applyAlignment="1">
      <alignment horizontal="left"/>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0" fontId="3" fillId="0" borderId="0" xfId="0" applyFont="1"/>
    <xf numFmtId="0" fontId="0" fillId="0" borderId="0" xfId="0" applyFont="1" applyAlignment="1">
      <alignment horizontal="right"/>
    </xf>
    <xf numFmtId="9" fontId="5" fillId="2" borderId="1" xfId="1" applyFont="1" applyFill="1" applyBorder="1" applyAlignment="1">
      <alignment horizontal="center" vertical="center" wrapText="1"/>
    </xf>
    <xf numFmtId="9" fontId="6" fillId="3" borderId="1" xfId="1" applyFont="1" applyFill="1" applyBorder="1" applyAlignment="1">
      <alignment horizontal="center" vertical="center"/>
    </xf>
    <xf numFmtId="1" fontId="6" fillId="3" borderId="1" xfId="1" applyNumberFormat="1" applyFont="1" applyFill="1" applyBorder="1" applyAlignment="1">
      <alignment horizontal="center" vertical="center"/>
    </xf>
    <xf numFmtId="0" fontId="6" fillId="3" borderId="1" xfId="0" applyFont="1" applyFill="1" applyBorder="1" applyAlignment="1">
      <alignment horizontal="center" vertical="center"/>
    </xf>
    <xf numFmtId="49" fontId="2" fillId="0" borderId="10" xfId="0" applyNumberFormat="1" applyFont="1" applyBorder="1" applyAlignment="1">
      <alignment horizontal="center" vertical="center"/>
    </xf>
    <xf numFmtId="0" fontId="2" fillId="7" borderId="2" xfId="0" applyFont="1" applyFill="1" applyBorder="1" applyAlignment="1">
      <alignment horizontal="right" vertical="center"/>
    </xf>
    <xf numFmtId="0" fontId="8" fillId="0" borderId="0" xfId="0" applyFont="1"/>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4" borderId="2"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4" fillId="4" borderId="2" xfId="0" applyFont="1" applyFill="1" applyBorder="1" applyAlignment="1">
      <alignment horizontal="center" vertical="center" wrapText="1"/>
    </xf>
    <xf numFmtId="9" fontId="7" fillId="8" borderId="2" xfId="1" applyFont="1" applyFill="1" applyBorder="1" applyAlignment="1">
      <alignment horizontal="center" vertical="center"/>
    </xf>
    <xf numFmtId="49" fontId="4" fillId="8" borderId="8" xfId="0" applyNumberFormat="1" applyFont="1" applyFill="1" applyBorder="1" applyAlignment="1">
      <alignment horizontal="center" vertical="center"/>
    </xf>
    <xf numFmtId="49" fontId="4" fillId="8" borderId="2" xfId="0" applyNumberFormat="1" applyFont="1" applyFill="1" applyBorder="1" applyAlignment="1">
      <alignment horizontal="center" vertical="center"/>
    </xf>
    <xf numFmtId="0" fontId="4" fillId="8" borderId="2" xfId="0" applyFont="1" applyFill="1" applyBorder="1" applyAlignment="1">
      <alignment horizontal="center" vertical="center"/>
    </xf>
    <xf numFmtId="0" fontId="2" fillId="8" borderId="2" xfId="0" applyFont="1" applyFill="1" applyBorder="1" applyAlignment="1">
      <alignment horizontal="left" vertical="center"/>
    </xf>
    <xf numFmtId="0" fontId="11" fillId="8" borderId="2" xfId="0" applyFont="1" applyFill="1" applyBorder="1" applyAlignment="1">
      <alignment horizontal="center" vertical="center" wrapText="1"/>
    </xf>
    <xf numFmtId="0" fontId="13" fillId="8" borderId="2" xfId="0" applyFont="1" applyFill="1" applyBorder="1" applyAlignment="1">
      <alignment horizontal="center" vertical="center" wrapText="1"/>
    </xf>
    <xf numFmtId="1" fontId="7" fillId="8" borderId="2" xfId="1" applyNumberFormat="1" applyFont="1" applyFill="1" applyBorder="1" applyAlignment="1">
      <alignment horizontal="center" vertical="center"/>
    </xf>
    <xf numFmtId="9" fontId="7" fillId="8" borderId="4" xfId="1" applyFont="1" applyFill="1" applyBorder="1" applyAlignment="1">
      <alignment horizontal="center" vertical="center"/>
    </xf>
    <xf numFmtId="0" fontId="2" fillId="8" borderId="2" xfId="0" applyFont="1" applyFill="1" applyBorder="1" applyAlignment="1">
      <alignment horizontal="center" vertical="center"/>
    </xf>
    <xf numFmtId="9" fontId="2" fillId="8" borderId="2" xfId="1" applyFont="1" applyFill="1" applyBorder="1" applyAlignment="1">
      <alignment horizontal="center" vertical="center"/>
    </xf>
    <xf numFmtId="0" fontId="2" fillId="8" borderId="2" xfId="0" applyFont="1" applyFill="1" applyBorder="1" applyAlignment="1">
      <alignment horizontal="left" vertical="center" wrapText="1"/>
    </xf>
    <xf numFmtId="0" fontId="14" fillId="8" borderId="2" xfId="0" applyFont="1" applyFill="1" applyBorder="1" applyAlignment="1">
      <alignment horizontal="center" vertical="center" wrapText="1"/>
    </xf>
    <xf numFmtId="0" fontId="12" fillId="8" borderId="0" xfId="0" applyFont="1" applyFill="1" applyAlignment="1">
      <alignment horizontal="center" vertical="center" wrapText="1"/>
    </xf>
    <xf numFmtId="49" fontId="4" fillId="8" borderId="9" xfId="0" applyNumberFormat="1" applyFont="1" applyFill="1" applyBorder="1" applyAlignment="1">
      <alignment horizontal="center" vertical="center"/>
    </xf>
    <xf numFmtId="49" fontId="4" fillId="8" borderId="3" xfId="0" applyNumberFormat="1" applyFont="1" applyFill="1" applyBorder="1" applyAlignment="1">
      <alignment horizontal="center" vertical="center"/>
    </xf>
    <xf numFmtId="0" fontId="2" fillId="8" borderId="3" xfId="0" applyFont="1" applyFill="1" applyBorder="1" applyAlignment="1">
      <alignment horizontal="center" vertical="center"/>
    </xf>
    <xf numFmtId="9" fontId="2" fillId="8" borderId="3" xfId="1" applyFont="1" applyFill="1" applyBorder="1" applyAlignment="1">
      <alignment horizontal="center" vertical="center"/>
    </xf>
    <xf numFmtId="0" fontId="2" fillId="8" borderId="3" xfId="0" applyFont="1" applyFill="1" applyBorder="1" applyAlignment="1">
      <alignment horizontal="left" vertical="center"/>
    </xf>
    <xf numFmtId="0" fontId="11" fillId="8" borderId="3" xfId="0" applyFont="1" applyFill="1" applyBorder="1" applyAlignment="1">
      <alignment horizontal="center" vertical="center" wrapText="1"/>
    </xf>
    <xf numFmtId="0" fontId="14" fillId="8" borderId="3" xfId="0" applyFont="1" applyFill="1" applyBorder="1" applyAlignment="1">
      <alignment horizontal="center" vertical="center" wrapText="1"/>
    </xf>
    <xf numFmtId="9" fontId="7" fillId="8" borderId="3" xfId="1" applyFont="1" applyFill="1" applyBorder="1" applyAlignment="1">
      <alignment horizontal="center" vertical="center"/>
    </xf>
    <xf numFmtId="1" fontId="7" fillId="8" borderId="3" xfId="1" applyNumberFormat="1" applyFont="1" applyFill="1" applyBorder="1" applyAlignment="1">
      <alignment horizontal="center" vertical="center"/>
    </xf>
    <xf numFmtId="9" fontId="2" fillId="8" borderId="5" xfId="1" applyFont="1" applyFill="1" applyBorder="1" applyAlignment="1">
      <alignment horizontal="center" vertical="center"/>
    </xf>
    <xf numFmtId="9" fontId="5" fillId="2" borderId="11" xfId="1" applyFont="1" applyFill="1" applyBorder="1" applyAlignment="1">
      <alignment horizontal="center" vertical="center"/>
    </xf>
    <xf numFmtId="9" fontId="7" fillId="5" borderId="12" xfId="1" applyFont="1" applyFill="1" applyBorder="1" applyAlignment="1">
      <alignment horizontal="center" vertical="center"/>
    </xf>
    <xf numFmtId="9" fontId="7" fillId="8" borderId="12" xfId="1" applyFont="1" applyFill="1" applyBorder="1" applyAlignment="1">
      <alignment horizontal="center" vertical="center"/>
    </xf>
    <xf numFmtId="9" fontId="2" fillId="8" borderId="13" xfId="1" applyFont="1" applyFill="1" applyBorder="1" applyAlignment="1">
      <alignment horizontal="center" vertical="center"/>
    </xf>
    <xf numFmtId="0" fontId="8" fillId="9"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9" fontId="7" fillId="0" borderId="12" xfId="1" applyFont="1" applyFill="1" applyBorder="1" applyAlignment="1">
      <alignment horizontal="center" vertical="center"/>
    </xf>
    <xf numFmtId="0" fontId="4" fillId="5" borderId="2" xfId="0" applyFont="1" applyFill="1" applyBorder="1" applyAlignment="1">
      <alignment horizontal="center" vertical="center"/>
    </xf>
    <xf numFmtId="9" fontId="4" fillId="5" borderId="2" xfId="1" applyFont="1" applyFill="1" applyBorder="1" applyAlignment="1">
      <alignment horizontal="center" vertical="center"/>
    </xf>
    <xf numFmtId="0" fontId="10" fillId="8" borderId="3" xfId="0" applyFont="1" applyFill="1" applyBorder="1" applyAlignment="1">
      <alignment horizontal="center" vertical="center"/>
    </xf>
    <xf numFmtId="49" fontId="14" fillId="0" borderId="2" xfId="0" applyNumberFormat="1" applyFont="1" applyBorder="1" applyAlignment="1">
      <alignment horizontal="center" vertical="center" wrapText="1"/>
    </xf>
    <xf numFmtId="49" fontId="10" fillId="0" borderId="2" xfId="0" applyNumberFormat="1" applyFont="1" applyBorder="1" applyAlignment="1">
      <alignment horizontal="center" vertical="center" wrapText="1"/>
    </xf>
    <xf numFmtId="0" fontId="13" fillId="4" borderId="2" xfId="0" applyFont="1" applyFill="1" applyBorder="1" applyAlignment="1">
      <alignment horizontal="center" vertical="center" wrapText="1"/>
    </xf>
    <xf numFmtId="9" fontId="14" fillId="5" borderId="2" xfId="1" applyFont="1" applyFill="1" applyBorder="1" applyAlignment="1">
      <alignment horizontal="center" vertical="center" wrapText="1"/>
    </xf>
    <xf numFmtId="0" fontId="15" fillId="5" borderId="2" xfId="0" applyFont="1" applyFill="1" applyBorder="1" applyAlignment="1">
      <alignment horizontal="center" vertical="center" wrapText="1"/>
    </xf>
    <xf numFmtId="9" fontId="13" fillId="5" borderId="2" xfId="1" applyFont="1" applyFill="1" applyBorder="1" applyAlignment="1">
      <alignment horizontal="center" vertical="center" wrapText="1"/>
    </xf>
    <xf numFmtId="0" fontId="14" fillId="0" borderId="2" xfId="1" applyNumberFormat="1" applyFont="1" applyBorder="1" applyAlignment="1">
      <alignment horizontal="center" vertical="center" wrapText="1"/>
    </xf>
    <xf numFmtId="1" fontId="14" fillId="5" borderId="2" xfId="1" applyNumberFormat="1" applyFont="1" applyFill="1" applyBorder="1" applyAlignment="1">
      <alignment horizontal="center" vertical="center" wrapText="1"/>
    </xf>
    <xf numFmtId="0" fontId="16" fillId="2" borderId="1" xfId="0" applyFont="1" applyFill="1" applyBorder="1" applyAlignment="1">
      <alignment horizontal="center" vertical="center"/>
    </xf>
    <xf numFmtId="0" fontId="15" fillId="4" borderId="2" xfId="0" applyFont="1" applyFill="1" applyBorder="1" applyAlignment="1">
      <alignment horizontal="center" vertical="center"/>
    </xf>
    <xf numFmtId="0" fontId="15" fillId="8" borderId="2" xfId="0" applyFont="1" applyFill="1" applyBorder="1" applyAlignment="1">
      <alignment horizontal="center" vertical="center"/>
    </xf>
    <xf numFmtId="0" fontId="15" fillId="5" borderId="2" xfId="0" applyFont="1" applyFill="1" applyBorder="1" applyAlignment="1">
      <alignment horizontal="center" vertical="center"/>
    </xf>
    <xf numFmtId="0" fontId="10" fillId="8" borderId="2" xfId="0" applyFont="1" applyFill="1" applyBorder="1" applyAlignment="1">
      <alignment horizontal="center" vertical="center"/>
    </xf>
    <xf numFmtId="0" fontId="15" fillId="4" borderId="2" xfId="0" applyFont="1" applyFill="1" applyBorder="1" applyAlignment="1">
      <alignment horizontal="center" vertical="center" wrapText="1"/>
    </xf>
    <xf numFmtId="9" fontId="14" fillId="0" borderId="2" xfId="1" applyFont="1" applyBorder="1" applyAlignment="1">
      <alignment horizontal="center" vertical="center" wrapText="1"/>
    </xf>
    <xf numFmtId="1" fontId="14" fillId="0" borderId="2" xfId="1" applyNumberFormat="1" applyFont="1" applyBorder="1" applyAlignment="1">
      <alignment horizontal="center" vertical="center" wrapText="1"/>
    </xf>
    <xf numFmtId="9" fontId="13" fillId="0" borderId="2" xfId="1" applyFont="1" applyBorder="1" applyAlignment="1">
      <alignment horizontal="center" vertical="center" wrapText="1"/>
    </xf>
    <xf numFmtId="1" fontId="14" fillId="0" borderId="2" xfId="0" applyNumberFormat="1" applyFont="1" applyBorder="1" applyAlignment="1">
      <alignment horizontal="center" vertical="center" wrapText="1"/>
    </xf>
    <xf numFmtId="1" fontId="13" fillId="0" borderId="2" xfId="1" applyNumberFormat="1" applyFont="1" applyBorder="1" applyAlignment="1">
      <alignment horizontal="center" vertical="center" wrapText="1"/>
    </xf>
    <xf numFmtId="0" fontId="0" fillId="0" borderId="0" xfId="0" applyFont="1" applyAlignment="1">
      <alignment horizontal="center" wrapText="1"/>
    </xf>
    <xf numFmtId="49" fontId="4" fillId="4" borderId="2" xfId="0" applyNumberFormat="1" applyFont="1" applyFill="1" applyBorder="1" applyAlignment="1">
      <alignment horizontal="center" vertical="center" wrapText="1"/>
    </xf>
    <xf numFmtId="0" fontId="2" fillId="8" borderId="2" xfId="0" applyFont="1" applyFill="1" applyBorder="1" applyAlignment="1">
      <alignment horizontal="right" vertical="center"/>
    </xf>
    <xf numFmtId="0" fontId="4" fillId="8" borderId="2" xfId="0" applyFont="1" applyFill="1" applyBorder="1" applyAlignment="1">
      <alignment horizontal="left" vertical="center"/>
    </xf>
    <xf numFmtId="0" fontId="4" fillId="5"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2" fillId="8" borderId="2" xfId="0" applyFont="1" applyFill="1" applyBorder="1" applyAlignment="1">
      <alignment horizontal="right" vertical="center" wrapText="1"/>
    </xf>
    <xf numFmtId="0" fontId="2" fillId="8" borderId="3" xfId="0" applyFont="1" applyFill="1" applyBorder="1" applyAlignment="1">
      <alignment horizontal="right" vertical="center"/>
    </xf>
    <xf numFmtId="0" fontId="2" fillId="8"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0" fillId="0" borderId="0" xfId="0" applyFont="1" applyAlignment="1">
      <alignment horizontal="center" vertical="center" wrapText="1"/>
    </xf>
    <xf numFmtId="0" fontId="2" fillId="8" borderId="2" xfId="0" applyFont="1" applyFill="1" applyBorder="1"/>
    <xf numFmtId="0" fontId="2" fillId="8" borderId="3" xfId="0" applyFont="1" applyFill="1" applyBorder="1" applyAlignment="1">
      <alignment horizontal="center" vertical="center" wrapText="1"/>
    </xf>
    <xf numFmtId="9" fontId="7" fillId="8" borderId="5" xfId="1" applyFont="1" applyFill="1" applyBorder="1" applyAlignment="1">
      <alignment horizontal="center" vertical="center"/>
    </xf>
    <xf numFmtId="0" fontId="2" fillId="8" borderId="2" xfId="0" applyFont="1" applyFill="1" applyBorder="1" applyAlignment="1">
      <alignment vertical="center" wrapText="1"/>
    </xf>
    <xf numFmtId="0" fontId="2" fillId="8" borderId="2" xfId="0" applyFont="1" applyFill="1" applyBorder="1" applyAlignment="1">
      <alignment vertical="center"/>
    </xf>
    <xf numFmtId="0" fontId="2" fillId="8" borderId="3" xfId="0" applyFont="1" applyFill="1" applyBorder="1" applyAlignment="1">
      <alignment vertical="center"/>
    </xf>
    <xf numFmtId="9" fontId="14" fillId="5" borderId="2" xfId="0" applyNumberFormat="1" applyFont="1" applyFill="1" applyBorder="1" applyAlignment="1">
      <alignment horizontal="center" vertical="center" wrapText="1"/>
    </xf>
    <xf numFmtId="10" fontId="13" fillId="5" borderId="0" xfId="0" applyNumberFormat="1" applyFont="1" applyFill="1" applyAlignment="1">
      <alignment horizontal="center" vertical="center" wrapText="1"/>
    </xf>
    <xf numFmtId="0" fontId="0" fillId="9" borderId="0" xfId="0" applyFont="1" applyFill="1" applyAlignment="1">
      <alignment horizontal="center" vertical="center" wrapText="1"/>
    </xf>
    <xf numFmtId="0" fontId="0" fillId="9" borderId="0" xfId="0" applyFont="1" applyFill="1" applyAlignment="1">
      <alignment wrapText="1"/>
    </xf>
    <xf numFmtId="0" fontId="9" fillId="9" borderId="0" xfId="0" applyFont="1" applyFill="1" applyAlignment="1">
      <alignment wrapText="1"/>
    </xf>
    <xf numFmtId="0" fontId="9" fillId="0" borderId="0" xfId="0" applyFont="1"/>
    <xf numFmtId="0" fontId="0" fillId="9" borderId="0" xfId="0" applyFont="1" applyFill="1" applyAlignment="1">
      <alignment horizontal="center" vertical="center" wrapText="1" readingOrder="2"/>
    </xf>
    <xf numFmtId="49" fontId="4" fillId="8" borderId="14" xfId="0" applyNumberFormat="1" applyFont="1" applyFill="1" applyBorder="1" applyAlignment="1">
      <alignment horizontal="center" vertical="center"/>
    </xf>
    <xf numFmtId="49" fontId="4" fillId="8" borderId="17" xfId="0" applyNumberFormat="1" applyFont="1" applyFill="1" applyBorder="1" applyAlignment="1">
      <alignment horizontal="center" vertical="center"/>
    </xf>
    <xf numFmtId="0" fontId="2" fillId="8" borderId="17" xfId="0" applyFont="1" applyFill="1" applyBorder="1" applyAlignment="1">
      <alignment horizontal="center" vertical="center"/>
    </xf>
    <xf numFmtId="9" fontId="2" fillId="8" borderId="17" xfId="1" applyFont="1" applyFill="1" applyBorder="1" applyAlignment="1">
      <alignment horizontal="center" vertical="center"/>
    </xf>
    <xf numFmtId="0" fontId="2" fillId="8" borderId="17" xfId="0" applyFont="1" applyFill="1" applyBorder="1" applyAlignment="1">
      <alignment horizontal="left" vertical="center"/>
    </xf>
    <xf numFmtId="0" fontId="2" fillId="8" borderId="17" xfId="0" applyFont="1" applyFill="1" applyBorder="1" applyAlignment="1">
      <alignment horizontal="right" vertical="center"/>
    </xf>
    <xf numFmtId="9" fontId="7" fillId="8" borderId="17" xfId="1" applyFont="1" applyFill="1" applyBorder="1" applyAlignment="1">
      <alignment horizontal="center" vertical="center"/>
    </xf>
    <xf numFmtId="1" fontId="7" fillId="8" borderId="17" xfId="1" applyNumberFormat="1" applyFont="1" applyFill="1" applyBorder="1" applyAlignment="1">
      <alignment horizontal="center" vertical="center"/>
    </xf>
    <xf numFmtId="9" fontId="7" fillId="8" borderId="20" xfId="1" applyFont="1" applyFill="1" applyBorder="1" applyAlignment="1">
      <alignment horizontal="center" vertical="center"/>
    </xf>
    <xf numFmtId="0" fontId="13" fillId="4" borderId="19" xfId="0" applyFont="1" applyFill="1" applyBorder="1" applyAlignment="1">
      <alignment horizontal="center" vertical="center" wrapText="1"/>
    </xf>
    <xf numFmtId="49" fontId="4" fillId="4" borderId="19" xfId="0" applyNumberFormat="1" applyFont="1" applyFill="1" applyBorder="1" applyAlignment="1">
      <alignment horizontal="center" vertical="center" wrapText="1"/>
    </xf>
    <xf numFmtId="49" fontId="10" fillId="0" borderId="19" xfId="0" applyNumberFormat="1" applyFont="1" applyBorder="1" applyAlignment="1">
      <alignment horizontal="center" vertical="center" wrapText="1"/>
    </xf>
    <xf numFmtId="0" fontId="10" fillId="8" borderId="21" xfId="0" applyFont="1" applyFill="1" applyBorder="1" applyAlignment="1">
      <alignment horizontal="center" vertical="center"/>
    </xf>
    <xf numFmtId="0" fontId="2" fillId="8" borderId="21" xfId="0" applyFont="1" applyFill="1" applyBorder="1" applyAlignment="1">
      <alignment horizontal="center" vertical="center"/>
    </xf>
    <xf numFmtId="9" fontId="14" fillId="0" borderId="19" xfId="1" applyFont="1" applyBorder="1" applyAlignment="1">
      <alignment horizontal="center" vertical="center" wrapText="1"/>
    </xf>
    <xf numFmtId="0" fontId="14" fillId="4" borderId="19" xfId="0" applyFont="1" applyFill="1" applyBorder="1" applyAlignment="1">
      <alignment horizontal="center" vertical="center" wrapText="1"/>
    </xf>
    <xf numFmtId="0" fontId="10" fillId="4" borderId="19" xfId="0" applyFont="1" applyFill="1" applyBorder="1" applyAlignment="1">
      <alignment horizontal="center" vertical="center" wrapText="1"/>
    </xf>
    <xf numFmtId="1" fontId="14" fillId="0" borderId="19" xfId="1" applyNumberFormat="1" applyFont="1" applyBorder="1" applyAlignment="1">
      <alignment horizontal="center" vertical="center" wrapText="1"/>
    </xf>
    <xf numFmtId="9" fontId="13" fillId="0" borderId="19" xfId="1" applyFont="1" applyBorder="1" applyAlignment="1">
      <alignment horizontal="center" vertical="center" wrapText="1"/>
    </xf>
    <xf numFmtId="1" fontId="14" fillId="0" borderId="19" xfId="0" applyNumberFormat="1" applyFont="1" applyBorder="1" applyAlignment="1">
      <alignment horizontal="center" vertical="center" wrapText="1"/>
    </xf>
    <xf numFmtId="1" fontId="13" fillId="0" borderId="19" xfId="1" applyNumberFormat="1" applyFont="1" applyBorder="1" applyAlignment="1">
      <alignment horizontal="center" vertical="center" wrapText="1"/>
    </xf>
    <xf numFmtId="9" fontId="2" fillId="0" borderId="12" xfId="1" applyFont="1" applyFill="1" applyBorder="1" applyAlignment="1">
      <alignment horizontal="center" vertical="center"/>
    </xf>
    <xf numFmtId="9" fontId="2" fillId="0" borderId="13" xfId="1" applyFont="1" applyFill="1" applyBorder="1" applyAlignment="1">
      <alignment horizontal="center" vertical="center"/>
    </xf>
    <xf numFmtId="49" fontId="4" fillId="4" borderId="14" xfId="0" applyNumberFormat="1" applyFont="1" applyFill="1" applyBorder="1" applyAlignment="1">
      <alignment horizontal="center" vertical="center"/>
    </xf>
    <xf numFmtId="49" fontId="4" fillId="4" borderId="17" xfId="0" applyNumberFormat="1" applyFont="1" applyFill="1" applyBorder="1" applyAlignment="1">
      <alignment horizontal="center" vertical="center"/>
    </xf>
    <xf numFmtId="0" fontId="2" fillId="4" borderId="17" xfId="0" applyFont="1" applyFill="1" applyBorder="1" applyAlignment="1">
      <alignment horizontal="center" vertical="center"/>
    </xf>
    <xf numFmtId="9" fontId="2" fillId="4" borderId="17" xfId="1" applyFont="1" applyFill="1" applyBorder="1" applyAlignment="1">
      <alignment horizontal="center" vertical="center"/>
    </xf>
    <xf numFmtId="0" fontId="2" fillId="4" borderId="17" xfId="0" applyFont="1" applyFill="1" applyBorder="1" applyAlignment="1">
      <alignment horizontal="left" vertical="center"/>
    </xf>
    <xf numFmtId="0" fontId="2" fillId="4" borderId="17" xfId="0" applyFont="1" applyFill="1" applyBorder="1" applyAlignment="1">
      <alignment horizontal="right" vertical="center"/>
    </xf>
    <xf numFmtId="9" fontId="7" fillId="4" borderId="17" xfId="1" applyFont="1" applyFill="1" applyBorder="1" applyAlignment="1">
      <alignment horizontal="center" vertical="center"/>
    </xf>
    <xf numFmtId="9" fontId="7" fillId="0" borderId="17" xfId="1" applyFont="1" applyFill="1" applyBorder="1" applyAlignment="1">
      <alignment horizontal="center" vertical="center"/>
    </xf>
    <xf numFmtId="1" fontId="7" fillId="0" borderId="17" xfId="1" applyNumberFormat="1" applyFont="1" applyFill="1" applyBorder="1" applyAlignment="1">
      <alignment horizontal="center" vertical="center"/>
    </xf>
    <xf numFmtId="9" fontId="7" fillId="0" borderId="20" xfId="1" applyFont="1" applyFill="1" applyBorder="1" applyAlignment="1">
      <alignment horizontal="center" vertical="center"/>
    </xf>
    <xf numFmtId="9" fontId="14" fillId="6" borderId="2" xfId="1" applyFont="1" applyFill="1" applyBorder="1" applyAlignment="1">
      <alignment horizontal="center" vertical="center" wrapText="1"/>
    </xf>
    <xf numFmtId="0" fontId="14" fillId="0" borderId="2" xfId="0" applyFont="1" applyBorder="1" applyAlignment="1">
      <alignment horizontal="center" vertical="center" wrapText="1"/>
    </xf>
    <xf numFmtId="0" fontId="4" fillId="8" borderId="2" xfId="0" applyFont="1" applyFill="1" applyBorder="1" applyAlignment="1">
      <alignment horizontal="left"/>
    </xf>
    <xf numFmtId="0" fontId="8" fillId="9" borderId="2"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0" fillId="0" borderId="0" xfId="0" applyFont="1" applyAlignment="1">
      <alignment horizontal="center" wrapText="1"/>
    </xf>
    <xf numFmtId="0" fontId="0" fillId="0" borderId="0" xfId="0" applyFont="1" applyAlignment="1">
      <alignment horizontal="center"/>
    </xf>
    <xf numFmtId="0" fontId="8" fillId="9" borderId="2" xfId="0" applyFont="1" applyFill="1" applyBorder="1" applyAlignment="1">
      <alignment horizontal="center" vertical="center" wrapText="1" readingOrder="2"/>
    </xf>
    <xf numFmtId="0" fontId="8" fillId="9" borderId="14" xfId="0" applyFont="1" applyFill="1" applyBorder="1" applyAlignment="1">
      <alignment horizontal="center" vertical="center" wrapText="1"/>
    </xf>
    <xf numFmtId="0" fontId="8" fillId="9" borderId="15" xfId="0" applyFont="1" applyFill="1" applyBorder="1" applyAlignment="1">
      <alignment horizontal="center" vertical="center" wrapText="1"/>
    </xf>
    <xf numFmtId="0" fontId="8" fillId="9" borderId="16" xfId="0" applyFont="1" applyFill="1" applyBorder="1" applyAlignment="1">
      <alignment horizontal="center" vertical="center" wrapText="1"/>
    </xf>
    <xf numFmtId="0" fontId="9" fillId="9" borderId="17" xfId="0" applyFont="1" applyFill="1" applyBorder="1" applyAlignment="1">
      <alignment horizontal="center" vertical="center" wrapText="1"/>
    </xf>
    <xf numFmtId="0" fontId="9" fillId="9" borderId="18" xfId="0" applyFont="1" applyFill="1" applyBorder="1" applyAlignment="1">
      <alignment horizontal="center" vertical="center" wrapText="1"/>
    </xf>
    <xf numFmtId="0" fontId="9" fillId="9" borderId="19" xfId="0" applyFont="1" applyFill="1" applyBorder="1" applyAlignment="1">
      <alignment horizontal="center" vertical="center" wrapText="1"/>
    </xf>
    <xf numFmtId="0" fontId="0" fillId="0" borderId="2" xfId="0" applyFont="1" applyBorder="1" applyAlignment="1">
      <alignment horizontal="center" wrapText="1"/>
    </xf>
    <xf numFmtId="0" fontId="0" fillId="0" borderId="2" xfId="0" applyFont="1" applyBorder="1" applyAlignment="1">
      <alignment horizontal="center"/>
    </xf>
    <xf numFmtId="0" fontId="0" fillId="9" borderId="2" xfId="0" applyFont="1" applyFill="1" applyBorder="1" applyAlignment="1">
      <alignment horizontal="center" vertical="center" wrapText="1" readingOrder="2"/>
    </xf>
    <xf numFmtId="0" fontId="9" fillId="9" borderId="2" xfId="0" applyFont="1" applyFill="1" applyBorder="1" applyAlignment="1">
      <alignment horizontal="center" wrapText="1"/>
    </xf>
    <xf numFmtId="0" fontId="0" fillId="9" borderId="2" xfId="0" applyFont="1" applyFill="1" applyBorder="1" applyAlignment="1">
      <alignment horizontal="center" vertical="center" wrapText="1"/>
    </xf>
    <xf numFmtId="0" fontId="0" fillId="9" borderId="2" xfId="0" applyFont="1" applyFill="1" applyBorder="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center" vertical="center"/>
    </xf>
  </cellXfs>
  <cellStyles count="2">
    <cellStyle name="Normal" xfId="0" builtinId="0"/>
    <cellStyle name="Percent" xfId="1" builtinId="5"/>
  </cellStyles>
  <dxfs count="472">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F65EC-5C1E-467B-AA11-4F9B6380D1C2}">
  <dimension ref="A1:V26"/>
  <sheetViews>
    <sheetView tabSelected="1" topLeftCell="F1" zoomScale="70" zoomScaleNormal="70" workbookViewId="0">
      <selection activeCell="P5" sqref="P5"/>
    </sheetView>
  </sheetViews>
  <sheetFormatPr defaultColWidth="8.77734375" defaultRowHeight="16.8" x14ac:dyDescent="0.5"/>
  <cols>
    <col min="1" max="1" width="10" style="11" bestFit="1" customWidth="1"/>
    <col min="2" max="2" width="3.5546875" style="11" bestFit="1" customWidth="1"/>
    <col min="3" max="3" width="6.44140625" style="11" bestFit="1" customWidth="1"/>
    <col min="4" max="4" width="15" style="11" bestFit="1" customWidth="1"/>
    <col min="5" max="5" width="40.33203125" style="11" bestFit="1" customWidth="1"/>
    <col min="6" max="6" width="7.77734375" style="11" customWidth="1"/>
    <col min="7" max="7" width="18.109375" style="11" customWidth="1"/>
    <col min="8" max="8" width="13.5546875" style="51" customWidth="1"/>
    <col min="9" max="9" width="12.5546875" style="11" customWidth="1"/>
    <col min="10" max="10" width="7.88671875" style="11" bestFit="1" customWidth="1"/>
    <col min="11" max="11" width="63.77734375" style="11" bestFit="1" customWidth="1"/>
    <col min="12" max="12" width="51.77734375" style="40" bestFit="1" customWidth="1"/>
    <col min="13" max="13" width="42.44140625" style="11" customWidth="1"/>
    <col min="14" max="14" width="11.109375" style="11" customWidth="1"/>
    <col min="15" max="15" width="7.88671875" style="11" bestFit="1" customWidth="1"/>
    <col min="16" max="16" width="12.109375" style="11" customWidth="1"/>
    <col min="17" max="17" width="17.77734375" style="11" customWidth="1"/>
    <col min="18" max="18" width="13.77734375" style="11" customWidth="1"/>
    <col min="19" max="19" width="3.77734375" style="11" customWidth="1"/>
    <col min="20" max="20" width="7.5546875" style="11" customWidth="1"/>
    <col min="21" max="21" width="55.33203125" style="52" customWidth="1"/>
    <col min="22" max="22" width="48.77734375" style="53" customWidth="1"/>
    <col min="23" max="16384" width="8.77734375" style="11"/>
  </cols>
  <sheetData>
    <row r="1" spans="1:22" x14ac:dyDescent="0.3">
      <c r="A1" s="3" t="s">
        <v>0</v>
      </c>
      <c r="B1" s="4" t="s">
        <v>1</v>
      </c>
      <c r="C1" s="5" t="s">
        <v>2</v>
      </c>
      <c r="D1" s="4" t="s">
        <v>3</v>
      </c>
      <c r="E1" s="4" t="s">
        <v>4</v>
      </c>
      <c r="F1" s="4" t="s">
        <v>5</v>
      </c>
      <c r="G1" s="4" t="s">
        <v>6</v>
      </c>
      <c r="H1" s="100" t="s">
        <v>7</v>
      </c>
      <c r="I1" s="4" t="s">
        <v>8</v>
      </c>
      <c r="J1" s="6" t="s">
        <v>9</v>
      </c>
      <c r="K1" s="4" t="s">
        <v>10</v>
      </c>
      <c r="L1" s="4" t="s">
        <v>11</v>
      </c>
      <c r="M1" s="4" t="s">
        <v>12</v>
      </c>
      <c r="N1" s="4" t="s">
        <v>13</v>
      </c>
      <c r="O1" s="6" t="s">
        <v>14</v>
      </c>
      <c r="P1" s="4" t="s">
        <v>15</v>
      </c>
      <c r="Q1" s="7" t="s">
        <v>16</v>
      </c>
      <c r="R1" s="8" t="s">
        <v>17</v>
      </c>
      <c r="S1" s="9" t="s">
        <v>18</v>
      </c>
      <c r="T1" s="82" t="s">
        <v>19</v>
      </c>
      <c r="U1" s="86" t="s">
        <v>114</v>
      </c>
      <c r="V1" s="87" t="s">
        <v>114</v>
      </c>
    </row>
    <row r="2" spans="1:22" ht="100.8" customHeight="1" x14ac:dyDescent="0.3">
      <c r="A2" s="12" t="s">
        <v>71</v>
      </c>
      <c r="B2" s="13" t="s">
        <v>25</v>
      </c>
      <c r="C2" s="49">
        <v>5595</v>
      </c>
      <c r="D2" s="49" t="s">
        <v>75</v>
      </c>
      <c r="E2" s="49" t="s">
        <v>76</v>
      </c>
      <c r="F2" s="13" t="s">
        <v>94</v>
      </c>
      <c r="G2" s="13" t="s">
        <v>20</v>
      </c>
      <c r="H2" s="101" t="s">
        <v>21</v>
      </c>
      <c r="I2" s="14" t="s">
        <v>22</v>
      </c>
      <c r="J2" s="15">
        <v>0.6</v>
      </c>
      <c r="K2" s="16" t="s">
        <v>50</v>
      </c>
      <c r="L2" s="55" t="s">
        <v>59</v>
      </c>
      <c r="M2" s="56" t="s">
        <v>48</v>
      </c>
      <c r="N2" s="58">
        <v>0.99</v>
      </c>
      <c r="O2" s="15">
        <v>0.2</v>
      </c>
      <c r="P2" s="15">
        <v>0.99</v>
      </c>
      <c r="Q2" s="15">
        <f>ROUND(IF(OR(N2="",P2=""),0,IF(AND(N2=0,P2=0),1,IF(S2="+",P2/N2,N2/P2))),2)</f>
        <v>1</v>
      </c>
      <c r="R2" s="19">
        <f>IF(AND(Q2&gt;=60%,Q2&lt;100%),Q2*((O2*J2)),IF(Q2=100%,((O2*J2)*Q2)*100%,IF(Q2&gt;100%,((J2*O2)*100%)*100%,0)))*100</f>
        <v>12</v>
      </c>
      <c r="S2" s="15" t="s">
        <v>43</v>
      </c>
      <c r="T2" s="83">
        <f>SUM(R2:R14)%</f>
        <v>1</v>
      </c>
      <c r="U2" s="86" t="s">
        <v>115</v>
      </c>
      <c r="V2" s="87" t="s">
        <v>116</v>
      </c>
    </row>
    <row r="3" spans="1:22" ht="55.2" x14ac:dyDescent="0.3">
      <c r="A3" s="12" t="s">
        <v>71</v>
      </c>
      <c r="B3" s="13" t="s">
        <v>25</v>
      </c>
      <c r="C3" s="13">
        <v>5595</v>
      </c>
      <c r="D3" s="13" t="s">
        <v>75</v>
      </c>
      <c r="E3" s="13" t="s">
        <v>76</v>
      </c>
      <c r="F3" s="13" t="s">
        <v>94</v>
      </c>
      <c r="G3" s="13" t="s">
        <v>20</v>
      </c>
      <c r="H3" s="101" t="s">
        <v>21</v>
      </c>
      <c r="I3" s="14" t="s">
        <v>22</v>
      </c>
      <c r="J3" s="15">
        <v>0.6</v>
      </c>
      <c r="K3" s="16" t="s">
        <v>51</v>
      </c>
      <c r="L3" s="55" t="s">
        <v>62</v>
      </c>
      <c r="M3" s="56" t="s">
        <v>49</v>
      </c>
      <c r="N3" s="58">
        <v>0.99</v>
      </c>
      <c r="O3" s="15">
        <v>0.15</v>
      </c>
      <c r="P3" s="15">
        <v>0.99</v>
      </c>
      <c r="Q3" s="15">
        <f t="shared" ref="Q3:Q14" si="0">ROUND(IF(OR(N3="",P3=""),0,IF(AND(N3=0,P3=0),1,IF(S3="+",P3/N3,N3/P3))),2)</f>
        <v>1</v>
      </c>
      <c r="R3" s="19">
        <f t="shared" ref="R3:R14" si="1">IF(AND(Q3&gt;=60%,Q3&lt;100%),Q3*((O3*J3)),IF(Q3=100%,((O3*J3)*Q3)*100%,IF(Q3&gt;100%,((J3*O3)*100%)*100%,0)))*100</f>
        <v>9</v>
      </c>
      <c r="S3" s="15" t="s">
        <v>43</v>
      </c>
      <c r="T3" s="83"/>
      <c r="U3" s="86" t="s">
        <v>117</v>
      </c>
      <c r="V3" s="87" t="s">
        <v>126</v>
      </c>
    </row>
    <row r="4" spans="1:22" ht="300.60000000000002" customHeight="1" x14ac:dyDescent="0.3">
      <c r="A4" s="59" t="s">
        <v>71</v>
      </c>
      <c r="B4" s="60" t="s">
        <v>25</v>
      </c>
      <c r="C4" s="60">
        <v>5595</v>
      </c>
      <c r="D4" s="60" t="s">
        <v>75</v>
      </c>
      <c r="E4" s="60" t="s">
        <v>76</v>
      </c>
      <c r="F4" s="60" t="s">
        <v>94</v>
      </c>
      <c r="G4" s="60" t="s">
        <v>20</v>
      </c>
      <c r="H4" s="102" t="s">
        <v>21</v>
      </c>
      <c r="I4" s="61" t="s">
        <v>22</v>
      </c>
      <c r="J4" s="58">
        <v>0.6</v>
      </c>
      <c r="K4" s="62" t="s">
        <v>31</v>
      </c>
      <c r="L4" s="63" t="s">
        <v>60</v>
      </c>
      <c r="M4" s="64" t="s">
        <v>39</v>
      </c>
      <c r="N4" s="58">
        <v>1</v>
      </c>
      <c r="O4" s="58">
        <v>0.2</v>
      </c>
      <c r="P4" s="58">
        <v>1</v>
      </c>
      <c r="Q4" s="58">
        <f>ROUND(IF(OR(N4="",P4=""),0,IF(AND(N4=0,P4=0),1,IF(S4="+",P4/N4,N4/P4))),2)</f>
        <v>1</v>
      </c>
      <c r="R4" s="65">
        <f>IF(AND(Q4&gt;=60%,Q4&lt;100%),Q4*((O4*J4)),IF(Q4=100%,((O4*J4)*Q4)*100%,IF(Q4&gt;100%,((J4*O4)*100%)*100%,0)))*100</f>
        <v>12</v>
      </c>
      <c r="S4" s="58" t="s">
        <v>43</v>
      </c>
      <c r="T4" s="84"/>
      <c r="U4" s="86" t="s">
        <v>264</v>
      </c>
      <c r="V4" s="87" t="s">
        <v>265</v>
      </c>
    </row>
    <row r="5" spans="1:22" ht="201.6" customHeight="1" x14ac:dyDescent="0.3">
      <c r="A5" s="59" t="s">
        <v>71</v>
      </c>
      <c r="B5" s="60" t="s">
        <v>25</v>
      </c>
      <c r="C5" s="60">
        <v>5595</v>
      </c>
      <c r="D5" s="60" t="s">
        <v>75</v>
      </c>
      <c r="E5" s="60" t="s">
        <v>76</v>
      </c>
      <c r="F5" s="60" t="s">
        <v>94</v>
      </c>
      <c r="G5" s="60" t="s">
        <v>20</v>
      </c>
      <c r="H5" s="102" t="s">
        <v>21</v>
      </c>
      <c r="I5" s="61" t="s">
        <v>22</v>
      </c>
      <c r="J5" s="58">
        <v>0.6</v>
      </c>
      <c r="K5" s="62" t="s">
        <v>30</v>
      </c>
      <c r="L5" s="63" t="s">
        <v>63</v>
      </c>
      <c r="M5" s="64" t="s">
        <v>37</v>
      </c>
      <c r="N5" s="58">
        <v>1</v>
      </c>
      <c r="O5" s="58">
        <v>0.15</v>
      </c>
      <c r="P5" s="58">
        <v>1</v>
      </c>
      <c r="Q5" s="58">
        <f>ROUND(IF(OR(N5="",P5=""),0,IF(AND(N5=0,P5=0),1,IF(S5="+",P5/N5,N5/P5))),2)</f>
        <v>1</v>
      </c>
      <c r="R5" s="65">
        <f>IF(AND(Q5&gt;=60%,Q5&lt;100%),Q5*((O5*J5)),IF(Q5=100%,((O5*J5)*Q5)*100%,IF(Q5&gt;100%,((J5*O5)*100%)*100%,0)))*100</f>
        <v>9</v>
      </c>
      <c r="S5" s="58" t="s">
        <v>43</v>
      </c>
      <c r="T5" s="84"/>
      <c r="U5" s="86" t="s">
        <v>118</v>
      </c>
      <c r="V5" s="87" t="s">
        <v>127</v>
      </c>
    </row>
    <row r="6" spans="1:22" ht="50.4" customHeight="1" x14ac:dyDescent="0.3">
      <c r="A6" s="12" t="s">
        <v>71</v>
      </c>
      <c r="B6" s="13" t="s">
        <v>25</v>
      </c>
      <c r="C6" s="13">
        <v>5595</v>
      </c>
      <c r="D6" s="13" t="s">
        <v>75</v>
      </c>
      <c r="E6" s="13" t="s">
        <v>76</v>
      </c>
      <c r="F6" s="13" t="s">
        <v>94</v>
      </c>
      <c r="G6" s="13" t="s">
        <v>20</v>
      </c>
      <c r="H6" s="101" t="s">
        <v>21</v>
      </c>
      <c r="I6" s="14" t="s">
        <v>22</v>
      </c>
      <c r="J6" s="15">
        <v>0.6</v>
      </c>
      <c r="K6" s="16" t="s">
        <v>65</v>
      </c>
      <c r="L6" s="55" t="s">
        <v>66</v>
      </c>
      <c r="M6" s="56" t="s">
        <v>67</v>
      </c>
      <c r="N6" s="15">
        <v>1</v>
      </c>
      <c r="O6" s="15">
        <v>0.15</v>
      </c>
      <c r="P6" s="15">
        <v>1</v>
      </c>
      <c r="Q6" s="15">
        <f>ROUND(IF(OR(N6="",P6=""),0,IF(AND(N6=0,P6=0),1,IF(S6="+",P6/N6,N6/P6))),2)</f>
        <v>1</v>
      </c>
      <c r="R6" s="19">
        <f>IF(AND(Q6&gt;=60%,Q6&lt;100%),Q6*((O6*J6)),IF(Q6=100%,((O6*J6)*Q6)*100%,IF(Q6&gt;100%,((J6*O6)*100%)*100%,0)))*100</f>
        <v>9</v>
      </c>
      <c r="S6" s="15" t="s">
        <v>43</v>
      </c>
      <c r="T6" s="83"/>
      <c r="U6" s="86" t="s">
        <v>119</v>
      </c>
      <c r="V6" s="87" t="s">
        <v>128</v>
      </c>
    </row>
    <row r="7" spans="1:22" ht="134.4" customHeight="1" x14ac:dyDescent="0.3">
      <c r="A7" s="89" t="s">
        <v>71</v>
      </c>
      <c r="B7" s="89" t="s">
        <v>25</v>
      </c>
      <c r="C7" s="89">
        <v>5595</v>
      </c>
      <c r="D7" s="89" t="s">
        <v>75</v>
      </c>
      <c r="E7" s="89" t="s">
        <v>76</v>
      </c>
      <c r="F7" s="89" t="s">
        <v>94</v>
      </c>
      <c r="G7" s="89" t="s">
        <v>20</v>
      </c>
      <c r="H7" s="103" t="s">
        <v>21</v>
      </c>
      <c r="I7" s="89" t="s">
        <v>22</v>
      </c>
      <c r="J7" s="90">
        <v>0.6</v>
      </c>
      <c r="K7" s="89" t="s">
        <v>32</v>
      </c>
      <c r="L7" s="55" t="s">
        <v>61</v>
      </c>
      <c r="M7" s="70" t="s">
        <v>38</v>
      </c>
      <c r="N7" s="90">
        <v>0.95</v>
      </c>
      <c r="O7" s="90">
        <v>0.15</v>
      </c>
      <c r="P7" s="89">
        <v>0.95</v>
      </c>
      <c r="Q7" s="89">
        <f t="shared" si="0"/>
        <v>1</v>
      </c>
      <c r="R7" s="89">
        <f t="shared" si="1"/>
        <v>9</v>
      </c>
      <c r="S7" s="89" t="s">
        <v>44</v>
      </c>
      <c r="T7" s="89"/>
      <c r="U7" s="86" t="s">
        <v>120</v>
      </c>
      <c r="V7" s="87" t="s">
        <v>129</v>
      </c>
    </row>
    <row r="8" spans="1:22" ht="409.6" customHeight="1" x14ac:dyDescent="0.3">
      <c r="A8" s="59" t="s">
        <v>71</v>
      </c>
      <c r="B8" s="60" t="s">
        <v>25</v>
      </c>
      <c r="C8" s="60">
        <v>5595</v>
      </c>
      <c r="D8" s="60" t="s">
        <v>75</v>
      </c>
      <c r="E8" s="60" t="s">
        <v>76</v>
      </c>
      <c r="F8" s="60" t="s">
        <v>94</v>
      </c>
      <c r="G8" s="60" t="s">
        <v>20</v>
      </c>
      <c r="H8" s="104" t="s">
        <v>23</v>
      </c>
      <c r="I8" s="67" t="s">
        <v>24</v>
      </c>
      <c r="J8" s="68">
        <v>0.4</v>
      </c>
      <c r="K8" s="69" t="s">
        <v>52</v>
      </c>
      <c r="L8" s="63" t="s">
        <v>64</v>
      </c>
      <c r="M8" s="70" t="s">
        <v>53</v>
      </c>
      <c r="N8" s="58">
        <v>1</v>
      </c>
      <c r="O8" s="58">
        <v>0.1</v>
      </c>
      <c r="P8" s="58">
        <v>1</v>
      </c>
      <c r="Q8" s="58">
        <f t="shared" si="0"/>
        <v>1</v>
      </c>
      <c r="R8" s="65">
        <f t="shared" si="1"/>
        <v>4.0000000000000009</v>
      </c>
      <c r="S8" s="58" t="s">
        <v>43</v>
      </c>
      <c r="T8" s="84"/>
      <c r="U8" s="86" t="s">
        <v>121</v>
      </c>
      <c r="V8" s="87" t="s">
        <v>130</v>
      </c>
    </row>
    <row r="9" spans="1:22" ht="289.8" x14ac:dyDescent="0.3">
      <c r="A9" s="59" t="s">
        <v>71</v>
      </c>
      <c r="B9" s="60" t="s">
        <v>25</v>
      </c>
      <c r="C9" s="60">
        <v>5595</v>
      </c>
      <c r="D9" s="60" t="s">
        <v>75</v>
      </c>
      <c r="E9" s="60" t="s">
        <v>76</v>
      </c>
      <c r="F9" s="60" t="s">
        <v>94</v>
      </c>
      <c r="G9" s="60" t="s">
        <v>20</v>
      </c>
      <c r="H9" s="104" t="s">
        <v>23</v>
      </c>
      <c r="I9" s="67" t="s">
        <v>24</v>
      </c>
      <c r="J9" s="68">
        <v>0.4</v>
      </c>
      <c r="K9" s="69" t="s">
        <v>54</v>
      </c>
      <c r="L9" s="63" t="s">
        <v>68</v>
      </c>
      <c r="M9" s="70" t="s">
        <v>69</v>
      </c>
      <c r="N9" s="58">
        <v>1</v>
      </c>
      <c r="O9" s="58">
        <v>0.2</v>
      </c>
      <c r="P9" s="58">
        <v>1</v>
      </c>
      <c r="Q9" s="58">
        <f>ROUND(IF(OR(N9="",P9=""),0,IF(AND(N9=0,P9=0),1,IF(S9="+",P9/N9,N9/P9))),2)</f>
        <v>1</v>
      </c>
      <c r="R9" s="65">
        <f>IF(AND(Q9&gt;=60%,Q9&lt;100%),Q9*((O9*J9)),IF(Q9=100%,((O9*J9)*Q9)*100%,IF(Q9&gt;100%,((J9*O9)*100%)*100%,0)))*100</f>
        <v>8.0000000000000018</v>
      </c>
      <c r="S9" s="58" t="s">
        <v>43</v>
      </c>
      <c r="T9" s="84"/>
      <c r="U9" s="86" t="s">
        <v>123</v>
      </c>
      <c r="V9" s="87" t="s">
        <v>131</v>
      </c>
    </row>
    <row r="10" spans="1:22" ht="409.6" customHeight="1" x14ac:dyDescent="0.3">
      <c r="A10" s="59" t="s">
        <v>71</v>
      </c>
      <c r="B10" s="60" t="s">
        <v>25</v>
      </c>
      <c r="C10" s="60">
        <v>5595</v>
      </c>
      <c r="D10" s="60" t="s">
        <v>75</v>
      </c>
      <c r="E10" s="60" t="s">
        <v>76</v>
      </c>
      <c r="F10" s="60" t="s">
        <v>94</v>
      </c>
      <c r="G10" s="60" t="s">
        <v>20</v>
      </c>
      <c r="H10" s="104" t="s">
        <v>23</v>
      </c>
      <c r="I10" s="67" t="s">
        <v>24</v>
      </c>
      <c r="J10" s="68">
        <v>0.4</v>
      </c>
      <c r="K10" s="62" t="s">
        <v>33</v>
      </c>
      <c r="L10" s="63" t="s">
        <v>26</v>
      </c>
      <c r="M10" s="70" t="s">
        <v>55</v>
      </c>
      <c r="N10" s="58">
        <v>1</v>
      </c>
      <c r="O10" s="58">
        <v>0.1</v>
      </c>
      <c r="P10" s="58">
        <v>1</v>
      </c>
      <c r="Q10" s="58">
        <f t="shared" si="0"/>
        <v>1</v>
      </c>
      <c r="R10" s="65">
        <f t="shared" si="1"/>
        <v>4.0000000000000009</v>
      </c>
      <c r="S10" s="58" t="s">
        <v>43</v>
      </c>
      <c r="T10" s="84"/>
      <c r="U10" s="174" t="s">
        <v>125</v>
      </c>
      <c r="V10" s="175" t="s">
        <v>132</v>
      </c>
    </row>
    <row r="11" spans="1:22" ht="37.200000000000003" customHeight="1" x14ac:dyDescent="0.3">
      <c r="A11" s="59" t="s">
        <v>71</v>
      </c>
      <c r="B11" s="60" t="s">
        <v>25</v>
      </c>
      <c r="C11" s="60">
        <v>5595</v>
      </c>
      <c r="D11" s="60" t="s">
        <v>75</v>
      </c>
      <c r="E11" s="60" t="s">
        <v>76</v>
      </c>
      <c r="F11" s="60" t="s">
        <v>94</v>
      </c>
      <c r="G11" s="60" t="s">
        <v>20</v>
      </c>
      <c r="H11" s="104" t="s">
        <v>23</v>
      </c>
      <c r="I11" s="67" t="s">
        <v>24</v>
      </c>
      <c r="J11" s="68">
        <v>0.4</v>
      </c>
      <c r="K11" s="62" t="s">
        <v>92</v>
      </c>
      <c r="L11" s="63"/>
      <c r="M11" s="70" t="s">
        <v>56</v>
      </c>
      <c r="N11" s="58">
        <v>1</v>
      </c>
      <c r="O11" s="58">
        <v>0.2</v>
      </c>
      <c r="P11" s="58">
        <v>1</v>
      </c>
      <c r="Q11" s="58">
        <f t="shared" si="0"/>
        <v>1</v>
      </c>
      <c r="R11" s="65">
        <f t="shared" si="1"/>
        <v>8.0000000000000018</v>
      </c>
      <c r="S11" s="58" t="s">
        <v>43</v>
      </c>
      <c r="T11" s="84"/>
      <c r="U11" s="174"/>
      <c r="V11" s="175"/>
    </row>
    <row r="12" spans="1:22" ht="16.8" customHeight="1" x14ac:dyDescent="0.3">
      <c r="A12" s="59" t="s">
        <v>71</v>
      </c>
      <c r="B12" s="60" t="s">
        <v>25</v>
      </c>
      <c r="C12" s="60">
        <v>5595</v>
      </c>
      <c r="D12" s="60" t="s">
        <v>75</v>
      </c>
      <c r="E12" s="60" t="s">
        <v>76</v>
      </c>
      <c r="F12" s="60" t="s">
        <v>94</v>
      </c>
      <c r="G12" s="60" t="s">
        <v>20</v>
      </c>
      <c r="H12" s="104" t="s">
        <v>23</v>
      </c>
      <c r="I12" s="67" t="s">
        <v>24</v>
      </c>
      <c r="J12" s="68">
        <v>0.4</v>
      </c>
      <c r="K12" s="62" t="s">
        <v>93</v>
      </c>
      <c r="L12" s="63"/>
      <c r="M12" s="70" t="s">
        <v>57</v>
      </c>
      <c r="N12" s="58">
        <v>1</v>
      </c>
      <c r="O12" s="58">
        <v>0.15</v>
      </c>
      <c r="P12" s="58">
        <v>1</v>
      </c>
      <c r="Q12" s="58">
        <f t="shared" si="0"/>
        <v>1</v>
      </c>
      <c r="R12" s="65">
        <f t="shared" si="1"/>
        <v>6</v>
      </c>
      <c r="S12" s="58" t="s">
        <v>43</v>
      </c>
      <c r="T12" s="84"/>
      <c r="U12" s="174"/>
      <c r="V12" s="175"/>
    </row>
    <row r="13" spans="1:22" ht="409.6" x14ac:dyDescent="0.3">
      <c r="A13" s="59" t="s">
        <v>71</v>
      </c>
      <c r="B13" s="60" t="s">
        <v>25</v>
      </c>
      <c r="C13" s="60">
        <v>5595</v>
      </c>
      <c r="D13" s="60" t="s">
        <v>75</v>
      </c>
      <c r="E13" s="60" t="s">
        <v>76</v>
      </c>
      <c r="F13" s="60" t="s">
        <v>94</v>
      </c>
      <c r="G13" s="60" t="s">
        <v>20</v>
      </c>
      <c r="H13" s="104" t="s">
        <v>23</v>
      </c>
      <c r="I13" s="67" t="s">
        <v>24</v>
      </c>
      <c r="J13" s="68">
        <v>0.4</v>
      </c>
      <c r="K13" s="62" t="s">
        <v>58</v>
      </c>
      <c r="L13" s="71" t="s">
        <v>70</v>
      </c>
      <c r="M13" s="70"/>
      <c r="N13" s="58">
        <v>1</v>
      </c>
      <c r="O13" s="58">
        <v>0.15</v>
      </c>
      <c r="P13" s="58">
        <v>1</v>
      </c>
      <c r="Q13" s="58">
        <f t="shared" si="0"/>
        <v>1</v>
      </c>
      <c r="R13" s="65">
        <f t="shared" si="1"/>
        <v>6</v>
      </c>
      <c r="S13" s="58" t="s">
        <v>43</v>
      </c>
      <c r="T13" s="84"/>
      <c r="U13" s="86" t="s">
        <v>122</v>
      </c>
      <c r="V13" s="87" t="s">
        <v>133</v>
      </c>
    </row>
    <row r="14" spans="1:22" ht="235.2" thickBot="1" x14ac:dyDescent="0.35">
      <c r="A14" s="72" t="s">
        <v>71</v>
      </c>
      <c r="B14" s="73" t="s">
        <v>25</v>
      </c>
      <c r="C14" s="73">
        <v>5595</v>
      </c>
      <c r="D14" s="73" t="s">
        <v>75</v>
      </c>
      <c r="E14" s="73" t="s">
        <v>76</v>
      </c>
      <c r="F14" s="73" t="s">
        <v>94</v>
      </c>
      <c r="G14" s="73" t="s">
        <v>20</v>
      </c>
      <c r="H14" s="91" t="s">
        <v>23</v>
      </c>
      <c r="I14" s="74" t="s">
        <v>24</v>
      </c>
      <c r="J14" s="75">
        <v>0.4</v>
      </c>
      <c r="K14" s="76" t="s">
        <v>35</v>
      </c>
      <c r="L14" s="77" t="s">
        <v>28</v>
      </c>
      <c r="M14" s="78" t="s">
        <v>40</v>
      </c>
      <c r="N14" s="79">
        <v>1</v>
      </c>
      <c r="O14" s="79">
        <v>0.1</v>
      </c>
      <c r="P14" s="79">
        <v>1</v>
      </c>
      <c r="Q14" s="79">
        <f t="shared" si="0"/>
        <v>1</v>
      </c>
      <c r="R14" s="80">
        <f t="shared" si="1"/>
        <v>4.0000000000000009</v>
      </c>
      <c r="S14" s="79" t="s">
        <v>43</v>
      </c>
      <c r="T14" s="85"/>
      <c r="U14" s="86" t="s">
        <v>124</v>
      </c>
      <c r="V14" s="87" t="s">
        <v>134</v>
      </c>
    </row>
    <row r="15" spans="1:22" ht="72.599999999999994" customHeight="1" x14ac:dyDescent="0.3">
      <c r="A15" s="176" t="s">
        <v>149</v>
      </c>
      <c r="B15" s="177"/>
      <c r="C15" s="177"/>
      <c r="D15" s="177"/>
      <c r="E15" s="177"/>
      <c r="F15" s="177"/>
      <c r="G15" s="177"/>
      <c r="H15" s="177"/>
      <c r="I15" s="177"/>
      <c r="J15" s="177"/>
      <c r="K15" s="177"/>
      <c r="L15" s="177"/>
      <c r="M15" s="177"/>
      <c r="N15" s="177"/>
      <c r="O15" s="177"/>
      <c r="P15" s="177"/>
      <c r="Q15" s="177"/>
      <c r="R15" s="177"/>
      <c r="S15" s="177"/>
      <c r="T15" s="177"/>
      <c r="U15" s="177"/>
      <c r="V15" s="177"/>
    </row>
    <row r="16" spans="1:22" ht="43.8" customHeight="1" x14ac:dyDescent="0.3">
      <c r="A16" s="94" t="s">
        <v>71</v>
      </c>
      <c r="B16" s="94" t="s">
        <v>25</v>
      </c>
      <c r="C16" s="92" t="s">
        <v>135</v>
      </c>
      <c r="D16" s="93" t="s">
        <v>75</v>
      </c>
      <c r="E16" s="93" t="s">
        <v>76</v>
      </c>
      <c r="F16" s="93" t="s">
        <v>94</v>
      </c>
      <c r="G16" s="93" t="s">
        <v>20</v>
      </c>
      <c r="H16" s="105" t="s">
        <v>21</v>
      </c>
      <c r="I16" s="95" t="s">
        <v>22</v>
      </c>
      <c r="J16" s="95">
        <v>0.7</v>
      </c>
      <c r="K16" s="96" t="s">
        <v>136</v>
      </c>
      <c r="L16" s="96" t="s">
        <v>137</v>
      </c>
      <c r="M16" s="56" t="s">
        <v>138</v>
      </c>
      <c r="N16" s="97" t="s">
        <v>139</v>
      </c>
      <c r="O16" s="95">
        <v>0.1</v>
      </c>
      <c r="P16" s="98"/>
      <c r="Q16" s="95">
        <f>ROUND(IF(OR(N16="",P16=""),0,IF(AND(N16=0,P16=0),1,IF(S16="+",P16/N16,N16/P16))),2)</f>
        <v>0</v>
      </c>
      <c r="R16" s="99">
        <f t="shared" ref="R16:R17" si="2">IF(AND(Q16&gt;=60%,Q16&lt;100%),Q16*((O16*J16)),IF(Q16=100%,((O16*J16)*Q16)*100%,IF(Q16&gt;100%,((J16*O16)*100%)*100%,0)))*100</f>
        <v>0</v>
      </c>
      <c r="S16" s="95" t="s">
        <v>44</v>
      </c>
      <c r="T16" s="95"/>
    </row>
    <row r="17" spans="1:20" ht="25.8" thickBot="1" x14ac:dyDescent="0.35">
      <c r="A17" s="94" t="s">
        <v>71</v>
      </c>
      <c r="B17" s="94" t="s">
        <v>25</v>
      </c>
      <c r="C17" s="92" t="s">
        <v>135</v>
      </c>
      <c r="D17" s="93" t="s">
        <v>75</v>
      </c>
      <c r="E17" s="93" t="s">
        <v>76</v>
      </c>
      <c r="F17" s="93" t="s">
        <v>94</v>
      </c>
      <c r="G17" s="93" t="s">
        <v>20</v>
      </c>
      <c r="H17" s="91" t="s">
        <v>23</v>
      </c>
      <c r="I17" s="74" t="s">
        <v>24</v>
      </c>
      <c r="J17" s="106">
        <v>0.3</v>
      </c>
      <c r="K17" s="57" t="s">
        <v>143</v>
      </c>
      <c r="L17" s="54" t="s">
        <v>144</v>
      </c>
      <c r="M17" s="57" t="s">
        <v>145</v>
      </c>
      <c r="N17" s="107">
        <v>1</v>
      </c>
      <c r="O17" s="108">
        <v>0.05</v>
      </c>
      <c r="P17" s="109"/>
      <c r="Q17" s="108">
        <f t="shared" ref="Q17" si="3">ROUND(IF(OR(N17="",P17=""),0,IF(AND(N17=0,P17=0),1,IF(S17="+",P17/N17,N17/P17))),2)</f>
        <v>0</v>
      </c>
      <c r="R17" s="110">
        <f t="shared" si="2"/>
        <v>0</v>
      </c>
      <c r="S17" s="108" t="s">
        <v>43</v>
      </c>
      <c r="T17" s="108"/>
    </row>
    <row r="18" spans="1:20" ht="25.2" x14ac:dyDescent="0.3">
      <c r="A18" s="94" t="s">
        <v>71</v>
      </c>
      <c r="B18" s="94" t="s">
        <v>25</v>
      </c>
      <c r="C18" s="92" t="s">
        <v>135</v>
      </c>
      <c r="D18" s="93" t="s">
        <v>75</v>
      </c>
      <c r="E18" s="93" t="s">
        <v>76</v>
      </c>
      <c r="F18" s="93" t="s">
        <v>94</v>
      </c>
      <c r="G18" s="93" t="s">
        <v>20</v>
      </c>
      <c r="H18" s="105" t="s">
        <v>21</v>
      </c>
      <c r="I18" s="95" t="s">
        <v>22</v>
      </c>
      <c r="J18" s="95">
        <v>0.7</v>
      </c>
      <c r="K18" s="56" t="s">
        <v>150</v>
      </c>
      <c r="L18" s="96" t="s">
        <v>151</v>
      </c>
      <c r="M18" s="56" t="s">
        <v>152</v>
      </c>
      <c r="N18" s="95" t="s">
        <v>153</v>
      </c>
      <c r="O18" s="95">
        <v>0.1</v>
      </c>
      <c r="P18" s="131"/>
      <c r="Q18" s="95">
        <f>ROUND(IF(OR(N18="",P18=""),0,IF(AND(N18=0,P18=0),1,IF(S18="+",P18/N18,N18/P18))),2)</f>
        <v>0</v>
      </c>
      <c r="R18" s="99">
        <f>IF(AND(Q18&gt;=60%,Q18&lt;100%),Q18*((O18*J18)),IF(Q18=100%,((O18*J18)*Q18)*100%,IF(Q18&gt;100%,((J18*O18)*100%)*100%,0)))*100</f>
        <v>0</v>
      </c>
      <c r="S18" s="95" t="s">
        <v>44</v>
      </c>
      <c r="T18" s="95"/>
    </row>
    <row r="19" spans="1:20" ht="25.2" x14ac:dyDescent="0.3">
      <c r="A19" s="94" t="s">
        <v>71</v>
      </c>
      <c r="B19" s="94" t="s">
        <v>140</v>
      </c>
      <c r="C19" s="92" t="s">
        <v>141</v>
      </c>
      <c r="D19" s="93" t="s">
        <v>75</v>
      </c>
      <c r="E19" s="93" t="s">
        <v>142</v>
      </c>
      <c r="F19" s="93" t="s">
        <v>94</v>
      </c>
      <c r="G19" s="93" t="s">
        <v>20</v>
      </c>
      <c r="H19" s="105" t="s">
        <v>21</v>
      </c>
      <c r="I19" s="95" t="s">
        <v>22</v>
      </c>
      <c r="J19" s="95">
        <v>0.7</v>
      </c>
      <c r="K19" s="56" t="s">
        <v>154</v>
      </c>
      <c r="L19" s="96" t="s">
        <v>155</v>
      </c>
      <c r="M19" s="56" t="s">
        <v>156</v>
      </c>
      <c r="N19" s="95" t="s">
        <v>157</v>
      </c>
      <c r="O19" s="95">
        <v>0.15</v>
      </c>
      <c r="P19" s="132"/>
      <c r="Q19" s="95">
        <f t="shared" ref="Q19" si="4">ROUND(IF(OR(N19="",P19=""),0,IF(AND(N19=0,P19=0),1,IF(S19="+",P19/N19,N19/P19))),2)</f>
        <v>0</v>
      </c>
      <c r="R19" s="99">
        <f>IF(AND(Q19&gt;=60%,Q19&lt;100%),Q19*((O19*J19)),IF(Q19=100%,((O19*J19)*Q19)*100%,IF(Q19&gt;100%,((J19*O19)*100%)*100%,0)))*100</f>
        <v>0</v>
      </c>
      <c r="S19" s="95" t="s">
        <v>43</v>
      </c>
      <c r="T19" s="95"/>
    </row>
    <row r="20" spans="1:20" x14ac:dyDescent="0.5">
      <c r="L20" s="44"/>
    </row>
    <row r="21" spans="1:20" x14ac:dyDescent="0.5">
      <c r="L21" s="44"/>
    </row>
    <row r="22" spans="1:20" x14ac:dyDescent="0.5">
      <c r="L22" s="44"/>
    </row>
    <row r="23" spans="1:20" x14ac:dyDescent="0.5">
      <c r="L23" s="44"/>
    </row>
    <row r="24" spans="1:20" x14ac:dyDescent="0.5">
      <c r="L24" s="44"/>
    </row>
    <row r="25" spans="1:20" x14ac:dyDescent="0.5">
      <c r="L25" s="44"/>
    </row>
    <row r="26" spans="1:20" x14ac:dyDescent="0.5">
      <c r="L26" s="44"/>
    </row>
  </sheetData>
  <mergeCells count="3">
    <mergeCell ref="U10:U12"/>
    <mergeCell ref="V10:V12"/>
    <mergeCell ref="A15:V15"/>
  </mergeCells>
  <phoneticPr fontId="2" type="noConversion"/>
  <conditionalFormatting sqref="H1:I6 K1:M1 K2:K6 M2:M6">
    <cfRule type="cellIs" dxfId="471" priority="48" operator="equal">
      <formula>"maintasks"</formula>
    </cfRule>
  </conditionalFormatting>
  <conditionalFormatting sqref="I2 K2 M2">
    <cfRule type="cellIs" dxfId="470" priority="47" operator="equal">
      <formula>"maintasks"</formula>
    </cfRule>
  </conditionalFormatting>
  <conditionalFormatting sqref="H2">
    <cfRule type="cellIs" dxfId="469" priority="46" operator="equal">
      <formula>"maintasks"</formula>
    </cfRule>
  </conditionalFormatting>
  <conditionalFormatting sqref="I5 K5">
    <cfRule type="cellIs" dxfId="468" priority="45" operator="equal">
      <formula>"maintasks"</formula>
    </cfRule>
  </conditionalFormatting>
  <conditionalFormatting sqref="H5">
    <cfRule type="cellIs" dxfId="467" priority="44" operator="equal">
      <formula>"maintasks"</formula>
    </cfRule>
  </conditionalFormatting>
  <conditionalFormatting sqref="A7:K7 N7:T7">
    <cfRule type="cellIs" dxfId="466" priority="43" operator="equal">
      <formula>"maintasks"</formula>
    </cfRule>
  </conditionalFormatting>
  <conditionalFormatting sqref="H7">
    <cfRule type="cellIs" dxfId="465" priority="42" operator="equal">
      <formula>"maintasks"</formula>
    </cfRule>
  </conditionalFormatting>
  <conditionalFormatting sqref="I8:I9 K10:K13">
    <cfRule type="cellIs" dxfId="464" priority="41" operator="equal">
      <formula>"maintasks"</formula>
    </cfRule>
  </conditionalFormatting>
  <conditionalFormatting sqref="H8:H9">
    <cfRule type="cellIs" dxfId="463" priority="40" operator="equal">
      <formula>"maintasks"</formula>
    </cfRule>
  </conditionalFormatting>
  <conditionalFormatting sqref="I9">
    <cfRule type="cellIs" dxfId="462" priority="39" operator="equal">
      <formula>"maintasks"</formula>
    </cfRule>
  </conditionalFormatting>
  <conditionalFormatting sqref="H9">
    <cfRule type="cellIs" dxfId="461" priority="38" operator="equal">
      <formula>"maintasks"</formula>
    </cfRule>
  </conditionalFormatting>
  <conditionalFormatting sqref="K14 I14">
    <cfRule type="cellIs" dxfId="460" priority="37" operator="equal">
      <formula>"maintasks"</formula>
    </cfRule>
  </conditionalFormatting>
  <conditionalFormatting sqref="H14">
    <cfRule type="cellIs" dxfId="459" priority="36" operator="equal">
      <formula>"maintasks"</formula>
    </cfRule>
  </conditionalFormatting>
  <conditionalFormatting sqref="I2">
    <cfRule type="cellIs" dxfId="458" priority="35" operator="equal">
      <formula>"maintasks"</formula>
    </cfRule>
  </conditionalFormatting>
  <conditionalFormatting sqref="I10:I12">
    <cfRule type="cellIs" dxfId="457" priority="34" operator="equal">
      <formula>"maintasks"</formula>
    </cfRule>
  </conditionalFormatting>
  <conditionalFormatting sqref="H10:H12">
    <cfRule type="cellIs" dxfId="456" priority="33" operator="equal">
      <formula>"maintasks"</formula>
    </cfRule>
  </conditionalFormatting>
  <conditionalFormatting sqref="M5">
    <cfRule type="cellIs" dxfId="455" priority="32" operator="equal">
      <formula>"maintasks"</formula>
    </cfRule>
  </conditionalFormatting>
  <conditionalFormatting sqref="K9">
    <cfRule type="cellIs" dxfId="454" priority="28" operator="equal">
      <formula>"maintasks"</formula>
    </cfRule>
  </conditionalFormatting>
  <conditionalFormatting sqref="M14">
    <cfRule type="cellIs" dxfId="453" priority="30" operator="equal">
      <formula>"maintasks"</formula>
    </cfRule>
  </conditionalFormatting>
  <conditionalFormatting sqref="M10:M13">
    <cfRule type="cellIs" dxfId="452" priority="29" operator="equal">
      <formula>"maintasks"</formula>
    </cfRule>
  </conditionalFormatting>
  <conditionalFormatting sqref="M9">
    <cfRule type="cellIs" dxfId="451" priority="27" operator="equal">
      <formula>"maintasks"</formula>
    </cfRule>
  </conditionalFormatting>
  <conditionalFormatting sqref="I13">
    <cfRule type="cellIs" dxfId="450" priority="26" operator="equal">
      <formula>"maintasks"</formula>
    </cfRule>
  </conditionalFormatting>
  <conditionalFormatting sqref="H13">
    <cfRule type="cellIs" dxfId="449" priority="25" operator="equal">
      <formula>"maintasks"</formula>
    </cfRule>
  </conditionalFormatting>
  <conditionalFormatting sqref="K8">
    <cfRule type="cellIs" dxfId="448" priority="24" operator="equal">
      <formula>"maintasks"</formula>
    </cfRule>
  </conditionalFormatting>
  <conditionalFormatting sqref="M8">
    <cfRule type="cellIs" dxfId="447" priority="23" operator="equal">
      <formula>"maintasks"</formula>
    </cfRule>
  </conditionalFormatting>
  <conditionalFormatting sqref="J17:N17">
    <cfRule type="cellIs" dxfId="446" priority="5" operator="equal">
      <formula>"maintasks"</formula>
    </cfRule>
  </conditionalFormatting>
  <conditionalFormatting sqref="L2:L6">
    <cfRule type="cellIs" dxfId="445" priority="21" operator="equal">
      <formula>"maintasks"</formula>
    </cfRule>
  </conditionalFormatting>
  <conditionalFormatting sqref="L2">
    <cfRule type="cellIs" dxfId="444" priority="20" operator="equal">
      <formula>"maintasks"</formula>
    </cfRule>
  </conditionalFormatting>
  <conditionalFormatting sqref="L5">
    <cfRule type="cellIs" dxfId="443" priority="19" operator="equal">
      <formula>"maintasks"</formula>
    </cfRule>
  </conditionalFormatting>
  <conditionalFormatting sqref="L14">
    <cfRule type="cellIs" dxfId="442" priority="16" operator="equal">
      <formula>"maintasks"</formula>
    </cfRule>
  </conditionalFormatting>
  <conditionalFormatting sqref="L10:L12">
    <cfRule type="cellIs" dxfId="441" priority="17" operator="equal">
      <formula>"maintasks"</formula>
    </cfRule>
  </conditionalFormatting>
  <conditionalFormatting sqref="H16 K16">
    <cfRule type="cellIs" dxfId="440" priority="10" operator="equal">
      <formula>"maintasks"</formula>
    </cfRule>
  </conditionalFormatting>
  <conditionalFormatting sqref="L9">
    <cfRule type="cellIs" dxfId="439" priority="15" operator="equal">
      <formula>"maintasks"</formula>
    </cfRule>
  </conditionalFormatting>
  <conditionalFormatting sqref="L8">
    <cfRule type="cellIs" dxfId="438" priority="14" operator="equal">
      <formula>"maintasks"</formula>
    </cfRule>
  </conditionalFormatting>
  <conditionalFormatting sqref="M7">
    <cfRule type="cellIs" dxfId="437" priority="13" operator="equal">
      <formula>"maintasks"</formula>
    </cfRule>
  </conditionalFormatting>
  <conditionalFormatting sqref="L7">
    <cfRule type="cellIs" dxfId="436" priority="12" operator="equal">
      <formula>"maintasks"</formula>
    </cfRule>
  </conditionalFormatting>
  <conditionalFormatting sqref="A16:B17">
    <cfRule type="cellIs" dxfId="435" priority="9" operator="equal">
      <formula>"maintasks"</formula>
    </cfRule>
  </conditionalFormatting>
  <conditionalFormatting sqref="L16:M16">
    <cfRule type="cellIs" dxfId="434" priority="8" operator="equal">
      <formula>"maintasks"</formula>
    </cfRule>
  </conditionalFormatting>
  <conditionalFormatting sqref="I17">
    <cfRule type="cellIs" dxfId="433" priority="7" operator="equal">
      <formula>"maintasks"</formula>
    </cfRule>
  </conditionalFormatting>
  <conditionalFormatting sqref="H17">
    <cfRule type="cellIs" dxfId="432" priority="6" operator="equal">
      <formula>"maintasks"</formula>
    </cfRule>
  </conditionalFormatting>
  <conditionalFormatting sqref="K19:M19">
    <cfRule type="cellIs" dxfId="431" priority="1" operator="equal">
      <formula>"maintasks"</formula>
    </cfRule>
  </conditionalFormatting>
  <conditionalFormatting sqref="K18:M18">
    <cfRule type="cellIs" dxfId="430" priority="4" operator="equal">
      <formula>"maintasks"</formula>
    </cfRule>
  </conditionalFormatting>
  <conditionalFormatting sqref="H18:H19">
    <cfRule type="cellIs" dxfId="429" priority="3" operator="equal">
      <formula>"maintasks"</formula>
    </cfRule>
  </conditionalFormatting>
  <conditionalFormatting sqref="A18:B19">
    <cfRule type="cellIs" dxfId="428" priority="2" operator="equal">
      <formula>"maintasks"</formula>
    </cfRule>
  </conditionalFormatting>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BAE6C-3C03-4D4B-9904-0A9D82321320}">
  <sheetPr codeName="Sheet20"/>
  <dimension ref="A1:V29"/>
  <sheetViews>
    <sheetView topLeftCell="M1" zoomScale="110" zoomScaleNormal="110" workbookViewId="0">
      <selection activeCell="V4" sqref="U4:V4"/>
    </sheetView>
  </sheetViews>
  <sheetFormatPr defaultColWidth="8.77734375" defaultRowHeight="16.8" x14ac:dyDescent="0.3"/>
  <cols>
    <col min="1" max="1" width="10" style="11" bestFit="1" customWidth="1"/>
    <col min="2" max="2" width="3.5546875" style="11" bestFit="1" customWidth="1"/>
    <col min="3" max="3" width="5.88671875" style="11" bestFit="1" customWidth="1"/>
    <col min="4" max="4" width="13.5546875" style="11" bestFit="1" customWidth="1"/>
    <col min="5" max="5" width="35.33203125" style="11" bestFit="1" customWidth="1"/>
    <col min="6" max="6" width="11.21875" style="11" bestFit="1" customWidth="1"/>
    <col min="7" max="7" width="7.21875" style="11" customWidth="1"/>
    <col min="8" max="8" width="6.88671875" style="11" customWidth="1"/>
    <col min="9" max="9" width="8.6640625" style="11" customWidth="1"/>
    <col min="10" max="10" width="7.88671875" style="11" bestFit="1" customWidth="1"/>
    <col min="11" max="11" width="63.77734375" style="11" bestFit="1" customWidth="1"/>
    <col min="12" max="12" width="51.77734375" style="40" bestFit="1" customWidth="1"/>
    <col min="13" max="13" width="42.44140625" style="11" customWidth="1"/>
    <col min="14" max="14" width="5" style="11" bestFit="1" customWidth="1"/>
    <col min="15" max="15" width="7.88671875" style="11" bestFit="1" customWidth="1"/>
    <col min="16" max="16" width="12.109375" style="11" bestFit="1" customWidth="1"/>
    <col min="17" max="17" width="17.77734375" style="11" bestFit="1" customWidth="1"/>
    <col min="18" max="18" width="13.77734375" style="11" bestFit="1" customWidth="1"/>
    <col min="19" max="19" width="3.77734375" style="11" bestFit="1" customWidth="1"/>
    <col min="20" max="20" width="3.6640625" style="11" bestFit="1" customWidth="1"/>
    <col min="21" max="21" width="55.33203125" style="52" customWidth="1"/>
    <col min="22" max="22" width="48.77734375" style="53" customWidth="1"/>
    <col min="23" max="16384" width="8.77734375" style="11"/>
  </cols>
  <sheetData>
    <row r="1" spans="1:22" x14ac:dyDescent="0.3">
      <c r="A1" s="3" t="s">
        <v>0</v>
      </c>
      <c r="B1" s="4" t="s">
        <v>1</v>
      </c>
      <c r="C1" s="4" t="s">
        <v>2</v>
      </c>
      <c r="D1" s="4" t="s">
        <v>3</v>
      </c>
      <c r="E1" s="4" t="s">
        <v>4</v>
      </c>
      <c r="F1" s="4" t="s">
        <v>5</v>
      </c>
      <c r="G1" s="4" t="s">
        <v>6</v>
      </c>
      <c r="H1" s="4" t="s">
        <v>7</v>
      </c>
      <c r="I1" s="4" t="s">
        <v>8</v>
      </c>
      <c r="J1" s="6" t="s">
        <v>9</v>
      </c>
      <c r="K1" s="4" t="s">
        <v>10</v>
      </c>
      <c r="L1" s="4" t="s">
        <v>11</v>
      </c>
      <c r="M1" s="4" t="s">
        <v>12</v>
      </c>
      <c r="N1" s="4" t="s">
        <v>13</v>
      </c>
      <c r="O1" s="6" t="s">
        <v>14</v>
      </c>
      <c r="P1" s="4" t="s">
        <v>15</v>
      </c>
      <c r="Q1" s="7" t="s">
        <v>16</v>
      </c>
      <c r="R1" s="8" t="s">
        <v>17</v>
      </c>
      <c r="S1" s="9" t="s">
        <v>18</v>
      </c>
      <c r="T1" s="10" t="s">
        <v>19</v>
      </c>
      <c r="U1" s="86" t="s">
        <v>114</v>
      </c>
      <c r="V1" s="87" t="s">
        <v>114</v>
      </c>
    </row>
    <row r="2" spans="1:22" ht="55.2" x14ac:dyDescent="0.3">
      <c r="A2" s="12" t="s">
        <v>71</v>
      </c>
      <c r="B2" s="13" t="s">
        <v>25</v>
      </c>
      <c r="C2" s="14">
        <v>5387</v>
      </c>
      <c r="D2" s="14" t="s">
        <v>77</v>
      </c>
      <c r="E2" s="14" t="s">
        <v>78</v>
      </c>
      <c r="F2" s="14" t="s">
        <v>95</v>
      </c>
      <c r="G2" s="13" t="s">
        <v>20</v>
      </c>
      <c r="H2" s="14" t="s">
        <v>21</v>
      </c>
      <c r="I2" s="14" t="s">
        <v>22</v>
      </c>
      <c r="J2" s="15">
        <v>0.6</v>
      </c>
      <c r="K2" s="16" t="s">
        <v>50</v>
      </c>
      <c r="L2" s="17" t="s">
        <v>59</v>
      </c>
      <c r="M2" s="18" t="s">
        <v>48</v>
      </c>
      <c r="N2" s="58">
        <v>0.99</v>
      </c>
      <c r="O2" s="15">
        <v>0.2</v>
      </c>
      <c r="P2" s="15"/>
      <c r="Q2" s="15">
        <f>ROUND(IF(OR(N2="",P2=""),0,IF(AND(N2=0,P2=0),1,IF(S2="+",P2/N2,N2/P2))),2)</f>
        <v>0</v>
      </c>
      <c r="R2" s="19">
        <f>IF(AND(Q2&gt;=60%,Q2&lt;100%),Q2*((O2*J2)),IF(Q2=100%,((O2*J2)*Q2)*100%,IF(Q2&gt;100%,((J2*O2)*100%)*100%,0)))*100</f>
        <v>0</v>
      </c>
      <c r="S2" s="15" t="s">
        <v>43</v>
      </c>
      <c r="T2" s="21"/>
      <c r="U2" s="86" t="s">
        <v>115</v>
      </c>
      <c r="V2" s="87" t="s">
        <v>116</v>
      </c>
    </row>
    <row r="3" spans="1:22" ht="55.2" x14ac:dyDescent="0.3">
      <c r="A3" s="12" t="s">
        <v>71</v>
      </c>
      <c r="B3" s="13" t="s">
        <v>25</v>
      </c>
      <c r="C3" s="14">
        <v>5387</v>
      </c>
      <c r="D3" s="14" t="s">
        <v>77</v>
      </c>
      <c r="E3" s="14" t="s">
        <v>78</v>
      </c>
      <c r="F3" s="14" t="s">
        <v>95</v>
      </c>
      <c r="G3" s="13" t="s">
        <v>20</v>
      </c>
      <c r="H3" s="14" t="s">
        <v>21</v>
      </c>
      <c r="I3" s="14" t="s">
        <v>22</v>
      </c>
      <c r="J3" s="15">
        <v>0.6</v>
      </c>
      <c r="K3" s="16" t="s">
        <v>51</v>
      </c>
      <c r="L3" s="17" t="s">
        <v>62</v>
      </c>
      <c r="M3" s="18" t="s">
        <v>49</v>
      </c>
      <c r="N3" s="58">
        <v>0.99</v>
      </c>
      <c r="O3" s="15">
        <v>0.15</v>
      </c>
      <c r="P3" s="15"/>
      <c r="Q3" s="15">
        <f t="shared" ref="Q3:Q14" si="0">ROUND(IF(OR(N3="",P3=""),0,IF(AND(N3=0,P3=0),1,IF(S3="+",P3/N3,N3/P3))),2)</f>
        <v>0</v>
      </c>
      <c r="R3" s="19">
        <f t="shared" ref="R3:R14" si="1">IF(AND(Q3&gt;=60%,Q3&lt;100%),Q3*((O3*J3)),IF(Q3=100%,((O3*J3)*Q3)*100%,IF(Q3&gt;100%,((J3*O3)*100%)*100%,0)))*100</f>
        <v>0</v>
      </c>
      <c r="S3" s="15" t="s">
        <v>43</v>
      </c>
      <c r="T3" s="21"/>
      <c r="U3" s="86" t="s">
        <v>117</v>
      </c>
      <c r="V3" s="87" t="s">
        <v>126</v>
      </c>
    </row>
    <row r="4" spans="1:22" ht="289.8" x14ac:dyDescent="0.3">
      <c r="A4" s="59" t="s">
        <v>71</v>
      </c>
      <c r="B4" s="60" t="s">
        <v>25</v>
      </c>
      <c r="C4" s="61">
        <v>5387</v>
      </c>
      <c r="D4" s="61" t="s">
        <v>77</v>
      </c>
      <c r="E4" s="61" t="s">
        <v>78</v>
      </c>
      <c r="F4" s="61" t="s">
        <v>95</v>
      </c>
      <c r="G4" s="60" t="s">
        <v>20</v>
      </c>
      <c r="H4" s="61" t="s">
        <v>21</v>
      </c>
      <c r="I4" s="61" t="s">
        <v>22</v>
      </c>
      <c r="J4" s="58">
        <v>0.6</v>
      </c>
      <c r="K4" s="62" t="s">
        <v>31</v>
      </c>
      <c r="L4" s="113" t="s">
        <v>60</v>
      </c>
      <c r="M4" s="114" t="s">
        <v>39</v>
      </c>
      <c r="N4" s="58">
        <v>1</v>
      </c>
      <c r="O4" s="58">
        <v>0.2</v>
      </c>
      <c r="P4" s="58"/>
      <c r="Q4" s="58">
        <f>ROUND(IF(OR(N4="",P4=""),0,IF(AND(N4=0,P4=0),1,IF(S4="+",P4/N4,N4/P4))),2)</f>
        <v>0</v>
      </c>
      <c r="R4" s="65">
        <f>IF(AND(Q4&gt;=60%,Q4&lt;100%),Q4*((O4*J4)),IF(Q4=100%,((O4*J4)*Q4)*100%,IF(Q4&gt;100%,((J4*O4)*100%)*100%,0)))*100</f>
        <v>0</v>
      </c>
      <c r="S4" s="58" t="s">
        <v>43</v>
      </c>
      <c r="T4" s="66"/>
      <c r="U4" s="86" t="s">
        <v>264</v>
      </c>
      <c r="V4" s="87" t="s">
        <v>265</v>
      </c>
    </row>
    <row r="5" spans="1:22" ht="165.6" x14ac:dyDescent="0.3">
      <c r="A5" s="12" t="s">
        <v>71</v>
      </c>
      <c r="B5" s="13" t="s">
        <v>25</v>
      </c>
      <c r="C5" s="14">
        <v>5387</v>
      </c>
      <c r="D5" s="14" t="s">
        <v>77</v>
      </c>
      <c r="E5" s="14" t="s">
        <v>78</v>
      </c>
      <c r="F5" s="14" t="s">
        <v>95</v>
      </c>
      <c r="G5" s="60" t="s">
        <v>20</v>
      </c>
      <c r="H5" s="61" t="s">
        <v>21</v>
      </c>
      <c r="I5" s="61" t="s">
        <v>22</v>
      </c>
      <c r="J5" s="58">
        <v>0.6</v>
      </c>
      <c r="K5" s="62" t="s">
        <v>30</v>
      </c>
      <c r="L5" s="113" t="s">
        <v>63</v>
      </c>
      <c r="M5" s="114" t="s">
        <v>37</v>
      </c>
      <c r="N5" s="58">
        <v>1</v>
      </c>
      <c r="O5" s="58">
        <v>0.15</v>
      </c>
      <c r="P5" s="58"/>
      <c r="Q5" s="58">
        <f>ROUND(IF(OR(N5="",P5=""),0,IF(AND(N5=0,P5=0),1,IF(S5="+",P5/N5,N5/P5))),2)</f>
        <v>0</v>
      </c>
      <c r="R5" s="65">
        <f>IF(AND(Q5&gt;=60%,Q5&lt;100%),Q5*((O5*J5)),IF(Q5=100%,((O5*J5)*Q5)*100%,IF(Q5&gt;100%,((J5*O5)*100%)*100%,0)))*100</f>
        <v>0</v>
      </c>
      <c r="S5" s="58" t="s">
        <v>43</v>
      </c>
      <c r="T5" s="66"/>
      <c r="U5" s="86" t="s">
        <v>118</v>
      </c>
      <c r="V5" s="87" t="s">
        <v>127</v>
      </c>
    </row>
    <row r="6" spans="1:22" ht="41.4" x14ac:dyDescent="0.3">
      <c r="A6" s="12" t="s">
        <v>71</v>
      </c>
      <c r="B6" s="13" t="s">
        <v>25</v>
      </c>
      <c r="C6" s="14">
        <v>5387</v>
      </c>
      <c r="D6" s="14" t="s">
        <v>77</v>
      </c>
      <c r="E6" s="14" t="s">
        <v>78</v>
      </c>
      <c r="F6" s="14" t="s">
        <v>95</v>
      </c>
      <c r="G6" s="13" t="s">
        <v>20</v>
      </c>
      <c r="H6" s="14" t="s">
        <v>21</v>
      </c>
      <c r="I6" s="14" t="s">
        <v>22</v>
      </c>
      <c r="J6" s="15">
        <v>0.6</v>
      </c>
      <c r="K6" s="16" t="s">
        <v>65</v>
      </c>
      <c r="L6" s="17" t="s">
        <v>66</v>
      </c>
      <c r="M6" s="18" t="s">
        <v>67</v>
      </c>
      <c r="N6" s="15">
        <v>1</v>
      </c>
      <c r="O6" s="15">
        <v>0.15</v>
      </c>
      <c r="P6" s="15"/>
      <c r="Q6" s="15">
        <f>ROUND(IF(OR(N6="",P6=""),0,IF(AND(N6=0,P6=0),1,IF(S6="+",P6/N6,N6/P6))),2)</f>
        <v>0</v>
      </c>
      <c r="R6" s="19">
        <f>IF(AND(Q6&gt;=60%,Q6&lt;100%),Q6*((O6*J6)),IF(Q6=100%,((O6*J6)*Q6)*100%,IF(Q6&gt;100%,((J6*O6)*100%)*100%,0)))*100</f>
        <v>0</v>
      </c>
      <c r="S6" s="15" t="s">
        <v>43</v>
      </c>
      <c r="T6" s="21"/>
      <c r="U6" s="86" t="s">
        <v>119</v>
      </c>
      <c r="V6" s="87" t="s">
        <v>128</v>
      </c>
    </row>
    <row r="7" spans="1:22" ht="110.4" x14ac:dyDescent="0.3">
      <c r="A7" s="12" t="s">
        <v>71</v>
      </c>
      <c r="B7" s="13" t="s">
        <v>25</v>
      </c>
      <c r="C7" s="14">
        <v>5387</v>
      </c>
      <c r="D7" s="14" t="s">
        <v>77</v>
      </c>
      <c r="E7" s="14" t="s">
        <v>78</v>
      </c>
      <c r="F7" s="14" t="s">
        <v>95</v>
      </c>
      <c r="G7" s="13" t="s">
        <v>20</v>
      </c>
      <c r="H7" s="14" t="s">
        <v>21</v>
      </c>
      <c r="I7" s="14" t="s">
        <v>22</v>
      </c>
      <c r="J7" s="15">
        <v>0.6</v>
      </c>
      <c r="K7" s="16" t="s">
        <v>32</v>
      </c>
      <c r="L7" s="17" t="s">
        <v>61</v>
      </c>
      <c r="M7" s="116" t="s">
        <v>38</v>
      </c>
      <c r="N7" s="15">
        <v>0.95</v>
      </c>
      <c r="O7" s="15">
        <v>0.15</v>
      </c>
      <c r="P7" s="15"/>
      <c r="Q7" s="15">
        <f t="shared" si="0"/>
        <v>0</v>
      </c>
      <c r="R7" s="19">
        <f t="shared" si="1"/>
        <v>0</v>
      </c>
      <c r="S7" s="15" t="s">
        <v>44</v>
      </c>
      <c r="T7" s="21"/>
      <c r="U7" s="86" t="s">
        <v>120</v>
      </c>
      <c r="V7" s="87" t="s">
        <v>129</v>
      </c>
    </row>
    <row r="8" spans="1:22" ht="409.6" x14ac:dyDescent="0.3">
      <c r="A8" s="59" t="s">
        <v>71</v>
      </c>
      <c r="B8" s="60" t="s">
        <v>25</v>
      </c>
      <c r="C8" s="67">
        <v>5387</v>
      </c>
      <c r="D8" s="67" t="s">
        <v>77</v>
      </c>
      <c r="E8" s="67" t="s">
        <v>78</v>
      </c>
      <c r="F8" s="67" t="s">
        <v>95</v>
      </c>
      <c r="G8" s="60" t="s">
        <v>20</v>
      </c>
      <c r="H8" s="67" t="s">
        <v>23</v>
      </c>
      <c r="I8" s="67" t="s">
        <v>24</v>
      </c>
      <c r="J8" s="68">
        <v>0.4</v>
      </c>
      <c r="K8" s="69" t="s">
        <v>52</v>
      </c>
      <c r="L8" s="117" t="s">
        <v>64</v>
      </c>
      <c r="M8" s="119" t="s">
        <v>53</v>
      </c>
      <c r="N8" s="58">
        <v>1</v>
      </c>
      <c r="O8" s="58">
        <v>0.1</v>
      </c>
      <c r="P8" s="58"/>
      <c r="Q8" s="58">
        <f t="shared" si="0"/>
        <v>0</v>
      </c>
      <c r="R8" s="65">
        <f t="shared" si="1"/>
        <v>0</v>
      </c>
      <c r="S8" s="58" t="s">
        <v>43</v>
      </c>
      <c r="T8" s="66"/>
      <c r="U8" s="86" t="s">
        <v>121</v>
      </c>
      <c r="V8" s="87" t="s">
        <v>130</v>
      </c>
    </row>
    <row r="9" spans="1:22" ht="289.8" x14ac:dyDescent="0.3">
      <c r="A9" s="59" t="s">
        <v>71</v>
      </c>
      <c r="B9" s="60" t="s">
        <v>25</v>
      </c>
      <c r="C9" s="67">
        <v>5387</v>
      </c>
      <c r="D9" s="67" t="s">
        <v>77</v>
      </c>
      <c r="E9" s="67" t="s">
        <v>78</v>
      </c>
      <c r="F9" s="67" t="s">
        <v>95</v>
      </c>
      <c r="G9" s="60" t="s">
        <v>20</v>
      </c>
      <c r="H9" s="67" t="s">
        <v>23</v>
      </c>
      <c r="I9" s="67" t="s">
        <v>24</v>
      </c>
      <c r="J9" s="68">
        <v>0.4</v>
      </c>
      <c r="K9" s="69" t="s">
        <v>54</v>
      </c>
      <c r="L9" s="117" t="s">
        <v>68</v>
      </c>
      <c r="M9" s="119" t="s">
        <v>69</v>
      </c>
      <c r="N9" s="58">
        <v>1</v>
      </c>
      <c r="O9" s="58">
        <v>0.2</v>
      </c>
      <c r="P9" s="58"/>
      <c r="Q9" s="58">
        <f>ROUND(IF(OR(N9="",P9=""),0,IF(AND(N9=0,P9=0),1,IF(S9="+",P9/N9,N9/P9))),2)</f>
        <v>0</v>
      </c>
      <c r="R9" s="65">
        <f>IF(AND(Q9&gt;=60%,Q9&lt;100%),Q9*((O9*J9)),IF(Q9=100%,((O9*J9)*Q9)*100%,IF(Q9&gt;100%,((J9*O9)*100%)*100%,0)))*100</f>
        <v>0</v>
      </c>
      <c r="S9" s="58" t="s">
        <v>43</v>
      </c>
      <c r="T9" s="66"/>
      <c r="U9" s="86" t="s">
        <v>123</v>
      </c>
      <c r="V9" s="87" t="s">
        <v>131</v>
      </c>
    </row>
    <row r="10" spans="1:22" ht="88.8" customHeight="1" x14ac:dyDescent="0.3">
      <c r="A10" s="59" t="s">
        <v>71</v>
      </c>
      <c r="B10" s="60" t="s">
        <v>25</v>
      </c>
      <c r="C10" s="67">
        <v>5387</v>
      </c>
      <c r="D10" s="67" t="s">
        <v>77</v>
      </c>
      <c r="E10" s="67" t="s">
        <v>78</v>
      </c>
      <c r="F10" s="67" t="s">
        <v>95</v>
      </c>
      <c r="G10" s="60" t="s">
        <v>20</v>
      </c>
      <c r="H10" s="67" t="s">
        <v>23</v>
      </c>
      <c r="I10" s="67" t="s">
        <v>24</v>
      </c>
      <c r="J10" s="68">
        <v>0.4</v>
      </c>
      <c r="K10" s="62" t="s">
        <v>33</v>
      </c>
      <c r="L10" s="113" t="s">
        <v>26</v>
      </c>
      <c r="M10" s="67" t="s">
        <v>55</v>
      </c>
      <c r="N10" s="58">
        <v>1</v>
      </c>
      <c r="O10" s="58">
        <v>0.1</v>
      </c>
      <c r="P10" s="58"/>
      <c r="Q10" s="58">
        <f t="shared" si="0"/>
        <v>0</v>
      </c>
      <c r="R10" s="65">
        <f t="shared" si="1"/>
        <v>0</v>
      </c>
      <c r="S10" s="58" t="s">
        <v>43</v>
      </c>
      <c r="T10" s="66"/>
      <c r="U10" s="178" t="s">
        <v>125</v>
      </c>
      <c r="V10" s="175" t="s">
        <v>132</v>
      </c>
    </row>
    <row r="11" spans="1:22" ht="247.8" customHeight="1" x14ac:dyDescent="0.3">
      <c r="A11" s="59" t="s">
        <v>71</v>
      </c>
      <c r="B11" s="60" t="s">
        <v>25</v>
      </c>
      <c r="C11" s="67">
        <v>5387</v>
      </c>
      <c r="D11" s="67" t="s">
        <v>77</v>
      </c>
      <c r="E11" s="67" t="s">
        <v>78</v>
      </c>
      <c r="F11" s="67" t="s">
        <v>95</v>
      </c>
      <c r="G11" s="60" t="s">
        <v>20</v>
      </c>
      <c r="H11" s="67" t="s">
        <v>23</v>
      </c>
      <c r="I11" s="67" t="s">
        <v>24</v>
      </c>
      <c r="J11" s="68">
        <v>0.4</v>
      </c>
      <c r="K11" s="62" t="s">
        <v>92</v>
      </c>
      <c r="L11" s="113"/>
      <c r="M11" s="62" t="s">
        <v>56</v>
      </c>
      <c r="N11" s="58">
        <v>1</v>
      </c>
      <c r="O11" s="58">
        <v>0.2</v>
      </c>
      <c r="P11" s="58"/>
      <c r="Q11" s="58">
        <f t="shared" si="0"/>
        <v>0</v>
      </c>
      <c r="R11" s="65">
        <f t="shared" si="1"/>
        <v>0</v>
      </c>
      <c r="S11" s="58" t="s">
        <v>43</v>
      </c>
      <c r="T11" s="66"/>
      <c r="U11" s="178"/>
      <c r="V11" s="175"/>
    </row>
    <row r="12" spans="1:22" ht="247.8" customHeight="1" x14ac:dyDescent="0.3">
      <c r="A12" s="59" t="s">
        <v>71</v>
      </c>
      <c r="B12" s="60" t="s">
        <v>25</v>
      </c>
      <c r="C12" s="67">
        <v>5387</v>
      </c>
      <c r="D12" s="67" t="s">
        <v>77</v>
      </c>
      <c r="E12" s="67" t="s">
        <v>78</v>
      </c>
      <c r="F12" s="67" t="s">
        <v>95</v>
      </c>
      <c r="G12" s="60" t="s">
        <v>20</v>
      </c>
      <c r="H12" s="67" t="s">
        <v>23</v>
      </c>
      <c r="I12" s="67" t="s">
        <v>24</v>
      </c>
      <c r="J12" s="68">
        <v>0.4</v>
      </c>
      <c r="K12" s="62" t="s">
        <v>93</v>
      </c>
      <c r="L12" s="113"/>
      <c r="M12" s="62" t="s">
        <v>57</v>
      </c>
      <c r="N12" s="58">
        <v>1</v>
      </c>
      <c r="O12" s="58">
        <v>0.15</v>
      </c>
      <c r="P12" s="58"/>
      <c r="Q12" s="58">
        <f t="shared" si="0"/>
        <v>0</v>
      </c>
      <c r="R12" s="65">
        <f t="shared" si="1"/>
        <v>0</v>
      </c>
      <c r="S12" s="58" t="s">
        <v>43</v>
      </c>
      <c r="T12" s="66"/>
      <c r="U12" s="178"/>
      <c r="V12" s="175"/>
    </row>
    <row r="13" spans="1:22" ht="409.6" x14ac:dyDescent="0.3">
      <c r="A13" s="59" t="s">
        <v>71</v>
      </c>
      <c r="B13" s="60" t="s">
        <v>25</v>
      </c>
      <c r="C13" s="67">
        <v>5387</v>
      </c>
      <c r="D13" s="67" t="s">
        <v>77</v>
      </c>
      <c r="E13" s="67" t="s">
        <v>78</v>
      </c>
      <c r="F13" s="67" t="s">
        <v>95</v>
      </c>
      <c r="G13" s="60" t="s">
        <v>20</v>
      </c>
      <c r="H13" s="67" t="s">
        <v>23</v>
      </c>
      <c r="I13" s="67" t="s">
        <v>24</v>
      </c>
      <c r="J13" s="68">
        <v>0.4</v>
      </c>
      <c r="K13" s="62" t="s">
        <v>58</v>
      </c>
      <c r="L13" s="113" t="s">
        <v>70</v>
      </c>
      <c r="M13" s="62"/>
      <c r="N13" s="58">
        <v>1</v>
      </c>
      <c r="O13" s="58">
        <v>0.15</v>
      </c>
      <c r="P13" s="58"/>
      <c r="Q13" s="58">
        <f t="shared" ref="Q13" si="2">ROUND(IF(OR(N13="",P13=""),0,IF(AND(N13=0,P13=0),1,IF(S13="+",P13/N13,N13/P13))),2)</f>
        <v>0</v>
      </c>
      <c r="R13" s="65">
        <f t="shared" ref="R13" si="3">IF(AND(Q13&gt;=60%,Q13&lt;100%),Q13*((O13*J13)),IF(Q13=100%,((O13*J13)*Q13)*100%,IF(Q13&gt;100%,((J13*O13)*100%)*100%,0)))*100</f>
        <v>0</v>
      </c>
      <c r="S13" s="58" t="s">
        <v>43</v>
      </c>
      <c r="T13" s="66"/>
      <c r="U13" s="86" t="s">
        <v>122</v>
      </c>
      <c r="V13" s="87" t="s">
        <v>133</v>
      </c>
    </row>
    <row r="14" spans="1:22" ht="235.2" thickBot="1" x14ac:dyDescent="0.35">
      <c r="A14" s="72" t="s">
        <v>71</v>
      </c>
      <c r="B14" s="73" t="s">
        <v>25</v>
      </c>
      <c r="C14" s="74">
        <v>5387</v>
      </c>
      <c r="D14" s="74" t="s">
        <v>77</v>
      </c>
      <c r="E14" s="74" t="s">
        <v>78</v>
      </c>
      <c r="F14" s="74" t="s">
        <v>95</v>
      </c>
      <c r="G14" s="73" t="s">
        <v>20</v>
      </c>
      <c r="H14" s="74" t="s">
        <v>23</v>
      </c>
      <c r="I14" s="74" t="s">
        <v>24</v>
      </c>
      <c r="J14" s="75">
        <v>0.4</v>
      </c>
      <c r="K14" s="76" t="s">
        <v>35</v>
      </c>
      <c r="L14" s="118" t="s">
        <v>28</v>
      </c>
      <c r="M14" s="76" t="s">
        <v>40</v>
      </c>
      <c r="N14" s="79">
        <v>1</v>
      </c>
      <c r="O14" s="79">
        <v>0.1</v>
      </c>
      <c r="P14" s="79"/>
      <c r="Q14" s="79">
        <f t="shared" si="0"/>
        <v>0</v>
      </c>
      <c r="R14" s="80">
        <f t="shared" si="1"/>
        <v>0</v>
      </c>
      <c r="S14" s="79" t="s">
        <v>43</v>
      </c>
      <c r="T14" s="81"/>
      <c r="U14" s="86" t="s">
        <v>124</v>
      </c>
      <c r="V14" s="87" t="s">
        <v>134</v>
      </c>
    </row>
    <row r="15" spans="1:22" ht="71.400000000000006" customHeight="1" x14ac:dyDescent="0.3">
      <c r="A15" s="176" t="s">
        <v>149</v>
      </c>
      <c r="B15" s="177"/>
      <c r="C15" s="177"/>
      <c r="D15" s="177"/>
      <c r="E15" s="177"/>
      <c r="F15" s="177"/>
      <c r="G15" s="177"/>
      <c r="H15" s="177"/>
      <c r="I15" s="177"/>
      <c r="J15" s="177"/>
      <c r="K15" s="177"/>
      <c r="L15" s="177"/>
      <c r="M15" s="177"/>
      <c r="N15" s="177"/>
      <c r="O15" s="177"/>
      <c r="P15" s="177"/>
      <c r="Q15" s="177"/>
      <c r="R15" s="177"/>
      <c r="S15" s="177"/>
      <c r="T15" s="177"/>
      <c r="U15" s="177"/>
      <c r="V15" s="177"/>
    </row>
    <row r="16" spans="1:22" ht="43.8" customHeight="1" x14ac:dyDescent="0.3">
      <c r="A16" s="94" t="s">
        <v>71</v>
      </c>
      <c r="B16" s="94" t="s">
        <v>25</v>
      </c>
      <c r="C16" s="92">
        <v>5387</v>
      </c>
      <c r="D16" s="93" t="s">
        <v>77</v>
      </c>
      <c r="E16" s="93" t="s">
        <v>78</v>
      </c>
      <c r="F16" s="93" t="s">
        <v>95</v>
      </c>
      <c r="G16" s="93" t="s">
        <v>20</v>
      </c>
      <c r="H16" s="105" t="s">
        <v>21</v>
      </c>
      <c r="I16" s="95" t="s">
        <v>22</v>
      </c>
      <c r="J16" s="95">
        <v>0.7</v>
      </c>
      <c r="K16" s="96" t="s">
        <v>136</v>
      </c>
      <c r="L16" s="96" t="s">
        <v>137</v>
      </c>
      <c r="M16" s="56" t="s">
        <v>138</v>
      </c>
      <c r="N16" s="97" t="s">
        <v>139</v>
      </c>
      <c r="O16" s="95">
        <v>0.1</v>
      </c>
      <c r="P16" s="98"/>
      <c r="Q16" s="95">
        <f>ROUND(IF(OR(N16="",P16=""),0,IF(AND(N16=0,P16=0),1,IF(S16="+",P16/N16,N16/P16))),2)</f>
        <v>0</v>
      </c>
      <c r="R16" s="99">
        <f t="shared" ref="R16:R17" si="4">IF(AND(Q16&gt;=60%,Q16&lt;100%),Q16*((O16*J16)),IF(Q16=100%,((O16*J16)*Q16)*100%,IF(Q16&gt;100%,((J16*O16)*100%)*100%,0)))*100</f>
        <v>0</v>
      </c>
      <c r="S16" s="95" t="s">
        <v>44</v>
      </c>
      <c r="T16" s="95"/>
    </row>
    <row r="17" spans="1:20" ht="25.8" thickBot="1" x14ac:dyDescent="0.35">
      <c r="A17" s="94" t="s">
        <v>71</v>
      </c>
      <c r="B17" s="94" t="s">
        <v>25</v>
      </c>
      <c r="C17" s="92">
        <v>5387</v>
      </c>
      <c r="D17" s="93" t="s">
        <v>77</v>
      </c>
      <c r="E17" s="93" t="s">
        <v>78</v>
      </c>
      <c r="F17" s="93" t="s">
        <v>95</v>
      </c>
      <c r="G17" s="93" t="s">
        <v>20</v>
      </c>
      <c r="H17" s="91" t="s">
        <v>23</v>
      </c>
      <c r="I17" s="74" t="s">
        <v>24</v>
      </c>
      <c r="J17" s="106">
        <v>0.3</v>
      </c>
      <c r="K17" s="57" t="s">
        <v>143</v>
      </c>
      <c r="L17" s="54" t="s">
        <v>144</v>
      </c>
      <c r="M17" s="57" t="s">
        <v>145</v>
      </c>
      <c r="N17" s="107">
        <v>1</v>
      </c>
      <c r="O17" s="108">
        <v>0.05</v>
      </c>
      <c r="P17" s="109"/>
      <c r="Q17" s="108">
        <f t="shared" ref="Q17" si="5">ROUND(IF(OR(N17="",P17=""),0,IF(AND(N17=0,P17=0),1,IF(S17="+",P17/N17,N17/P17))),2)</f>
        <v>0</v>
      </c>
      <c r="R17" s="110">
        <f t="shared" si="4"/>
        <v>0</v>
      </c>
      <c r="S17" s="108" t="s">
        <v>43</v>
      </c>
      <c r="T17" s="108"/>
    </row>
    <row r="18" spans="1:20" ht="25.2" x14ac:dyDescent="0.3">
      <c r="A18" s="94" t="s">
        <v>71</v>
      </c>
      <c r="B18" s="94" t="s">
        <v>25</v>
      </c>
      <c r="C18" s="92">
        <v>5387</v>
      </c>
      <c r="D18" s="93" t="s">
        <v>77</v>
      </c>
      <c r="E18" s="93" t="s">
        <v>78</v>
      </c>
      <c r="F18" s="93" t="s">
        <v>95</v>
      </c>
      <c r="G18" s="93" t="s">
        <v>20</v>
      </c>
      <c r="H18" s="105" t="s">
        <v>21</v>
      </c>
      <c r="I18" s="95" t="s">
        <v>22</v>
      </c>
      <c r="J18" s="95">
        <v>0.7</v>
      </c>
      <c r="K18" s="56" t="s">
        <v>150</v>
      </c>
      <c r="L18" s="96" t="s">
        <v>151</v>
      </c>
      <c r="M18" s="56" t="s">
        <v>152</v>
      </c>
      <c r="N18" s="95" t="s">
        <v>153</v>
      </c>
      <c r="O18" s="95">
        <v>0.1</v>
      </c>
      <c r="P18" s="131"/>
      <c r="Q18" s="95">
        <f>ROUND(IF(OR(N18="",P18=""),0,IF(AND(N18=0,P18=0),1,IF(S18="+",P18/N18,N18/P18))),2)</f>
        <v>0</v>
      </c>
      <c r="R18" s="99">
        <f>IF(AND(Q18&gt;=60%,Q18&lt;100%),Q18*((O18*J18)),IF(Q18=100%,((O18*J18)*Q18)*100%,IF(Q18&gt;100%,((J18*O18)*100%)*100%,0)))*100</f>
        <v>0</v>
      </c>
      <c r="S18" s="95" t="s">
        <v>44</v>
      </c>
      <c r="T18" s="95"/>
    </row>
    <row r="19" spans="1:20" ht="40.799999999999997" x14ac:dyDescent="0.3">
      <c r="A19" s="94" t="s">
        <v>71</v>
      </c>
      <c r="B19" s="94" t="s">
        <v>25</v>
      </c>
      <c r="C19" s="92">
        <v>5387</v>
      </c>
      <c r="D19" s="93" t="s">
        <v>77</v>
      </c>
      <c r="E19" s="93" t="s">
        <v>78</v>
      </c>
      <c r="F19" s="93" t="s">
        <v>95</v>
      </c>
      <c r="G19" s="93" t="s">
        <v>20</v>
      </c>
      <c r="H19" s="105" t="s">
        <v>21</v>
      </c>
      <c r="I19" s="95" t="s">
        <v>22</v>
      </c>
      <c r="J19" s="95">
        <v>0.7</v>
      </c>
      <c r="K19" s="56" t="s">
        <v>154</v>
      </c>
      <c r="L19" s="96" t="s">
        <v>155</v>
      </c>
      <c r="M19" s="56" t="s">
        <v>156</v>
      </c>
      <c r="N19" s="95" t="s">
        <v>157</v>
      </c>
      <c r="O19" s="95">
        <v>0.15</v>
      </c>
      <c r="P19" s="132"/>
      <c r="Q19" s="95">
        <f t="shared" ref="Q19" si="6">ROUND(IF(OR(N19="",P19=""),0,IF(AND(N19=0,P19=0),1,IF(S19="+",P19/N19,N19/P19))),2)</f>
        <v>0</v>
      </c>
      <c r="R19" s="99">
        <f>IF(AND(Q19&gt;=60%,Q19&lt;100%),Q19*((O19*J19)),IF(Q19=100%,((O19*J19)*Q19)*100%,IF(Q19&gt;100%,((J19*O19)*100%)*100%,0)))*100</f>
        <v>0</v>
      </c>
      <c r="S19" s="95" t="s">
        <v>43</v>
      </c>
      <c r="T19" s="95"/>
    </row>
    <row r="20" spans="1:20" x14ac:dyDescent="0.3">
      <c r="L20" s="11"/>
    </row>
    <row r="21" spans="1:20" x14ac:dyDescent="0.3">
      <c r="L21" s="11"/>
    </row>
    <row r="22" spans="1:20" x14ac:dyDescent="0.3">
      <c r="L22" s="44"/>
    </row>
    <row r="23" spans="1:20" x14ac:dyDescent="0.3">
      <c r="L23" s="44"/>
    </row>
    <row r="24" spans="1:20" x14ac:dyDescent="0.3">
      <c r="L24" s="44"/>
    </row>
    <row r="25" spans="1:20" x14ac:dyDescent="0.3">
      <c r="L25" s="44"/>
    </row>
    <row r="26" spans="1:20" x14ac:dyDescent="0.3">
      <c r="L26" s="44"/>
    </row>
    <row r="27" spans="1:20" x14ac:dyDescent="0.3">
      <c r="L27" s="44"/>
    </row>
    <row r="28" spans="1:20" x14ac:dyDescent="0.3">
      <c r="L28" s="44"/>
    </row>
    <row r="29" spans="1:20" x14ac:dyDescent="0.3">
      <c r="L29" s="44"/>
    </row>
  </sheetData>
  <mergeCells count="3">
    <mergeCell ref="U10:U12"/>
    <mergeCell ref="V10:V12"/>
    <mergeCell ref="A15:V15"/>
  </mergeCells>
  <phoneticPr fontId="2" type="noConversion"/>
  <conditionalFormatting sqref="H1:I6 K1:M1 L2:M6">
    <cfRule type="cellIs" dxfId="427" priority="93" operator="equal">
      <formula>"maintasks"</formula>
    </cfRule>
  </conditionalFormatting>
  <conditionalFormatting sqref="I2 L2:M2">
    <cfRule type="cellIs" dxfId="426" priority="89" operator="equal">
      <formula>"maintasks"</formula>
    </cfRule>
  </conditionalFormatting>
  <conditionalFormatting sqref="H2">
    <cfRule type="cellIs" dxfId="425" priority="88" operator="equal">
      <formula>"maintasks"</formula>
    </cfRule>
  </conditionalFormatting>
  <conditionalFormatting sqref="I5 L5">
    <cfRule type="cellIs" dxfId="424" priority="87" operator="equal">
      <formula>"maintasks"</formula>
    </cfRule>
  </conditionalFormatting>
  <conditionalFormatting sqref="H5">
    <cfRule type="cellIs" dxfId="423" priority="86" operator="equal">
      <formula>"maintasks"</formula>
    </cfRule>
  </conditionalFormatting>
  <conditionalFormatting sqref="I7 L7">
    <cfRule type="cellIs" dxfId="422" priority="81" operator="equal">
      <formula>"maintasks"</formula>
    </cfRule>
  </conditionalFormatting>
  <conditionalFormatting sqref="H7">
    <cfRule type="cellIs" dxfId="421" priority="80" operator="equal">
      <formula>"maintasks"</formula>
    </cfRule>
  </conditionalFormatting>
  <conditionalFormatting sqref="I8:I9 L10:L12">
    <cfRule type="cellIs" dxfId="420" priority="79" operator="equal">
      <formula>"maintasks"</formula>
    </cfRule>
  </conditionalFormatting>
  <conditionalFormatting sqref="H8:H9">
    <cfRule type="cellIs" dxfId="419" priority="78" operator="equal">
      <formula>"maintasks"</formula>
    </cfRule>
  </conditionalFormatting>
  <conditionalFormatting sqref="I9">
    <cfRule type="cellIs" dxfId="418" priority="77" operator="equal">
      <formula>"maintasks"</formula>
    </cfRule>
  </conditionalFormatting>
  <conditionalFormatting sqref="H9">
    <cfRule type="cellIs" dxfId="417" priority="76" operator="equal">
      <formula>"maintasks"</formula>
    </cfRule>
  </conditionalFormatting>
  <conditionalFormatting sqref="L14 I14">
    <cfRule type="cellIs" dxfId="416" priority="73" operator="equal">
      <formula>"maintasks"</formula>
    </cfRule>
  </conditionalFormatting>
  <conditionalFormatting sqref="H14">
    <cfRule type="cellIs" dxfId="415" priority="72" operator="equal">
      <formula>"maintasks"</formula>
    </cfRule>
  </conditionalFormatting>
  <conditionalFormatting sqref="I2">
    <cfRule type="cellIs" dxfId="414" priority="65" operator="equal">
      <formula>"maintasks"</formula>
    </cfRule>
  </conditionalFormatting>
  <conditionalFormatting sqref="I10:I12">
    <cfRule type="cellIs" dxfId="413" priority="64" operator="equal">
      <formula>"maintasks"</formula>
    </cfRule>
  </conditionalFormatting>
  <conditionalFormatting sqref="H10:H12">
    <cfRule type="cellIs" dxfId="412" priority="63" operator="equal">
      <formula>"maintasks"</formula>
    </cfRule>
  </conditionalFormatting>
  <conditionalFormatting sqref="M5">
    <cfRule type="cellIs" dxfId="411" priority="44" operator="equal">
      <formula>"maintasks"</formula>
    </cfRule>
  </conditionalFormatting>
  <conditionalFormatting sqref="M7">
    <cfRule type="cellIs" dxfId="410" priority="42" operator="equal">
      <formula>"maintasks"</formula>
    </cfRule>
  </conditionalFormatting>
  <conditionalFormatting sqref="M14">
    <cfRule type="cellIs" dxfId="409" priority="41" operator="equal">
      <formula>"maintasks"</formula>
    </cfRule>
  </conditionalFormatting>
  <conditionalFormatting sqref="M10:M13">
    <cfRule type="cellIs" dxfId="408" priority="38" operator="equal">
      <formula>"maintasks"</formula>
    </cfRule>
  </conditionalFormatting>
  <conditionalFormatting sqref="L9">
    <cfRule type="cellIs" dxfId="407" priority="35" operator="equal">
      <formula>"maintasks"</formula>
    </cfRule>
  </conditionalFormatting>
  <conditionalFormatting sqref="M9">
    <cfRule type="cellIs" dxfId="406" priority="33" operator="equal">
      <formula>"maintasks"</formula>
    </cfRule>
  </conditionalFormatting>
  <conditionalFormatting sqref="I13">
    <cfRule type="cellIs" dxfId="405" priority="32" operator="equal">
      <formula>"maintasks"</formula>
    </cfRule>
  </conditionalFormatting>
  <conditionalFormatting sqref="H13">
    <cfRule type="cellIs" dxfId="404" priority="31" operator="equal">
      <formula>"maintasks"</formula>
    </cfRule>
  </conditionalFormatting>
  <conditionalFormatting sqref="L8">
    <cfRule type="cellIs" dxfId="403" priority="30" operator="equal">
      <formula>"maintasks"</formula>
    </cfRule>
  </conditionalFormatting>
  <conditionalFormatting sqref="M8">
    <cfRule type="cellIs" dxfId="402" priority="29" operator="equal">
      <formula>"maintasks"</formula>
    </cfRule>
  </conditionalFormatting>
  <conditionalFormatting sqref="L13">
    <cfRule type="cellIs" dxfId="401" priority="28" operator="equal">
      <formula>"maintasks"</formula>
    </cfRule>
  </conditionalFormatting>
  <conditionalFormatting sqref="C1:F6">
    <cfRule type="cellIs" dxfId="400" priority="27" operator="equal">
      <formula>"maintasks"</formula>
    </cfRule>
  </conditionalFormatting>
  <conditionalFormatting sqref="C2:F2">
    <cfRule type="cellIs" dxfId="399" priority="26" operator="equal">
      <formula>"maintasks"</formula>
    </cfRule>
  </conditionalFormatting>
  <conditionalFormatting sqref="C5:F5">
    <cfRule type="cellIs" dxfId="398" priority="25" operator="equal">
      <formula>"maintasks"</formula>
    </cfRule>
  </conditionalFormatting>
  <conditionalFormatting sqref="C7:F7">
    <cfRule type="cellIs" dxfId="397" priority="24" operator="equal">
      <formula>"maintasks"</formula>
    </cfRule>
  </conditionalFormatting>
  <conditionalFormatting sqref="C8:F9">
    <cfRule type="cellIs" dxfId="396" priority="23" operator="equal">
      <formula>"maintasks"</formula>
    </cfRule>
  </conditionalFormatting>
  <conditionalFormatting sqref="C9:F9">
    <cfRule type="cellIs" dxfId="395" priority="22" operator="equal">
      <formula>"maintasks"</formula>
    </cfRule>
  </conditionalFormatting>
  <conditionalFormatting sqref="C14:F14">
    <cfRule type="cellIs" dxfId="394" priority="21" operator="equal">
      <formula>"maintasks"</formula>
    </cfRule>
  </conditionalFormatting>
  <conditionalFormatting sqref="C10:F12">
    <cfRule type="cellIs" dxfId="393" priority="20" operator="equal">
      <formula>"maintasks"</formula>
    </cfRule>
  </conditionalFormatting>
  <conditionalFormatting sqref="C13:F13">
    <cfRule type="cellIs" dxfId="392" priority="19" operator="equal">
      <formula>"maintasks"</formula>
    </cfRule>
  </conditionalFormatting>
  <conditionalFormatting sqref="K2:K6">
    <cfRule type="cellIs" dxfId="391" priority="18" operator="equal">
      <formula>"maintasks"</formula>
    </cfRule>
  </conditionalFormatting>
  <conditionalFormatting sqref="K2">
    <cfRule type="cellIs" dxfId="390" priority="17" operator="equal">
      <formula>"maintasks"</formula>
    </cfRule>
  </conditionalFormatting>
  <conditionalFormatting sqref="K5">
    <cfRule type="cellIs" dxfId="389" priority="16" operator="equal">
      <formula>"maintasks"</formula>
    </cfRule>
  </conditionalFormatting>
  <conditionalFormatting sqref="K7">
    <cfRule type="cellIs" dxfId="388" priority="15" operator="equal">
      <formula>"maintasks"</formula>
    </cfRule>
  </conditionalFormatting>
  <conditionalFormatting sqref="K10:K13">
    <cfRule type="cellIs" dxfId="387" priority="14" operator="equal">
      <formula>"maintasks"</formula>
    </cfRule>
  </conditionalFormatting>
  <conditionalFormatting sqref="K14">
    <cfRule type="cellIs" dxfId="386" priority="13" operator="equal">
      <formula>"maintasks"</formula>
    </cfRule>
  </conditionalFormatting>
  <conditionalFormatting sqref="K9">
    <cfRule type="cellIs" dxfId="385" priority="12" operator="equal">
      <formula>"maintasks"</formula>
    </cfRule>
  </conditionalFormatting>
  <conditionalFormatting sqref="K8">
    <cfRule type="cellIs" dxfId="384" priority="11" operator="equal">
      <formula>"maintasks"</formula>
    </cfRule>
  </conditionalFormatting>
  <conditionalFormatting sqref="H16 K16">
    <cfRule type="cellIs" dxfId="383" priority="10" operator="equal">
      <formula>"maintasks"</formula>
    </cfRule>
  </conditionalFormatting>
  <conditionalFormatting sqref="A16:B19">
    <cfRule type="cellIs" dxfId="382" priority="9" operator="equal">
      <formula>"maintasks"</formula>
    </cfRule>
  </conditionalFormatting>
  <conditionalFormatting sqref="L16:M16">
    <cfRule type="cellIs" dxfId="381" priority="8" operator="equal">
      <formula>"maintasks"</formula>
    </cfRule>
  </conditionalFormatting>
  <conditionalFormatting sqref="I17">
    <cfRule type="cellIs" dxfId="380" priority="7" operator="equal">
      <formula>"maintasks"</formula>
    </cfRule>
  </conditionalFormatting>
  <conditionalFormatting sqref="H17">
    <cfRule type="cellIs" dxfId="379" priority="6" operator="equal">
      <formula>"maintasks"</formula>
    </cfRule>
  </conditionalFormatting>
  <conditionalFormatting sqref="J17:N17">
    <cfRule type="cellIs" dxfId="378" priority="5" operator="equal">
      <formula>"maintasks"</formula>
    </cfRule>
  </conditionalFormatting>
  <conditionalFormatting sqref="K19:M19">
    <cfRule type="cellIs" dxfId="377" priority="1" operator="equal">
      <formula>"maintasks"</formula>
    </cfRule>
  </conditionalFormatting>
  <conditionalFormatting sqref="K18:M18">
    <cfRule type="cellIs" dxfId="376" priority="4" operator="equal">
      <formula>"maintasks"</formula>
    </cfRule>
  </conditionalFormatting>
  <conditionalFormatting sqref="H18:H19">
    <cfRule type="cellIs" dxfId="375" priority="3" operator="equal">
      <formula>"maintasks"</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3C9D1-8F5D-4126-8D0E-D36540E81761}">
  <dimension ref="A1:V18"/>
  <sheetViews>
    <sheetView topLeftCell="L1" workbookViewId="0">
      <selection activeCell="V4" sqref="U4:V4"/>
    </sheetView>
  </sheetViews>
  <sheetFormatPr defaultColWidth="8.77734375" defaultRowHeight="16.8" x14ac:dyDescent="0.3"/>
  <cols>
    <col min="1" max="1" width="9.109375" style="11" bestFit="1" customWidth="1"/>
    <col min="2" max="2" width="2.77734375" style="11" bestFit="1" customWidth="1"/>
    <col min="3" max="3" width="5.109375" style="11" bestFit="1" customWidth="1"/>
    <col min="4" max="4" width="13.5546875" style="11" customWidth="1"/>
    <col min="5" max="5" width="13.21875" style="11" customWidth="1"/>
    <col min="6" max="6" width="5.88671875" style="11" bestFit="1" customWidth="1"/>
    <col min="7" max="8" width="6.6640625" style="11" bestFit="1" customWidth="1"/>
    <col min="9" max="9" width="7.6640625" style="11" bestFit="1" customWidth="1"/>
    <col min="10" max="10" width="6.33203125" style="11" bestFit="1" customWidth="1"/>
    <col min="11" max="11" width="65.44140625" style="11" bestFit="1" customWidth="1"/>
    <col min="12" max="12" width="37.77734375" style="124" bestFit="1" customWidth="1"/>
    <col min="13" max="13" width="49.88671875" style="124" customWidth="1"/>
    <col min="14" max="14" width="5" style="11" bestFit="1" customWidth="1"/>
    <col min="15" max="15" width="8.77734375" style="11" bestFit="1" customWidth="1"/>
    <col min="16" max="16" width="13.21875" style="11" bestFit="1" customWidth="1"/>
    <col min="17" max="17" width="10.88671875" style="11" customWidth="1"/>
    <col min="18" max="18" width="6.33203125" style="11" customWidth="1"/>
    <col min="19" max="19" width="4" style="11" bestFit="1" customWidth="1"/>
    <col min="20" max="20" width="4.21875" style="11" bestFit="1" customWidth="1"/>
    <col min="21" max="21" width="55.33203125" style="52" customWidth="1"/>
    <col min="22" max="22" width="48.77734375" style="53" customWidth="1"/>
    <col min="23" max="16384" width="8.77734375" style="11"/>
  </cols>
  <sheetData>
    <row r="1" spans="1:22" x14ac:dyDescent="0.3">
      <c r="A1" s="3" t="s">
        <v>0</v>
      </c>
      <c r="B1" s="4" t="s">
        <v>1</v>
      </c>
      <c r="C1" s="5" t="s">
        <v>2</v>
      </c>
      <c r="D1" s="4" t="s">
        <v>3</v>
      </c>
      <c r="E1" s="4" t="s">
        <v>4</v>
      </c>
      <c r="F1" s="4" t="s">
        <v>5</v>
      </c>
      <c r="G1" s="4" t="s">
        <v>6</v>
      </c>
      <c r="H1" s="4" t="s">
        <v>7</v>
      </c>
      <c r="I1" s="4" t="s">
        <v>8</v>
      </c>
      <c r="J1" s="6" t="s">
        <v>9</v>
      </c>
      <c r="K1" s="4" t="s">
        <v>10</v>
      </c>
      <c r="L1" s="120" t="s">
        <v>11</v>
      </c>
      <c r="M1" s="120" t="s">
        <v>12</v>
      </c>
      <c r="N1" s="4" t="s">
        <v>13</v>
      </c>
      <c r="O1" s="6" t="s">
        <v>14</v>
      </c>
      <c r="P1" s="4" t="s">
        <v>15</v>
      </c>
      <c r="Q1" s="7" t="s">
        <v>16</v>
      </c>
      <c r="R1" s="8" t="s">
        <v>17</v>
      </c>
      <c r="S1" s="9" t="s">
        <v>18</v>
      </c>
      <c r="T1" s="10" t="s">
        <v>19</v>
      </c>
      <c r="U1" s="86" t="s">
        <v>114</v>
      </c>
      <c r="V1" s="87" t="s">
        <v>114</v>
      </c>
    </row>
    <row r="2" spans="1:22" ht="55.2" x14ac:dyDescent="0.3">
      <c r="A2" s="12" t="s">
        <v>71</v>
      </c>
      <c r="B2" s="13" t="s">
        <v>25</v>
      </c>
      <c r="C2" s="13">
        <v>3073</v>
      </c>
      <c r="D2" s="13" t="s">
        <v>79</v>
      </c>
      <c r="E2" s="13" t="s">
        <v>80</v>
      </c>
      <c r="F2" s="13" t="s">
        <v>94</v>
      </c>
      <c r="G2" s="13" t="s">
        <v>20</v>
      </c>
      <c r="H2" s="14" t="s">
        <v>21</v>
      </c>
      <c r="I2" s="14" t="s">
        <v>22</v>
      </c>
      <c r="J2" s="15">
        <v>0.6</v>
      </c>
      <c r="K2" s="16" t="s">
        <v>50</v>
      </c>
      <c r="L2" s="122" t="s">
        <v>59</v>
      </c>
      <c r="M2" s="115" t="s">
        <v>48</v>
      </c>
      <c r="N2" s="58">
        <v>0.99</v>
      </c>
      <c r="O2" s="15">
        <v>0.2</v>
      </c>
      <c r="P2" s="15"/>
      <c r="Q2" s="15">
        <f t="shared" ref="Q2:Q7" si="0">ROUND(IF(OR(N2="",P2=""),0,IF(AND(N2=0,P2=0),1,IF(S2="+",P2/N2,N2/P2))),2)</f>
        <v>0</v>
      </c>
      <c r="R2" s="19">
        <f t="shared" ref="R2:R13" si="1">IF(AND(Q2&gt;=60%,Q2&lt;100%),Q2*((O2*J2)),IF(Q2=100%,((O2*J2)*Q2)*100%,IF(Q2&gt;100%,((J2*O2)*100%)*100%,0)))*100</f>
        <v>0</v>
      </c>
      <c r="S2" s="15" t="s">
        <v>43</v>
      </c>
      <c r="T2" s="20"/>
      <c r="U2" s="86" t="s">
        <v>115</v>
      </c>
      <c r="V2" s="87" t="s">
        <v>116</v>
      </c>
    </row>
    <row r="3" spans="1:22" ht="55.2" x14ac:dyDescent="0.3">
      <c r="A3" s="12" t="s">
        <v>71</v>
      </c>
      <c r="B3" s="13" t="s">
        <v>25</v>
      </c>
      <c r="C3" s="13">
        <v>3073</v>
      </c>
      <c r="D3" s="13" t="s">
        <v>79</v>
      </c>
      <c r="E3" s="13" t="s">
        <v>80</v>
      </c>
      <c r="F3" s="13" t="s">
        <v>94</v>
      </c>
      <c r="G3" s="13" t="s">
        <v>20</v>
      </c>
      <c r="H3" s="14" t="s">
        <v>21</v>
      </c>
      <c r="I3" s="14" t="s">
        <v>22</v>
      </c>
      <c r="J3" s="15">
        <v>0.6</v>
      </c>
      <c r="K3" s="16" t="s">
        <v>51</v>
      </c>
      <c r="L3" s="122" t="s">
        <v>62</v>
      </c>
      <c r="M3" s="115" t="s">
        <v>49</v>
      </c>
      <c r="N3" s="58">
        <v>0.99</v>
      </c>
      <c r="O3" s="15">
        <v>0.15</v>
      </c>
      <c r="P3" s="15"/>
      <c r="Q3" s="15">
        <f t="shared" si="0"/>
        <v>0</v>
      </c>
      <c r="R3" s="19">
        <f t="shared" si="1"/>
        <v>0</v>
      </c>
      <c r="S3" s="15" t="s">
        <v>43</v>
      </c>
      <c r="T3" s="21"/>
      <c r="U3" s="86" t="s">
        <v>117</v>
      </c>
      <c r="V3" s="87" t="s">
        <v>126</v>
      </c>
    </row>
    <row r="4" spans="1:22" ht="289.8" x14ac:dyDescent="0.3">
      <c r="A4" s="59" t="s">
        <v>71</v>
      </c>
      <c r="B4" s="60" t="s">
        <v>25</v>
      </c>
      <c r="C4" s="60">
        <v>3073</v>
      </c>
      <c r="D4" s="60" t="s">
        <v>79</v>
      </c>
      <c r="E4" s="60" t="s">
        <v>80</v>
      </c>
      <c r="F4" s="60" t="s">
        <v>94</v>
      </c>
      <c r="G4" s="60" t="s">
        <v>20</v>
      </c>
      <c r="H4" s="61" t="s">
        <v>21</v>
      </c>
      <c r="I4" s="61" t="s">
        <v>22</v>
      </c>
      <c r="J4" s="58">
        <v>0.6</v>
      </c>
      <c r="K4" s="62" t="s">
        <v>31</v>
      </c>
      <c r="L4" s="119" t="s">
        <v>60</v>
      </c>
      <c r="M4" s="116" t="s">
        <v>39</v>
      </c>
      <c r="N4" s="58">
        <v>1</v>
      </c>
      <c r="O4" s="58">
        <v>0.2</v>
      </c>
      <c r="P4" s="58"/>
      <c r="Q4" s="58">
        <f t="shared" si="0"/>
        <v>0</v>
      </c>
      <c r="R4" s="65">
        <f t="shared" si="1"/>
        <v>0</v>
      </c>
      <c r="S4" s="58" t="s">
        <v>43</v>
      </c>
      <c r="T4" s="66"/>
      <c r="U4" s="86" t="s">
        <v>264</v>
      </c>
      <c r="V4" s="87" t="s">
        <v>265</v>
      </c>
    </row>
    <row r="5" spans="1:22" ht="165.6" x14ac:dyDescent="0.3">
      <c r="A5" s="59" t="s">
        <v>71</v>
      </c>
      <c r="B5" s="60" t="s">
        <v>25</v>
      </c>
      <c r="C5" s="60">
        <v>3073</v>
      </c>
      <c r="D5" s="60" t="s">
        <v>79</v>
      </c>
      <c r="E5" s="60" t="s">
        <v>80</v>
      </c>
      <c r="F5" s="60" t="s">
        <v>94</v>
      </c>
      <c r="G5" s="60" t="s">
        <v>20</v>
      </c>
      <c r="H5" s="61" t="s">
        <v>21</v>
      </c>
      <c r="I5" s="61" t="s">
        <v>22</v>
      </c>
      <c r="J5" s="58">
        <v>0.6</v>
      </c>
      <c r="K5" s="62" t="s">
        <v>30</v>
      </c>
      <c r="L5" s="119" t="s">
        <v>63</v>
      </c>
      <c r="M5" s="116" t="s">
        <v>37</v>
      </c>
      <c r="N5" s="58">
        <v>1</v>
      </c>
      <c r="O5" s="58">
        <v>0.15</v>
      </c>
      <c r="P5" s="58"/>
      <c r="Q5" s="58">
        <f t="shared" si="0"/>
        <v>0</v>
      </c>
      <c r="R5" s="65">
        <f t="shared" si="1"/>
        <v>0</v>
      </c>
      <c r="S5" s="58" t="s">
        <v>43</v>
      </c>
      <c r="T5" s="66"/>
      <c r="U5" s="86" t="s">
        <v>118</v>
      </c>
      <c r="V5" s="87" t="s">
        <v>127</v>
      </c>
    </row>
    <row r="6" spans="1:22" ht="41.4" x14ac:dyDescent="0.3">
      <c r="A6" s="12" t="s">
        <v>71</v>
      </c>
      <c r="B6" s="13" t="s">
        <v>25</v>
      </c>
      <c r="C6" s="13">
        <v>3073</v>
      </c>
      <c r="D6" s="13" t="s">
        <v>79</v>
      </c>
      <c r="E6" s="13" t="s">
        <v>80</v>
      </c>
      <c r="F6" s="13" t="s">
        <v>94</v>
      </c>
      <c r="G6" s="13" t="s">
        <v>20</v>
      </c>
      <c r="H6" s="14" t="s">
        <v>21</v>
      </c>
      <c r="I6" s="14" t="s">
        <v>22</v>
      </c>
      <c r="J6" s="15">
        <v>0.6</v>
      </c>
      <c r="K6" s="16" t="s">
        <v>65</v>
      </c>
      <c r="L6" s="122" t="s">
        <v>66</v>
      </c>
      <c r="M6" s="115" t="s">
        <v>67</v>
      </c>
      <c r="N6" s="15">
        <v>1</v>
      </c>
      <c r="O6" s="15">
        <v>0.15</v>
      </c>
      <c r="P6" s="15"/>
      <c r="Q6" s="15">
        <f t="shared" si="0"/>
        <v>0</v>
      </c>
      <c r="R6" s="19">
        <f t="shared" si="1"/>
        <v>0</v>
      </c>
      <c r="S6" s="15" t="s">
        <v>43</v>
      </c>
      <c r="T6" s="21"/>
      <c r="U6" s="86" t="s">
        <v>119</v>
      </c>
      <c r="V6" s="87" t="s">
        <v>128</v>
      </c>
    </row>
    <row r="7" spans="1:22" ht="110.4" x14ac:dyDescent="0.3">
      <c r="A7" s="12" t="s">
        <v>71</v>
      </c>
      <c r="B7" s="13" t="s">
        <v>25</v>
      </c>
      <c r="C7" s="13">
        <v>3073</v>
      </c>
      <c r="D7" s="13" t="s">
        <v>79</v>
      </c>
      <c r="E7" s="13" t="s">
        <v>80</v>
      </c>
      <c r="F7" s="13" t="s">
        <v>94</v>
      </c>
      <c r="G7" s="13" t="s">
        <v>20</v>
      </c>
      <c r="H7" s="14" t="s">
        <v>21</v>
      </c>
      <c r="I7" s="14" t="s">
        <v>22</v>
      </c>
      <c r="J7" s="15">
        <v>0.6</v>
      </c>
      <c r="K7" s="16" t="s">
        <v>32</v>
      </c>
      <c r="L7" s="122" t="s">
        <v>61</v>
      </c>
      <c r="M7" s="116" t="s">
        <v>38</v>
      </c>
      <c r="N7" s="15">
        <v>0.95</v>
      </c>
      <c r="O7" s="15">
        <v>0.15</v>
      </c>
      <c r="P7" s="15"/>
      <c r="Q7" s="15">
        <f t="shared" si="0"/>
        <v>0</v>
      </c>
      <c r="R7" s="19">
        <f t="shared" si="1"/>
        <v>0</v>
      </c>
      <c r="S7" s="15" t="s">
        <v>43</v>
      </c>
      <c r="T7" s="21"/>
      <c r="U7" s="86" t="s">
        <v>120</v>
      </c>
      <c r="V7" s="87" t="s">
        <v>129</v>
      </c>
    </row>
    <row r="8" spans="1:22" ht="409.6" x14ac:dyDescent="0.3">
      <c r="A8" s="59" t="s">
        <v>71</v>
      </c>
      <c r="B8" s="60" t="s">
        <v>25</v>
      </c>
      <c r="C8" s="60">
        <v>3073</v>
      </c>
      <c r="D8" s="60" t="s">
        <v>79</v>
      </c>
      <c r="E8" s="60" t="s">
        <v>80</v>
      </c>
      <c r="F8" s="60" t="s">
        <v>94</v>
      </c>
      <c r="G8" s="60" t="s">
        <v>20</v>
      </c>
      <c r="H8" s="67" t="s">
        <v>23</v>
      </c>
      <c r="I8" s="67" t="s">
        <v>24</v>
      </c>
      <c r="J8" s="68">
        <v>0.4</v>
      </c>
      <c r="K8" s="69" t="s">
        <v>52</v>
      </c>
      <c r="L8" s="119" t="s">
        <v>64</v>
      </c>
      <c r="M8" s="119" t="s">
        <v>53</v>
      </c>
      <c r="N8" s="58">
        <v>1</v>
      </c>
      <c r="O8" s="58">
        <v>0.1</v>
      </c>
      <c r="P8" s="58"/>
      <c r="Q8" s="58">
        <f>ROUND(IF(OR(N4="",P4=""),0,IF(AND(N4=0,P4=0),1,IF(S4="+",P4/N4,N4/P4))),2)</f>
        <v>0</v>
      </c>
      <c r="R8" s="65">
        <f t="shared" si="1"/>
        <v>0</v>
      </c>
      <c r="S8" s="58" t="s">
        <v>43</v>
      </c>
      <c r="T8" s="66"/>
      <c r="U8" s="86" t="s">
        <v>121</v>
      </c>
      <c r="V8" s="87" t="s">
        <v>130</v>
      </c>
    </row>
    <row r="9" spans="1:22" ht="262.2" x14ac:dyDescent="0.3">
      <c r="A9" s="59" t="s">
        <v>71</v>
      </c>
      <c r="B9" s="60" t="s">
        <v>25</v>
      </c>
      <c r="C9" s="60">
        <v>3073</v>
      </c>
      <c r="D9" s="60" t="s">
        <v>79</v>
      </c>
      <c r="E9" s="60" t="s">
        <v>80</v>
      </c>
      <c r="F9" s="60" t="s">
        <v>94</v>
      </c>
      <c r="G9" s="60" t="s">
        <v>20</v>
      </c>
      <c r="H9" s="67" t="s">
        <v>23</v>
      </c>
      <c r="I9" s="67" t="s">
        <v>24</v>
      </c>
      <c r="J9" s="68">
        <v>0.4</v>
      </c>
      <c r="K9" s="69" t="s">
        <v>54</v>
      </c>
      <c r="L9" s="119" t="s">
        <v>68</v>
      </c>
      <c r="M9" s="119" t="s">
        <v>69</v>
      </c>
      <c r="N9" s="58">
        <v>1</v>
      </c>
      <c r="O9" s="58">
        <v>0.2</v>
      </c>
      <c r="P9" s="58"/>
      <c r="Q9" s="58">
        <f t="shared" ref="Q9:Q10" si="2">ROUND(IF(OR(N5="",P5=""),0,IF(AND(N5=0,P5=0),1,IF(S5="+",P5/N5,N5/P5))),2)</f>
        <v>0</v>
      </c>
      <c r="R9" s="65">
        <f t="shared" si="1"/>
        <v>0</v>
      </c>
      <c r="S9" s="58" t="s">
        <v>43</v>
      </c>
      <c r="T9" s="66"/>
      <c r="U9" s="86" t="s">
        <v>123</v>
      </c>
      <c r="V9" s="87" t="s">
        <v>148</v>
      </c>
    </row>
    <row r="10" spans="1:22" ht="135.6" customHeight="1" x14ac:dyDescent="0.3">
      <c r="A10" s="12" t="s">
        <v>71</v>
      </c>
      <c r="B10" s="13" t="s">
        <v>25</v>
      </c>
      <c r="C10" s="13">
        <v>3073</v>
      </c>
      <c r="D10" s="13" t="s">
        <v>79</v>
      </c>
      <c r="E10" s="60" t="s">
        <v>80</v>
      </c>
      <c r="F10" s="60" t="s">
        <v>94</v>
      </c>
      <c r="G10" s="60" t="s">
        <v>20</v>
      </c>
      <c r="H10" s="67" t="s">
        <v>23</v>
      </c>
      <c r="I10" s="67" t="s">
        <v>24</v>
      </c>
      <c r="J10" s="68">
        <v>0.4</v>
      </c>
      <c r="K10" s="62" t="s">
        <v>36</v>
      </c>
      <c r="L10" s="119" t="s">
        <v>29</v>
      </c>
      <c r="M10" s="119" t="s">
        <v>42</v>
      </c>
      <c r="N10" s="58">
        <v>1</v>
      </c>
      <c r="O10" s="58">
        <v>0.15</v>
      </c>
      <c r="P10" s="58"/>
      <c r="Q10" s="58">
        <f t="shared" si="2"/>
        <v>0</v>
      </c>
      <c r="R10" s="65">
        <f t="shared" si="1"/>
        <v>0</v>
      </c>
      <c r="S10" s="58" t="s">
        <v>43</v>
      </c>
      <c r="T10" s="66"/>
      <c r="U10" s="179" t="s">
        <v>146</v>
      </c>
      <c r="V10" s="182" t="s">
        <v>147</v>
      </c>
    </row>
    <row r="11" spans="1:22" ht="135.6" customHeight="1" x14ac:dyDescent="0.3">
      <c r="A11" s="12" t="s">
        <v>71</v>
      </c>
      <c r="B11" s="13" t="s">
        <v>25</v>
      </c>
      <c r="C11" s="13">
        <v>3073</v>
      </c>
      <c r="D11" s="13" t="s">
        <v>79</v>
      </c>
      <c r="E11" s="60" t="s">
        <v>80</v>
      </c>
      <c r="F11" s="60" t="s">
        <v>94</v>
      </c>
      <c r="G11" s="60" t="s">
        <v>20</v>
      </c>
      <c r="H11" s="67" t="s">
        <v>23</v>
      </c>
      <c r="I11" s="67" t="s">
        <v>24</v>
      </c>
      <c r="J11" s="68">
        <v>0.4</v>
      </c>
      <c r="K11" s="125" t="s">
        <v>102</v>
      </c>
      <c r="L11" s="119"/>
      <c r="M11" s="119" t="s">
        <v>42</v>
      </c>
      <c r="N11" s="58">
        <v>1</v>
      </c>
      <c r="O11" s="58">
        <v>0.2</v>
      </c>
      <c r="P11" s="58"/>
      <c r="Q11" s="58">
        <f>ROUND(IF(OR(N7="",P7=""),0,IF(AND(N7=0,P7=0),1,IF(S7="+",P7/N7,N7/P7))),2)</f>
        <v>0</v>
      </c>
      <c r="R11" s="65">
        <f t="shared" si="1"/>
        <v>0</v>
      </c>
      <c r="S11" s="58" t="s">
        <v>43</v>
      </c>
      <c r="T11" s="66"/>
      <c r="U11" s="180"/>
      <c r="V11" s="183"/>
    </row>
    <row r="12" spans="1:22" ht="135.6" customHeight="1" x14ac:dyDescent="0.3">
      <c r="A12" s="12" t="s">
        <v>71</v>
      </c>
      <c r="B12" s="13" t="s">
        <v>25</v>
      </c>
      <c r="C12" s="13">
        <v>3073</v>
      </c>
      <c r="D12" s="13" t="s">
        <v>79</v>
      </c>
      <c r="E12" s="60" t="s">
        <v>80</v>
      </c>
      <c r="F12" s="60" t="s">
        <v>94</v>
      </c>
      <c r="G12" s="60" t="s">
        <v>20</v>
      </c>
      <c r="H12" s="67" t="s">
        <v>23</v>
      </c>
      <c r="I12" s="67" t="s">
        <v>24</v>
      </c>
      <c r="J12" s="68">
        <v>0.4</v>
      </c>
      <c r="K12" s="62" t="s">
        <v>103</v>
      </c>
      <c r="L12" s="119"/>
      <c r="M12" s="119" t="s">
        <v>42</v>
      </c>
      <c r="N12" s="58">
        <v>1</v>
      </c>
      <c r="O12" s="58">
        <v>0.2</v>
      </c>
      <c r="P12" s="58"/>
      <c r="Q12" s="58">
        <f t="shared" ref="Q12:Q13" si="3">ROUND(IF(OR(N8="",P8=""),0,IF(AND(N8=0,P8=0),1,IF(S8="+",P8/N8,N8/P8))),2)</f>
        <v>0</v>
      </c>
      <c r="R12" s="65">
        <f t="shared" si="1"/>
        <v>0</v>
      </c>
      <c r="S12" s="58" t="s">
        <v>43</v>
      </c>
      <c r="T12" s="66"/>
      <c r="U12" s="180"/>
      <c r="V12" s="183"/>
    </row>
    <row r="13" spans="1:22" ht="135.6" customHeight="1" thickBot="1" x14ac:dyDescent="0.35">
      <c r="A13" s="31" t="s">
        <v>71</v>
      </c>
      <c r="B13" s="32" t="s">
        <v>25</v>
      </c>
      <c r="C13" s="32">
        <v>3073</v>
      </c>
      <c r="D13" s="32" t="s">
        <v>79</v>
      </c>
      <c r="E13" s="73" t="s">
        <v>80</v>
      </c>
      <c r="F13" s="73" t="s">
        <v>94</v>
      </c>
      <c r="G13" s="73" t="s">
        <v>20</v>
      </c>
      <c r="H13" s="74" t="s">
        <v>23</v>
      </c>
      <c r="I13" s="74" t="s">
        <v>24</v>
      </c>
      <c r="J13" s="75">
        <v>0.4</v>
      </c>
      <c r="K13" s="76" t="s">
        <v>101</v>
      </c>
      <c r="L13" s="126"/>
      <c r="M13" s="126" t="s">
        <v>42</v>
      </c>
      <c r="N13" s="79">
        <v>1</v>
      </c>
      <c r="O13" s="79">
        <v>0.15</v>
      </c>
      <c r="P13" s="79"/>
      <c r="Q13" s="79">
        <f t="shared" si="3"/>
        <v>0</v>
      </c>
      <c r="R13" s="80">
        <f t="shared" si="1"/>
        <v>0</v>
      </c>
      <c r="S13" s="79" t="s">
        <v>43</v>
      </c>
      <c r="T13" s="127"/>
      <c r="U13" s="181"/>
      <c r="V13" s="184"/>
    </row>
    <row r="14" spans="1:22" ht="79.8" customHeight="1" x14ac:dyDescent="0.3">
      <c r="A14" s="176" t="s">
        <v>149</v>
      </c>
      <c r="B14" s="177"/>
      <c r="C14" s="177"/>
      <c r="D14" s="177"/>
      <c r="E14" s="177"/>
      <c r="F14" s="177"/>
      <c r="G14" s="177"/>
      <c r="H14" s="177"/>
      <c r="I14" s="177"/>
      <c r="J14" s="177"/>
      <c r="K14" s="177"/>
      <c r="L14" s="177"/>
      <c r="M14" s="177"/>
      <c r="N14" s="177"/>
      <c r="O14" s="177"/>
      <c r="P14" s="177"/>
      <c r="Q14" s="177"/>
      <c r="R14" s="177"/>
      <c r="S14" s="177"/>
      <c r="T14" s="177"/>
      <c r="U14" s="177"/>
      <c r="V14" s="177"/>
    </row>
    <row r="15" spans="1:22" ht="43.8" customHeight="1" x14ac:dyDescent="0.3">
      <c r="A15" s="94" t="s">
        <v>71</v>
      </c>
      <c r="B15" s="94" t="s">
        <v>25</v>
      </c>
      <c r="C15" s="92">
        <v>3073</v>
      </c>
      <c r="D15" s="93" t="s">
        <v>79</v>
      </c>
      <c r="E15" s="93" t="s">
        <v>80</v>
      </c>
      <c r="F15" s="93" t="s">
        <v>94</v>
      </c>
      <c r="G15" s="93" t="s">
        <v>20</v>
      </c>
      <c r="H15" s="105" t="s">
        <v>21</v>
      </c>
      <c r="I15" s="95" t="s">
        <v>22</v>
      </c>
      <c r="J15" s="95">
        <v>0.7</v>
      </c>
      <c r="K15" s="96" t="s">
        <v>136</v>
      </c>
      <c r="L15" s="96" t="s">
        <v>137</v>
      </c>
      <c r="M15" s="56" t="s">
        <v>138</v>
      </c>
      <c r="N15" s="97" t="s">
        <v>139</v>
      </c>
      <c r="O15" s="95">
        <v>0.1</v>
      </c>
      <c r="P15" s="98"/>
      <c r="Q15" s="95">
        <f>ROUND(IF(OR(N15="",P15=""),0,IF(AND(N15=0,P15=0),1,IF(S15="+",P15/N15,N15/P15))),2)</f>
        <v>0</v>
      </c>
      <c r="R15" s="99">
        <f t="shared" ref="R15:R16" si="4">IF(AND(Q15&gt;=60%,Q15&lt;100%),Q15*((O15*J15)),IF(Q15=100%,((O15*J15)*Q15)*100%,IF(Q15&gt;100%,((J15*O15)*100%)*100%,0)))*100</f>
        <v>0</v>
      </c>
      <c r="S15" s="95" t="s">
        <v>44</v>
      </c>
      <c r="T15" s="95"/>
    </row>
    <row r="16" spans="1:22" ht="25.8" thickBot="1" x14ac:dyDescent="0.35">
      <c r="A16" s="94" t="s">
        <v>71</v>
      </c>
      <c r="B16" s="94" t="s">
        <v>25</v>
      </c>
      <c r="C16" s="92">
        <v>3073</v>
      </c>
      <c r="D16" s="93" t="s">
        <v>79</v>
      </c>
      <c r="E16" s="93" t="s">
        <v>80</v>
      </c>
      <c r="F16" s="93" t="s">
        <v>94</v>
      </c>
      <c r="G16" s="93" t="s">
        <v>20</v>
      </c>
      <c r="H16" s="91" t="s">
        <v>23</v>
      </c>
      <c r="I16" s="74" t="s">
        <v>24</v>
      </c>
      <c r="J16" s="106">
        <v>0.3</v>
      </c>
      <c r="K16" s="57" t="s">
        <v>143</v>
      </c>
      <c r="L16" s="54" t="s">
        <v>144</v>
      </c>
      <c r="M16" s="57" t="s">
        <v>145</v>
      </c>
      <c r="N16" s="107">
        <v>1</v>
      </c>
      <c r="O16" s="108">
        <v>0.05</v>
      </c>
      <c r="P16" s="109"/>
      <c r="Q16" s="108">
        <f t="shared" ref="Q16" si="5">ROUND(IF(OR(N16="",P16=""),0,IF(AND(N16=0,P16=0),1,IF(S16="+",P16/N16,N16/P16))),2)</f>
        <v>0</v>
      </c>
      <c r="R16" s="110">
        <f t="shared" si="4"/>
        <v>0</v>
      </c>
      <c r="S16" s="108" t="s">
        <v>43</v>
      </c>
      <c r="T16" s="108"/>
    </row>
    <row r="17" spans="1:20" ht="25.2" x14ac:dyDescent="0.3">
      <c r="A17" s="94" t="s">
        <v>71</v>
      </c>
      <c r="B17" s="94" t="s">
        <v>25</v>
      </c>
      <c r="C17" s="92">
        <v>3073</v>
      </c>
      <c r="D17" s="93" t="s">
        <v>79</v>
      </c>
      <c r="E17" s="93" t="s">
        <v>80</v>
      </c>
      <c r="F17" s="93" t="s">
        <v>94</v>
      </c>
      <c r="G17" s="93" t="s">
        <v>20</v>
      </c>
      <c r="H17" s="105" t="s">
        <v>21</v>
      </c>
      <c r="I17" s="95" t="s">
        <v>22</v>
      </c>
      <c r="J17" s="95">
        <v>0.7</v>
      </c>
      <c r="K17" s="56" t="s">
        <v>150</v>
      </c>
      <c r="L17" s="96" t="s">
        <v>151</v>
      </c>
      <c r="M17" s="56" t="s">
        <v>152</v>
      </c>
      <c r="N17" s="95" t="s">
        <v>153</v>
      </c>
      <c r="O17" s="95">
        <v>0.1</v>
      </c>
      <c r="P17" s="131"/>
      <c r="Q17" s="95">
        <f>ROUND(IF(OR(N17="",P17=""),0,IF(AND(N17=0,P17=0),1,IF(S17="+",P17/N17,N17/P17))),2)</f>
        <v>0</v>
      </c>
      <c r="R17" s="99">
        <f>IF(AND(Q17&gt;=60%,Q17&lt;100%),Q17*((O17*J17)),IF(Q17=100%,((O17*J17)*Q17)*100%,IF(Q17&gt;100%,((J17*O17)*100%)*100%,0)))*100</f>
        <v>0</v>
      </c>
      <c r="S17" s="95" t="s">
        <v>44</v>
      </c>
      <c r="T17" s="95"/>
    </row>
    <row r="18" spans="1:20" ht="40.799999999999997" x14ac:dyDescent="0.3">
      <c r="A18" s="94" t="s">
        <v>71</v>
      </c>
      <c r="B18" s="94" t="s">
        <v>25</v>
      </c>
      <c r="C18" s="92">
        <v>3073</v>
      </c>
      <c r="D18" s="93" t="s">
        <v>79</v>
      </c>
      <c r="E18" s="93" t="s">
        <v>80</v>
      </c>
      <c r="F18" s="93" t="s">
        <v>94</v>
      </c>
      <c r="G18" s="93" t="s">
        <v>20</v>
      </c>
      <c r="H18" s="105" t="s">
        <v>21</v>
      </c>
      <c r="I18" s="95" t="s">
        <v>22</v>
      </c>
      <c r="J18" s="95">
        <v>0.7</v>
      </c>
      <c r="K18" s="56" t="s">
        <v>154</v>
      </c>
      <c r="L18" s="96" t="s">
        <v>155</v>
      </c>
      <c r="M18" s="56" t="s">
        <v>156</v>
      </c>
      <c r="N18" s="95" t="s">
        <v>157</v>
      </c>
      <c r="O18" s="95">
        <v>0.15</v>
      </c>
      <c r="P18" s="132"/>
      <c r="Q18" s="95">
        <f t="shared" ref="Q18" si="6">ROUND(IF(OR(N18="",P18=""),0,IF(AND(N18=0,P18=0),1,IF(S18="+",P18/N18,N18/P18))),2)</f>
        <v>0</v>
      </c>
      <c r="R18" s="99">
        <f>IF(AND(Q18&gt;=60%,Q18&lt;100%),Q18*((O18*J18)),IF(Q18=100%,((O18*J18)*Q18)*100%,IF(Q18&gt;100%,((J18*O18)*100%)*100%,0)))*100</f>
        <v>0</v>
      </c>
      <c r="S18" s="95" t="s">
        <v>43</v>
      </c>
      <c r="T18" s="95"/>
    </row>
  </sheetData>
  <mergeCells count="3">
    <mergeCell ref="A14:V14"/>
    <mergeCell ref="U10:U13"/>
    <mergeCell ref="V10:V13"/>
  </mergeCells>
  <phoneticPr fontId="2" type="noConversion"/>
  <conditionalFormatting sqref="I1:I3 K1:M1">
    <cfRule type="cellIs" dxfId="374" priority="59" operator="equal">
      <formula>"maintasks"</formula>
    </cfRule>
  </conditionalFormatting>
  <conditionalFormatting sqref="H1:H3">
    <cfRule type="cellIs" dxfId="373" priority="58" operator="equal">
      <formula>"maintasks"</formula>
    </cfRule>
  </conditionalFormatting>
  <conditionalFormatting sqref="I9">
    <cfRule type="cellIs" dxfId="372" priority="45" operator="equal">
      <formula>"maintasks"</formula>
    </cfRule>
  </conditionalFormatting>
  <conditionalFormatting sqref="H9">
    <cfRule type="cellIs" dxfId="371" priority="44" operator="equal">
      <formula>"maintasks"</formula>
    </cfRule>
  </conditionalFormatting>
  <conditionalFormatting sqref="H5:I7">
    <cfRule type="cellIs" dxfId="370" priority="55" operator="equal">
      <formula>"maintasks"</formula>
    </cfRule>
  </conditionalFormatting>
  <conditionalFormatting sqref="I4">
    <cfRule type="cellIs" dxfId="369" priority="54" operator="equal">
      <formula>"maintasks"</formula>
    </cfRule>
  </conditionalFormatting>
  <conditionalFormatting sqref="H4">
    <cfRule type="cellIs" dxfId="368" priority="53" operator="equal">
      <formula>"maintasks"</formula>
    </cfRule>
  </conditionalFormatting>
  <conditionalFormatting sqref="I8">
    <cfRule type="cellIs" dxfId="367" priority="52" operator="equal">
      <formula>"maintasks"</formula>
    </cfRule>
  </conditionalFormatting>
  <conditionalFormatting sqref="H8">
    <cfRule type="cellIs" dxfId="366" priority="51" operator="equal">
      <formula>"maintasks"</formula>
    </cfRule>
  </conditionalFormatting>
  <conditionalFormatting sqref="I10">
    <cfRule type="cellIs" dxfId="365" priority="50" operator="equal">
      <formula>"maintasks"</formula>
    </cfRule>
  </conditionalFormatting>
  <conditionalFormatting sqref="H10">
    <cfRule type="cellIs" dxfId="364" priority="49" operator="equal">
      <formula>"maintasks"</formula>
    </cfRule>
  </conditionalFormatting>
  <conditionalFormatting sqref="I12">
    <cfRule type="cellIs" dxfId="363" priority="48" operator="equal">
      <formula>"maintasks"</formula>
    </cfRule>
  </conditionalFormatting>
  <conditionalFormatting sqref="H12">
    <cfRule type="cellIs" dxfId="362" priority="47" operator="equal">
      <formula>"maintasks"</formula>
    </cfRule>
  </conditionalFormatting>
  <conditionalFormatting sqref="I7">
    <cfRule type="cellIs" dxfId="361" priority="46" operator="equal">
      <formula>"maintasks"</formula>
    </cfRule>
  </conditionalFormatting>
  <conditionalFormatting sqref="I13">
    <cfRule type="cellIs" dxfId="360" priority="43" operator="equal">
      <formula>"maintasks"</formula>
    </cfRule>
  </conditionalFormatting>
  <conditionalFormatting sqref="I2:I3">
    <cfRule type="cellIs" dxfId="359" priority="42" operator="equal">
      <formula>"maintasks"</formula>
    </cfRule>
  </conditionalFormatting>
  <conditionalFormatting sqref="H2:H3">
    <cfRule type="cellIs" dxfId="358" priority="41" operator="equal">
      <formula>"maintasks"</formula>
    </cfRule>
  </conditionalFormatting>
  <conditionalFormatting sqref="H13">
    <cfRule type="cellIs" dxfId="357" priority="40" operator="equal">
      <formula>"maintasks"</formula>
    </cfRule>
  </conditionalFormatting>
  <conditionalFormatting sqref="I11">
    <cfRule type="cellIs" dxfId="356" priority="39" operator="equal">
      <formula>"maintasks"</formula>
    </cfRule>
  </conditionalFormatting>
  <conditionalFormatting sqref="H11">
    <cfRule type="cellIs" dxfId="355" priority="38" operator="equal">
      <formula>"maintasks"</formula>
    </cfRule>
  </conditionalFormatting>
  <conditionalFormatting sqref="M9">
    <cfRule type="cellIs" dxfId="354" priority="25" operator="equal">
      <formula>"maintasks"</formula>
    </cfRule>
  </conditionalFormatting>
  <conditionalFormatting sqref="M11">
    <cfRule type="cellIs" dxfId="353" priority="36" operator="equal">
      <formula>"maintasks"</formula>
    </cfRule>
  </conditionalFormatting>
  <conditionalFormatting sqref="M12">
    <cfRule type="cellIs" dxfId="352" priority="35" operator="equal">
      <formula>"maintasks"</formula>
    </cfRule>
  </conditionalFormatting>
  <conditionalFormatting sqref="M13">
    <cfRule type="cellIs" dxfId="351" priority="34" operator="equal">
      <formula>"maintasks"</formula>
    </cfRule>
  </conditionalFormatting>
  <conditionalFormatting sqref="M10">
    <cfRule type="cellIs" dxfId="350" priority="33" operator="equal">
      <formula>"maintasks"</formula>
    </cfRule>
  </conditionalFormatting>
  <conditionalFormatting sqref="M2:M6">
    <cfRule type="cellIs" dxfId="349" priority="32" operator="equal">
      <formula>"maintasks"</formula>
    </cfRule>
  </conditionalFormatting>
  <conditionalFormatting sqref="M2">
    <cfRule type="cellIs" dxfId="348" priority="31" operator="equal">
      <formula>"maintasks"</formula>
    </cfRule>
  </conditionalFormatting>
  <conditionalFormatting sqref="K10:L10">
    <cfRule type="cellIs" dxfId="347" priority="18" operator="equal">
      <formula>"maintasks"</formula>
    </cfRule>
  </conditionalFormatting>
  <conditionalFormatting sqref="K2:L6">
    <cfRule type="cellIs" dxfId="346" priority="17" operator="equal">
      <formula>"maintasks"</formula>
    </cfRule>
  </conditionalFormatting>
  <conditionalFormatting sqref="M5">
    <cfRule type="cellIs" dxfId="345" priority="28" operator="equal">
      <formula>"maintasks"</formula>
    </cfRule>
  </conditionalFormatting>
  <conditionalFormatting sqref="M7">
    <cfRule type="cellIs" dxfId="344" priority="27" operator="equal">
      <formula>"maintasks"</formula>
    </cfRule>
  </conditionalFormatting>
  <conditionalFormatting sqref="K7:L7">
    <cfRule type="cellIs" dxfId="343" priority="14" operator="equal">
      <formula>"maintasks"</formula>
    </cfRule>
  </conditionalFormatting>
  <conditionalFormatting sqref="K8:L8">
    <cfRule type="cellIs" dxfId="342" priority="12" operator="equal">
      <formula>"maintasks"</formula>
    </cfRule>
  </conditionalFormatting>
  <conditionalFormatting sqref="M8">
    <cfRule type="cellIs" dxfId="341" priority="23" operator="equal">
      <formula>"maintasks"</formula>
    </cfRule>
  </conditionalFormatting>
  <conditionalFormatting sqref="L11">
    <cfRule type="cellIs" dxfId="340" priority="22" operator="equal">
      <formula>"maintasks"</formula>
    </cfRule>
  </conditionalFormatting>
  <conditionalFormatting sqref="L12">
    <cfRule type="cellIs" dxfId="339" priority="21" operator="equal">
      <formula>"maintasks"</formula>
    </cfRule>
  </conditionalFormatting>
  <conditionalFormatting sqref="L13">
    <cfRule type="cellIs" dxfId="338" priority="20" operator="equal">
      <formula>"maintasks"</formula>
    </cfRule>
  </conditionalFormatting>
  <conditionalFormatting sqref="K12">
    <cfRule type="cellIs" dxfId="337" priority="19" operator="equal">
      <formula>"maintasks"</formula>
    </cfRule>
  </conditionalFormatting>
  <conditionalFormatting sqref="K2:L2">
    <cfRule type="cellIs" dxfId="336" priority="16" operator="equal">
      <formula>"maintasks"</formula>
    </cfRule>
  </conditionalFormatting>
  <conditionalFormatting sqref="K5:L5">
    <cfRule type="cellIs" dxfId="335" priority="15" operator="equal">
      <formula>"maintasks"</formula>
    </cfRule>
  </conditionalFormatting>
  <conditionalFormatting sqref="K9:L9">
    <cfRule type="cellIs" dxfId="334" priority="13" operator="equal">
      <formula>"maintasks"</formula>
    </cfRule>
  </conditionalFormatting>
  <conditionalFormatting sqref="K13">
    <cfRule type="cellIs" dxfId="333" priority="11" operator="equal">
      <formula>"maintasks"</formula>
    </cfRule>
  </conditionalFormatting>
  <conditionalFormatting sqref="J16:N16">
    <cfRule type="cellIs" dxfId="332" priority="5" operator="equal">
      <formula>"maintasks"</formula>
    </cfRule>
  </conditionalFormatting>
  <conditionalFormatting sqref="H15 K15">
    <cfRule type="cellIs" dxfId="331" priority="10" operator="equal">
      <formula>"maintasks"</formula>
    </cfRule>
  </conditionalFormatting>
  <conditionalFormatting sqref="A15:B18">
    <cfRule type="cellIs" dxfId="330" priority="9" operator="equal">
      <formula>"maintasks"</formula>
    </cfRule>
  </conditionalFormatting>
  <conditionalFormatting sqref="L15:M15">
    <cfRule type="cellIs" dxfId="329" priority="8" operator="equal">
      <formula>"maintasks"</formula>
    </cfRule>
  </conditionalFormatting>
  <conditionalFormatting sqref="I16">
    <cfRule type="cellIs" dxfId="328" priority="7" operator="equal">
      <formula>"maintasks"</formula>
    </cfRule>
  </conditionalFormatting>
  <conditionalFormatting sqref="H16">
    <cfRule type="cellIs" dxfId="327" priority="6" operator="equal">
      <formula>"maintasks"</formula>
    </cfRule>
  </conditionalFormatting>
  <conditionalFormatting sqref="K17:M17">
    <cfRule type="cellIs" dxfId="326" priority="4" operator="equal">
      <formula>"maintasks"</formula>
    </cfRule>
  </conditionalFormatting>
  <conditionalFormatting sqref="H17:H18">
    <cfRule type="cellIs" dxfId="325" priority="3" operator="equal">
      <formula>"maintasks"</formula>
    </cfRule>
  </conditionalFormatting>
  <conditionalFormatting sqref="K18:M18">
    <cfRule type="cellIs" dxfId="324" priority="1" operator="equal">
      <formula>"maintasks"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28BD6-9DAB-4464-8BB0-C32DF8CF8B56}">
  <dimension ref="A1:V18"/>
  <sheetViews>
    <sheetView topLeftCell="N1" zoomScaleNormal="100" workbookViewId="0">
      <selection activeCell="V4" sqref="U4:V4"/>
    </sheetView>
  </sheetViews>
  <sheetFormatPr defaultColWidth="8.77734375" defaultRowHeight="14.4" x14ac:dyDescent="0.3"/>
  <cols>
    <col min="1" max="1" width="9.109375" style="11" bestFit="1" customWidth="1"/>
    <col min="2" max="2" width="2.77734375" style="11" bestFit="1" customWidth="1"/>
    <col min="3" max="3" width="5.109375" style="11" bestFit="1" customWidth="1"/>
    <col min="4" max="4" width="8.44140625" style="11" bestFit="1" customWidth="1"/>
    <col min="5" max="5" width="12.44140625" style="11" customWidth="1"/>
    <col min="6" max="6" width="11.33203125" style="11" customWidth="1"/>
    <col min="7" max="8" width="6.6640625" style="11" bestFit="1" customWidth="1"/>
    <col min="9" max="9" width="7.6640625" style="11" bestFit="1" customWidth="1"/>
    <col min="10" max="10" width="6.33203125" style="11" bestFit="1" customWidth="1"/>
    <col min="11" max="11" width="65.44140625" style="11" bestFit="1" customWidth="1"/>
    <col min="12" max="12" width="37.77734375" style="40" bestFit="1" customWidth="1"/>
    <col min="13" max="13" width="49.88671875" style="11" customWidth="1"/>
    <col min="14" max="14" width="13.88671875" style="11" customWidth="1"/>
    <col min="15" max="15" width="8.77734375" style="11" bestFit="1" customWidth="1"/>
    <col min="16" max="16" width="13.21875" style="11" bestFit="1" customWidth="1"/>
    <col min="17" max="17" width="10.88671875" style="11" customWidth="1"/>
    <col min="18" max="18" width="6.33203125" style="11" customWidth="1"/>
    <col min="19" max="19" width="4" style="11" bestFit="1" customWidth="1"/>
    <col min="20" max="20" width="4.21875" style="11" bestFit="1" customWidth="1"/>
    <col min="21" max="22" width="57.77734375" style="11" customWidth="1"/>
    <col min="23" max="16384" width="8.77734375" style="11"/>
  </cols>
  <sheetData>
    <row r="1" spans="1:22" ht="16.8" x14ac:dyDescent="0.3">
      <c r="A1" s="3" t="s">
        <v>0</v>
      </c>
      <c r="B1" s="4" t="s">
        <v>1</v>
      </c>
      <c r="C1" s="5" t="s">
        <v>2</v>
      </c>
      <c r="D1" s="4" t="s">
        <v>3</v>
      </c>
      <c r="E1" s="4" t="s">
        <v>4</v>
      </c>
      <c r="F1" s="4" t="s">
        <v>5</v>
      </c>
      <c r="G1" s="4" t="s">
        <v>6</v>
      </c>
      <c r="H1" s="4" t="s">
        <v>7</v>
      </c>
      <c r="I1" s="4" t="s">
        <v>8</v>
      </c>
      <c r="J1" s="6" t="s">
        <v>9</v>
      </c>
      <c r="K1" s="4" t="s">
        <v>10</v>
      </c>
      <c r="L1" s="41" t="s">
        <v>11</v>
      </c>
      <c r="M1" s="4" t="s">
        <v>12</v>
      </c>
      <c r="N1" s="4" t="s">
        <v>13</v>
      </c>
      <c r="O1" s="6" t="s">
        <v>14</v>
      </c>
      <c r="P1" s="4" t="s">
        <v>15</v>
      </c>
      <c r="Q1" s="7" t="s">
        <v>16</v>
      </c>
      <c r="R1" s="8" t="s">
        <v>17</v>
      </c>
      <c r="S1" s="9" t="s">
        <v>18</v>
      </c>
      <c r="T1" s="10" t="s">
        <v>19</v>
      </c>
      <c r="U1" s="86" t="s">
        <v>114</v>
      </c>
      <c r="V1" s="87" t="s">
        <v>114</v>
      </c>
    </row>
    <row r="2" spans="1:22" ht="55.2" x14ac:dyDescent="0.3">
      <c r="A2" s="12" t="s">
        <v>71</v>
      </c>
      <c r="B2" s="13" t="s">
        <v>25</v>
      </c>
      <c r="C2" s="13">
        <v>3652</v>
      </c>
      <c r="D2" s="13" t="s">
        <v>81</v>
      </c>
      <c r="E2" s="13" t="s">
        <v>82</v>
      </c>
      <c r="F2" s="13" t="s">
        <v>95</v>
      </c>
      <c r="G2" s="13" t="s">
        <v>20</v>
      </c>
      <c r="H2" s="14" t="s">
        <v>21</v>
      </c>
      <c r="I2" s="14" t="s">
        <v>22</v>
      </c>
      <c r="J2" s="15">
        <v>0.6</v>
      </c>
      <c r="K2" s="16" t="s">
        <v>50</v>
      </c>
      <c r="L2" s="17" t="s">
        <v>59</v>
      </c>
      <c r="M2" s="18" t="s">
        <v>48</v>
      </c>
      <c r="N2" s="58">
        <v>0.99</v>
      </c>
      <c r="O2" s="15">
        <v>0.2</v>
      </c>
      <c r="P2" s="15"/>
      <c r="Q2" s="15">
        <f t="shared" ref="Q2:Q7" si="0">ROUND(IF(OR(N2="",P2=""),0,IF(AND(N2=0,P2=0),1,IF(S2="+",P2/N2,N2/P2))),2)</f>
        <v>0</v>
      </c>
      <c r="R2" s="19">
        <f t="shared" ref="R2:R11" si="1">IF(AND(Q2&gt;=60%,Q2&lt;100%),Q2*((O2*J2)),IF(Q2=100%,((O2*J2)*Q2)*100%,IF(Q2&gt;100%,((J2*O2)*100%)*100%,0)))*100</f>
        <v>0</v>
      </c>
      <c r="S2" s="15" t="s">
        <v>43</v>
      </c>
      <c r="T2" s="20"/>
      <c r="U2" s="86" t="s">
        <v>115</v>
      </c>
      <c r="V2" s="87" t="s">
        <v>116</v>
      </c>
    </row>
    <row r="3" spans="1:22" ht="50.4" x14ac:dyDescent="0.3">
      <c r="A3" s="12" t="s">
        <v>71</v>
      </c>
      <c r="B3" s="13" t="s">
        <v>25</v>
      </c>
      <c r="C3" s="13">
        <v>3652</v>
      </c>
      <c r="D3" s="13" t="s">
        <v>81</v>
      </c>
      <c r="E3" s="13" t="s">
        <v>82</v>
      </c>
      <c r="F3" s="13" t="s">
        <v>95</v>
      </c>
      <c r="G3" s="13" t="s">
        <v>20</v>
      </c>
      <c r="H3" s="14" t="s">
        <v>21</v>
      </c>
      <c r="I3" s="14" t="s">
        <v>22</v>
      </c>
      <c r="J3" s="15">
        <v>0.6</v>
      </c>
      <c r="K3" s="16" t="s">
        <v>51</v>
      </c>
      <c r="L3" s="17" t="s">
        <v>62</v>
      </c>
      <c r="M3" s="18" t="s">
        <v>49</v>
      </c>
      <c r="N3" s="58">
        <v>0.99</v>
      </c>
      <c r="O3" s="15">
        <v>0.15</v>
      </c>
      <c r="P3" s="15"/>
      <c r="Q3" s="15">
        <f t="shared" si="0"/>
        <v>0</v>
      </c>
      <c r="R3" s="19">
        <f t="shared" si="1"/>
        <v>0</v>
      </c>
      <c r="S3" s="15" t="s">
        <v>43</v>
      </c>
      <c r="T3" s="21"/>
      <c r="U3" s="86" t="s">
        <v>117</v>
      </c>
      <c r="V3" s="87" t="s">
        <v>126</v>
      </c>
    </row>
    <row r="4" spans="1:22" ht="235.2" x14ac:dyDescent="0.3">
      <c r="A4" s="59" t="s">
        <v>71</v>
      </c>
      <c r="B4" s="60" t="s">
        <v>25</v>
      </c>
      <c r="C4" s="60">
        <v>3652</v>
      </c>
      <c r="D4" s="60" t="s">
        <v>81</v>
      </c>
      <c r="E4" s="60" t="s">
        <v>82</v>
      </c>
      <c r="F4" s="60" t="s">
        <v>95</v>
      </c>
      <c r="G4" s="60" t="s">
        <v>20</v>
      </c>
      <c r="H4" s="61" t="s">
        <v>21</v>
      </c>
      <c r="I4" s="61" t="s">
        <v>22</v>
      </c>
      <c r="J4" s="58">
        <v>0.6</v>
      </c>
      <c r="K4" s="62" t="s">
        <v>31</v>
      </c>
      <c r="L4" s="113" t="s">
        <v>60</v>
      </c>
      <c r="M4" s="114" t="s">
        <v>39</v>
      </c>
      <c r="N4" s="58">
        <v>1</v>
      </c>
      <c r="O4" s="58">
        <v>0.2</v>
      </c>
      <c r="P4" s="58"/>
      <c r="Q4" s="58">
        <f t="shared" si="0"/>
        <v>0</v>
      </c>
      <c r="R4" s="65">
        <f t="shared" si="1"/>
        <v>0</v>
      </c>
      <c r="S4" s="58" t="s">
        <v>43</v>
      </c>
      <c r="T4" s="66"/>
      <c r="U4" s="86" t="s">
        <v>264</v>
      </c>
      <c r="V4" s="87" t="s">
        <v>265</v>
      </c>
    </row>
    <row r="5" spans="1:22" ht="138" x14ac:dyDescent="0.3">
      <c r="A5" s="59" t="s">
        <v>71</v>
      </c>
      <c r="B5" s="60" t="s">
        <v>25</v>
      </c>
      <c r="C5" s="60">
        <v>3652</v>
      </c>
      <c r="D5" s="60" t="s">
        <v>81</v>
      </c>
      <c r="E5" s="60" t="s">
        <v>82</v>
      </c>
      <c r="F5" s="60" t="s">
        <v>95</v>
      </c>
      <c r="G5" s="60" t="s">
        <v>20</v>
      </c>
      <c r="H5" s="61" t="s">
        <v>21</v>
      </c>
      <c r="I5" s="61" t="s">
        <v>22</v>
      </c>
      <c r="J5" s="58">
        <v>0.6</v>
      </c>
      <c r="K5" s="62" t="s">
        <v>30</v>
      </c>
      <c r="L5" s="113" t="s">
        <v>63</v>
      </c>
      <c r="M5" s="114" t="s">
        <v>37</v>
      </c>
      <c r="N5" s="58">
        <v>1</v>
      </c>
      <c r="O5" s="58">
        <v>0.15</v>
      </c>
      <c r="P5" s="58"/>
      <c r="Q5" s="58">
        <f t="shared" si="0"/>
        <v>0</v>
      </c>
      <c r="R5" s="65">
        <f t="shared" si="1"/>
        <v>0</v>
      </c>
      <c r="S5" s="58" t="s">
        <v>43</v>
      </c>
      <c r="T5" s="66"/>
      <c r="U5" s="86" t="s">
        <v>118</v>
      </c>
      <c r="V5" s="87" t="s">
        <v>127</v>
      </c>
    </row>
    <row r="6" spans="1:22" ht="41.4" x14ac:dyDescent="0.3">
      <c r="A6" s="12" t="s">
        <v>71</v>
      </c>
      <c r="B6" s="13" t="s">
        <v>25</v>
      </c>
      <c r="C6" s="13">
        <v>3652</v>
      </c>
      <c r="D6" s="13" t="s">
        <v>81</v>
      </c>
      <c r="E6" s="13" t="s">
        <v>82</v>
      </c>
      <c r="F6" s="13" t="s">
        <v>95</v>
      </c>
      <c r="G6" s="13" t="s">
        <v>20</v>
      </c>
      <c r="H6" s="14" t="s">
        <v>21</v>
      </c>
      <c r="I6" s="14" t="s">
        <v>22</v>
      </c>
      <c r="J6" s="15">
        <v>0.6</v>
      </c>
      <c r="K6" s="16" t="s">
        <v>65</v>
      </c>
      <c r="L6" s="17" t="s">
        <v>66</v>
      </c>
      <c r="M6" s="18" t="s">
        <v>67</v>
      </c>
      <c r="N6" s="15">
        <v>1</v>
      </c>
      <c r="O6" s="15">
        <v>0.15</v>
      </c>
      <c r="P6" s="15"/>
      <c r="Q6" s="15">
        <f t="shared" si="0"/>
        <v>0</v>
      </c>
      <c r="R6" s="19">
        <f t="shared" si="1"/>
        <v>0</v>
      </c>
      <c r="S6" s="15" t="s">
        <v>43</v>
      </c>
      <c r="T6" s="21"/>
      <c r="U6" s="86" t="s">
        <v>119</v>
      </c>
      <c r="V6" s="87" t="s">
        <v>128</v>
      </c>
    </row>
    <row r="7" spans="1:22" ht="96.6" x14ac:dyDescent="0.3">
      <c r="A7" s="12" t="s">
        <v>71</v>
      </c>
      <c r="B7" s="13" t="s">
        <v>25</v>
      </c>
      <c r="C7" s="13">
        <v>3652</v>
      </c>
      <c r="D7" s="13" t="s">
        <v>81</v>
      </c>
      <c r="E7" s="13" t="s">
        <v>82</v>
      </c>
      <c r="F7" s="13" t="s">
        <v>95</v>
      </c>
      <c r="G7" s="13" t="s">
        <v>20</v>
      </c>
      <c r="H7" s="14" t="s">
        <v>21</v>
      </c>
      <c r="I7" s="14" t="s">
        <v>22</v>
      </c>
      <c r="J7" s="15">
        <v>0.6</v>
      </c>
      <c r="K7" s="16" t="s">
        <v>32</v>
      </c>
      <c r="L7" s="17" t="s">
        <v>61</v>
      </c>
      <c r="M7" s="116" t="s">
        <v>38</v>
      </c>
      <c r="N7" s="15">
        <v>0.95</v>
      </c>
      <c r="O7" s="15">
        <v>0.15</v>
      </c>
      <c r="P7" s="15"/>
      <c r="Q7" s="15">
        <f t="shared" si="0"/>
        <v>0</v>
      </c>
      <c r="R7" s="19">
        <f t="shared" si="1"/>
        <v>0</v>
      </c>
      <c r="S7" s="15" t="s">
        <v>43</v>
      </c>
      <c r="T7" s="21"/>
      <c r="U7" s="86" t="s">
        <v>120</v>
      </c>
      <c r="V7" s="87" t="s">
        <v>129</v>
      </c>
    </row>
    <row r="8" spans="1:22" ht="352.8" x14ac:dyDescent="0.3">
      <c r="A8" s="59" t="s">
        <v>71</v>
      </c>
      <c r="B8" s="60" t="s">
        <v>25</v>
      </c>
      <c r="C8" s="60">
        <v>3652</v>
      </c>
      <c r="D8" s="60" t="s">
        <v>81</v>
      </c>
      <c r="E8" s="60" t="s">
        <v>82</v>
      </c>
      <c r="F8" s="60" t="s">
        <v>95</v>
      </c>
      <c r="G8" s="60" t="s">
        <v>20</v>
      </c>
      <c r="H8" s="67" t="s">
        <v>23</v>
      </c>
      <c r="I8" s="67" t="s">
        <v>24</v>
      </c>
      <c r="J8" s="68">
        <v>0.4</v>
      </c>
      <c r="K8" s="69" t="s">
        <v>52</v>
      </c>
      <c r="L8" s="128" t="s">
        <v>64</v>
      </c>
      <c r="M8" s="62" t="s">
        <v>53</v>
      </c>
      <c r="N8" s="58">
        <v>1</v>
      </c>
      <c r="O8" s="58">
        <v>0.1</v>
      </c>
      <c r="P8" s="58"/>
      <c r="Q8" s="58">
        <f>ROUND(IF(OR(N4="",P4=""),0,IF(AND(N4=0,P4=0),1,IF(S4="+",P4/N4,N4/P4))),2)</f>
        <v>0</v>
      </c>
      <c r="R8" s="65">
        <f t="shared" si="1"/>
        <v>0</v>
      </c>
      <c r="S8" s="58" t="s">
        <v>43</v>
      </c>
      <c r="T8" s="66"/>
      <c r="U8" s="86" t="s">
        <v>121</v>
      </c>
      <c r="V8" s="87" t="s">
        <v>130</v>
      </c>
    </row>
    <row r="9" spans="1:22" ht="220.8" x14ac:dyDescent="0.3">
      <c r="A9" s="59" t="s">
        <v>71</v>
      </c>
      <c r="B9" s="60" t="s">
        <v>25</v>
      </c>
      <c r="C9" s="60">
        <v>3652</v>
      </c>
      <c r="D9" s="60" t="s">
        <v>81</v>
      </c>
      <c r="E9" s="60" t="s">
        <v>82</v>
      </c>
      <c r="F9" s="60" t="s">
        <v>95</v>
      </c>
      <c r="G9" s="60" t="s">
        <v>20</v>
      </c>
      <c r="H9" s="67" t="s">
        <v>23</v>
      </c>
      <c r="I9" s="67" t="s">
        <v>24</v>
      </c>
      <c r="J9" s="68">
        <v>0.4</v>
      </c>
      <c r="K9" s="69" t="s">
        <v>54</v>
      </c>
      <c r="L9" s="128" t="s">
        <v>68</v>
      </c>
      <c r="M9" s="67" t="s">
        <v>69</v>
      </c>
      <c r="N9" s="58">
        <v>1</v>
      </c>
      <c r="O9" s="58">
        <v>0.2</v>
      </c>
      <c r="P9" s="58"/>
      <c r="Q9" s="58">
        <f t="shared" ref="Q9:Q10" si="2">ROUND(IF(OR(N5="",P5=""),0,IF(AND(N5=0,P5=0),1,IF(S5="+",P5/N5,N5/P5))),2)</f>
        <v>0</v>
      </c>
      <c r="R9" s="65">
        <f t="shared" si="1"/>
        <v>0</v>
      </c>
      <c r="S9" s="58" t="s">
        <v>43</v>
      </c>
      <c r="T9" s="66"/>
      <c r="U9" s="86" t="s">
        <v>123</v>
      </c>
      <c r="V9" s="87" t="s">
        <v>148</v>
      </c>
    </row>
    <row r="10" spans="1:22" ht="124.8" customHeight="1" x14ac:dyDescent="0.3">
      <c r="A10" s="59" t="s">
        <v>71</v>
      </c>
      <c r="B10" s="60" t="s">
        <v>25</v>
      </c>
      <c r="C10" s="60">
        <v>3652</v>
      </c>
      <c r="D10" s="60" t="s">
        <v>81</v>
      </c>
      <c r="E10" s="60" t="s">
        <v>82</v>
      </c>
      <c r="F10" s="60" t="s">
        <v>95</v>
      </c>
      <c r="G10" s="60" t="s">
        <v>20</v>
      </c>
      <c r="H10" s="67" t="s">
        <v>23</v>
      </c>
      <c r="I10" s="67" t="s">
        <v>24</v>
      </c>
      <c r="J10" s="68">
        <v>0.4</v>
      </c>
      <c r="K10" s="62" t="s">
        <v>36</v>
      </c>
      <c r="L10" s="129" t="s">
        <v>29</v>
      </c>
      <c r="M10" s="62" t="s">
        <v>42</v>
      </c>
      <c r="N10" s="58">
        <v>1</v>
      </c>
      <c r="O10" s="58">
        <v>0.15</v>
      </c>
      <c r="P10" s="58"/>
      <c r="Q10" s="58">
        <f t="shared" si="2"/>
        <v>0</v>
      </c>
      <c r="R10" s="65">
        <f t="shared" si="1"/>
        <v>0</v>
      </c>
      <c r="S10" s="58" t="s">
        <v>43</v>
      </c>
      <c r="T10" s="66"/>
      <c r="U10" s="179" t="s">
        <v>146</v>
      </c>
      <c r="V10" s="182" t="s">
        <v>147</v>
      </c>
    </row>
    <row r="11" spans="1:22" ht="124.8" customHeight="1" x14ac:dyDescent="0.3">
      <c r="A11" s="59" t="s">
        <v>71</v>
      </c>
      <c r="B11" s="60" t="s">
        <v>25</v>
      </c>
      <c r="C11" s="60">
        <v>3652</v>
      </c>
      <c r="D11" s="60" t="s">
        <v>81</v>
      </c>
      <c r="E11" s="60" t="s">
        <v>82</v>
      </c>
      <c r="F11" s="60" t="s">
        <v>95</v>
      </c>
      <c r="G11" s="60" t="s">
        <v>20</v>
      </c>
      <c r="H11" s="67" t="s">
        <v>23</v>
      </c>
      <c r="I11" s="67" t="s">
        <v>24</v>
      </c>
      <c r="J11" s="68">
        <v>0.4</v>
      </c>
      <c r="K11" s="125" t="s">
        <v>102</v>
      </c>
      <c r="L11" s="129"/>
      <c r="M11" s="62" t="s">
        <v>42</v>
      </c>
      <c r="N11" s="58">
        <v>1</v>
      </c>
      <c r="O11" s="58">
        <v>0.2</v>
      </c>
      <c r="P11" s="58"/>
      <c r="Q11" s="58">
        <f>ROUND(IF(OR(N7="",P7=""),0,IF(AND(N7=0,P7=0),1,IF(S7="+",P7/N7,N7/P7))),2)</f>
        <v>0</v>
      </c>
      <c r="R11" s="65">
        <f t="shared" si="1"/>
        <v>0</v>
      </c>
      <c r="S11" s="58" t="s">
        <v>43</v>
      </c>
      <c r="T11" s="66"/>
      <c r="U11" s="180"/>
      <c r="V11" s="183"/>
    </row>
    <row r="12" spans="1:22" ht="124.8" customHeight="1" x14ac:dyDescent="0.3">
      <c r="A12" s="59" t="s">
        <v>71</v>
      </c>
      <c r="B12" s="60" t="s">
        <v>25</v>
      </c>
      <c r="C12" s="60">
        <v>3652</v>
      </c>
      <c r="D12" s="60" t="s">
        <v>81</v>
      </c>
      <c r="E12" s="60" t="s">
        <v>82</v>
      </c>
      <c r="F12" s="60" t="s">
        <v>95</v>
      </c>
      <c r="G12" s="60" t="s">
        <v>20</v>
      </c>
      <c r="H12" s="67" t="s">
        <v>23</v>
      </c>
      <c r="I12" s="67" t="s">
        <v>24</v>
      </c>
      <c r="J12" s="68">
        <v>0.4</v>
      </c>
      <c r="K12" s="62" t="s">
        <v>103</v>
      </c>
      <c r="L12" s="129"/>
      <c r="M12" s="62" t="s">
        <v>42</v>
      </c>
      <c r="N12" s="58">
        <v>1</v>
      </c>
      <c r="O12" s="58">
        <v>0.2</v>
      </c>
      <c r="P12" s="58"/>
      <c r="Q12" s="58">
        <f t="shared" ref="Q12:Q13" si="3">ROUND(IF(OR(N8="",P8=""),0,IF(AND(N8=0,P8=0),1,IF(S8="+",P8/N8,N8/P8))),2)</f>
        <v>0</v>
      </c>
      <c r="R12" s="65">
        <f t="shared" ref="R12:R13" si="4">IF(AND(Q12&gt;=60%,Q12&lt;100%),Q12*((O12*J12)),IF(Q12=100%,((O12*J12)*Q12)*100%,IF(Q12&gt;100%,((J12*O12)*100%)*100%,0)))*100</f>
        <v>0</v>
      </c>
      <c r="S12" s="58" t="s">
        <v>43</v>
      </c>
      <c r="T12" s="66"/>
      <c r="U12" s="180"/>
      <c r="V12" s="183"/>
    </row>
    <row r="13" spans="1:22" ht="124.8" customHeight="1" thickBot="1" x14ac:dyDescent="0.35">
      <c r="A13" s="72" t="s">
        <v>71</v>
      </c>
      <c r="B13" s="73" t="s">
        <v>25</v>
      </c>
      <c r="C13" s="73">
        <v>3652</v>
      </c>
      <c r="D13" s="73" t="s">
        <v>81</v>
      </c>
      <c r="E13" s="73" t="s">
        <v>82</v>
      </c>
      <c r="F13" s="73" t="s">
        <v>95</v>
      </c>
      <c r="G13" s="73" t="s">
        <v>20</v>
      </c>
      <c r="H13" s="74" t="s">
        <v>23</v>
      </c>
      <c r="I13" s="74" t="s">
        <v>24</v>
      </c>
      <c r="J13" s="75">
        <v>0.4</v>
      </c>
      <c r="K13" s="76" t="s">
        <v>101</v>
      </c>
      <c r="L13" s="130"/>
      <c r="M13" s="76" t="s">
        <v>42</v>
      </c>
      <c r="N13" s="79">
        <v>1</v>
      </c>
      <c r="O13" s="79">
        <v>0.15</v>
      </c>
      <c r="P13" s="79"/>
      <c r="Q13" s="79">
        <f t="shared" si="3"/>
        <v>0</v>
      </c>
      <c r="R13" s="80">
        <f t="shared" si="4"/>
        <v>0</v>
      </c>
      <c r="S13" s="79" t="s">
        <v>43</v>
      </c>
      <c r="T13" s="127"/>
      <c r="U13" s="181"/>
      <c r="V13" s="184"/>
    </row>
    <row r="14" spans="1:22" ht="70.2" customHeight="1" x14ac:dyDescent="0.3">
      <c r="A14" s="176" t="s">
        <v>149</v>
      </c>
      <c r="B14" s="177"/>
      <c r="C14" s="177"/>
      <c r="D14" s="177"/>
      <c r="E14" s="177"/>
      <c r="F14" s="177"/>
      <c r="G14" s="177"/>
      <c r="H14" s="177"/>
      <c r="I14" s="177"/>
      <c r="J14" s="177"/>
      <c r="K14" s="177"/>
      <c r="L14" s="177"/>
      <c r="M14" s="177"/>
      <c r="N14" s="177"/>
      <c r="O14" s="177"/>
      <c r="P14" s="177"/>
      <c r="Q14" s="177"/>
      <c r="R14" s="177"/>
      <c r="S14" s="177"/>
      <c r="T14" s="177"/>
      <c r="U14" s="177"/>
      <c r="V14" s="177"/>
    </row>
    <row r="15" spans="1:22" ht="43.8" customHeight="1" x14ac:dyDescent="0.3">
      <c r="A15" s="94" t="s">
        <v>71</v>
      </c>
      <c r="B15" s="94" t="s">
        <v>25</v>
      </c>
      <c r="C15" s="92">
        <v>3652</v>
      </c>
      <c r="D15" s="93" t="s">
        <v>81</v>
      </c>
      <c r="E15" s="93" t="s">
        <v>82</v>
      </c>
      <c r="F15" s="93" t="s">
        <v>95</v>
      </c>
      <c r="G15" s="93" t="s">
        <v>20</v>
      </c>
      <c r="H15" s="105" t="s">
        <v>21</v>
      </c>
      <c r="I15" s="95" t="s">
        <v>22</v>
      </c>
      <c r="J15" s="95">
        <v>0.7</v>
      </c>
      <c r="K15" s="96" t="s">
        <v>136</v>
      </c>
      <c r="L15" s="96" t="s">
        <v>137</v>
      </c>
      <c r="M15" s="56" t="s">
        <v>138</v>
      </c>
      <c r="N15" s="97" t="s">
        <v>139</v>
      </c>
      <c r="O15" s="95">
        <v>0.1</v>
      </c>
      <c r="P15" s="98"/>
      <c r="Q15" s="95">
        <f>ROUND(IF(OR(N15="",P15=""),0,IF(AND(N15=0,P15=0),1,IF(S15="+",P15/N15,N15/P15))),2)</f>
        <v>0</v>
      </c>
      <c r="R15" s="99">
        <f t="shared" ref="R15:R16" si="5">IF(AND(Q15&gt;=60%,Q15&lt;100%),Q15*((O15*J15)),IF(Q15=100%,((O15*J15)*Q15)*100%,IF(Q15&gt;100%,((J15*O15)*100%)*100%,0)))*100</f>
        <v>0</v>
      </c>
      <c r="S15" s="95" t="s">
        <v>44</v>
      </c>
      <c r="T15" s="95"/>
      <c r="U15" s="52"/>
      <c r="V15" s="53"/>
    </row>
    <row r="16" spans="1:22" ht="38.4" thickBot="1" x14ac:dyDescent="0.35">
      <c r="A16" s="94" t="s">
        <v>71</v>
      </c>
      <c r="B16" s="94" t="s">
        <v>25</v>
      </c>
      <c r="C16" s="92">
        <v>3652</v>
      </c>
      <c r="D16" s="93" t="s">
        <v>81</v>
      </c>
      <c r="E16" s="93" t="s">
        <v>82</v>
      </c>
      <c r="F16" s="93" t="s">
        <v>95</v>
      </c>
      <c r="G16" s="93" t="s">
        <v>20</v>
      </c>
      <c r="H16" s="91" t="s">
        <v>23</v>
      </c>
      <c r="I16" s="74" t="s">
        <v>24</v>
      </c>
      <c r="J16" s="106">
        <v>0.3</v>
      </c>
      <c r="K16" s="57" t="s">
        <v>143</v>
      </c>
      <c r="L16" s="54" t="s">
        <v>144</v>
      </c>
      <c r="M16" s="57" t="s">
        <v>145</v>
      </c>
      <c r="N16" s="107">
        <v>1</v>
      </c>
      <c r="O16" s="108">
        <v>0.05</v>
      </c>
      <c r="P16" s="109"/>
      <c r="Q16" s="108">
        <f t="shared" ref="Q16" si="6">ROUND(IF(OR(N16="",P16=""),0,IF(AND(N16=0,P16=0),1,IF(S16="+",P16/N16,N16/P16))),2)</f>
        <v>0</v>
      </c>
      <c r="R16" s="110">
        <f t="shared" si="5"/>
        <v>0</v>
      </c>
      <c r="S16" s="108" t="s">
        <v>43</v>
      </c>
      <c r="T16" s="108"/>
      <c r="U16" s="52"/>
      <c r="V16" s="53"/>
    </row>
    <row r="17" spans="1:22" ht="37.799999999999997" x14ac:dyDescent="0.3">
      <c r="A17" s="94" t="s">
        <v>71</v>
      </c>
      <c r="B17" s="94" t="s">
        <v>25</v>
      </c>
      <c r="C17" s="92">
        <v>3652</v>
      </c>
      <c r="D17" s="93" t="s">
        <v>81</v>
      </c>
      <c r="E17" s="93" t="s">
        <v>82</v>
      </c>
      <c r="F17" s="93" t="s">
        <v>95</v>
      </c>
      <c r="G17" s="93" t="s">
        <v>20</v>
      </c>
      <c r="H17" s="105" t="s">
        <v>21</v>
      </c>
      <c r="I17" s="95" t="s">
        <v>22</v>
      </c>
      <c r="J17" s="95">
        <v>0.7</v>
      </c>
      <c r="K17" s="56" t="s">
        <v>150</v>
      </c>
      <c r="L17" s="96" t="s">
        <v>151</v>
      </c>
      <c r="M17" s="56" t="s">
        <v>152</v>
      </c>
      <c r="N17" s="95" t="s">
        <v>153</v>
      </c>
      <c r="O17" s="95">
        <v>0.1</v>
      </c>
      <c r="P17" s="131"/>
      <c r="Q17" s="95">
        <f>ROUND(IF(OR(N17="",P17=""),0,IF(AND(N17=0,P17=0),1,IF(S17="+",P17/N17,N17/P17))),2)</f>
        <v>0</v>
      </c>
      <c r="R17" s="99">
        <f>IF(AND(Q17&gt;=60%,Q17&lt;100%),Q17*((O17*J17)),IF(Q17=100%,((O17*J17)*Q17)*100%,IF(Q17&gt;100%,((J17*O17)*100%)*100%,0)))*100</f>
        <v>0</v>
      </c>
      <c r="S17" s="95" t="s">
        <v>44</v>
      </c>
      <c r="T17" s="95"/>
      <c r="U17" s="52"/>
      <c r="V17" s="53"/>
    </row>
    <row r="18" spans="1:22" ht="37.799999999999997" x14ac:dyDescent="0.3">
      <c r="A18" s="94" t="s">
        <v>71</v>
      </c>
      <c r="B18" s="94" t="s">
        <v>25</v>
      </c>
      <c r="C18" s="92">
        <v>3652</v>
      </c>
      <c r="D18" s="93" t="s">
        <v>81</v>
      </c>
      <c r="E18" s="93" t="s">
        <v>82</v>
      </c>
      <c r="F18" s="93" t="s">
        <v>95</v>
      </c>
      <c r="G18" s="93" t="s">
        <v>20</v>
      </c>
      <c r="H18" s="105" t="s">
        <v>21</v>
      </c>
      <c r="I18" s="95" t="s">
        <v>22</v>
      </c>
      <c r="J18" s="95">
        <v>0.7</v>
      </c>
      <c r="K18" s="56" t="s">
        <v>154</v>
      </c>
      <c r="L18" s="96" t="s">
        <v>155</v>
      </c>
      <c r="M18" s="56" t="s">
        <v>156</v>
      </c>
      <c r="N18" s="95" t="s">
        <v>157</v>
      </c>
      <c r="O18" s="95">
        <v>0.15</v>
      </c>
      <c r="P18" s="132"/>
      <c r="Q18" s="95">
        <f t="shared" ref="Q18" si="7">ROUND(IF(OR(N18="",P18=""),0,IF(AND(N18=0,P18=0),1,IF(S18="+",P18/N18,N18/P18))),2)</f>
        <v>0</v>
      </c>
      <c r="R18" s="99">
        <f>IF(AND(Q18&gt;=60%,Q18&lt;100%),Q18*((O18*J18)),IF(Q18=100%,((O18*J18)*Q18)*100%,IF(Q18&gt;100%,((J18*O18)*100%)*100%,0)))*100</f>
        <v>0</v>
      </c>
      <c r="S18" s="95" t="s">
        <v>43</v>
      </c>
      <c r="T18" s="95"/>
      <c r="U18" s="52"/>
      <c r="V18" s="53"/>
    </row>
  </sheetData>
  <mergeCells count="3">
    <mergeCell ref="A14:V14"/>
    <mergeCell ref="U10:U13"/>
    <mergeCell ref="V10:V13"/>
  </mergeCells>
  <phoneticPr fontId="2" type="noConversion"/>
  <conditionalFormatting sqref="I1:I3 L11 K1:M1">
    <cfRule type="cellIs" dxfId="323" priority="86" operator="equal">
      <formula>"maintasks"</formula>
    </cfRule>
  </conditionalFormatting>
  <conditionalFormatting sqref="H1:H3">
    <cfRule type="cellIs" dxfId="322" priority="85" operator="equal">
      <formula>"maintasks"</formula>
    </cfRule>
  </conditionalFormatting>
  <conditionalFormatting sqref="L12">
    <cfRule type="cellIs" dxfId="321" priority="84" operator="equal">
      <formula>"maintasks"</formula>
    </cfRule>
  </conditionalFormatting>
  <conditionalFormatting sqref="L13">
    <cfRule type="cellIs" dxfId="320" priority="83" operator="equal">
      <formula>"maintasks"</formula>
    </cfRule>
  </conditionalFormatting>
  <conditionalFormatting sqref="H5:I7">
    <cfRule type="cellIs" dxfId="319" priority="82" operator="equal">
      <formula>"maintasks"</formula>
    </cfRule>
  </conditionalFormatting>
  <conditionalFormatting sqref="I4">
    <cfRule type="cellIs" dxfId="318" priority="81" operator="equal">
      <formula>"maintasks"</formula>
    </cfRule>
  </conditionalFormatting>
  <conditionalFormatting sqref="H4">
    <cfRule type="cellIs" dxfId="317" priority="80" operator="equal">
      <formula>"maintasks"</formula>
    </cfRule>
  </conditionalFormatting>
  <conditionalFormatting sqref="I8">
    <cfRule type="cellIs" dxfId="316" priority="69" operator="equal">
      <formula>"maintasks"</formula>
    </cfRule>
  </conditionalFormatting>
  <conditionalFormatting sqref="H8">
    <cfRule type="cellIs" dxfId="315" priority="68" operator="equal">
      <formula>"maintasks"</formula>
    </cfRule>
  </conditionalFormatting>
  <conditionalFormatting sqref="I10">
    <cfRule type="cellIs" dxfId="314" priority="65" operator="equal">
      <formula>"maintasks"</formula>
    </cfRule>
  </conditionalFormatting>
  <conditionalFormatting sqref="H10">
    <cfRule type="cellIs" dxfId="313" priority="64" operator="equal">
      <formula>"maintasks"</formula>
    </cfRule>
  </conditionalFormatting>
  <conditionalFormatting sqref="K12 I12">
    <cfRule type="cellIs" dxfId="312" priority="63" operator="equal">
      <formula>"maintasks"</formula>
    </cfRule>
  </conditionalFormatting>
  <conditionalFormatting sqref="H12">
    <cfRule type="cellIs" dxfId="311" priority="62" operator="equal">
      <formula>"maintasks"</formula>
    </cfRule>
  </conditionalFormatting>
  <conditionalFormatting sqref="I7">
    <cfRule type="cellIs" dxfId="310" priority="60" operator="equal">
      <formula>"maintasks"</formula>
    </cfRule>
  </conditionalFormatting>
  <conditionalFormatting sqref="I9">
    <cfRule type="cellIs" dxfId="309" priority="57" operator="equal">
      <formula>"maintasks"</formula>
    </cfRule>
  </conditionalFormatting>
  <conditionalFormatting sqref="H9">
    <cfRule type="cellIs" dxfId="308" priority="56" operator="equal">
      <formula>"maintasks"</formula>
    </cfRule>
  </conditionalFormatting>
  <conditionalFormatting sqref="I13">
    <cfRule type="cellIs" dxfId="307" priority="54" operator="equal">
      <formula>"maintasks"</formula>
    </cfRule>
  </conditionalFormatting>
  <conditionalFormatting sqref="I2:I3">
    <cfRule type="cellIs" dxfId="306" priority="53" operator="equal">
      <formula>"maintasks"</formula>
    </cfRule>
  </conditionalFormatting>
  <conditionalFormatting sqref="H2:H3">
    <cfRule type="cellIs" dxfId="305" priority="52" operator="equal">
      <formula>"maintasks"</formula>
    </cfRule>
  </conditionalFormatting>
  <conditionalFormatting sqref="H13">
    <cfRule type="cellIs" dxfId="304" priority="51" operator="equal">
      <formula>"maintasks"</formula>
    </cfRule>
  </conditionalFormatting>
  <conditionalFormatting sqref="I11">
    <cfRule type="cellIs" dxfId="303" priority="50" operator="equal">
      <formula>"maintasks"</formula>
    </cfRule>
  </conditionalFormatting>
  <conditionalFormatting sqref="H11">
    <cfRule type="cellIs" dxfId="302" priority="49" operator="equal">
      <formula>"maintasks"</formula>
    </cfRule>
  </conditionalFormatting>
  <conditionalFormatting sqref="K10:L10">
    <cfRule type="cellIs" dxfId="301" priority="39" operator="equal">
      <formula>"maintasks"</formula>
    </cfRule>
  </conditionalFormatting>
  <conditionalFormatting sqref="M11">
    <cfRule type="cellIs" dxfId="300" priority="28" operator="equal">
      <formula>"maintasks"</formula>
    </cfRule>
  </conditionalFormatting>
  <conditionalFormatting sqref="M12">
    <cfRule type="cellIs" dxfId="299" priority="27" operator="equal">
      <formula>"maintasks"</formula>
    </cfRule>
  </conditionalFormatting>
  <conditionalFormatting sqref="M13">
    <cfRule type="cellIs" dxfId="298" priority="26" operator="equal">
      <formula>"maintasks"</formula>
    </cfRule>
  </conditionalFormatting>
  <conditionalFormatting sqref="M10">
    <cfRule type="cellIs" dxfId="297" priority="23" operator="equal">
      <formula>"maintasks"</formula>
    </cfRule>
  </conditionalFormatting>
  <conditionalFormatting sqref="K2:M6">
    <cfRule type="cellIs" dxfId="296" priority="21" operator="equal">
      <formula>"maintasks"</formula>
    </cfRule>
  </conditionalFormatting>
  <conditionalFormatting sqref="K2:M2">
    <cfRule type="cellIs" dxfId="295" priority="20" operator="equal">
      <formula>"maintasks"</formula>
    </cfRule>
  </conditionalFormatting>
  <conditionalFormatting sqref="K5:L5">
    <cfRule type="cellIs" dxfId="294" priority="19" operator="equal">
      <formula>"maintasks"</formula>
    </cfRule>
  </conditionalFormatting>
  <conditionalFormatting sqref="K7:L7">
    <cfRule type="cellIs" dxfId="293" priority="18" operator="equal">
      <formula>"maintasks"</formula>
    </cfRule>
  </conditionalFormatting>
  <conditionalFormatting sqref="M5">
    <cfRule type="cellIs" dxfId="292" priority="17" operator="equal">
      <formula>"maintasks"</formula>
    </cfRule>
  </conditionalFormatting>
  <conditionalFormatting sqref="M7">
    <cfRule type="cellIs" dxfId="291" priority="16" operator="equal">
      <formula>"maintasks"</formula>
    </cfRule>
  </conditionalFormatting>
  <conditionalFormatting sqref="K9:L9">
    <cfRule type="cellIs" dxfId="290" priority="15" operator="equal">
      <formula>"maintasks"</formula>
    </cfRule>
  </conditionalFormatting>
  <conditionalFormatting sqref="M9">
    <cfRule type="cellIs" dxfId="289" priority="14" operator="equal">
      <formula>"maintasks"</formula>
    </cfRule>
  </conditionalFormatting>
  <conditionalFormatting sqref="K8:L8">
    <cfRule type="cellIs" dxfId="288" priority="13" operator="equal">
      <formula>"maintasks"</formula>
    </cfRule>
  </conditionalFormatting>
  <conditionalFormatting sqref="M8">
    <cfRule type="cellIs" dxfId="287" priority="12" operator="equal">
      <formula>"maintasks"</formula>
    </cfRule>
  </conditionalFormatting>
  <conditionalFormatting sqref="K13">
    <cfRule type="cellIs" dxfId="286" priority="11" operator="equal">
      <formula>"maintasks"</formula>
    </cfRule>
  </conditionalFormatting>
  <conditionalFormatting sqref="H15 K15">
    <cfRule type="cellIs" dxfId="285" priority="10" operator="equal">
      <formula>"maintasks"</formula>
    </cfRule>
  </conditionalFormatting>
  <conditionalFormatting sqref="A15:B18">
    <cfRule type="cellIs" dxfId="284" priority="9" operator="equal">
      <formula>"maintasks"</formula>
    </cfRule>
  </conditionalFormatting>
  <conditionalFormatting sqref="L15:M15">
    <cfRule type="cellIs" dxfId="283" priority="8" operator="equal">
      <formula>"maintasks"</formula>
    </cfRule>
  </conditionalFormatting>
  <conditionalFormatting sqref="I16">
    <cfRule type="cellIs" dxfId="282" priority="7" operator="equal">
      <formula>"maintasks"</formula>
    </cfRule>
  </conditionalFormatting>
  <conditionalFormatting sqref="H16">
    <cfRule type="cellIs" dxfId="281" priority="6" operator="equal">
      <formula>"maintasks"</formula>
    </cfRule>
  </conditionalFormatting>
  <conditionalFormatting sqref="J16:N16">
    <cfRule type="cellIs" dxfId="280" priority="5" operator="equal">
      <formula>"maintasks"</formula>
    </cfRule>
  </conditionalFormatting>
  <conditionalFormatting sqref="K17:M17">
    <cfRule type="cellIs" dxfId="279" priority="4" operator="equal">
      <formula>"maintasks"</formula>
    </cfRule>
  </conditionalFormatting>
  <conditionalFormatting sqref="H17:H18">
    <cfRule type="cellIs" dxfId="278" priority="3" operator="equal">
      <formula>"maintasks"</formula>
    </cfRule>
  </conditionalFormatting>
  <conditionalFormatting sqref="K18:M18">
    <cfRule type="cellIs" dxfId="277" priority="1" operator="equal">
      <formula>"maintasks"</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3A71-B263-41A8-926E-BC7C1EDB8D9A}">
  <dimension ref="A1:V18"/>
  <sheetViews>
    <sheetView topLeftCell="L1" workbookViewId="0">
      <selection activeCell="V4" sqref="U4:V4"/>
    </sheetView>
  </sheetViews>
  <sheetFormatPr defaultColWidth="8.77734375" defaultRowHeight="14.4" x14ac:dyDescent="0.3"/>
  <cols>
    <col min="1" max="1" width="5.5546875" style="11" bestFit="1" customWidth="1"/>
    <col min="2" max="2" width="3.21875" style="11" bestFit="1" customWidth="1"/>
    <col min="3" max="3" width="5.88671875" style="11" bestFit="1" customWidth="1"/>
    <col min="4" max="4" width="9.21875" style="11" bestFit="1" customWidth="1"/>
    <col min="5" max="5" width="19.21875" style="11" bestFit="1" customWidth="1"/>
    <col min="6" max="7" width="7.33203125" style="11" bestFit="1" customWidth="1"/>
    <col min="8" max="8" width="6.88671875" style="11" bestFit="1" customWidth="1"/>
    <col min="9" max="9" width="7" style="11" bestFit="1" customWidth="1"/>
    <col min="10" max="10" width="7.21875" style="11" bestFit="1" customWidth="1"/>
    <col min="11" max="11" width="55.77734375" style="11" bestFit="1" customWidth="1"/>
    <col min="12" max="12" width="53.109375" style="40" bestFit="1" customWidth="1"/>
    <col min="13" max="13" width="93.44140625" style="11" bestFit="1" customWidth="1"/>
    <col min="14" max="14" width="4.44140625" style="11" bestFit="1" customWidth="1"/>
    <col min="15" max="15" width="7.21875" style="11" hidden="1" customWidth="1"/>
    <col min="16" max="16" width="11.21875" style="11" hidden="1" customWidth="1"/>
    <col min="17" max="17" width="16.21875" style="11" hidden="1" customWidth="1"/>
    <col min="18" max="18" width="12.77734375" style="11" hidden="1" customWidth="1"/>
    <col min="19" max="19" width="3.44140625" style="11" bestFit="1" customWidth="1"/>
    <col min="20" max="20" width="3.33203125" style="11" bestFit="1" customWidth="1"/>
    <col min="21" max="21" width="51.6640625" style="11" customWidth="1"/>
    <col min="22" max="22" width="49.21875" style="11" customWidth="1"/>
    <col min="23" max="16384" width="8.77734375" style="11"/>
  </cols>
  <sheetData>
    <row r="1" spans="1:22" s="43" customFormat="1" ht="16.8" x14ac:dyDescent="0.3">
      <c r="A1" s="3" t="s">
        <v>0</v>
      </c>
      <c r="B1" s="4" t="s">
        <v>1</v>
      </c>
      <c r="C1" s="4" t="s">
        <v>2</v>
      </c>
      <c r="D1" s="4" t="s">
        <v>3</v>
      </c>
      <c r="E1" s="4" t="s">
        <v>4</v>
      </c>
      <c r="F1" s="4" t="s">
        <v>5</v>
      </c>
      <c r="G1" s="4" t="s">
        <v>6</v>
      </c>
      <c r="H1" s="4" t="s">
        <v>7</v>
      </c>
      <c r="I1" s="4" t="s">
        <v>8</v>
      </c>
      <c r="J1" s="6" t="s">
        <v>9</v>
      </c>
      <c r="K1" s="4" t="s">
        <v>10</v>
      </c>
      <c r="L1" s="41" t="s">
        <v>11</v>
      </c>
      <c r="M1" s="42" t="s">
        <v>12</v>
      </c>
      <c r="N1" s="4" t="s">
        <v>13</v>
      </c>
      <c r="O1" s="6" t="s">
        <v>14</v>
      </c>
      <c r="P1" s="4" t="s">
        <v>15</v>
      </c>
      <c r="Q1" s="7" t="s">
        <v>16</v>
      </c>
      <c r="R1" s="8" t="s">
        <v>17</v>
      </c>
      <c r="S1" s="9" t="s">
        <v>18</v>
      </c>
      <c r="T1" s="10" t="s">
        <v>19</v>
      </c>
      <c r="U1" s="86" t="s">
        <v>114</v>
      </c>
      <c r="V1" s="87" t="s">
        <v>114</v>
      </c>
    </row>
    <row r="2" spans="1:22" ht="55.2" x14ac:dyDescent="0.3">
      <c r="A2" s="12" t="s">
        <v>71</v>
      </c>
      <c r="B2" s="13" t="s">
        <v>25</v>
      </c>
      <c r="C2" s="49">
        <v>5217</v>
      </c>
      <c r="D2" s="49" t="s">
        <v>73</v>
      </c>
      <c r="E2" s="49" t="s">
        <v>74</v>
      </c>
      <c r="F2" s="13" t="s">
        <v>94</v>
      </c>
      <c r="G2" s="13" t="s">
        <v>20</v>
      </c>
      <c r="H2" s="14" t="s">
        <v>21</v>
      </c>
      <c r="I2" s="14" t="s">
        <v>22</v>
      </c>
      <c r="J2" s="15">
        <v>0.6</v>
      </c>
      <c r="K2" s="16" t="s">
        <v>50</v>
      </c>
      <c r="L2" s="17" t="s">
        <v>59</v>
      </c>
      <c r="M2" s="18" t="s">
        <v>48</v>
      </c>
      <c r="N2" s="58">
        <v>0.99</v>
      </c>
      <c r="O2" s="15">
        <v>0.2</v>
      </c>
      <c r="P2" s="15"/>
      <c r="Q2" s="15">
        <f t="shared" ref="Q2:Q13" si="0">ROUND(IF(OR(N2="",P2=""),0,IF(AND(N2=0,P2=0),1,IF(S2="+",P2/N2,N2/P2))),2)</f>
        <v>0</v>
      </c>
      <c r="R2" s="19">
        <f t="shared" ref="R2:R13" si="1">IF(AND(Q2&gt;=60%,Q2&lt;100%),Q2*((O2*J2)),IF(Q2=100%,((O2*J2)*Q2)*100%,IF(Q2&gt;100%,((J2*O2)*100%)*100%,0)))*100</f>
        <v>0</v>
      </c>
      <c r="S2" s="15" t="s">
        <v>43</v>
      </c>
      <c r="T2" s="21"/>
      <c r="U2" s="86" t="s">
        <v>115</v>
      </c>
      <c r="V2" s="87" t="s">
        <v>116</v>
      </c>
    </row>
    <row r="3" spans="1:22" ht="67.2" x14ac:dyDescent="0.3">
      <c r="A3" s="12" t="s">
        <v>71</v>
      </c>
      <c r="B3" s="13" t="s">
        <v>25</v>
      </c>
      <c r="C3" s="13">
        <v>5217</v>
      </c>
      <c r="D3" s="13" t="s">
        <v>73</v>
      </c>
      <c r="E3" s="13" t="s">
        <v>74</v>
      </c>
      <c r="F3" s="13" t="s">
        <v>94</v>
      </c>
      <c r="G3" s="13" t="s">
        <v>20</v>
      </c>
      <c r="H3" s="14" t="s">
        <v>21</v>
      </c>
      <c r="I3" s="14" t="s">
        <v>22</v>
      </c>
      <c r="J3" s="15">
        <v>0.6</v>
      </c>
      <c r="K3" s="16" t="s">
        <v>51</v>
      </c>
      <c r="L3" s="17" t="s">
        <v>62</v>
      </c>
      <c r="M3" s="18" t="s">
        <v>49</v>
      </c>
      <c r="N3" s="58">
        <v>0.99</v>
      </c>
      <c r="O3" s="15">
        <v>0.15</v>
      </c>
      <c r="P3" s="15"/>
      <c r="Q3" s="15">
        <f t="shared" si="0"/>
        <v>0</v>
      </c>
      <c r="R3" s="19">
        <f t="shared" si="1"/>
        <v>0</v>
      </c>
      <c r="S3" s="15" t="s">
        <v>43</v>
      </c>
      <c r="T3" s="21"/>
      <c r="U3" s="86" t="s">
        <v>117</v>
      </c>
      <c r="V3" s="87" t="s">
        <v>126</v>
      </c>
    </row>
    <row r="4" spans="1:22" ht="289.8" x14ac:dyDescent="0.3">
      <c r="A4" s="59" t="s">
        <v>71</v>
      </c>
      <c r="B4" s="60" t="s">
        <v>25</v>
      </c>
      <c r="C4" s="60">
        <v>5217</v>
      </c>
      <c r="D4" s="60" t="s">
        <v>73</v>
      </c>
      <c r="E4" s="60" t="s">
        <v>74</v>
      </c>
      <c r="F4" s="60" t="s">
        <v>94</v>
      </c>
      <c r="G4" s="60" t="s">
        <v>20</v>
      </c>
      <c r="H4" s="61" t="s">
        <v>21</v>
      </c>
      <c r="I4" s="61" t="s">
        <v>22</v>
      </c>
      <c r="J4" s="58">
        <v>0.6</v>
      </c>
      <c r="K4" s="62" t="s">
        <v>31</v>
      </c>
      <c r="L4" s="113" t="s">
        <v>60</v>
      </c>
      <c r="M4" s="114" t="s">
        <v>39</v>
      </c>
      <c r="N4" s="58">
        <v>1</v>
      </c>
      <c r="O4" s="58">
        <v>0.2</v>
      </c>
      <c r="P4" s="58"/>
      <c r="Q4" s="58">
        <f t="shared" si="0"/>
        <v>0</v>
      </c>
      <c r="R4" s="65">
        <f t="shared" si="1"/>
        <v>0</v>
      </c>
      <c r="S4" s="58" t="s">
        <v>43</v>
      </c>
      <c r="T4" s="66"/>
      <c r="U4" s="86" t="s">
        <v>264</v>
      </c>
      <c r="V4" s="87" t="s">
        <v>265</v>
      </c>
    </row>
    <row r="5" spans="1:22" ht="165.6" x14ac:dyDescent="0.3">
      <c r="A5" s="59" t="s">
        <v>71</v>
      </c>
      <c r="B5" s="60" t="s">
        <v>25</v>
      </c>
      <c r="C5" s="60">
        <v>5217</v>
      </c>
      <c r="D5" s="60" t="s">
        <v>73</v>
      </c>
      <c r="E5" s="60" t="s">
        <v>74</v>
      </c>
      <c r="F5" s="60" t="s">
        <v>94</v>
      </c>
      <c r="G5" s="60" t="s">
        <v>20</v>
      </c>
      <c r="H5" s="61" t="s">
        <v>21</v>
      </c>
      <c r="I5" s="61" t="s">
        <v>22</v>
      </c>
      <c r="J5" s="58">
        <v>0.6</v>
      </c>
      <c r="K5" s="62" t="s">
        <v>30</v>
      </c>
      <c r="L5" s="113" t="s">
        <v>63</v>
      </c>
      <c r="M5" s="114" t="s">
        <v>37</v>
      </c>
      <c r="N5" s="58">
        <v>1</v>
      </c>
      <c r="O5" s="58">
        <v>0.15</v>
      </c>
      <c r="P5" s="58"/>
      <c r="Q5" s="58">
        <f t="shared" si="0"/>
        <v>0</v>
      </c>
      <c r="R5" s="65">
        <f t="shared" si="1"/>
        <v>0</v>
      </c>
      <c r="S5" s="58" t="s">
        <v>43</v>
      </c>
      <c r="T5" s="66"/>
      <c r="U5" s="86" t="s">
        <v>118</v>
      </c>
      <c r="V5" s="87" t="s">
        <v>127</v>
      </c>
    </row>
    <row r="6" spans="1:22" ht="41.4" x14ac:dyDescent="0.3">
      <c r="A6" s="12" t="s">
        <v>71</v>
      </c>
      <c r="B6" s="13" t="s">
        <v>25</v>
      </c>
      <c r="C6" s="13">
        <v>5217</v>
      </c>
      <c r="D6" s="13" t="s">
        <v>73</v>
      </c>
      <c r="E6" s="13" t="s">
        <v>74</v>
      </c>
      <c r="F6" s="13" t="s">
        <v>94</v>
      </c>
      <c r="G6" s="13" t="s">
        <v>20</v>
      </c>
      <c r="H6" s="14" t="s">
        <v>21</v>
      </c>
      <c r="I6" s="14" t="s">
        <v>22</v>
      </c>
      <c r="J6" s="15">
        <v>0.6</v>
      </c>
      <c r="K6" s="16" t="s">
        <v>65</v>
      </c>
      <c r="L6" s="17" t="s">
        <v>66</v>
      </c>
      <c r="M6" s="18" t="s">
        <v>67</v>
      </c>
      <c r="N6" s="15">
        <v>1</v>
      </c>
      <c r="O6" s="15">
        <v>0.15</v>
      </c>
      <c r="P6" s="15"/>
      <c r="Q6" s="15">
        <f t="shared" si="0"/>
        <v>0</v>
      </c>
      <c r="R6" s="19">
        <f t="shared" si="1"/>
        <v>0</v>
      </c>
      <c r="S6" s="15" t="s">
        <v>43</v>
      </c>
      <c r="T6" s="21"/>
      <c r="U6" s="86" t="s">
        <v>119</v>
      </c>
      <c r="V6" s="87" t="s">
        <v>128</v>
      </c>
    </row>
    <row r="7" spans="1:22" ht="117.6" x14ac:dyDescent="0.3">
      <c r="A7" s="12" t="s">
        <v>71</v>
      </c>
      <c r="B7" s="13" t="s">
        <v>25</v>
      </c>
      <c r="C7" s="13">
        <v>5217</v>
      </c>
      <c r="D7" s="13" t="s">
        <v>73</v>
      </c>
      <c r="E7" s="13" t="s">
        <v>74</v>
      </c>
      <c r="F7" s="13" t="s">
        <v>94</v>
      </c>
      <c r="G7" s="13" t="s">
        <v>20</v>
      </c>
      <c r="H7" s="14" t="s">
        <v>21</v>
      </c>
      <c r="I7" s="14" t="s">
        <v>22</v>
      </c>
      <c r="J7" s="15">
        <v>0.6</v>
      </c>
      <c r="K7" s="16" t="s">
        <v>32</v>
      </c>
      <c r="L7" s="17" t="s">
        <v>61</v>
      </c>
      <c r="M7" s="114" t="s">
        <v>38</v>
      </c>
      <c r="N7" s="15">
        <v>0.95</v>
      </c>
      <c r="O7" s="15">
        <v>0.15</v>
      </c>
      <c r="P7" s="15"/>
      <c r="Q7" s="15">
        <f t="shared" si="0"/>
        <v>0</v>
      </c>
      <c r="R7" s="19">
        <f t="shared" si="1"/>
        <v>0</v>
      </c>
      <c r="S7" s="15" t="s">
        <v>43</v>
      </c>
      <c r="T7" s="21"/>
      <c r="U7" s="86" t="s">
        <v>120</v>
      </c>
      <c r="V7" s="87" t="s">
        <v>129</v>
      </c>
    </row>
    <row r="8" spans="1:22" ht="409.6" x14ac:dyDescent="0.3">
      <c r="A8" s="59" t="s">
        <v>71</v>
      </c>
      <c r="B8" s="60" t="s">
        <v>25</v>
      </c>
      <c r="C8" s="60">
        <v>5217</v>
      </c>
      <c r="D8" s="60" t="s">
        <v>73</v>
      </c>
      <c r="E8" s="60" t="s">
        <v>74</v>
      </c>
      <c r="F8" s="60" t="s">
        <v>94</v>
      </c>
      <c r="G8" s="60" t="s">
        <v>20</v>
      </c>
      <c r="H8" s="67" t="s">
        <v>23</v>
      </c>
      <c r="I8" s="67" t="s">
        <v>24</v>
      </c>
      <c r="J8" s="68">
        <v>0.4</v>
      </c>
      <c r="K8" s="69" t="s">
        <v>52</v>
      </c>
      <c r="L8" s="117" t="s">
        <v>64</v>
      </c>
      <c r="M8" s="69" t="s">
        <v>53</v>
      </c>
      <c r="N8" s="58">
        <v>1</v>
      </c>
      <c r="O8" s="58">
        <v>0.15</v>
      </c>
      <c r="P8" s="58"/>
      <c r="Q8" s="58">
        <f t="shared" si="0"/>
        <v>0</v>
      </c>
      <c r="R8" s="65">
        <f t="shared" si="1"/>
        <v>0</v>
      </c>
      <c r="S8" s="58" t="s">
        <v>43</v>
      </c>
      <c r="T8" s="66"/>
      <c r="U8" s="86" t="s">
        <v>121</v>
      </c>
      <c r="V8" s="87" t="s">
        <v>130</v>
      </c>
    </row>
    <row r="9" spans="1:22" ht="289.8" x14ac:dyDescent="0.3">
      <c r="A9" s="59" t="s">
        <v>71</v>
      </c>
      <c r="B9" s="60" t="s">
        <v>25</v>
      </c>
      <c r="C9" s="60">
        <v>5217</v>
      </c>
      <c r="D9" s="60" t="s">
        <v>73</v>
      </c>
      <c r="E9" s="60" t="s">
        <v>74</v>
      </c>
      <c r="F9" s="60" t="s">
        <v>94</v>
      </c>
      <c r="G9" s="60" t="s">
        <v>20</v>
      </c>
      <c r="H9" s="67" t="s">
        <v>23</v>
      </c>
      <c r="I9" s="67" t="s">
        <v>24</v>
      </c>
      <c r="J9" s="68">
        <v>0.4</v>
      </c>
      <c r="K9" s="69" t="s">
        <v>54</v>
      </c>
      <c r="L9" s="117" t="s">
        <v>68</v>
      </c>
      <c r="M9" s="69" t="s">
        <v>69</v>
      </c>
      <c r="N9" s="58">
        <v>1</v>
      </c>
      <c r="O9" s="58">
        <v>0.2</v>
      </c>
      <c r="P9" s="58"/>
      <c r="Q9" s="58">
        <f t="shared" si="0"/>
        <v>0</v>
      </c>
      <c r="R9" s="65">
        <f t="shared" si="1"/>
        <v>0</v>
      </c>
      <c r="S9" s="58" t="s">
        <v>43</v>
      </c>
      <c r="T9" s="66"/>
      <c r="U9" s="86" t="s">
        <v>123</v>
      </c>
      <c r="V9" s="87" t="s">
        <v>131</v>
      </c>
    </row>
    <row r="10" spans="1:22" ht="388.2" customHeight="1" x14ac:dyDescent="0.3">
      <c r="A10" s="59" t="s">
        <v>71</v>
      </c>
      <c r="B10" s="60" t="s">
        <v>25</v>
      </c>
      <c r="C10" s="60">
        <v>5217</v>
      </c>
      <c r="D10" s="60" t="s">
        <v>73</v>
      </c>
      <c r="E10" s="60" t="s">
        <v>74</v>
      </c>
      <c r="F10" s="60" t="s">
        <v>94</v>
      </c>
      <c r="G10" s="60" t="s">
        <v>20</v>
      </c>
      <c r="H10" s="67" t="s">
        <v>23</v>
      </c>
      <c r="I10" s="67" t="s">
        <v>24</v>
      </c>
      <c r="J10" s="68">
        <v>0.4</v>
      </c>
      <c r="K10" s="62" t="s">
        <v>34</v>
      </c>
      <c r="L10" s="113" t="s">
        <v>27</v>
      </c>
      <c r="M10" s="62" t="s">
        <v>41</v>
      </c>
      <c r="N10" s="58">
        <v>1</v>
      </c>
      <c r="O10" s="58">
        <v>0.15</v>
      </c>
      <c r="P10" s="58"/>
      <c r="Q10" s="58">
        <f t="shared" si="0"/>
        <v>0</v>
      </c>
      <c r="R10" s="65">
        <f t="shared" si="1"/>
        <v>0</v>
      </c>
      <c r="S10" s="58" t="s">
        <v>43</v>
      </c>
      <c r="T10" s="66"/>
      <c r="U10" s="133" t="s">
        <v>159</v>
      </c>
      <c r="V10" s="134" t="s">
        <v>160</v>
      </c>
    </row>
    <row r="11" spans="1:22" ht="238.8" customHeight="1" x14ac:dyDescent="0.3">
      <c r="A11" s="59" t="s">
        <v>71</v>
      </c>
      <c r="B11" s="60" t="s">
        <v>25</v>
      </c>
      <c r="C11" s="60">
        <v>5217</v>
      </c>
      <c r="D11" s="60" t="s">
        <v>73</v>
      </c>
      <c r="E11" s="60" t="s">
        <v>74</v>
      </c>
      <c r="F11" s="60" t="s">
        <v>94</v>
      </c>
      <c r="G11" s="60" t="s">
        <v>20</v>
      </c>
      <c r="H11" s="67" t="s">
        <v>23</v>
      </c>
      <c r="I11" s="67" t="s">
        <v>24</v>
      </c>
      <c r="J11" s="68">
        <v>0.4</v>
      </c>
      <c r="K11" s="62" t="s">
        <v>35</v>
      </c>
      <c r="L11" s="113" t="s">
        <v>28</v>
      </c>
      <c r="M11" s="62" t="s">
        <v>40</v>
      </c>
      <c r="N11" s="58">
        <v>1</v>
      </c>
      <c r="O11" s="58">
        <v>0.15</v>
      </c>
      <c r="P11" s="58"/>
      <c r="Q11" s="58">
        <f t="shared" si="0"/>
        <v>0</v>
      </c>
      <c r="R11" s="65">
        <f t="shared" si="1"/>
        <v>0</v>
      </c>
      <c r="S11" s="58" t="s">
        <v>43</v>
      </c>
      <c r="T11" s="66"/>
      <c r="U11" s="86" t="s">
        <v>124</v>
      </c>
      <c r="V11" s="87" t="s">
        <v>134</v>
      </c>
    </row>
    <row r="12" spans="1:22" ht="377.4" customHeight="1" x14ac:dyDescent="0.3">
      <c r="A12" s="59" t="s">
        <v>71</v>
      </c>
      <c r="B12" s="60" t="s">
        <v>25</v>
      </c>
      <c r="C12" s="60">
        <v>5217</v>
      </c>
      <c r="D12" s="60" t="s">
        <v>73</v>
      </c>
      <c r="E12" s="60" t="s">
        <v>74</v>
      </c>
      <c r="F12" s="60" t="s">
        <v>94</v>
      </c>
      <c r="G12" s="60" t="s">
        <v>20</v>
      </c>
      <c r="H12" s="67" t="s">
        <v>23</v>
      </c>
      <c r="I12" s="67" t="s">
        <v>24</v>
      </c>
      <c r="J12" s="68">
        <v>0.4</v>
      </c>
      <c r="K12" s="62" t="s">
        <v>58</v>
      </c>
      <c r="L12" s="113" t="s">
        <v>70</v>
      </c>
      <c r="M12" s="62"/>
      <c r="N12" s="58">
        <v>1</v>
      </c>
      <c r="O12" s="58">
        <v>0.15</v>
      </c>
      <c r="P12" s="58"/>
      <c r="Q12" s="58">
        <f t="shared" si="0"/>
        <v>0</v>
      </c>
      <c r="R12" s="65">
        <f t="shared" si="1"/>
        <v>0</v>
      </c>
      <c r="S12" s="58" t="s">
        <v>43</v>
      </c>
      <c r="T12" s="66"/>
      <c r="U12" s="86" t="s">
        <v>122</v>
      </c>
      <c r="V12" s="87" t="s">
        <v>133</v>
      </c>
    </row>
    <row r="13" spans="1:22" ht="409.6" thickBot="1" x14ac:dyDescent="0.35">
      <c r="A13" s="72" t="s">
        <v>71</v>
      </c>
      <c r="B13" s="73" t="s">
        <v>25</v>
      </c>
      <c r="C13" s="73">
        <v>5217</v>
      </c>
      <c r="D13" s="73" t="s">
        <v>73</v>
      </c>
      <c r="E13" s="73" t="s">
        <v>74</v>
      </c>
      <c r="F13" s="73" t="s">
        <v>94</v>
      </c>
      <c r="G13" s="73" t="s">
        <v>20</v>
      </c>
      <c r="H13" s="74" t="s">
        <v>23</v>
      </c>
      <c r="I13" s="74" t="s">
        <v>24</v>
      </c>
      <c r="J13" s="75">
        <v>0.4</v>
      </c>
      <c r="K13" s="76" t="s">
        <v>97</v>
      </c>
      <c r="L13" s="118"/>
      <c r="M13" s="76" t="s">
        <v>42</v>
      </c>
      <c r="N13" s="79">
        <v>1</v>
      </c>
      <c r="O13" s="79">
        <v>0.2</v>
      </c>
      <c r="P13" s="79"/>
      <c r="Q13" s="79">
        <f t="shared" si="0"/>
        <v>0</v>
      </c>
      <c r="R13" s="80">
        <f t="shared" si="1"/>
        <v>0</v>
      </c>
      <c r="S13" s="79" t="s">
        <v>43</v>
      </c>
      <c r="T13" s="127"/>
      <c r="U13" s="133" t="s">
        <v>159</v>
      </c>
      <c r="V13" s="134" t="s">
        <v>160</v>
      </c>
    </row>
    <row r="14" spans="1:22" ht="72.599999999999994" customHeight="1" x14ac:dyDescent="0.3">
      <c r="A14" s="176" t="s">
        <v>149</v>
      </c>
      <c r="B14" s="177"/>
      <c r="C14" s="177"/>
      <c r="D14" s="177"/>
      <c r="E14" s="177"/>
      <c r="F14" s="177"/>
      <c r="G14" s="177"/>
      <c r="H14" s="177"/>
      <c r="I14" s="177"/>
      <c r="J14" s="177"/>
      <c r="K14" s="177"/>
      <c r="L14" s="177"/>
      <c r="M14" s="177"/>
      <c r="N14" s="177"/>
      <c r="O14" s="177"/>
      <c r="P14" s="177"/>
      <c r="Q14" s="177"/>
      <c r="R14" s="177"/>
      <c r="S14" s="177"/>
      <c r="T14" s="177"/>
      <c r="U14" s="177"/>
      <c r="V14" s="177"/>
    </row>
    <row r="15" spans="1:22" ht="43.8" customHeight="1" x14ac:dyDescent="0.3">
      <c r="A15" s="94" t="s">
        <v>71</v>
      </c>
      <c r="B15" s="94" t="s">
        <v>25</v>
      </c>
      <c r="C15" s="92">
        <v>5217</v>
      </c>
      <c r="D15" s="93" t="s">
        <v>73</v>
      </c>
      <c r="E15" s="93" t="s">
        <v>74</v>
      </c>
      <c r="F15" s="93" t="s">
        <v>94</v>
      </c>
      <c r="G15" s="93" t="s">
        <v>20</v>
      </c>
      <c r="H15" s="105" t="s">
        <v>21</v>
      </c>
      <c r="I15" s="95" t="s">
        <v>22</v>
      </c>
      <c r="J15" s="95">
        <v>0.7</v>
      </c>
      <c r="K15" s="96" t="s">
        <v>136</v>
      </c>
      <c r="L15" s="96" t="s">
        <v>137</v>
      </c>
      <c r="M15" s="56" t="s">
        <v>138</v>
      </c>
      <c r="N15" s="97" t="s">
        <v>139</v>
      </c>
      <c r="O15" s="95">
        <v>0.1</v>
      </c>
      <c r="P15" s="98"/>
      <c r="Q15" s="95">
        <f>ROUND(IF(OR(N15="",P15=""),0,IF(AND(N15=0,P15=0),1,IF(S15="+",P15/N15,N15/P15))),2)</f>
        <v>0</v>
      </c>
      <c r="R15" s="99">
        <f t="shared" ref="R15:R16" si="2">IF(AND(Q15&gt;=60%,Q15&lt;100%),Q15*((O15*J15)),IF(Q15=100%,((O15*J15)*Q15)*100%,IF(Q15&gt;100%,((J15*O15)*100%)*100%,0)))*100</f>
        <v>0</v>
      </c>
      <c r="S15" s="95" t="s">
        <v>44</v>
      </c>
      <c r="T15" s="95"/>
      <c r="U15" s="52"/>
      <c r="V15" s="53"/>
    </row>
    <row r="16" spans="1:22" ht="25.8" thickBot="1" x14ac:dyDescent="0.35">
      <c r="A16" s="94" t="s">
        <v>71</v>
      </c>
      <c r="B16" s="94" t="s">
        <v>25</v>
      </c>
      <c r="C16" s="92">
        <v>5217</v>
      </c>
      <c r="D16" s="93" t="s">
        <v>73</v>
      </c>
      <c r="E16" s="93" t="s">
        <v>74</v>
      </c>
      <c r="F16" s="93" t="s">
        <v>94</v>
      </c>
      <c r="G16" s="93" t="s">
        <v>20</v>
      </c>
      <c r="H16" s="91" t="s">
        <v>23</v>
      </c>
      <c r="I16" s="74" t="s">
        <v>24</v>
      </c>
      <c r="J16" s="106">
        <v>0.3</v>
      </c>
      <c r="K16" s="57" t="s">
        <v>143</v>
      </c>
      <c r="L16" s="54" t="s">
        <v>144</v>
      </c>
      <c r="M16" s="57" t="s">
        <v>145</v>
      </c>
      <c r="N16" s="107">
        <v>1</v>
      </c>
      <c r="O16" s="108">
        <v>0.05</v>
      </c>
      <c r="P16" s="109"/>
      <c r="Q16" s="108">
        <f t="shared" ref="Q16" si="3">ROUND(IF(OR(N16="",P16=""),0,IF(AND(N16=0,P16=0),1,IF(S16="+",P16/N16,N16/P16))),2)</f>
        <v>0</v>
      </c>
      <c r="R16" s="110">
        <f t="shared" si="2"/>
        <v>0</v>
      </c>
      <c r="S16" s="108" t="s">
        <v>43</v>
      </c>
      <c r="T16" s="108"/>
      <c r="U16" s="52"/>
      <c r="V16" s="53"/>
    </row>
    <row r="17" spans="1:22" ht="25.2" x14ac:dyDescent="0.3">
      <c r="A17" s="94" t="s">
        <v>71</v>
      </c>
      <c r="B17" s="94" t="s">
        <v>25</v>
      </c>
      <c r="C17" s="92">
        <v>5217</v>
      </c>
      <c r="D17" s="93" t="s">
        <v>73</v>
      </c>
      <c r="E17" s="93" t="s">
        <v>74</v>
      </c>
      <c r="F17" s="93" t="s">
        <v>94</v>
      </c>
      <c r="G17" s="93" t="s">
        <v>20</v>
      </c>
      <c r="H17" s="105" t="s">
        <v>21</v>
      </c>
      <c r="I17" s="95" t="s">
        <v>22</v>
      </c>
      <c r="J17" s="95">
        <v>0.7</v>
      </c>
      <c r="K17" s="56" t="s">
        <v>150</v>
      </c>
      <c r="L17" s="96" t="s">
        <v>151</v>
      </c>
      <c r="M17" s="56" t="s">
        <v>152</v>
      </c>
      <c r="N17" s="95" t="s">
        <v>153</v>
      </c>
      <c r="O17" s="95">
        <v>0.1</v>
      </c>
      <c r="P17" s="131"/>
      <c r="Q17" s="95">
        <f>ROUND(IF(OR(N17="",P17=""),0,IF(AND(N17=0,P17=0),1,IF(S17="+",P17/N17,N17/P17))),2)</f>
        <v>0</v>
      </c>
      <c r="R17" s="99">
        <f>IF(AND(Q17&gt;=60%,Q17&lt;100%),Q17*((O17*J17)),IF(Q17=100%,((O17*J17)*Q17)*100%,IF(Q17&gt;100%,((J17*O17)*100%)*100%,0)))*100</f>
        <v>0</v>
      </c>
      <c r="S17" s="95" t="s">
        <v>44</v>
      </c>
      <c r="T17" s="95"/>
      <c r="U17" s="52"/>
      <c r="V17" s="53"/>
    </row>
    <row r="18" spans="1:22" ht="40.799999999999997" x14ac:dyDescent="0.3">
      <c r="A18" s="94" t="s">
        <v>71</v>
      </c>
      <c r="B18" s="94" t="s">
        <v>25</v>
      </c>
      <c r="C18" s="92">
        <v>5217</v>
      </c>
      <c r="D18" s="93" t="s">
        <v>73</v>
      </c>
      <c r="E18" s="93" t="s">
        <v>74</v>
      </c>
      <c r="F18" s="93" t="s">
        <v>94</v>
      </c>
      <c r="G18" s="93" t="s">
        <v>20</v>
      </c>
      <c r="H18" s="105" t="s">
        <v>21</v>
      </c>
      <c r="I18" s="95" t="s">
        <v>22</v>
      </c>
      <c r="J18" s="95">
        <v>0.7</v>
      </c>
      <c r="K18" s="56" t="s">
        <v>154</v>
      </c>
      <c r="L18" s="96" t="s">
        <v>155</v>
      </c>
      <c r="M18" s="56" t="s">
        <v>156</v>
      </c>
      <c r="N18" s="95" t="s">
        <v>157</v>
      </c>
      <c r="O18" s="95">
        <v>0.15</v>
      </c>
      <c r="P18" s="132"/>
      <c r="Q18" s="95">
        <f t="shared" ref="Q18" si="4">ROUND(IF(OR(N18="",P18=""),0,IF(AND(N18=0,P18=0),1,IF(S18="+",P18/N18,N18/P18))),2)</f>
        <v>0</v>
      </c>
      <c r="R18" s="99">
        <f>IF(AND(Q18&gt;=60%,Q18&lt;100%),Q18*((O18*J18)),IF(Q18=100%,((O18*J18)*Q18)*100%,IF(Q18&gt;100%,((J18*O18)*100%)*100%,0)))*100</f>
        <v>0</v>
      </c>
      <c r="S18" s="95" t="s">
        <v>43</v>
      </c>
      <c r="T18" s="95"/>
      <c r="U18" s="52"/>
      <c r="V18" s="53"/>
    </row>
  </sheetData>
  <mergeCells count="1">
    <mergeCell ref="A14:V14"/>
  </mergeCells>
  <phoneticPr fontId="2" type="noConversion"/>
  <conditionalFormatting sqref="M12">
    <cfRule type="cellIs" dxfId="276" priority="11" operator="equal">
      <formula>"maintasks"</formula>
    </cfRule>
  </conditionalFormatting>
  <conditionalFormatting sqref="I1:I3 K13:L13 K1:M1">
    <cfRule type="cellIs" dxfId="275" priority="50" operator="equal">
      <formula>"maintasks"</formula>
    </cfRule>
  </conditionalFormatting>
  <conditionalFormatting sqref="H1:H3">
    <cfRule type="cellIs" dxfId="274" priority="49" operator="equal">
      <formula>"maintasks"</formula>
    </cfRule>
  </conditionalFormatting>
  <conditionalFormatting sqref="H7:I7">
    <cfRule type="cellIs" dxfId="273" priority="48" operator="equal">
      <formula>"maintasks"</formula>
    </cfRule>
  </conditionalFormatting>
  <conditionalFormatting sqref="I4">
    <cfRule type="cellIs" dxfId="272" priority="47" operator="equal">
      <formula>"maintasks"</formula>
    </cfRule>
  </conditionalFormatting>
  <conditionalFormatting sqref="H4">
    <cfRule type="cellIs" dxfId="271" priority="46" operator="equal">
      <formula>"maintasks"</formula>
    </cfRule>
  </conditionalFormatting>
  <conditionalFormatting sqref="I8">
    <cfRule type="cellIs" dxfId="270" priority="45" operator="equal">
      <formula>"maintasks"</formula>
    </cfRule>
  </conditionalFormatting>
  <conditionalFormatting sqref="H8">
    <cfRule type="cellIs" dxfId="269" priority="44" operator="equal">
      <formula>"maintasks"</formula>
    </cfRule>
  </conditionalFormatting>
  <conditionalFormatting sqref="I9">
    <cfRule type="cellIs" dxfId="268" priority="43" operator="equal">
      <formula>"maintasks"</formula>
    </cfRule>
  </conditionalFormatting>
  <conditionalFormatting sqref="H9">
    <cfRule type="cellIs" dxfId="267" priority="42" operator="equal">
      <formula>"maintasks"</formula>
    </cfRule>
  </conditionalFormatting>
  <conditionalFormatting sqref="I10">
    <cfRule type="cellIs" dxfId="266" priority="41" operator="equal">
      <formula>"maintasks"</formula>
    </cfRule>
  </conditionalFormatting>
  <conditionalFormatting sqref="H10">
    <cfRule type="cellIs" dxfId="265" priority="40" operator="equal">
      <formula>"maintasks"</formula>
    </cfRule>
  </conditionalFormatting>
  <conditionalFormatting sqref="I11">
    <cfRule type="cellIs" dxfId="264" priority="39" operator="equal">
      <formula>"maintasks"</formula>
    </cfRule>
  </conditionalFormatting>
  <conditionalFormatting sqref="H11">
    <cfRule type="cellIs" dxfId="263" priority="38" operator="equal">
      <formula>"maintasks"</formula>
    </cfRule>
  </conditionalFormatting>
  <conditionalFormatting sqref="I13">
    <cfRule type="cellIs" dxfId="262" priority="37" operator="equal">
      <formula>"maintasks"</formula>
    </cfRule>
  </conditionalFormatting>
  <conditionalFormatting sqref="I2:I3">
    <cfRule type="cellIs" dxfId="261" priority="36" operator="equal">
      <formula>"maintasks"</formula>
    </cfRule>
  </conditionalFormatting>
  <conditionalFormatting sqref="H2:H3">
    <cfRule type="cellIs" dxfId="260" priority="35" operator="equal">
      <formula>"maintasks"</formula>
    </cfRule>
  </conditionalFormatting>
  <conditionalFormatting sqref="H13">
    <cfRule type="cellIs" dxfId="259" priority="34" operator="equal">
      <formula>"maintasks"</formula>
    </cfRule>
  </conditionalFormatting>
  <conditionalFormatting sqref="I5">
    <cfRule type="cellIs" dxfId="258" priority="33" operator="equal">
      <formula>"maintasks"</formula>
    </cfRule>
  </conditionalFormatting>
  <conditionalFormatting sqref="H5">
    <cfRule type="cellIs" dxfId="257" priority="32" operator="equal">
      <formula>"maintasks"</formula>
    </cfRule>
  </conditionalFormatting>
  <conditionalFormatting sqref="I12">
    <cfRule type="cellIs" dxfId="256" priority="31" operator="equal">
      <formula>"maintasks"</formula>
    </cfRule>
  </conditionalFormatting>
  <conditionalFormatting sqref="H12">
    <cfRule type="cellIs" dxfId="255" priority="30" operator="equal">
      <formula>"maintasks"</formula>
    </cfRule>
  </conditionalFormatting>
  <conditionalFormatting sqref="I6">
    <cfRule type="cellIs" dxfId="254" priority="29" operator="equal">
      <formula>"maintasks"</formula>
    </cfRule>
  </conditionalFormatting>
  <conditionalFormatting sqref="H6">
    <cfRule type="cellIs" dxfId="253" priority="28" operator="equal">
      <formula>"maintasks"</formula>
    </cfRule>
  </conditionalFormatting>
  <conditionalFormatting sqref="M13">
    <cfRule type="cellIs" dxfId="252" priority="27" operator="equal">
      <formula>"maintasks"</formula>
    </cfRule>
  </conditionalFormatting>
  <conditionalFormatting sqref="K2:M6">
    <cfRule type="cellIs" dxfId="251" priority="26" operator="equal">
      <formula>"maintasks"</formula>
    </cfRule>
  </conditionalFormatting>
  <conditionalFormatting sqref="K2:M2">
    <cfRule type="cellIs" dxfId="250" priority="25" operator="equal">
      <formula>"maintasks"</formula>
    </cfRule>
  </conditionalFormatting>
  <conditionalFormatting sqref="K5:L5">
    <cfRule type="cellIs" dxfId="249" priority="24" operator="equal">
      <formula>"maintasks"</formula>
    </cfRule>
  </conditionalFormatting>
  <conditionalFormatting sqref="K7:L7">
    <cfRule type="cellIs" dxfId="248" priority="23" operator="equal">
      <formula>"maintasks"</formula>
    </cfRule>
  </conditionalFormatting>
  <conditionalFormatting sqref="M5">
    <cfRule type="cellIs" dxfId="247" priority="22" operator="equal">
      <formula>"maintasks"</formula>
    </cfRule>
  </conditionalFormatting>
  <conditionalFormatting sqref="M7">
    <cfRule type="cellIs" dxfId="246" priority="21" operator="equal">
      <formula>"maintasks"</formula>
    </cfRule>
  </conditionalFormatting>
  <conditionalFormatting sqref="K9:L9">
    <cfRule type="cellIs" dxfId="245" priority="20" operator="equal">
      <formula>"maintasks"</formula>
    </cfRule>
  </conditionalFormatting>
  <conditionalFormatting sqref="M9">
    <cfRule type="cellIs" dxfId="244" priority="19" operator="equal">
      <formula>"maintasks"</formula>
    </cfRule>
  </conditionalFormatting>
  <conditionalFormatting sqref="K8:L8">
    <cfRule type="cellIs" dxfId="243" priority="18" operator="equal">
      <formula>"maintasks"</formula>
    </cfRule>
  </conditionalFormatting>
  <conditionalFormatting sqref="M8">
    <cfRule type="cellIs" dxfId="242" priority="17" operator="equal">
      <formula>"maintasks"</formula>
    </cfRule>
  </conditionalFormatting>
  <conditionalFormatting sqref="K10:L10">
    <cfRule type="cellIs" dxfId="241" priority="16" operator="equal">
      <formula>"maintasks"</formula>
    </cfRule>
  </conditionalFormatting>
  <conditionalFormatting sqref="M10">
    <cfRule type="cellIs" dxfId="240" priority="15" operator="equal">
      <formula>"maintasks"</formula>
    </cfRule>
  </conditionalFormatting>
  <conditionalFormatting sqref="K11:L11">
    <cfRule type="cellIs" dxfId="239" priority="14" operator="equal">
      <formula>"maintasks"</formula>
    </cfRule>
  </conditionalFormatting>
  <conditionalFormatting sqref="M11">
    <cfRule type="cellIs" dxfId="238" priority="13" operator="equal">
      <formula>"maintasks"</formula>
    </cfRule>
  </conditionalFormatting>
  <conditionalFormatting sqref="K12:L12">
    <cfRule type="cellIs" dxfId="237" priority="12" operator="equal">
      <formula>"maintasks"</formula>
    </cfRule>
  </conditionalFormatting>
  <conditionalFormatting sqref="H15 K15">
    <cfRule type="cellIs" dxfId="236" priority="10" operator="equal">
      <formula>"maintasks"</formula>
    </cfRule>
  </conditionalFormatting>
  <conditionalFormatting sqref="A15:B18">
    <cfRule type="cellIs" dxfId="235" priority="9" operator="equal">
      <formula>"maintasks"</formula>
    </cfRule>
  </conditionalFormatting>
  <conditionalFormatting sqref="L15:M15">
    <cfRule type="cellIs" dxfId="234" priority="8" operator="equal">
      <formula>"maintasks"</formula>
    </cfRule>
  </conditionalFormatting>
  <conditionalFormatting sqref="I16">
    <cfRule type="cellIs" dxfId="233" priority="7" operator="equal">
      <formula>"maintasks"</formula>
    </cfRule>
  </conditionalFormatting>
  <conditionalFormatting sqref="H16">
    <cfRule type="cellIs" dxfId="232" priority="6" operator="equal">
      <formula>"maintasks"</formula>
    </cfRule>
  </conditionalFormatting>
  <conditionalFormatting sqref="J16:N16">
    <cfRule type="cellIs" dxfId="231" priority="5" operator="equal">
      <formula>"maintasks"</formula>
    </cfRule>
  </conditionalFormatting>
  <conditionalFormatting sqref="K17:M17">
    <cfRule type="cellIs" dxfId="230" priority="4" operator="equal">
      <formula>"maintasks"</formula>
    </cfRule>
  </conditionalFormatting>
  <conditionalFormatting sqref="H17:H18">
    <cfRule type="cellIs" dxfId="229" priority="3" operator="equal">
      <formula>"maintasks"</formula>
    </cfRule>
  </conditionalFormatting>
  <conditionalFormatting sqref="K18:M18">
    <cfRule type="cellIs" dxfId="228" priority="1" operator="equal">
      <formula>"maintasks"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7C06A-CC09-4DFA-9777-DB5485EB1898}">
  <dimension ref="A1:V18"/>
  <sheetViews>
    <sheetView topLeftCell="M1" zoomScaleNormal="100" workbookViewId="0">
      <selection activeCell="V4" sqref="U4:V4"/>
    </sheetView>
  </sheetViews>
  <sheetFormatPr defaultColWidth="8.77734375" defaultRowHeight="14.4" x14ac:dyDescent="0.3"/>
  <cols>
    <col min="1" max="1" width="9.109375" style="11" bestFit="1" customWidth="1"/>
    <col min="2" max="2" width="2.77734375" style="11" bestFit="1" customWidth="1"/>
    <col min="3" max="3" width="5.88671875" style="11" bestFit="1" customWidth="1"/>
    <col min="4" max="4" width="11.77734375" style="11" bestFit="1" customWidth="1"/>
    <col min="5" max="5" width="19.21875" style="11" bestFit="1" customWidth="1"/>
    <col min="6" max="6" width="11.21875" style="11" bestFit="1" customWidth="1"/>
    <col min="7" max="8" width="6.6640625" style="11" bestFit="1" customWidth="1"/>
    <col min="9" max="9" width="6.77734375" style="11" bestFit="1" customWidth="1"/>
    <col min="10" max="10" width="6.33203125" style="11" bestFit="1" customWidth="1"/>
    <col min="11" max="11" width="56.77734375" style="11" bestFit="1" customWidth="1"/>
    <col min="12" max="12" width="51.77734375" style="40" bestFit="1" customWidth="1"/>
    <col min="13" max="13" width="65.77734375" style="11" customWidth="1"/>
    <col min="14" max="14" width="7.21875" style="11" customWidth="1"/>
    <col min="15" max="15" width="7.109375" style="11" bestFit="1" customWidth="1"/>
    <col min="16" max="16" width="10.88671875" style="11" bestFit="1" customWidth="1"/>
    <col min="17" max="17" width="15.109375" style="11" bestFit="1" customWidth="1"/>
    <col min="18" max="18" width="11.77734375" style="11" bestFit="1" customWidth="1"/>
    <col min="19" max="19" width="3.109375" style="11" bestFit="1" customWidth="1"/>
    <col min="20" max="20" width="3.21875" style="11" bestFit="1" customWidth="1"/>
    <col min="21" max="21" width="61" style="11" customWidth="1"/>
    <col min="22" max="22" width="61" style="136" customWidth="1"/>
    <col min="23" max="16384" width="8.77734375" style="11"/>
  </cols>
  <sheetData>
    <row r="1" spans="1:22" s="43" customFormat="1" ht="16.8" x14ac:dyDescent="0.3">
      <c r="A1" s="3" t="s">
        <v>0</v>
      </c>
      <c r="B1" s="4" t="s">
        <v>1</v>
      </c>
      <c r="C1" s="4" t="s">
        <v>2</v>
      </c>
      <c r="D1" s="4" t="s">
        <v>3</v>
      </c>
      <c r="E1" s="4" t="s">
        <v>4</v>
      </c>
      <c r="F1" s="4" t="s">
        <v>5</v>
      </c>
      <c r="G1" s="4" t="s">
        <v>6</v>
      </c>
      <c r="H1" s="4" t="s">
        <v>7</v>
      </c>
      <c r="I1" s="4" t="s">
        <v>8</v>
      </c>
      <c r="J1" s="6" t="s">
        <v>9</v>
      </c>
      <c r="K1" s="4" t="s">
        <v>10</v>
      </c>
      <c r="L1" s="41" t="s">
        <v>11</v>
      </c>
      <c r="M1" s="42" t="s">
        <v>12</v>
      </c>
      <c r="N1" s="4" t="s">
        <v>13</v>
      </c>
      <c r="O1" s="6" t="s">
        <v>14</v>
      </c>
      <c r="P1" s="4" t="s">
        <v>15</v>
      </c>
      <c r="Q1" s="7" t="s">
        <v>16</v>
      </c>
      <c r="R1" s="8" t="s">
        <v>17</v>
      </c>
      <c r="S1" s="9" t="s">
        <v>18</v>
      </c>
      <c r="T1" s="10" t="s">
        <v>19</v>
      </c>
      <c r="U1" s="86" t="s">
        <v>114</v>
      </c>
      <c r="V1" s="87" t="s">
        <v>114</v>
      </c>
    </row>
    <row r="2" spans="1:22" ht="50.4" x14ac:dyDescent="0.3">
      <c r="A2" s="12" t="s">
        <v>71</v>
      </c>
      <c r="B2" s="13" t="s">
        <v>25</v>
      </c>
      <c r="C2" s="13">
        <v>5927</v>
      </c>
      <c r="D2" s="13" t="s">
        <v>85</v>
      </c>
      <c r="E2" s="13" t="s">
        <v>86</v>
      </c>
      <c r="F2" s="13" t="s">
        <v>95</v>
      </c>
      <c r="G2" s="13" t="s">
        <v>20</v>
      </c>
      <c r="H2" s="14" t="s">
        <v>21</v>
      </c>
      <c r="I2" s="14" t="s">
        <v>22</v>
      </c>
      <c r="J2" s="15">
        <v>0.6</v>
      </c>
      <c r="K2" s="16" t="s">
        <v>50</v>
      </c>
      <c r="L2" s="17" t="s">
        <v>59</v>
      </c>
      <c r="M2" s="18" t="s">
        <v>48</v>
      </c>
      <c r="N2" s="58">
        <v>0.99</v>
      </c>
      <c r="O2" s="15">
        <v>0.2</v>
      </c>
      <c r="P2" s="15"/>
      <c r="Q2" s="15">
        <f t="shared" ref="Q2:Q13" si="0">ROUND(IF(OR(N2="",P2=""),0,IF(AND(N2=0,P2=0),1,IF(S2="+",P2/N2,N2/P2))),2)</f>
        <v>0</v>
      </c>
      <c r="R2" s="19">
        <f t="shared" ref="R2:R13" si="1">IF(AND(Q2&gt;=60%,Q2&lt;100%),Q2*((O2*J2)),IF(Q2=100%,((O2*J2)*Q2)*100%,IF(Q2&gt;100%,((J2*O2)*100%)*100%,0)))*100</f>
        <v>0</v>
      </c>
      <c r="S2" s="15" t="s">
        <v>43</v>
      </c>
      <c r="T2" s="21"/>
      <c r="U2" s="86" t="s">
        <v>115</v>
      </c>
      <c r="V2" s="87" t="s">
        <v>116</v>
      </c>
    </row>
    <row r="3" spans="1:22" ht="50.4" x14ac:dyDescent="0.3">
      <c r="A3" s="12" t="s">
        <v>71</v>
      </c>
      <c r="B3" s="13" t="s">
        <v>25</v>
      </c>
      <c r="C3" s="13">
        <v>5927</v>
      </c>
      <c r="D3" s="13" t="s">
        <v>85</v>
      </c>
      <c r="E3" s="13" t="s">
        <v>86</v>
      </c>
      <c r="F3" s="13" t="s">
        <v>95</v>
      </c>
      <c r="G3" s="13" t="s">
        <v>20</v>
      </c>
      <c r="H3" s="14" t="s">
        <v>21</v>
      </c>
      <c r="I3" s="14" t="s">
        <v>22</v>
      </c>
      <c r="J3" s="15">
        <v>0.6</v>
      </c>
      <c r="K3" s="16" t="s">
        <v>51</v>
      </c>
      <c r="L3" s="17" t="s">
        <v>62</v>
      </c>
      <c r="M3" s="18" t="s">
        <v>49</v>
      </c>
      <c r="N3" s="58">
        <v>0.99</v>
      </c>
      <c r="O3" s="15">
        <v>0.15</v>
      </c>
      <c r="P3" s="15"/>
      <c r="Q3" s="15">
        <f t="shared" si="0"/>
        <v>0</v>
      </c>
      <c r="R3" s="19">
        <f t="shared" si="1"/>
        <v>0</v>
      </c>
      <c r="S3" s="15" t="s">
        <v>43</v>
      </c>
      <c r="T3" s="21"/>
      <c r="U3" s="86" t="s">
        <v>117</v>
      </c>
      <c r="V3" s="87" t="s">
        <v>126</v>
      </c>
    </row>
    <row r="4" spans="1:22" ht="235.2" x14ac:dyDescent="0.3">
      <c r="A4" s="59" t="s">
        <v>71</v>
      </c>
      <c r="B4" s="60" t="s">
        <v>25</v>
      </c>
      <c r="C4" s="60">
        <v>5927</v>
      </c>
      <c r="D4" s="60" t="s">
        <v>85</v>
      </c>
      <c r="E4" s="60" t="s">
        <v>86</v>
      </c>
      <c r="F4" s="60" t="s">
        <v>95</v>
      </c>
      <c r="G4" s="60" t="s">
        <v>20</v>
      </c>
      <c r="H4" s="61" t="s">
        <v>21</v>
      </c>
      <c r="I4" s="61" t="s">
        <v>22</v>
      </c>
      <c r="J4" s="58">
        <v>0.6</v>
      </c>
      <c r="K4" s="62" t="s">
        <v>31</v>
      </c>
      <c r="L4" s="113" t="s">
        <v>60</v>
      </c>
      <c r="M4" s="114" t="s">
        <v>39</v>
      </c>
      <c r="N4" s="58">
        <v>1</v>
      </c>
      <c r="O4" s="58">
        <v>0.2</v>
      </c>
      <c r="P4" s="58"/>
      <c r="Q4" s="58">
        <f t="shared" si="0"/>
        <v>0</v>
      </c>
      <c r="R4" s="65">
        <f t="shared" si="1"/>
        <v>0</v>
      </c>
      <c r="S4" s="58" t="s">
        <v>43</v>
      </c>
      <c r="T4" s="66"/>
      <c r="U4" s="86" t="s">
        <v>264</v>
      </c>
      <c r="V4" s="87" t="s">
        <v>265</v>
      </c>
    </row>
    <row r="5" spans="1:22" ht="138" x14ac:dyDescent="0.3">
      <c r="A5" s="59" t="s">
        <v>71</v>
      </c>
      <c r="B5" s="60" t="s">
        <v>25</v>
      </c>
      <c r="C5" s="60">
        <v>5927</v>
      </c>
      <c r="D5" s="60" t="s">
        <v>85</v>
      </c>
      <c r="E5" s="60" t="s">
        <v>86</v>
      </c>
      <c r="F5" s="60" t="s">
        <v>95</v>
      </c>
      <c r="G5" s="60" t="s">
        <v>20</v>
      </c>
      <c r="H5" s="61" t="s">
        <v>21</v>
      </c>
      <c r="I5" s="61" t="s">
        <v>22</v>
      </c>
      <c r="J5" s="58">
        <v>0.6</v>
      </c>
      <c r="K5" s="62" t="s">
        <v>30</v>
      </c>
      <c r="L5" s="113" t="s">
        <v>63</v>
      </c>
      <c r="M5" s="114" t="s">
        <v>37</v>
      </c>
      <c r="N5" s="58">
        <v>1</v>
      </c>
      <c r="O5" s="58">
        <v>0.15</v>
      </c>
      <c r="P5" s="58"/>
      <c r="Q5" s="58">
        <f t="shared" si="0"/>
        <v>0</v>
      </c>
      <c r="R5" s="65">
        <f t="shared" si="1"/>
        <v>0</v>
      </c>
      <c r="S5" s="58" t="s">
        <v>43</v>
      </c>
      <c r="T5" s="66"/>
      <c r="U5" s="86" t="s">
        <v>118</v>
      </c>
      <c r="V5" s="87" t="s">
        <v>127</v>
      </c>
    </row>
    <row r="6" spans="1:22" ht="41.4" x14ac:dyDescent="0.3">
      <c r="A6" s="12" t="s">
        <v>71</v>
      </c>
      <c r="B6" s="13" t="s">
        <v>25</v>
      </c>
      <c r="C6" s="13">
        <v>5927</v>
      </c>
      <c r="D6" s="13" t="s">
        <v>85</v>
      </c>
      <c r="E6" s="13" t="s">
        <v>86</v>
      </c>
      <c r="F6" s="13" t="s">
        <v>95</v>
      </c>
      <c r="G6" s="13" t="s">
        <v>20</v>
      </c>
      <c r="H6" s="14" t="s">
        <v>21</v>
      </c>
      <c r="I6" s="14" t="s">
        <v>22</v>
      </c>
      <c r="J6" s="15">
        <v>0.6</v>
      </c>
      <c r="K6" s="16" t="s">
        <v>65</v>
      </c>
      <c r="L6" s="17" t="s">
        <v>66</v>
      </c>
      <c r="M6" s="18" t="s">
        <v>67</v>
      </c>
      <c r="N6" s="15">
        <v>1</v>
      </c>
      <c r="O6" s="15">
        <v>0.15</v>
      </c>
      <c r="P6" s="15"/>
      <c r="Q6" s="15">
        <f t="shared" si="0"/>
        <v>0</v>
      </c>
      <c r="R6" s="19">
        <f t="shared" si="1"/>
        <v>0</v>
      </c>
      <c r="S6" s="15" t="s">
        <v>43</v>
      </c>
      <c r="T6" s="21"/>
      <c r="U6" s="86" t="s">
        <v>119</v>
      </c>
      <c r="V6" s="87" t="s">
        <v>128</v>
      </c>
    </row>
    <row r="7" spans="1:22" ht="84" x14ac:dyDescent="0.3">
      <c r="A7" s="12" t="s">
        <v>71</v>
      </c>
      <c r="B7" s="13" t="s">
        <v>25</v>
      </c>
      <c r="C7" s="13">
        <v>5927</v>
      </c>
      <c r="D7" s="13" t="s">
        <v>85</v>
      </c>
      <c r="E7" s="13" t="s">
        <v>86</v>
      </c>
      <c r="F7" s="13" t="s">
        <v>95</v>
      </c>
      <c r="G7" s="13" t="s">
        <v>20</v>
      </c>
      <c r="H7" s="14" t="s">
        <v>21</v>
      </c>
      <c r="I7" s="14" t="s">
        <v>22</v>
      </c>
      <c r="J7" s="15">
        <v>0.6</v>
      </c>
      <c r="K7" s="16" t="s">
        <v>32</v>
      </c>
      <c r="L7" s="17" t="s">
        <v>61</v>
      </c>
      <c r="M7" s="114" t="s">
        <v>38</v>
      </c>
      <c r="N7" s="15">
        <v>0.95</v>
      </c>
      <c r="O7" s="15">
        <v>0.15</v>
      </c>
      <c r="P7" s="15"/>
      <c r="Q7" s="15">
        <f t="shared" si="0"/>
        <v>0</v>
      </c>
      <c r="R7" s="19">
        <f t="shared" si="1"/>
        <v>0</v>
      </c>
      <c r="S7" s="15" t="s">
        <v>43</v>
      </c>
      <c r="T7" s="21"/>
      <c r="U7" s="86" t="s">
        <v>120</v>
      </c>
      <c r="V7" s="87" t="s">
        <v>129</v>
      </c>
    </row>
    <row r="8" spans="1:22" ht="319.2" x14ac:dyDescent="0.3">
      <c r="A8" s="59" t="s">
        <v>71</v>
      </c>
      <c r="B8" s="60" t="s">
        <v>25</v>
      </c>
      <c r="C8" s="60">
        <v>5927</v>
      </c>
      <c r="D8" s="60" t="s">
        <v>85</v>
      </c>
      <c r="E8" s="60" t="s">
        <v>86</v>
      </c>
      <c r="F8" s="60" t="s">
        <v>95</v>
      </c>
      <c r="G8" s="60" t="s">
        <v>20</v>
      </c>
      <c r="H8" s="67" t="s">
        <v>23</v>
      </c>
      <c r="I8" s="67" t="s">
        <v>24</v>
      </c>
      <c r="J8" s="68">
        <v>0.4</v>
      </c>
      <c r="K8" s="69" t="s">
        <v>52</v>
      </c>
      <c r="L8" s="117" t="s">
        <v>64</v>
      </c>
      <c r="M8" s="69" t="s">
        <v>53</v>
      </c>
      <c r="N8" s="58">
        <v>1</v>
      </c>
      <c r="O8" s="58">
        <v>0.15</v>
      </c>
      <c r="P8" s="58"/>
      <c r="Q8" s="58">
        <f t="shared" si="0"/>
        <v>0</v>
      </c>
      <c r="R8" s="65">
        <f t="shared" si="1"/>
        <v>0</v>
      </c>
      <c r="S8" s="58" t="s">
        <v>43</v>
      </c>
      <c r="T8" s="66"/>
      <c r="U8" s="86" t="s">
        <v>121</v>
      </c>
      <c r="V8" s="87" t="s">
        <v>130</v>
      </c>
    </row>
    <row r="9" spans="1:22" ht="248.4" x14ac:dyDescent="0.3">
      <c r="A9" s="59" t="s">
        <v>71</v>
      </c>
      <c r="B9" s="60" t="s">
        <v>25</v>
      </c>
      <c r="C9" s="60">
        <v>5927</v>
      </c>
      <c r="D9" s="60" t="s">
        <v>85</v>
      </c>
      <c r="E9" s="60" t="s">
        <v>86</v>
      </c>
      <c r="F9" s="60" t="s">
        <v>95</v>
      </c>
      <c r="G9" s="60" t="s">
        <v>20</v>
      </c>
      <c r="H9" s="67" t="s">
        <v>23</v>
      </c>
      <c r="I9" s="67" t="s">
        <v>24</v>
      </c>
      <c r="J9" s="68">
        <v>0.4</v>
      </c>
      <c r="K9" s="69" t="s">
        <v>54</v>
      </c>
      <c r="L9" s="117" t="s">
        <v>68</v>
      </c>
      <c r="M9" s="69" t="s">
        <v>69</v>
      </c>
      <c r="N9" s="58">
        <v>1</v>
      </c>
      <c r="O9" s="58">
        <v>0.2</v>
      </c>
      <c r="P9" s="58"/>
      <c r="Q9" s="58">
        <f t="shared" si="0"/>
        <v>0</v>
      </c>
      <c r="R9" s="65">
        <f t="shared" si="1"/>
        <v>0</v>
      </c>
      <c r="S9" s="58" t="s">
        <v>43</v>
      </c>
      <c r="T9" s="66"/>
      <c r="U9" s="86" t="s">
        <v>123</v>
      </c>
      <c r="V9" s="87" t="s">
        <v>131</v>
      </c>
    </row>
    <row r="10" spans="1:22" ht="373.2" x14ac:dyDescent="0.3">
      <c r="A10" s="59" t="s">
        <v>71</v>
      </c>
      <c r="B10" s="60" t="s">
        <v>25</v>
      </c>
      <c r="C10" s="60">
        <v>5927</v>
      </c>
      <c r="D10" s="60" t="s">
        <v>85</v>
      </c>
      <c r="E10" s="60" t="s">
        <v>86</v>
      </c>
      <c r="F10" s="60" t="s">
        <v>95</v>
      </c>
      <c r="G10" s="60" t="s">
        <v>20</v>
      </c>
      <c r="H10" s="67" t="s">
        <v>23</v>
      </c>
      <c r="I10" s="67" t="s">
        <v>24</v>
      </c>
      <c r="J10" s="68">
        <v>0.4</v>
      </c>
      <c r="K10" s="62" t="s">
        <v>34</v>
      </c>
      <c r="L10" s="113" t="s">
        <v>27</v>
      </c>
      <c r="M10" s="62" t="s">
        <v>41</v>
      </c>
      <c r="N10" s="58">
        <v>1</v>
      </c>
      <c r="O10" s="58">
        <v>0.15</v>
      </c>
      <c r="P10" s="58"/>
      <c r="Q10" s="58">
        <f t="shared" si="0"/>
        <v>0</v>
      </c>
      <c r="R10" s="65">
        <f t="shared" si="1"/>
        <v>0</v>
      </c>
      <c r="S10" s="58" t="s">
        <v>43</v>
      </c>
      <c r="T10" s="66"/>
      <c r="U10" s="133" t="s">
        <v>159</v>
      </c>
      <c r="V10" s="135" t="s">
        <v>160</v>
      </c>
    </row>
    <row r="11" spans="1:22" ht="201.6" x14ac:dyDescent="0.3">
      <c r="A11" s="59" t="s">
        <v>71</v>
      </c>
      <c r="B11" s="60" t="s">
        <v>25</v>
      </c>
      <c r="C11" s="60">
        <v>5927</v>
      </c>
      <c r="D11" s="60" t="s">
        <v>85</v>
      </c>
      <c r="E11" s="60" t="s">
        <v>86</v>
      </c>
      <c r="F11" s="60" t="s">
        <v>95</v>
      </c>
      <c r="G11" s="60" t="s">
        <v>20</v>
      </c>
      <c r="H11" s="67" t="s">
        <v>23</v>
      </c>
      <c r="I11" s="67" t="s">
        <v>24</v>
      </c>
      <c r="J11" s="68">
        <v>0.4</v>
      </c>
      <c r="K11" s="62" t="s">
        <v>35</v>
      </c>
      <c r="L11" s="113" t="s">
        <v>28</v>
      </c>
      <c r="M11" s="62" t="s">
        <v>40</v>
      </c>
      <c r="N11" s="58">
        <v>1</v>
      </c>
      <c r="O11" s="58">
        <v>0.15</v>
      </c>
      <c r="P11" s="58"/>
      <c r="Q11" s="58">
        <f t="shared" si="0"/>
        <v>0</v>
      </c>
      <c r="R11" s="65">
        <f t="shared" si="1"/>
        <v>0</v>
      </c>
      <c r="S11" s="58" t="s">
        <v>43</v>
      </c>
      <c r="T11" s="66"/>
      <c r="U11" s="86" t="s">
        <v>124</v>
      </c>
      <c r="V11" s="87" t="s">
        <v>134</v>
      </c>
    </row>
    <row r="12" spans="1:22" ht="345" x14ac:dyDescent="0.3">
      <c r="A12" s="59" t="s">
        <v>71</v>
      </c>
      <c r="B12" s="60" t="s">
        <v>25</v>
      </c>
      <c r="C12" s="60">
        <v>5927</v>
      </c>
      <c r="D12" s="60" t="s">
        <v>85</v>
      </c>
      <c r="E12" s="60" t="s">
        <v>86</v>
      </c>
      <c r="F12" s="60" t="s">
        <v>95</v>
      </c>
      <c r="G12" s="60" t="s">
        <v>20</v>
      </c>
      <c r="H12" s="67" t="s">
        <v>23</v>
      </c>
      <c r="I12" s="67" t="s">
        <v>24</v>
      </c>
      <c r="J12" s="68">
        <v>0.4</v>
      </c>
      <c r="K12" s="62" t="s">
        <v>58</v>
      </c>
      <c r="L12" s="113" t="s">
        <v>70</v>
      </c>
      <c r="M12" s="62"/>
      <c r="N12" s="58">
        <v>1</v>
      </c>
      <c r="O12" s="58">
        <v>0.15</v>
      </c>
      <c r="P12" s="58"/>
      <c r="Q12" s="58">
        <f t="shared" si="0"/>
        <v>0</v>
      </c>
      <c r="R12" s="65">
        <f t="shared" si="1"/>
        <v>0</v>
      </c>
      <c r="S12" s="58" t="s">
        <v>43</v>
      </c>
      <c r="T12" s="66"/>
      <c r="U12" s="86" t="s">
        <v>122</v>
      </c>
      <c r="V12" s="87" t="s">
        <v>133</v>
      </c>
    </row>
    <row r="13" spans="1:22" ht="373.8" thickBot="1" x14ac:dyDescent="0.35">
      <c r="A13" s="72" t="s">
        <v>71</v>
      </c>
      <c r="B13" s="73" t="s">
        <v>25</v>
      </c>
      <c r="C13" s="73">
        <v>5927</v>
      </c>
      <c r="D13" s="73" t="s">
        <v>85</v>
      </c>
      <c r="E13" s="73" t="s">
        <v>86</v>
      </c>
      <c r="F13" s="73" t="s">
        <v>95</v>
      </c>
      <c r="G13" s="73" t="s">
        <v>20</v>
      </c>
      <c r="H13" s="74" t="s">
        <v>23</v>
      </c>
      <c r="I13" s="74" t="s">
        <v>24</v>
      </c>
      <c r="J13" s="75">
        <v>0.4</v>
      </c>
      <c r="K13" s="76" t="s">
        <v>96</v>
      </c>
      <c r="L13" s="118"/>
      <c r="M13" s="76" t="s">
        <v>42</v>
      </c>
      <c r="N13" s="79">
        <v>1</v>
      </c>
      <c r="O13" s="79">
        <v>0.2</v>
      </c>
      <c r="P13" s="79"/>
      <c r="Q13" s="79">
        <f t="shared" si="0"/>
        <v>0</v>
      </c>
      <c r="R13" s="80">
        <f t="shared" si="1"/>
        <v>0</v>
      </c>
      <c r="S13" s="79" t="s">
        <v>43</v>
      </c>
      <c r="T13" s="127"/>
      <c r="U13" s="133" t="s">
        <v>159</v>
      </c>
      <c r="V13" s="135" t="s">
        <v>160</v>
      </c>
    </row>
    <row r="14" spans="1:22" ht="76.2" customHeight="1" x14ac:dyDescent="0.3">
      <c r="A14" s="176" t="s">
        <v>149</v>
      </c>
      <c r="B14" s="177"/>
      <c r="C14" s="177"/>
      <c r="D14" s="177"/>
      <c r="E14" s="177"/>
      <c r="F14" s="177"/>
      <c r="G14" s="177"/>
      <c r="H14" s="177"/>
      <c r="I14" s="177"/>
      <c r="J14" s="177"/>
      <c r="K14" s="177"/>
      <c r="L14" s="177"/>
      <c r="M14" s="177"/>
      <c r="N14" s="177"/>
      <c r="O14" s="177"/>
      <c r="P14" s="177"/>
      <c r="Q14" s="177"/>
      <c r="R14" s="177"/>
      <c r="S14" s="177"/>
      <c r="T14" s="177"/>
      <c r="U14" s="177"/>
      <c r="V14" s="177"/>
    </row>
    <row r="15" spans="1:22" ht="43.8" customHeight="1" x14ac:dyDescent="0.3">
      <c r="A15" s="94" t="s">
        <v>71</v>
      </c>
      <c r="B15" s="94" t="s">
        <v>25</v>
      </c>
      <c r="C15" s="112">
        <v>5927</v>
      </c>
      <c r="D15" s="112" t="s">
        <v>85</v>
      </c>
      <c r="E15" s="112" t="s">
        <v>86</v>
      </c>
      <c r="F15" s="112" t="s">
        <v>95</v>
      </c>
      <c r="G15" s="93" t="s">
        <v>20</v>
      </c>
      <c r="H15" s="105" t="s">
        <v>21</v>
      </c>
      <c r="I15" s="95" t="s">
        <v>22</v>
      </c>
      <c r="J15" s="95">
        <v>0.7</v>
      </c>
      <c r="K15" s="96" t="s">
        <v>136</v>
      </c>
      <c r="L15" s="96" t="s">
        <v>137</v>
      </c>
      <c r="M15" s="56" t="s">
        <v>138</v>
      </c>
      <c r="N15" s="97" t="s">
        <v>139</v>
      </c>
      <c r="O15" s="95">
        <v>0.1</v>
      </c>
      <c r="P15" s="98"/>
      <c r="Q15" s="95">
        <f>ROUND(IF(OR(N15="",P15=""),0,IF(AND(N15=0,P15=0),1,IF(S15="+",P15/N15,N15/P15))),2)</f>
        <v>0</v>
      </c>
      <c r="R15" s="99">
        <f t="shared" ref="R15:R16" si="2">IF(AND(Q15&gt;=60%,Q15&lt;100%),Q15*((O15*J15)),IF(Q15=100%,((O15*J15)*Q15)*100%,IF(Q15&gt;100%,((J15*O15)*100%)*100%,0)))*100</f>
        <v>0</v>
      </c>
      <c r="S15" s="95" t="s">
        <v>44</v>
      </c>
      <c r="T15" s="95"/>
      <c r="U15" s="52"/>
      <c r="V15" s="53"/>
    </row>
    <row r="16" spans="1:22" ht="25.8" thickBot="1" x14ac:dyDescent="0.35">
      <c r="A16" s="94" t="s">
        <v>71</v>
      </c>
      <c r="B16" s="94" t="s">
        <v>25</v>
      </c>
      <c r="C16" s="112">
        <v>5927</v>
      </c>
      <c r="D16" s="112" t="s">
        <v>85</v>
      </c>
      <c r="E16" s="112" t="s">
        <v>86</v>
      </c>
      <c r="F16" s="112" t="s">
        <v>95</v>
      </c>
      <c r="G16" s="93" t="s">
        <v>20</v>
      </c>
      <c r="H16" s="91" t="s">
        <v>23</v>
      </c>
      <c r="I16" s="74" t="s">
        <v>24</v>
      </c>
      <c r="J16" s="106">
        <v>0.3</v>
      </c>
      <c r="K16" s="57" t="s">
        <v>143</v>
      </c>
      <c r="L16" s="54" t="s">
        <v>144</v>
      </c>
      <c r="M16" s="57" t="s">
        <v>145</v>
      </c>
      <c r="N16" s="107">
        <v>1</v>
      </c>
      <c r="O16" s="108">
        <v>0.05</v>
      </c>
      <c r="P16" s="109"/>
      <c r="Q16" s="108">
        <f t="shared" ref="Q16" si="3">ROUND(IF(OR(N16="",P16=""),0,IF(AND(N16=0,P16=0),1,IF(S16="+",P16/N16,N16/P16))),2)</f>
        <v>0</v>
      </c>
      <c r="R16" s="110">
        <f t="shared" si="2"/>
        <v>0</v>
      </c>
      <c r="S16" s="108" t="s">
        <v>43</v>
      </c>
      <c r="T16" s="108"/>
      <c r="U16" s="52"/>
      <c r="V16" s="53"/>
    </row>
    <row r="17" spans="1:22" ht="25.2" x14ac:dyDescent="0.3">
      <c r="A17" s="94" t="s">
        <v>71</v>
      </c>
      <c r="B17" s="94" t="s">
        <v>25</v>
      </c>
      <c r="C17" s="112">
        <v>5927</v>
      </c>
      <c r="D17" s="112" t="s">
        <v>85</v>
      </c>
      <c r="E17" s="112" t="s">
        <v>86</v>
      </c>
      <c r="F17" s="112" t="s">
        <v>95</v>
      </c>
      <c r="G17" s="93" t="s">
        <v>20</v>
      </c>
      <c r="H17" s="105" t="s">
        <v>21</v>
      </c>
      <c r="I17" s="95" t="s">
        <v>22</v>
      </c>
      <c r="J17" s="95">
        <v>0.7</v>
      </c>
      <c r="K17" s="56" t="s">
        <v>150</v>
      </c>
      <c r="L17" s="96" t="s">
        <v>151</v>
      </c>
      <c r="M17" s="56" t="s">
        <v>152</v>
      </c>
      <c r="N17" s="95" t="s">
        <v>153</v>
      </c>
      <c r="O17" s="95">
        <v>0.1</v>
      </c>
      <c r="P17" s="131"/>
      <c r="Q17" s="95">
        <f>ROUND(IF(OR(N17="",P17=""),0,IF(AND(N17=0,P17=0),1,IF(S17="+",P17/N17,N17/P17))),2)</f>
        <v>0</v>
      </c>
      <c r="R17" s="99">
        <f>IF(AND(Q17&gt;=60%,Q17&lt;100%),Q17*((O17*J17)),IF(Q17=100%,((O17*J17)*Q17)*100%,IF(Q17&gt;100%,((J17*O17)*100%)*100%,0)))*100</f>
        <v>0</v>
      </c>
      <c r="S17" s="95" t="s">
        <v>44</v>
      </c>
      <c r="T17" s="95"/>
      <c r="U17" s="52"/>
      <c r="V17" s="53"/>
    </row>
    <row r="18" spans="1:22" ht="25.2" x14ac:dyDescent="0.3">
      <c r="A18" s="94" t="s">
        <v>71</v>
      </c>
      <c r="B18" s="94" t="s">
        <v>25</v>
      </c>
      <c r="C18" s="112">
        <v>5927</v>
      </c>
      <c r="D18" s="112" t="s">
        <v>85</v>
      </c>
      <c r="E18" s="112" t="s">
        <v>86</v>
      </c>
      <c r="F18" s="112" t="s">
        <v>95</v>
      </c>
      <c r="G18" s="93" t="s">
        <v>20</v>
      </c>
      <c r="H18" s="105" t="s">
        <v>21</v>
      </c>
      <c r="I18" s="95" t="s">
        <v>22</v>
      </c>
      <c r="J18" s="95">
        <v>0.7</v>
      </c>
      <c r="K18" s="56" t="s">
        <v>154</v>
      </c>
      <c r="L18" s="96" t="s">
        <v>155</v>
      </c>
      <c r="M18" s="56" t="s">
        <v>156</v>
      </c>
      <c r="N18" s="95" t="s">
        <v>157</v>
      </c>
      <c r="O18" s="95">
        <v>0.15</v>
      </c>
      <c r="P18" s="132"/>
      <c r="Q18" s="95">
        <f t="shared" ref="Q18" si="4">ROUND(IF(OR(N18="",P18=""),0,IF(AND(N18=0,P18=0),1,IF(S18="+",P18/N18,N18/P18))),2)</f>
        <v>0</v>
      </c>
      <c r="R18" s="99">
        <f>IF(AND(Q18&gt;=60%,Q18&lt;100%),Q18*((O18*J18)),IF(Q18=100%,((O18*J18)*Q18)*100%,IF(Q18&gt;100%,((J18*O18)*100%)*100%,0)))*100</f>
        <v>0</v>
      </c>
      <c r="S18" s="95" t="s">
        <v>43</v>
      </c>
      <c r="T18" s="95"/>
      <c r="U18" s="52"/>
      <c r="V18" s="53"/>
    </row>
  </sheetData>
  <mergeCells count="1">
    <mergeCell ref="A14:V14"/>
  </mergeCells>
  <phoneticPr fontId="2" type="noConversion"/>
  <conditionalFormatting sqref="I1:I3 K13:L13 K1:M1">
    <cfRule type="cellIs" dxfId="227" priority="105" operator="equal">
      <formula>"maintasks"</formula>
    </cfRule>
  </conditionalFormatting>
  <conditionalFormatting sqref="H1:H3">
    <cfRule type="cellIs" dxfId="226" priority="104" operator="equal">
      <formula>"maintasks"</formula>
    </cfRule>
  </conditionalFormatting>
  <conditionalFormatting sqref="H7:I7">
    <cfRule type="cellIs" dxfId="225" priority="103" operator="equal">
      <formula>"maintasks"</formula>
    </cfRule>
  </conditionalFormatting>
  <conditionalFormatting sqref="I4">
    <cfRule type="cellIs" dxfId="224" priority="102" operator="equal">
      <formula>"maintasks"</formula>
    </cfRule>
  </conditionalFormatting>
  <conditionalFormatting sqref="H4">
    <cfRule type="cellIs" dxfId="223" priority="101" operator="equal">
      <formula>"maintasks"</formula>
    </cfRule>
  </conditionalFormatting>
  <conditionalFormatting sqref="I8">
    <cfRule type="cellIs" dxfId="222" priority="90" operator="equal">
      <formula>"maintasks"</formula>
    </cfRule>
  </conditionalFormatting>
  <conditionalFormatting sqref="H8">
    <cfRule type="cellIs" dxfId="221" priority="89" operator="equal">
      <formula>"maintasks"</formula>
    </cfRule>
  </conditionalFormatting>
  <conditionalFormatting sqref="I9">
    <cfRule type="cellIs" dxfId="220" priority="88" operator="equal">
      <formula>"maintasks"</formula>
    </cfRule>
  </conditionalFormatting>
  <conditionalFormatting sqref="H9">
    <cfRule type="cellIs" dxfId="219" priority="87" operator="equal">
      <formula>"maintasks"</formula>
    </cfRule>
  </conditionalFormatting>
  <conditionalFormatting sqref="I10">
    <cfRule type="cellIs" dxfId="218" priority="86" operator="equal">
      <formula>"maintasks"</formula>
    </cfRule>
  </conditionalFormatting>
  <conditionalFormatting sqref="H10">
    <cfRule type="cellIs" dxfId="217" priority="85" operator="equal">
      <formula>"maintasks"</formula>
    </cfRule>
  </conditionalFormatting>
  <conditionalFormatting sqref="I11">
    <cfRule type="cellIs" dxfId="216" priority="84" operator="equal">
      <formula>"maintasks"</formula>
    </cfRule>
  </conditionalFormatting>
  <conditionalFormatting sqref="H11">
    <cfRule type="cellIs" dxfId="215" priority="83" operator="equal">
      <formula>"maintasks"</formula>
    </cfRule>
  </conditionalFormatting>
  <conditionalFormatting sqref="I13">
    <cfRule type="cellIs" dxfId="214" priority="77" operator="equal">
      <formula>"maintasks"</formula>
    </cfRule>
  </conditionalFormatting>
  <conditionalFormatting sqref="I2:I3">
    <cfRule type="cellIs" dxfId="213" priority="76" operator="equal">
      <formula>"maintasks"</formula>
    </cfRule>
  </conditionalFormatting>
  <conditionalFormatting sqref="H2:H3">
    <cfRule type="cellIs" dxfId="212" priority="75" operator="equal">
      <formula>"maintasks"</formula>
    </cfRule>
  </conditionalFormatting>
  <conditionalFormatting sqref="H13">
    <cfRule type="cellIs" dxfId="211" priority="74" operator="equal">
      <formula>"maintasks"</formula>
    </cfRule>
  </conditionalFormatting>
  <conditionalFormatting sqref="I5">
    <cfRule type="cellIs" dxfId="210" priority="73" operator="equal">
      <formula>"maintasks"</formula>
    </cfRule>
  </conditionalFormatting>
  <conditionalFormatting sqref="H5">
    <cfRule type="cellIs" dxfId="209" priority="72" operator="equal">
      <formula>"maintasks"</formula>
    </cfRule>
  </conditionalFormatting>
  <conditionalFormatting sqref="I12">
    <cfRule type="cellIs" dxfId="208" priority="71" operator="equal">
      <formula>"maintasks"</formula>
    </cfRule>
  </conditionalFormatting>
  <conditionalFormatting sqref="H12">
    <cfRule type="cellIs" dxfId="207" priority="70" operator="equal">
      <formula>"maintasks"</formula>
    </cfRule>
  </conditionalFormatting>
  <conditionalFormatting sqref="I6">
    <cfRule type="cellIs" dxfId="206" priority="59" operator="equal">
      <formula>"maintasks"</formula>
    </cfRule>
  </conditionalFormatting>
  <conditionalFormatting sqref="H6">
    <cfRule type="cellIs" dxfId="205" priority="58" operator="equal">
      <formula>"maintasks"</formula>
    </cfRule>
  </conditionalFormatting>
  <conditionalFormatting sqref="M13">
    <cfRule type="cellIs" dxfId="204" priority="46" operator="equal">
      <formula>"maintasks"</formula>
    </cfRule>
  </conditionalFormatting>
  <conditionalFormatting sqref="K2:M6">
    <cfRule type="cellIs" dxfId="203" priority="28" operator="equal">
      <formula>"maintasks"</formula>
    </cfRule>
  </conditionalFormatting>
  <conditionalFormatting sqref="K2:M2">
    <cfRule type="cellIs" dxfId="202" priority="27" operator="equal">
      <formula>"maintasks"</formula>
    </cfRule>
  </conditionalFormatting>
  <conditionalFormatting sqref="K5:L5">
    <cfRule type="cellIs" dxfId="201" priority="26" operator="equal">
      <formula>"maintasks"</formula>
    </cfRule>
  </conditionalFormatting>
  <conditionalFormatting sqref="K7:L7">
    <cfRule type="cellIs" dxfId="200" priority="25" operator="equal">
      <formula>"maintasks"</formula>
    </cfRule>
  </conditionalFormatting>
  <conditionalFormatting sqref="M5">
    <cfRule type="cellIs" dxfId="199" priority="24" operator="equal">
      <formula>"maintasks"</formula>
    </cfRule>
  </conditionalFormatting>
  <conditionalFormatting sqref="M7">
    <cfRule type="cellIs" dxfId="198" priority="23" operator="equal">
      <formula>"maintasks"</formula>
    </cfRule>
  </conditionalFormatting>
  <conditionalFormatting sqref="K9:L9">
    <cfRule type="cellIs" dxfId="197" priority="22" operator="equal">
      <formula>"maintasks"</formula>
    </cfRule>
  </conditionalFormatting>
  <conditionalFormatting sqref="M9">
    <cfRule type="cellIs" dxfId="196" priority="21" operator="equal">
      <formula>"maintasks"</formula>
    </cfRule>
  </conditionalFormatting>
  <conditionalFormatting sqref="K8:L8">
    <cfRule type="cellIs" dxfId="195" priority="20" operator="equal">
      <formula>"maintasks"</formula>
    </cfRule>
  </conditionalFormatting>
  <conditionalFormatting sqref="M8">
    <cfRule type="cellIs" dxfId="194" priority="19" operator="equal">
      <formula>"maintasks"</formula>
    </cfRule>
  </conditionalFormatting>
  <conditionalFormatting sqref="K10:L10">
    <cfRule type="cellIs" dxfId="193" priority="18" operator="equal">
      <formula>"maintasks"</formula>
    </cfRule>
  </conditionalFormatting>
  <conditionalFormatting sqref="M10">
    <cfRule type="cellIs" dxfId="192" priority="17" operator="equal">
      <formula>"maintasks"</formula>
    </cfRule>
  </conditionalFormatting>
  <conditionalFormatting sqref="K11:L11">
    <cfRule type="cellIs" dxfId="191" priority="16" operator="equal">
      <formula>"maintasks"</formula>
    </cfRule>
  </conditionalFormatting>
  <conditionalFormatting sqref="M11">
    <cfRule type="cellIs" dxfId="190" priority="15" operator="equal">
      <formula>"maintasks"</formula>
    </cfRule>
  </conditionalFormatting>
  <conditionalFormatting sqref="K12:L12">
    <cfRule type="cellIs" dxfId="189" priority="14" operator="equal">
      <formula>"maintasks"</formula>
    </cfRule>
  </conditionalFormatting>
  <conditionalFormatting sqref="M12">
    <cfRule type="cellIs" dxfId="188" priority="13" operator="equal">
      <formula>"maintasks"</formula>
    </cfRule>
  </conditionalFormatting>
  <conditionalFormatting sqref="H15 K15">
    <cfRule type="cellIs" dxfId="187" priority="10" operator="equal">
      <formula>"maintasks"</formula>
    </cfRule>
  </conditionalFormatting>
  <conditionalFormatting sqref="A15:B18">
    <cfRule type="cellIs" dxfId="186" priority="9" operator="equal">
      <formula>"maintasks"</formula>
    </cfRule>
  </conditionalFormatting>
  <conditionalFormatting sqref="L15:M15">
    <cfRule type="cellIs" dxfId="185" priority="8" operator="equal">
      <formula>"maintasks"</formula>
    </cfRule>
  </conditionalFormatting>
  <conditionalFormatting sqref="I16">
    <cfRule type="cellIs" dxfId="184" priority="7" operator="equal">
      <formula>"maintasks"</formula>
    </cfRule>
  </conditionalFormatting>
  <conditionalFormatting sqref="H16">
    <cfRule type="cellIs" dxfId="183" priority="6" operator="equal">
      <formula>"maintasks"</formula>
    </cfRule>
  </conditionalFormatting>
  <conditionalFormatting sqref="J16:N16">
    <cfRule type="cellIs" dxfId="182" priority="5" operator="equal">
      <formula>"maintasks"</formula>
    </cfRule>
  </conditionalFormatting>
  <conditionalFormatting sqref="K17:M17">
    <cfRule type="cellIs" dxfId="181" priority="4" operator="equal">
      <formula>"maintasks"</formula>
    </cfRule>
  </conditionalFormatting>
  <conditionalFormatting sqref="H17:H18">
    <cfRule type="cellIs" dxfId="180" priority="3" operator="equal">
      <formula>"maintasks"</formula>
    </cfRule>
  </conditionalFormatting>
  <conditionalFormatting sqref="K18:M18">
    <cfRule type="cellIs" dxfId="179" priority="1" operator="equal">
      <formula>"maintasks"</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8FB1-9C19-4C78-9C36-A47E3833F62E}">
  <dimension ref="A1:V15"/>
  <sheetViews>
    <sheetView topLeftCell="L1" workbookViewId="0">
      <selection activeCell="V4" sqref="U4:V4"/>
    </sheetView>
  </sheetViews>
  <sheetFormatPr defaultColWidth="8.77734375" defaultRowHeight="14.4" x14ac:dyDescent="0.3"/>
  <cols>
    <col min="1" max="1" width="5.5546875" style="11" bestFit="1" customWidth="1"/>
    <col min="2" max="2" width="3.21875" style="11" bestFit="1" customWidth="1"/>
    <col min="3" max="3" width="5.88671875" style="11" bestFit="1" customWidth="1"/>
    <col min="4" max="4" width="9.21875" style="11" bestFit="1" customWidth="1"/>
    <col min="5" max="5" width="17.44140625" style="11" bestFit="1" customWidth="1"/>
    <col min="6" max="7" width="7.33203125" style="11" bestFit="1" customWidth="1"/>
    <col min="8" max="8" width="6.88671875" style="11" bestFit="1" customWidth="1"/>
    <col min="9" max="9" width="7" style="11" bestFit="1" customWidth="1"/>
    <col min="10" max="10" width="7.21875" style="11" bestFit="1" customWidth="1"/>
    <col min="11" max="11" width="55.77734375" style="11" bestFit="1" customWidth="1"/>
    <col min="12" max="12" width="53.109375" style="40" bestFit="1" customWidth="1"/>
    <col min="13" max="13" width="93.44140625" style="11" bestFit="1" customWidth="1"/>
    <col min="14" max="14" width="4.44140625" style="11" bestFit="1" customWidth="1"/>
    <col min="15" max="15" width="7.21875" style="11" hidden="1" customWidth="1"/>
    <col min="16" max="16" width="11.21875" style="11" hidden="1" customWidth="1"/>
    <col min="17" max="17" width="16.21875" style="11" hidden="1" customWidth="1"/>
    <col min="18" max="18" width="12.77734375" style="11" hidden="1" customWidth="1"/>
    <col min="19" max="19" width="3.44140625" style="11" hidden="1" customWidth="1"/>
    <col min="20" max="20" width="3.33203125" style="11" bestFit="1" customWidth="1"/>
    <col min="21" max="22" width="44.33203125" style="11" customWidth="1"/>
    <col min="23" max="16384" width="8.77734375" style="11"/>
  </cols>
  <sheetData>
    <row r="1" spans="1:22" s="43" customFormat="1" ht="16.8" x14ac:dyDescent="0.3">
      <c r="A1" s="3" t="s">
        <v>0</v>
      </c>
      <c r="B1" s="4" t="s">
        <v>1</v>
      </c>
      <c r="C1" s="4" t="s">
        <v>2</v>
      </c>
      <c r="D1" s="4" t="s">
        <v>3</v>
      </c>
      <c r="E1" s="4" t="s">
        <v>4</v>
      </c>
      <c r="F1" s="4" t="s">
        <v>5</v>
      </c>
      <c r="G1" s="4" t="s">
        <v>6</v>
      </c>
      <c r="H1" s="4" t="s">
        <v>7</v>
      </c>
      <c r="I1" s="4" t="s">
        <v>8</v>
      </c>
      <c r="J1" s="6" t="s">
        <v>9</v>
      </c>
      <c r="K1" s="4" t="s">
        <v>10</v>
      </c>
      <c r="L1" s="41" t="s">
        <v>11</v>
      </c>
      <c r="M1" s="42" t="s">
        <v>12</v>
      </c>
      <c r="N1" s="4" t="s">
        <v>13</v>
      </c>
      <c r="O1" s="6" t="s">
        <v>14</v>
      </c>
      <c r="P1" s="4" t="s">
        <v>15</v>
      </c>
      <c r="Q1" s="7" t="s">
        <v>16</v>
      </c>
      <c r="R1" s="8" t="s">
        <v>17</v>
      </c>
      <c r="S1" s="9" t="s">
        <v>18</v>
      </c>
      <c r="T1" s="10" t="s">
        <v>19</v>
      </c>
      <c r="U1" s="86" t="s">
        <v>114</v>
      </c>
      <c r="V1" s="87" t="s">
        <v>114</v>
      </c>
    </row>
    <row r="2" spans="1:22" ht="93" customHeight="1" x14ac:dyDescent="0.3">
      <c r="A2" s="12" t="s">
        <v>71</v>
      </c>
      <c r="B2" s="13" t="s">
        <v>25</v>
      </c>
      <c r="C2" s="13">
        <v>5392</v>
      </c>
      <c r="D2" s="13" t="s">
        <v>83</v>
      </c>
      <c r="E2" s="13" t="s">
        <v>84</v>
      </c>
      <c r="F2" s="13" t="s">
        <v>94</v>
      </c>
      <c r="G2" s="13" t="s">
        <v>20</v>
      </c>
      <c r="H2" s="14" t="s">
        <v>21</v>
      </c>
      <c r="I2" s="14" t="s">
        <v>22</v>
      </c>
      <c r="J2" s="15">
        <v>0.6</v>
      </c>
      <c r="K2" s="16" t="s">
        <v>50</v>
      </c>
      <c r="L2" s="89" t="s">
        <v>59</v>
      </c>
      <c r="M2" s="18" t="s">
        <v>48</v>
      </c>
      <c r="N2" s="58">
        <v>0.99</v>
      </c>
      <c r="O2" s="15">
        <v>0.2</v>
      </c>
      <c r="P2" s="15"/>
      <c r="Q2" s="15">
        <f t="shared" ref="Q2:Q13" si="0">ROUND(IF(OR(N2="",P2=""),0,IF(AND(N2=0,P2=0),1,IF(S2="+",P2/N2,N2/P2))),2)</f>
        <v>0</v>
      </c>
      <c r="R2" s="19">
        <f t="shared" ref="R2:R13" si="1">IF(AND(Q2&gt;=60%,Q2&lt;100%),Q2*((O2*J2)),IF(Q2=100%,((O2*J2)*Q2)*100%,IF(Q2&gt;100%,((J2*O2)*100%)*100%,0)))*100</f>
        <v>0</v>
      </c>
      <c r="S2" s="15" t="s">
        <v>43</v>
      </c>
      <c r="T2" s="21"/>
      <c r="U2" s="86" t="s">
        <v>115</v>
      </c>
      <c r="V2" s="87" t="s">
        <v>116</v>
      </c>
    </row>
    <row r="3" spans="1:22" ht="67.2" x14ac:dyDescent="0.3">
      <c r="A3" s="12" t="s">
        <v>71</v>
      </c>
      <c r="B3" s="13" t="s">
        <v>25</v>
      </c>
      <c r="C3" s="13">
        <v>5392</v>
      </c>
      <c r="D3" s="13" t="s">
        <v>83</v>
      </c>
      <c r="E3" s="13" t="s">
        <v>84</v>
      </c>
      <c r="F3" s="13" t="s">
        <v>94</v>
      </c>
      <c r="G3" s="13" t="s">
        <v>20</v>
      </c>
      <c r="H3" s="14" t="s">
        <v>21</v>
      </c>
      <c r="I3" s="14" t="s">
        <v>22</v>
      </c>
      <c r="J3" s="15">
        <v>0.6</v>
      </c>
      <c r="K3" s="16" t="s">
        <v>51</v>
      </c>
      <c r="L3" s="89" t="s">
        <v>62</v>
      </c>
      <c r="M3" s="18" t="s">
        <v>49</v>
      </c>
      <c r="N3" s="58">
        <v>0.99</v>
      </c>
      <c r="O3" s="15">
        <v>0.15</v>
      </c>
      <c r="P3" s="15"/>
      <c r="Q3" s="15">
        <f t="shared" si="0"/>
        <v>0</v>
      </c>
      <c r="R3" s="19">
        <f t="shared" si="1"/>
        <v>0</v>
      </c>
      <c r="S3" s="15" t="s">
        <v>43</v>
      </c>
      <c r="T3" s="21"/>
      <c r="U3" s="86" t="s">
        <v>117</v>
      </c>
      <c r="V3" s="87" t="s">
        <v>126</v>
      </c>
    </row>
    <row r="4" spans="1:22" ht="317.39999999999998" x14ac:dyDescent="0.3">
      <c r="A4" s="59" t="s">
        <v>71</v>
      </c>
      <c r="B4" s="60" t="s">
        <v>25</v>
      </c>
      <c r="C4" s="60">
        <v>5392</v>
      </c>
      <c r="D4" s="60" t="s">
        <v>83</v>
      </c>
      <c r="E4" s="60" t="s">
        <v>84</v>
      </c>
      <c r="F4" s="60" t="s">
        <v>94</v>
      </c>
      <c r="G4" s="60" t="s">
        <v>20</v>
      </c>
      <c r="H4" s="61" t="s">
        <v>21</v>
      </c>
      <c r="I4" s="61" t="s">
        <v>22</v>
      </c>
      <c r="J4" s="58">
        <v>0.6</v>
      </c>
      <c r="K4" s="62" t="s">
        <v>31</v>
      </c>
      <c r="L4" s="113" t="s">
        <v>60</v>
      </c>
      <c r="M4" s="114" t="s">
        <v>39</v>
      </c>
      <c r="N4" s="58">
        <v>1</v>
      </c>
      <c r="O4" s="15">
        <v>0.2</v>
      </c>
      <c r="P4" s="15"/>
      <c r="Q4" s="15">
        <f t="shared" si="0"/>
        <v>0</v>
      </c>
      <c r="R4" s="19">
        <f t="shared" si="1"/>
        <v>0</v>
      </c>
      <c r="S4" s="15" t="s">
        <v>43</v>
      </c>
      <c r="T4" s="20"/>
      <c r="U4" s="86" t="s">
        <v>264</v>
      </c>
      <c r="V4" s="87" t="s">
        <v>265</v>
      </c>
    </row>
    <row r="5" spans="1:22" ht="179.4" x14ac:dyDescent="0.3">
      <c r="A5" s="59" t="s">
        <v>71</v>
      </c>
      <c r="B5" s="60" t="s">
        <v>25</v>
      </c>
      <c r="C5" s="60">
        <v>5392</v>
      </c>
      <c r="D5" s="60" t="s">
        <v>83</v>
      </c>
      <c r="E5" s="60" t="s">
        <v>84</v>
      </c>
      <c r="F5" s="60" t="s">
        <v>94</v>
      </c>
      <c r="G5" s="60" t="s">
        <v>20</v>
      </c>
      <c r="H5" s="61" t="s">
        <v>21</v>
      </c>
      <c r="I5" s="61" t="s">
        <v>22</v>
      </c>
      <c r="J5" s="58">
        <v>0.6</v>
      </c>
      <c r="K5" s="62" t="s">
        <v>30</v>
      </c>
      <c r="L5" s="113" t="s">
        <v>63</v>
      </c>
      <c r="M5" s="114" t="s">
        <v>37</v>
      </c>
      <c r="N5" s="58">
        <v>1</v>
      </c>
      <c r="O5" s="15">
        <v>0.15</v>
      </c>
      <c r="P5" s="15"/>
      <c r="Q5" s="15">
        <f t="shared" si="0"/>
        <v>0</v>
      </c>
      <c r="R5" s="19">
        <f t="shared" si="1"/>
        <v>0</v>
      </c>
      <c r="S5" s="15" t="s">
        <v>43</v>
      </c>
      <c r="T5" s="66"/>
      <c r="U5" s="86" t="s">
        <v>118</v>
      </c>
      <c r="V5" s="87" t="s">
        <v>127</v>
      </c>
    </row>
    <row r="6" spans="1:22" ht="50.4" x14ac:dyDescent="0.3">
      <c r="A6" s="12" t="s">
        <v>71</v>
      </c>
      <c r="B6" s="13" t="s">
        <v>25</v>
      </c>
      <c r="C6" s="13">
        <v>5392</v>
      </c>
      <c r="D6" s="13" t="s">
        <v>83</v>
      </c>
      <c r="E6" s="13" t="s">
        <v>84</v>
      </c>
      <c r="F6" s="13" t="s">
        <v>94</v>
      </c>
      <c r="G6" s="13" t="s">
        <v>20</v>
      </c>
      <c r="H6" s="14" t="s">
        <v>21</v>
      </c>
      <c r="I6" s="14" t="s">
        <v>22</v>
      </c>
      <c r="J6" s="15">
        <v>0.6</v>
      </c>
      <c r="K6" s="16" t="s">
        <v>65</v>
      </c>
      <c r="L6" s="18" t="s">
        <v>66</v>
      </c>
      <c r="M6" s="18" t="s">
        <v>67</v>
      </c>
      <c r="N6" s="15">
        <v>1</v>
      </c>
      <c r="O6" s="15">
        <v>0.15</v>
      </c>
      <c r="P6" s="15"/>
      <c r="Q6" s="15">
        <f t="shared" si="0"/>
        <v>0</v>
      </c>
      <c r="R6" s="19">
        <f t="shared" si="1"/>
        <v>0</v>
      </c>
      <c r="S6" s="15" t="s">
        <v>43</v>
      </c>
      <c r="T6" s="21"/>
      <c r="U6" s="86" t="s">
        <v>119</v>
      </c>
      <c r="V6" s="87" t="s">
        <v>128</v>
      </c>
    </row>
    <row r="7" spans="1:22" ht="96.6" x14ac:dyDescent="0.3">
      <c r="A7" s="59" t="s">
        <v>71</v>
      </c>
      <c r="B7" s="60" t="s">
        <v>25</v>
      </c>
      <c r="C7" s="60">
        <v>5392</v>
      </c>
      <c r="D7" s="60" t="s">
        <v>83</v>
      </c>
      <c r="E7" s="60" t="s">
        <v>84</v>
      </c>
      <c r="F7" s="60" t="s">
        <v>94</v>
      </c>
      <c r="G7" s="60" t="s">
        <v>20</v>
      </c>
      <c r="H7" s="61" t="s">
        <v>21</v>
      </c>
      <c r="I7" s="61" t="s">
        <v>22</v>
      </c>
      <c r="J7" s="58">
        <v>0.6</v>
      </c>
      <c r="K7" s="62" t="s">
        <v>32</v>
      </c>
      <c r="L7" s="114" t="s">
        <v>61</v>
      </c>
      <c r="M7" s="114" t="s">
        <v>38</v>
      </c>
      <c r="N7" s="58">
        <v>0.95</v>
      </c>
      <c r="O7" s="58">
        <v>0.15</v>
      </c>
      <c r="P7" s="58"/>
      <c r="Q7" s="58">
        <f t="shared" si="0"/>
        <v>0</v>
      </c>
      <c r="R7" s="65">
        <f t="shared" si="1"/>
        <v>0</v>
      </c>
      <c r="S7" s="58" t="s">
        <v>43</v>
      </c>
      <c r="T7" s="66"/>
      <c r="U7" s="86" t="s">
        <v>161</v>
      </c>
      <c r="V7" s="87" t="s">
        <v>162</v>
      </c>
    </row>
    <row r="8" spans="1:22" ht="409.6" x14ac:dyDescent="0.3">
      <c r="A8" s="59" t="s">
        <v>71</v>
      </c>
      <c r="B8" s="60" t="s">
        <v>25</v>
      </c>
      <c r="C8" s="60">
        <v>5392</v>
      </c>
      <c r="D8" s="60" t="s">
        <v>83</v>
      </c>
      <c r="E8" s="60" t="s">
        <v>84</v>
      </c>
      <c r="F8" s="60" t="s">
        <v>94</v>
      </c>
      <c r="G8" s="60" t="s">
        <v>20</v>
      </c>
      <c r="H8" s="67" t="s">
        <v>23</v>
      </c>
      <c r="I8" s="67" t="s">
        <v>24</v>
      </c>
      <c r="J8" s="68">
        <v>0.4</v>
      </c>
      <c r="K8" s="69" t="s">
        <v>52</v>
      </c>
      <c r="L8" s="117" t="s">
        <v>64</v>
      </c>
      <c r="M8" s="69" t="s">
        <v>53</v>
      </c>
      <c r="N8" s="58">
        <v>1</v>
      </c>
      <c r="O8" s="58">
        <v>0.15</v>
      </c>
      <c r="P8" s="58"/>
      <c r="Q8" s="58">
        <f t="shared" si="0"/>
        <v>0</v>
      </c>
      <c r="R8" s="65">
        <f t="shared" si="1"/>
        <v>0</v>
      </c>
      <c r="S8" s="58" t="s">
        <v>43</v>
      </c>
      <c r="T8" s="66"/>
      <c r="U8" s="86" t="s">
        <v>121</v>
      </c>
      <c r="V8" s="87" t="s">
        <v>130</v>
      </c>
    </row>
    <row r="9" spans="1:22" ht="331.2" x14ac:dyDescent="0.3">
      <c r="A9" s="59" t="s">
        <v>71</v>
      </c>
      <c r="B9" s="60" t="s">
        <v>25</v>
      </c>
      <c r="C9" s="60">
        <v>5392</v>
      </c>
      <c r="D9" s="60" t="s">
        <v>83</v>
      </c>
      <c r="E9" s="60" t="s">
        <v>84</v>
      </c>
      <c r="F9" s="60" t="s">
        <v>94</v>
      </c>
      <c r="G9" s="60" t="s">
        <v>20</v>
      </c>
      <c r="H9" s="67" t="s">
        <v>23</v>
      </c>
      <c r="I9" s="67" t="s">
        <v>24</v>
      </c>
      <c r="J9" s="68">
        <v>0.4</v>
      </c>
      <c r="K9" s="69" t="s">
        <v>54</v>
      </c>
      <c r="L9" s="117" t="s">
        <v>68</v>
      </c>
      <c r="M9" s="69" t="s">
        <v>69</v>
      </c>
      <c r="N9" s="58">
        <v>1</v>
      </c>
      <c r="O9" s="58">
        <v>0.2</v>
      </c>
      <c r="P9" s="58"/>
      <c r="Q9" s="58">
        <f t="shared" si="0"/>
        <v>0</v>
      </c>
      <c r="R9" s="65">
        <f t="shared" si="1"/>
        <v>0</v>
      </c>
      <c r="S9" s="58" t="s">
        <v>43</v>
      </c>
      <c r="T9" s="66"/>
      <c r="U9" s="86" t="s">
        <v>123</v>
      </c>
      <c r="V9" s="87" t="s">
        <v>131</v>
      </c>
    </row>
    <row r="10" spans="1:22" ht="409.6" x14ac:dyDescent="0.3">
      <c r="A10" s="59" t="s">
        <v>71</v>
      </c>
      <c r="B10" s="60" t="s">
        <v>25</v>
      </c>
      <c r="C10" s="60">
        <v>5392</v>
      </c>
      <c r="D10" s="60" t="s">
        <v>83</v>
      </c>
      <c r="E10" s="60" t="s">
        <v>84</v>
      </c>
      <c r="F10" s="60" t="s">
        <v>94</v>
      </c>
      <c r="G10" s="60" t="s">
        <v>20</v>
      </c>
      <c r="H10" s="67" t="s">
        <v>23</v>
      </c>
      <c r="I10" s="67" t="s">
        <v>24</v>
      </c>
      <c r="J10" s="68">
        <v>0.4</v>
      </c>
      <c r="K10" s="62" t="s">
        <v>34</v>
      </c>
      <c r="L10" s="113" t="s">
        <v>27</v>
      </c>
      <c r="M10" s="62" t="s">
        <v>41</v>
      </c>
      <c r="N10" s="58">
        <v>1</v>
      </c>
      <c r="O10" s="58">
        <v>0.15</v>
      </c>
      <c r="P10" s="58"/>
      <c r="Q10" s="58">
        <f t="shared" si="0"/>
        <v>0</v>
      </c>
      <c r="R10" s="65">
        <f t="shared" si="1"/>
        <v>0</v>
      </c>
      <c r="S10" s="58" t="s">
        <v>43</v>
      </c>
      <c r="T10" s="66"/>
      <c r="U10" s="137" t="s">
        <v>163</v>
      </c>
      <c r="V10" s="135" t="s">
        <v>164</v>
      </c>
    </row>
    <row r="11" spans="1:22" ht="285.60000000000002" x14ac:dyDescent="0.3">
      <c r="A11" s="59" t="s">
        <v>71</v>
      </c>
      <c r="B11" s="60" t="s">
        <v>25</v>
      </c>
      <c r="C11" s="60">
        <v>5392</v>
      </c>
      <c r="D11" s="60" t="s">
        <v>83</v>
      </c>
      <c r="E11" s="60" t="s">
        <v>84</v>
      </c>
      <c r="F11" s="60" t="s">
        <v>94</v>
      </c>
      <c r="G11" s="60" t="s">
        <v>20</v>
      </c>
      <c r="H11" s="67" t="s">
        <v>23</v>
      </c>
      <c r="I11" s="67" t="s">
        <v>24</v>
      </c>
      <c r="J11" s="68">
        <v>0.4</v>
      </c>
      <c r="K11" s="62" t="s">
        <v>35</v>
      </c>
      <c r="L11" s="113" t="s">
        <v>28</v>
      </c>
      <c r="M11" s="62" t="s">
        <v>40</v>
      </c>
      <c r="N11" s="58">
        <v>1</v>
      </c>
      <c r="O11" s="58">
        <v>0.15</v>
      </c>
      <c r="P11" s="58"/>
      <c r="Q11" s="58">
        <f t="shared" si="0"/>
        <v>0</v>
      </c>
      <c r="R11" s="65">
        <f t="shared" si="1"/>
        <v>0</v>
      </c>
      <c r="S11" s="58" t="s">
        <v>43</v>
      </c>
      <c r="T11" s="66"/>
      <c r="U11" s="86" t="s">
        <v>124</v>
      </c>
      <c r="V11" s="87" t="s">
        <v>134</v>
      </c>
    </row>
    <row r="12" spans="1:22" ht="409.6" x14ac:dyDescent="0.3">
      <c r="A12" s="59" t="s">
        <v>71</v>
      </c>
      <c r="B12" s="60" t="s">
        <v>25</v>
      </c>
      <c r="C12" s="60">
        <v>5392</v>
      </c>
      <c r="D12" s="60" t="s">
        <v>83</v>
      </c>
      <c r="E12" s="60" t="s">
        <v>84</v>
      </c>
      <c r="F12" s="60" t="s">
        <v>94</v>
      </c>
      <c r="G12" s="60" t="s">
        <v>20</v>
      </c>
      <c r="H12" s="67" t="s">
        <v>23</v>
      </c>
      <c r="I12" s="67" t="s">
        <v>24</v>
      </c>
      <c r="J12" s="68">
        <v>0.4</v>
      </c>
      <c r="K12" s="62" t="s">
        <v>58</v>
      </c>
      <c r="L12" s="113" t="s">
        <v>70</v>
      </c>
      <c r="M12" s="62"/>
      <c r="N12" s="58">
        <v>1</v>
      </c>
      <c r="O12" s="58">
        <v>0.15</v>
      </c>
      <c r="P12" s="58"/>
      <c r="Q12" s="58">
        <f t="shared" si="0"/>
        <v>0</v>
      </c>
      <c r="R12" s="65">
        <f t="shared" si="1"/>
        <v>0</v>
      </c>
      <c r="S12" s="58" t="s">
        <v>43</v>
      </c>
      <c r="T12" s="66"/>
      <c r="U12" s="86" t="s">
        <v>122</v>
      </c>
      <c r="V12" s="87" t="s">
        <v>133</v>
      </c>
    </row>
    <row r="13" spans="1:22" ht="409.6" x14ac:dyDescent="0.3">
      <c r="A13" s="138" t="s">
        <v>71</v>
      </c>
      <c r="B13" s="139" t="s">
        <v>25</v>
      </c>
      <c r="C13" s="139">
        <v>5392</v>
      </c>
      <c r="D13" s="139" t="s">
        <v>83</v>
      </c>
      <c r="E13" s="139" t="s">
        <v>84</v>
      </c>
      <c r="F13" s="139" t="s">
        <v>94</v>
      </c>
      <c r="G13" s="139" t="s">
        <v>20</v>
      </c>
      <c r="H13" s="140" t="s">
        <v>23</v>
      </c>
      <c r="I13" s="140" t="s">
        <v>24</v>
      </c>
      <c r="J13" s="141">
        <v>0.4</v>
      </c>
      <c r="K13" s="142" t="s">
        <v>98</v>
      </c>
      <c r="L13" s="143"/>
      <c r="M13" s="142" t="s">
        <v>42</v>
      </c>
      <c r="N13" s="144">
        <v>1</v>
      </c>
      <c r="O13" s="144">
        <v>0.2</v>
      </c>
      <c r="P13" s="144"/>
      <c r="Q13" s="144">
        <f t="shared" si="0"/>
        <v>0</v>
      </c>
      <c r="R13" s="145">
        <f t="shared" si="1"/>
        <v>0</v>
      </c>
      <c r="S13" s="144" t="s">
        <v>43</v>
      </c>
      <c r="T13" s="146"/>
      <c r="U13" s="133" t="s">
        <v>159</v>
      </c>
      <c r="V13" s="135" t="s">
        <v>160</v>
      </c>
    </row>
    <row r="14" spans="1:22" ht="76.2" customHeight="1" x14ac:dyDescent="0.3">
      <c r="A14" s="185" t="s">
        <v>149</v>
      </c>
      <c r="B14" s="186"/>
      <c r="C14" s="186"/>
      <c r="D14" s="186"/>
      <c r="E14" s="186"/>
      <c r="F14" s="186"/>
      <c r="G14" s="186"/>
      <c r="H14" s="186"/>
      <c r="I14" s="186"/>
      <c r="J14" s="186"/>
      <c r="K14" s="186"/>
      <c r="L14" s="186"/>
      <c r="M14" s="186"/>
      <c r="N14" s="186"/>
      <c r="O14" s="186"/>
      <c r="P14" s="186"/>
      <c r="Q14" s="186"/>
      <c r="R14" s="186"/>
      <c r="S14" s="186"/>
      <c r="T14" s="186"/>
      <c r="U14" s="186"/>
      <c r="V14" s="186"/>
    </row>
    <row r="15" spans="1:22" ht="21" thickBot="1" x14ac:dyDescent="0.35">
      <c r="A15" s="147" t="s">
        <v>71</v>
      </c>
      <c r="B15" s="147" t="s">
        <v>25</v>
      </c>
      <c r="C15" s="148">
        <v>5392</v>
      </c>
      <c r="D15" s="148" t="s">
        <v>83</v>
      </c>
      <c r="E15" s="148" t="s">
        <v>84</v>
      </c>
      <c r="F15" s="148" t="s">
        <v>94</v>
      </c>
      <c r="G15" s="149" t="s">
        <v>20</v>
      </c>
      <c r="H15" s="150" t="s">
        <v>23</v>
      </c>
      <c r="I15" s="151" t="s">
        <v>24</v>
      </c>
      <c r="J15" s="152">
        <v>0.3</v>
      </c>
      <c r="K15" s="153" t="s">
        <v>143</v>
      </c>
      <c r="L15" s="154" t="s">
        <v>144</v>
      </c>
      <c r="M15" s="153" t="s">
        <v>145</v>
      </c>
      <c r="N15" s="155">
        <v>1</v>
      </c>
      <c r="O15" s="156">
        <v>0.05</v>
      </c>
      <c r="P15" s="157"/>
      <c r="Q15" s="156">
        <f t="shared" ref="Q15" si="2">ROUND(IF(OR(N15="",P15=""),0,IF(AND(N15=0,P15=0),1,IF(S15="+",P15/N15,N15/P15))),2)</f>
        <v>0</v>
      </c>
      <c r="R15" s="158">
        <f t="shared" ref="R15" si="3">IF(AND(Q15&gt;=60%,Q15&lt;100%),Q15*((O15*J15)),IF(Q15=100%,((O15*J15)*Q15)*100%,IF(Q15&gt;100%,((J15*O15)*100%)*100%,0)))*100</f>
        <v>0</v>
      </c>
      <c r="S15" s="156" t="s">
        <v>43</v>
      </c>
      <c r="T15" s="156"/>
      <c r="U15" s="52"/>
      <c r="V15" s="53"/>
    </row>
  </sheetData>
  <mergeCells count="1">
    <mergeCell ref="A14:V14"/>
  </mergeCells>
  <conditionalFormatting sqref="M12 A15:B15">
    <cfRule type="cellIs" dxfId="178" priority="9" operator="equal">
      <formula>"maintasks"</formula>
    </cfRule>
  </conditionalFormatting>
  <conditionalFormatting sqref="I1:I3 K13:L13 K1:M1">
    <cfRule type="cellIs" dxfId="177" priority="48" operator="equal">
      <formula>"maintasks"</formula>
    </cfRule>
  </conditionalFormatting>
  <conditionalFormatting sqref="H1:H3">
    <cfRule type="cellIs" dxfId="176" priority="47" operator="equal">
      <formula>"maintasks"</formula>
    </cfRule>
  </conditionalFormatting>
  <conditionalFormatting sqref="H7:I7">
    <cfRule type="cellIs" dxfId="175" priority="46" operator="equal">
      <formula>"maintasks"</formula>
    </cfRule>
  </conditionalFormatting>
  <conditionalFormatting sqref="I4">
    <cfRule type="cellIs" dxfId="174" priority="45" operator="equal">
      <formula>"maintasks"</formula>
    </cfRule>
  </conditionalFormatting>
  <conditionalFormatting sqref="H4">
    <cfRule type="cellIs" dxfId="173" priority="44" operator="equal">
      <formula>"maintasks"</formula>
    </cfRule>
  </conditionalFormatting>
  <conditionalFormatting sqref="I8">
    <cfRule type="cellIs" dxfId="172" priority="43" operator="equal">
      <formula>"maintasks"</formula>
    </cfRule>
  </conditionalFormatting>
  <conditionalFormatting sqref="H8">
    <cfRule type="cellIs" dxfId="171" priority="42" operator="equal">
      <formula>"maintasks"</formula>
    </cfRule>
  </conditionalFormatting>
  <conditionalFormatting sqref="I9">
    <cfRule type="cellIs" dxfId="170" priority="41" operator="equal">
      <formula>"maintasks"</formula>
    </cfRule>
  </conditionalFormatting>
  <conditionalFormatting sqref="H9">
    <cfRule type="cellIs" dxfId="169" priority="40" operator="equal">
      <formula>"maintasks"</formula>
    </cfRule>
  </conditionalFormatting>
  <conditionalFormatting sqref="I10">
    <cfRule type="cellIs" dxfId="168" priority="39" operator="equal">
      <formula>"maintasks"</formula>
    </cfRule>
  </conditionalFormatting>
  <conditionalFormatting sqref="H10">
    <cfRule type="cellIs" dxfId="167" priority="38" operator="equal">
      <formula>"maintasks"</formula>
    </cfRule>
  </conditionalFormatting>
  <conditionalFormatting sqref="I11">
    <cfRule type="cellIs" dxfId="166" priority="37" operator="equal">
      <formula>"maintasks"</formula>
    </cfRule>
  </conditionalFormatting>
  <conditionalFormatting sqref="H11">
    <cfRule type="cellIs" dxfId="165" priority="36" operator="equal">
      <formula>"maintasks"</formula>
    </cfRule>
  </conditionalFormatting>
  <conditionalFormatting sqref="I13">
    <cfRule type="cellIs" dxfId="164" priority="35" operator="equal">
      <formula>"maintasks"</formula>
    </cfRule>
  </conditionalFormatting>
  <conditionalFormatting sqref="I2:I3">
    <cfRule type="cellIs" dxfId="163" priority="34" operator="equal">
      <formula>"maintasks"</formula>
    </cfRule>
  </conditionalFormatting>
  <conditionalFormatting sqref="H2:H3">
    <cfRule type="cellIs" dxfId="162" priority="33" operator="equal">
      <formula>"maintasks"</formula>
    </cfRule>
  </conditionalFormatting>
  <conditionalFormatting sqref="H13">
    <cfRule type="cellIs" dxfId="161" priority="32" operator="equal">
      <formula>"maintasks"</formula>
    </cfRule>
  </conditionalFormatting>
  <conditionalFormatting sqref="I5">
    <cfRule type="cellIs" dxfId="160" priority="31" operator="equal">
      <formula>"maintasks"</formula>
    </cfRule>
  </conditionalFormatting>
  <conditionalFormatting sqref="H5">
    <cfRule type="cellIs" dxfId="159" priority="30" operator="equal">
      <formula>"maintasks"</formula>
    </cfRule>
  </conditionalFormatting>
  <conditionalFormatting sqref="I12">
    <cfRule type="cellIs" dxfId="158" priority="29" operator="equal">
      <formula>"maintasks"</formula>
    </cfRule>
  </conditionalFormatting>
  <conditionalFormatting sqref="H12">
    <cfRule type="cellIs" dxfId="157" priority="28" operator="equal">
      <formula>"maintasks"</formula>
    </cfRule>
  </conditionalFormatting>
  <conditionalFormatting sqref="I6">
    <cfRule type="cellIs" dxfId="156" priority="27" operator="equal">
      <formula>"maintasks"</formula>
    </cfRule>
  </conditionalFormatting>
  <conditionalFormatting sqref="H6">
    <cfRule type="cellIs" dxfId="155" priority="26" operator="equal">
      <formula>"maintasks"</formula>
    </cfRule>
  </conditionalFormatting>
  <conditionalFormatting sqref="M13">
    <cfRule type="cellIs" dxfId="154" priority="25" operator="equal">
      <formula>"maintasks"</formula>
    </cfRule>
  </conditionalFormatting>
  <conditionalFormatting sqref="K2:M5 K6 M6">
    <cfRule type="cellIs" dxfId="153" priority="24" operator="equal">
      <formula>"maintasks"</formula>
    </cfRule>
  </conditionalFormatting>
  <conditionalFormatting sqref="K2:M2">
    <cfRule type="cellIs" dxfId="152" priority="23" operator="equal">
      <formula>"maintasks"</formula>
    </cfRule>
  </conditionalFormatting>
  <conditionalFormatting sqref="K5:L5">
    <cfRule type="cellIs" dxfId="151" priority="22" operator="equal">
      <formula>"maintasks"</formula>
    </cfRule>
  </conditionalFormatting>
  <conditionalFormatting sqref="K7">
    <cfRule type="cellIs" dxfId="150" priority="21" operator="equal">
      <formula>"maintasks"</formula>
    </cfRule>
  </conditionalFormatting>
  <conditionalFormatting sqref="M5">
    <cfRule type="cellIs" dxfId="149" priority="20" operator="equal">
      <formula>"maintasks"</formula>
    </cfRule>
  </conditionalFormatting>
  <conditionalFormatting sqref="M7">
    <cfRule type="cellIs" dxfId="148" priority="19" operator="equal">
      <formula>"maintasks"</formula>
    </cfRule>
  </conditionalFormatting>
  <conditionalFormatting sqref="K9:L9">
    <cfRule type="cellIs" dxfId="147" priority="18" operator="equal">
      <formula>"maintasks"</formula>
    </cfRule>
  </conditionalFormatting>
  <conditionalFormatting sqref="M9">
    <cfRule type="cellIs" dxfId="146" priority="17" operator="equal">
      <formula>"maintasks"</formula>
    </cfRule>
  </conditionalFormatting>
  <conditionalFormatting sqref="K8:L8">
    <cfRule type="cellIs" dxfId="145" priority="16" operator="equal">
      <formula>"maintasks"</formula>
    </cfRule>
  </conditionalFormatting>
  <conditionalFormatting sqref="M8">
    <cfRule type="cellIs" dxfId="144" priority="15" operator="equal">
      <formula>"maintasks"</formula>
    </cfRule>
  </conditionalFormatting>
  <conditionalFormatting sqref="K10:L10">
    <cfRule type="cellIs" dxfId="143" priority="14" operator="equal">
      <formula>"maintasks"</formula>
    </cfRule>
  </conditionalFormatting>
  <conditionalFormatting sqref="M10">
    <cfRule type="cellIs" dxfId="142" priority="13" operator="equal">
      <formula>"maintasks"</formula>
    </cfRule>
  </conditionalFormatting>
  <conditionalFormatting sqref="K11:L11">
    <cfRule type="cellIs" dxfId="141" priority="12" operator="equal">
      <formula>"maintasks"</formula>
    </cfRule>
  </conditionalFormatting>
  <conditionalFormatting sqref="M11">
    <cfRule type="cellIs" dxfId="140" priority="11" operator="equal">
      <formula>"maintasks"</formula>
    </cfRule>
  </conditionalFormatting>
  <conditionalFormatting sqref="K12:L12">
    <cfRule type="cellIs" dxfId="139" priority="10" operator="equal">
      <formula>"maintasks"</formula>
    </cfRule>
  </conditionalFormatting>
  <conditionalFormatting sqref="J15:N15">
    <cfRule type="cellIs" dxfId="138" priority="3" operator="equal">
      <formula>"maintasks"</formula>
    </cfRule>
  </conditionalFormatting>
  <conditionalFormatting sqref="I15">
    <cfRule type="cellIs" dxfId="137" priority="5" operator="equal">
      <formula>"maintasks"</formula>
    </cfRule>
  </conditionalFormatting>
  <conditionalFormatting sqref="H15">
    <cfRule type="cellIs" dxfId="136" priority="4" operator="equal">
      <formula>"maintasks"</formula>
    </cfRule>
  </conditionalFormatting>
  <conditionalFormatting sqref="L6">
    <cfRule type="cellIs" dxfId="135" priority="2" operator="equal">
      <formula>"maintasks"</formula>
    </cfRule>
  </conditionalFormatting>
  <conditionalFormatting sqref="L7">
    <cfRule type="cellIs" dxfId="134" priority="1" operator="equal">
      <formula>"maintasks"</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FD32-1DAB-46A0-95FE-EA29AF826673}">
  <dimension ref="A1:V16"/>
  <sheetViews>
    <sheetView topLeftCell="M2" zoomScale="130" zoomScaleNormal="130" workbookViewId="0">
      <selection activeCell="V4" sqref="U4:V4"/>
    </sheetView>
  </sheetViews>
  <sheetFormatPr defaultColWidth="8.77734375" defaultRowHeight="14.4" x14ac:dyDescent="0.3"/>
  <cols>
    <col min="1" max="1" width="9.33203125" style="11" bestFit="1" customWidth="1"/>
    <col min="2" max="2" width="3.33203125" style="11" customWidth="1"/>
    <col min="3" max="3" width="5.88671875" style="11" customWidth="1"/>
    <col min="4" max="4" width="9.6640625" style="11" customWidth="1"/>
    <col min="5" max="5" width="8.21875" style="11" customWidth="1"/>
    <col min="6" max="6" width="6.44140625" style="11" customWidth="1"/>
    <col min="7" max="7" width="6.77734375" style="11" customWidth="1"/>
    <col min="8" max="8" width="8.33203125" style="11" customWidth="1"/>
    <col min="9" max="9" width="6.88671875" style="11" bestFit="1" customWidth="1"/>
    <col min="10" max="10" width="5.77734375" style="11" customWidth="1"/>
    <col min="11" max="11" width="62.44140625" style="11" bestFit="1" customWidth="1"/>
    <col min="12" max="12" width="37.44140625" style="40" bestFit="1" customWidth="1"/>
    <col min="13" max="13" width="62.109375" style="11" customWidth="1"/>
    <col min="14" max="14" width="5" style="11" bestFit="1" customWidth="1"/>
    <col min="15" max="15" width="7.88671875" style="11" hidden="1" customWidth="1"/>
    <col min="16" max="16" width="14.33203125" style="11" hidden="1" customWidth="1"/>
    <col min="17" max="17" width="20.6640625" style="11" hidden="1" customWidth="1"/>
    <col min="18" max="18" width="16.21875" style="11" hidden="1" customWidth="1"/>
    <col min="19" max="19" width="4.77734375" style="11" hidden="1" customWidth="1"/>
    <col min="20" max="20" width="4.6640625" style="11" hidden="1" customWidth="1"/>
    <col min="21" max="21" width="41.88671875" style="11" customWidth="1"/>
    <col min="22" max="22" width="34.6640625" style="11" customWidth="1"/>
    <col min="23" max="16384" width="8.77734375" style="11"/>
  </cols>
  <sheetData>
    <row r="1" spans="1:22" ht="20.399999999999999" x14ac:dyDescent="0.3">
      <c r="A1" s="3" t="s">
        <v>0</v>
      </c>
      <c r="B1" s="4" t="s">
        <v>1</v>
      </c>
      <c r="C1" s="5" t="s">
        <v>2</v>
      </c>
      <c r="D1" s="4" t="s">
        <v>3</v>
      </c>
      <c r="E1" s="4" t="s">
        <v>4</v>
      </c>
      <c r="F1" s="4" t="s">
        <v>5</v>
      </c>
      <c r="G1" s="4" t="s">
        <v>6</v>
      </c>
      <c r="H1" s="4" t="s">
        <v>7</v>
      </c>
      <c r="I1" s="4" t="s">
        <v>8</v>
      </c>
      <c r="J1" s="45" t="s">
        <v>9</v>
      </c>
      <c r="K1" s="4" t="s">
        <v>10</v>
      </c>
      <c r="L1" s="4" t="s">
        <v>11</v>
      </c>
      <c r="M1" s="4" t="s">
        <v>12</v>
      </c>
      <c r="N1" s="4" t="s">
        <v>13</v>
      </c>
      <c r="O1" s="6" t="s">
        <v>14</v>
      </c>
      <c r="P1" s="4" t="s">
        <v>15</v>
      </c>
      <c r="Q1" s="46" t="s">
        <v>16</v>
      </c>
      <c r="R1" s="47" t="s">
        <v>17</v>
      </c>
      <c r="S1" s="48" t="s">
        <v>18</v>
      </c>
      <c r="T1" s="10" t="s">
        <v>19</v>
      </c>
      <c r="U1" s="86" t="s">
        <v>114</v>
      </c>
      <c r="V1" s="87" t="s">
        <v>114</v>
      </c>
    </row>
    <row r="2" spans="1:22" ht="82.8" x14ac:dyDescent="0.3">
      <c r="A2" s="12" t="s">
        <v>71</v>
      </c>
      <c r="B2" s="13" t="s">
        <v>25</v>
      </c>
      <c r="C2" s="13">
        <v>3076</v>
      </c>
      <c r="D2" s="13" t="s">
        <v>87</v>
      </c>
      <c r="E2" s="13" t="s">
        <v>88</v>
      </c>
      <c r="F2" s="13" t="s">
        <v>94</v>
      </c>
      <c r="G2" s="13" t="s">
        <v>20</v>
      </c>
      <c r="H2" s="14" t="s">
        <v>21</v>
      </c>
      <c r="I2" s="14" t="s">
        <v>22</v>
      </c>
      <c r="J2" s="15">
        <v>0.6</v>
      </c>
      <c r="K2" s="16" t="s">
        <v>50</v>
      </c>
      <c r="L2" s="50" t="s">
        <v>59</v>
      </c>
      <c r="M2" s="18" t="s">
        <v>48</v>
      </c>
      <c r="N2" s="58">
        <v>0.99</v>
      </c>
      <c r="O2" s="15">
        <v>0.2</v>
      </c>
      <c r="P2" s="15"/>
      <c r="Q2" s="15">
        <f t="shared" ref="Q2:Q13" si="0">ROUND(IF(OR(N2="",P2=""),0,IF(AND(N2=0,P2=0),1,IF(S2="+",P2/N2,N2/P2))),2)</f>
        <v>0</v>
      </c>
      <c r="R2" s="19">
        <f t="shared" ref="R2:R13" si="1">IF(AND(Q2&gt;=60%,Q2&lt;100%),Q2*((O2*J2)),IF(Q2=100%,((O2*J2)*Q2)*100%,IF(Q2&gt;100%,((J2*O2)*100%)*100%,0)))*100</f>
        <v>0</v>
      </c>
      <c r="S2" s="15" t="s">
        <v>43</v>
      </c>
      <c r="T2" s="20">
        <f>SUM(R2:R13)%</f>
        <v>0</v>
      </c>
      <c r="U2" s="86" t="s">
        <v>115</v>
      </c>
      <c r="V2" s="87" t="s">
        <v>116</v>
      </c>
    </row>
    <row r="3" spans="1:22" ht="82.8" x14ac:dyDescent="0.3">
      <c r="A3" s="12" t="s">
        <v>71</v>
      </c>
      <c r="B3" s="13" t="s">
        <v>25</v>
      </c>
      <c r="C3" s="13">
        <v>3076</v>
      </c>
      <c r="D3" s="13" t="s">
        <v>87</v>
      </c>
      <c r="E3" s="13" t="s">
        <v>88</v>
      </c>
      <c r="F3" s="13" t="s">
        <v>94</v>
      </c>
      <c r="G3" s="13" t="s">
        <v>20</v>
      </c>
      <c r="H3" s="14" t="s">
        <v>21</v>
      </c>
      <c r="I3" s="14" t="s">
        <v>22</v>
      </c>
      <c r="J3" s="15">
        <v>0.6</v>
      </c>
      <c r="K3" s="16" t="s">
        <v>51</v>
      </c>
      <c r="L3" s="50" t="s">
        <v>62</v>
      </c>
      <c r="M3" s="18" t="s">
        <v>49</v>
      </c>
      <c r="N3" s="58">
        <v>0.99</v>
      </c>
      <c r="O3" s="15">
        <v>0.15</v>
      </c>
      <c r="P3" s="15"/>
      <c r="Q3" s="15">
        <f t="shared" si="0"/>
        <v>0</v>
      </c>
      <c r="R3" s="19">
        <f t="shared" si="1"/>
        <v>0</v>
      </c>
      <c r="S3" s="15" t="s">
        <v>43</v>
      </c>
      <c r="T3" s="21"/>
      <c r="U3" s="86" t="s">
        <v>117</v>
      </c>
      <c r="V3" s="87" t="s">
        <v>126</v>
      </c>
    </row>
    <row r="4" spans="1:22" ht="386.4" x14ac:dyDescent="0.3">
      <c r="A4" s="59" t="s">
        <v>71</v>
      </c>
      <c r="B4" s="60" t="s">
        <v>25</v>
      </c>
      <c r="C4" s="60">
        <v>3076</v>
      </c>
      <c r="D4" s="60" t="s">
        <v>87</v>
      </c>
      <c r="E4" s="60" t="s">
        <v>88</v>
      </c>
      <c r="F4" s="60" t="s">
        <v>94</v>
      </c>
      <c r="G4" s="60" t="s">
        <v>20</v>
      </c>
      <c r="H4" s="61" t="s">
        <v>21</v>
      </c>
      <c r="I4" s="61" t="s">
        <v>22</v>
      </c>
      <c r="J4" s="58">
        <v>0.6</v>
      </c>
      <c r="K4" s="62" t="s">
        <v>31</v>
      </c>
      <c r="L4" s="113" t="s">
        <v>60</v>
      </c>
      <c r="M4" s="114" t="s">
        <v>39</v>
      </c>
      <c r="N4" s="58">
        <v>1</v>
      </c>
      <c r="O4" s="15">
        <v>0.2</v>
      </c>
      <c r="P4" s="15"/>
      <c r="Q4" s="15">
        <f t="shared" si="0"/>
        <v>0</v>
      </c>
      <c r="R4" s="19">
        <f t="shared" si="1"/>
        <v>0</v>
      </c>
      <c r="S4" s="15" t="s">
        <v>43</v>
      </c>
      <c r="T4" s="21"/>
      <c r="U4" s="86" t="s">
        <v>264</v>
      </c>
      <c r="V4" s="87" t="s">
        <v>265</v>
      </c>
    </row>
    <row r="5" spans="1:22" ht="234.6" x14ac:dyDescent="0.3">
      <c r="A5" s="59" t="s">
        <v>71</v>
      </c>
      <c r="B5" s="60" t="s">
        <v>25</v>
      </c>
      <c r="C5" s="60">
        <v>3076</v>
      </c>
      <c r="D5" s="60" t="s">
        <v>87</v>
      </c>
      <c r="E5" s="60" t="s">
        <v>88</v>
      </c>
      <c r="F5" s="60" t="s">
        <v>94</v>
      </c>
      <c r="G5" s="60" t="s">
        <v>20</v>
      </c>
      <c r="H5" s="61" t="s">
        <v>21</v>
      </c>
      <c r="I5" s="61" t="s">
        <v>22</v>
      </c>
      <c r="J5" s="58">
        <v>0.6</v>
      </c>
      <c r="K5" s="62" t="s">
        <v>30</v>
      </c>
      <c r="L5" s="113" t="s">
        <v>63</v>
      </c>
      <c r="M5" s="114" t="s">
        <v>37</v>
      </c>
      <c r="N5" s="58">
        <v>1</v>
      </c>
      <c r="O5" s="15">
        <v>0.15</v>
      </c>
      <c r="P5" s="15"/>
      <c r="Q5" s="15">
        <f t="shared" si="0"/>
        <v>0</v>
      </c>
      <c r="R5" s="19">
        <f t="shared" si="1"/>
        <v>0</v>
      </c>
      <c r="S5" s="15" t="s">
        <v>43</v>
      </c>
      <c r="T5" s="21"/>
      <c r="U5" s="86" t="s">
        <v>118</v>
      </c>
      <c r="V5" s="87" t="s">
        <v>127</v>
      </c>
    </row>
    <row r="6" spans="1:22" ht="55.2" x14ac:dyDescent="0.3">
      <c r="A6" s="12" t="s">
        <v>71</v>
      </c>
      <c r="B6" s="13" t="s">
        <v>25</v>
      </c>
      <c r="C6" s="13">
        <v>3076</v>
      </c>
      <c r="D6" s="13" t="s">
        <v>87</v>
      </c>
      <c r="E6" s="13" t="s">
        <v>88</v>
      </c>
      <c r="F6" s="13" t="s">
        <v>94</v>
      </c>
      <c r="G6" s="13" t="s">
        <v>20</v>
      </c>
      <c r="H6" s="14" t="s">
        <v>21</v>
      </c>
      <c r="I6" s="14" t="s">
        <v>22</v>
      </c>
      <c r="J6" s="15">
        <v>0.6</v>
      </c>
      <c r="K6" s="16" t="s">
        <v>65</v>
      </c>
      <c r="L6" s="50" t="s">
        <v>66</v>
      </c>
      <c r="M6" s="18" t="s">
        <v>67</v>
      </c>
      <c r="N6" s="15">
        <v>1</v>
      </c>
      <c r="O6" s="15">
        <v>0.15</v>
      </c>
      <c r="P6" s="15"/>
      <c r="Q6" s="15">
        <f t="shared" si="0"/>
        <v>0</v>
      </c>
      <c r="R6" s="19">
        <f t="shared" si="1"/>
        <v>0</v>
      </c>
      <c r="S6" s="15" t="s">
        <v>43</v>
      </c>
      <c r="T6" s="21"/>
      <c r="U6" s="86" t="s">
        <v>119</v>
      </c>
      <c r="V6" s="87" t="s">
        <v>128</v>
      </c>
    </row>
    <row r="7" spans="1:22" ht="124.2" x14ac:dyDescent="0.3">
      <c r="A7" s="59" t="s">
        <v>71</v>
      </c>
      <c r="B7" s="60" t="s">
        <v>25</v>
      </c>
      <c r="C7" s="60">
        <v>3076</v>
      </c>
      <c r="D7" s="60" t="s">
        <v>87</v>
      </c>
      <c r="E7" s="60" t="s">
        <v>88</v>
      </c>
      <c r="F7" s="60" t="s">
        <v>94</v>
      </c>
      <c r="G7" s="60" t="s">
        <v>20</v>
      </c>
      <c r="H7" s="61" t="s">
        <v>21</v>
      </c>
      <c r="I7" s="61" t="s">
        <v>22</v>
      </c>
      <c r="J7" s="58">
        <v>0.6</v>
      </c>
      <c r="K7" s="62" t="s">
        <v>32</v>
      </c>
      <c r="L7" s="113" t="s">
        <v>61</v>
      </c>
      <c r="M7" s="114" t="s">
        <v>38</v>
      </c>
      <c r="N7" s="58">
        <v>0.95</v>
      </c>
      <c r="O7" s="15">
        <v>0.15</v>
      </c>
      <c r="P7" s="15"/>
      <c r="Q7" s="15">
        <f t="shared" si="0"/>
        <v>0</v>
      </c>
      <c r="R7" s="19">
        <f t="shared" si="1"/>
        <v>0</v>
      </c>
      <c r="S7" s="15" t="s">
        <v>43</v>
      </c>
      <c r="T7" s="21"/>
      <c r="U7" s="86" t="s">
        <v>167</v>
      </c>
      <c r="V7" s="87" t="s">
        <v>168</v>
      </c>
    </row>
    <row r="8" spans="1:22" ht="409.6" x14ac:dyDescent="0.3">
      <c r="A8" s="59" t="s">
        <v>71</v>
      </c>
      <c r="B8" s="60" t="s">
        <v>25</v>
      </c>
      <c r="C8" s="60">
        <v>3076</v>
      </c>
      <c r="D8" s="60" t="s">
        <v>87</v>
      </c>
      <c r="E8" s="60" t="s">
        <v>88</v>
      </c>
      <c r="F8" s="60" t="s">
        <v>94</v>
      </c>
      <c r="G8" s="60" t="s">
        <v>20</v>
      </c>
      <c r="H8" s="67" t="s">
        <v>23</v>
      </c>
      <c r="I8" s="67" t="s">
        <v>24</v>
      </c>
      <c r="J8" s="68">
        <v>0.4</v>
      </c>
      <c r="K8" s="69" t="s">
        <v>52</v>
      </c>
      <c r="L8" s="128" t="s">
        <v>64</v>
      </c>
      <c r="M8" s="62" t="s">
        <v>53</v>
      </c>
      <c r="N8" s="58">
        <v>1</v>
      </c>
      <c r="O8" s="24">
        <v>0.1</v>
      </c>
      <c r="P8" s="25"/>
      <c r="Q8" s="25">
        <f t="shared" si="0"/>
        <v>0</v>
      </c>
      <c r="R8" s="26">
        <f t="shared" si="1"/>
        <v>0</v>
      </c>
      <c r="S8" s="25" t="s">
        <v>43</v>
      </c>
      <c r="T8" s="27"/>
      <c r="U8" s="86" t="s">
        <v>121</v>
      </c>
      <c r="V8" s="87" t="s">
        <v>130</v>
      </c>
    </row>
    <row r="9" spans="1:22" ht="409.6" x14ac:dyDescent="0.3">
      <c r="A9" s="59" t="s">
        <v>71</v>
      </c>
      <c r="B9" s="60" t="s">
        <v>25</v>
      </c>
      <c r="C9" s="60">
        <v>3076</v>
      </c>
      <c r="D9" s="60" t="s">
        <v>87</v>
      </c>
      <c r="E9" s="60" t="s">
        <v>88</v>
      </c>
      <c r="F9" s="60" t="s">
        <v>94</v>
      </c>
      <c r="G9" s="60" t="s">
        <v>20</v>
      </c>
      <c r="H9" s="67" t="s">
        <v>23</v>
      </c>
      <c r="I9" s="67" t="s">
        <v>24</v>
      </c>
      <c r="J9" s="68">
        <v>0.4</v>
      </c>
      <c r="K9" s="69" t="s">
        <v>54</v>
      </c>
      <c r="L9" s="128" t="s">
        <v>68</v>
      </c>
      <c r="M9" s="62" t="s">
        <v>69</v>
      </c>
      <c r="N9" s="58">
        <v>1</v>
      </c>
      <c r="O9" s="24">
        <v>0.2</v>
      </c>
      <c r="P9" s="25"/>
      <c r="Q9" s="25">
        <f t="shared" si="0"/>
        <v>0</v>
      </c>
      <c r="R9" s="26">
        <f t="shared" si="1"/>
        <v>0</v>
      </c>
      <c r="S9" s="25" t="s">
        <v>43</v>
      </c>
      <c r="T9" s="27"/>
      <c r="U9" s="86" t="s">
        <v>123</v>
      </c>
      <c r="V9" s="87" t="s">
        <v>131</v>
      </c>
    </row>
    <row r="10" spans="1:22" ht="317.39999999999998" x14ac:dyDescent="0.3">
      <c r="A10" s="59" t="s">
        <v>71</v>
      </c>
      <c r="B10" s="60" t="s">
        <v>25</v>
      </c>
      <c r="C10" s="60">
        <v>3076</v>
      </c>
      <c r="D10" s="60" t="s">
        <v>87</v>
      </c>
      <c r="E10" s="60" t="s">
        <v>88</v>
      </c>
      <c r="F10" s="60" t="s">
        <v>94</v>
      </c>
      <c r="G10" s="60" t="s">
        <v>20</v>
      </c>
      <c r="H10" s="67" t="s">
        <v>23</v>
      </c>
      <c r="I10" s="67" t="s">
        <v>24</v>
      </c>
      <c r="J10" s="68">
        <v>0.4</v>
      </c>
      <c r="K10" s="62" t="s">
        <v>35</v>
      </c>
      <c r="L10" s="113" t="s">
        <v>28</v>
      </c>
      <c r="M10" s="62" t="s">
        <v>40</v>
      </c>
      <c r="N10" s="58">
        <v>1</v>
      </c>
      <c r="O10" s="24">
        <v>0.15</v>
      </c>
      <c r="P10" s="25"/>
      <c r="Q10" s="25">
        <f t="shared" si="0"/>
        <v>0</v>
      </c>
      <c r="R10" s="26">
        <f t="shared" si="1"/>
        <v>0</v>
      </c>
      <c r="S10" s="25" t="s">
        <v>43</v>
      </c>
      <c r="T10" s="27"/>
      <c r="U10" s="86" t="s">
        <v>124</v>
      </c>
      <c r="V10" s="87" t="s">
        <v>134</v>
      </c>
    </row>
    <row r="11" spans="1:22" ht="409.6" customHeight="1" x14ac:dyDescent="0.3">
      <c r="A11" s="59" t="s">
        <v>71</v>
      </c>
      <c r="B11" s="60" t="s">
        <v>25</v>
      </c>
      <c r="C11" s="60">
        <v>3076</v>
      </c>
      <c r="D11" s="60" t="s">
        <v>87</v>
      </c>
      <c r="E11" s="60" t="s">
        <v>88</v>
      </c>
      <c r="F11" s="60" t="s">
        <v>94</v>
      </c>
      <c r="G11" s="60" t="s">
        <v>20</v>
      </c>
      <c r="H11" s="67" t="s">
        <v>23</v>
      </c>
      <c r="I11" s="67" t="s">
        <v>24</v>
      </c>
      <c r="J11" s="68">
        <v>0.4</v>
      </c>
      <c r="K11" s="62" t="s">
        <v>36</v>
      </c>
      <c r="L11" s="113" t="s">
        <v>29</v>
      </c>
      <c r="M11" s="62" t="s">
        <v>42</v>
      </c>
      <c r="N11" s="58">
        <v>1</v>
      </c>
      <c r="O11" s="24">
        <v>0.15</v>
      </c>
      <c r="P11" s="25"/>
      <c r="Q11" s="25">
        <f t="shared" si="0"/>
        <v>0</v>
      </c>
      <c r="R11" s="26">
        <f t="shared" si="1"/>
        <v>0</v>
      </c>
      <c r="S11" s="25" t="s">
        <v>43</v>
      </c>
      <c r="T11" s="88"/>
      <c r="U11" s="187" t="s">
        <v>165</v>
      </c>
      <c r="V11" s="188" t="s">
        <v>166</v>
      </c>
    </row>
    <row r="12" spans="1:22" ht="129" customHeight="1" x14ac:dyDescent="0.3">
      <c r="A12" s="59" t="s">
        <v>71</v>
      </c>
      <c r="B12" s="60" t="s">
        <v>25</v>
      </c>
      <c r="C12" s="60">
        <v>3076</v>
      </c>
      <c r="D12" s="60" t="s">
        <v>87</v>
      </c>
      <c r="E12" s="60" t="s">
        <v>88</v>
      </c>
      <c r="F12" s="60" t="s">
        <v>94</v>
      </c>
      <c r="G12" s="60" t="s">
        <v>20</v>
      </c>
      <c r="H12" s="67" t="s">
        <v>23</v>
      </c>
      <c r="I12" s="67" t="s">
        <v>24</v>
      </c>
      <c r="J12" s="68">
        <v>0.4</v>
      </c>
      <c r="K12" s="62" t="s">
        <v>47</v>
      </c>
      <c r="L12" s="113" t="s">
        <v>45</v>
      </c>
      <c r="M12" s="62" t="s">
        <v>42</v>
      </c>
      <c r="N12" s="58">
        <v>1</v>
      </c>
      <c r="O12" s="24">
        <v>0.2</v>
      </c>
      <c r="P12" s="25"/>
      <c r="Q12" s="25">
        <f t="shared" si="0"/>
        <v>0</v>
      </c>
      <c r="R12" s="26">
        <f t="shared" si="1"/>
        <v>0</v>
      </c>
      <c r="S12" s="25" t="s">
        <v>43</v>
      </c>
      <c r="T12" s="159"/>
      <c r="U12" s="187"/>
      <c r="V12" s="188"/>
    </row>
    <row r="13" spans="1:22" ht="129" customHeight="1" thickBot="1" x14ac:dyDescent="0.35">
      <c r="A13" s="72" t="s">
        <v>71</v>
      </c>
      <c r="B13" s="73" t="s">
        <v>25</v>
      </c>
      <c r="C13" s="73">
        <v>3076</v>
      </c>
      <c r="D13" s="73" t="s">
        <v>87</v>
      </c>
      <c r="E13" s="73" t="s">
        <v>88</v>
      </c>
      <c r="F13" s="73" t="s">
        <v>94</v>
      </c>
      <c r="G13" s="73" t="s">
        <v>20</v>
      </c>
      <c r="H13" s="74" t="s">
        <v>23</v>
      </c>
      <c r="I13" s="74" t="s">
        <v>24</v>
      </c>
      <c r="J13" s="75">
        <v>0.4</v>
      </c>
      <c r="K13" s="76" t="s">
        <v>99</v>
      </c>
      <c r="L13" s="118" t="s">
        <v>46</v>
      </c>
      <c r="M13" s="76" t="s">
        <v>42</v>
      </c>
      <c r="N13" s="79">
        <v>1</v>
      </c>
      <c r="O13" s="36">
        <v>0.2</v>
      </c>
      <c r="P13" s="37"/>
      <c r="Q13" s="37">
        <f t="shared" si="0"/>
        <v>0</v>
      </c>
      <c r="R13" s="38">
        <f t="shared" si="1"/>
        <v>0</v>
      </c>
      <c r="S13" s="37" t="s">
        <v>43</v>
      </c>
      <c r="T13" s="160"/>
      <c r="U13" s="187"/>
      <c r="V13" s="188"/>
    </row>
    <row r="14" spans="1:22" ht="76.2" customHeight="1" x14ac:dyDescent="0.3">
      <c r="A14" s="176" t="s">
        <v>149</v>
      </c>
      <c r="B14" s="177"/>
      <c r="C14" s="177"/>
      <c r="D14" s="177"/>
      <c r="E14" s="177"/>
      <c r="F14" s="177"/>
      <c r="G14" s="177"/>
      <c r="H14" s="177"/>
      <c r="I14" s="177"/>
      <c r="J14" s="177"/>
      <c r="K14" s="177"/>
      <c r="L14" s="177"/>
      <c r="M14" s="177"/>
      <c r="N14" s="177"/>
      <c r="O14" s="177"/>
      <c r="P14" s="177"/>
      <c r="Q14" s="177"/>
      <c r="R14" s="177"/>
      <c r="S14" s="177"/>
      <c r="T14" s="177"/>
      <c r="U14" s="177"/>
      <c r="V14" s="177"/>
    </row>
    <row r="15" spans="1:22" ht="41.4" thickBot="1" x14ac:dyDescent="0.35">
      <c r="A15" s="94" t="s">
        <v>71</v>
      </c>
      <c r="B15" s="94" t="s">
        <v>25</v>
      </c>
      <c r="C15" s="112">
        <v>3076</v>
      </c>
      <c r="D15" s="112" t="s">
        <v>87</v>
      </c>
      <c r="E15" s="112" t="s">
        <v>88</v>
      </c>
      <c r="F15" s="112" t="s">
        <v>94</v>
      </c>
      <c r="G15" s="93" t="s">
        <v>20</v>
      </c>
      <c r="H15" s="91" t="s">
        <v>23</v>
      </c>
      <c r="I15" s="74" t="s">
        <v>24</v>
      </c>
      <c r="J15" s="106">
        <v>0.3</v>
      </c>
      <c r="K15" s="57" t="s">
        <v>143</v>
      </c>
      <c r="L15" s="54" t="s">
        <v>144</v>
      </c>
      <c r="M15" s="57" t="s">
        <v>145</v>
      </c>
      <c r="N15" s="107">
        <v>1</v>
      </c>
      <c r="O15" s="108">
        <v>0.05</v>
      </c>
      <c r="P15" s="109"/>
      <c r="Q15" s="108">
        <f t="shared" ref="Q15" si="2">ROUND(IF(OR(N15="",P15=""),0,IF(AND(N15=0,P15=0),1,IF(S15="+",P15/N15,N15/P15))),2)</f>
        <v>0</v>
      </c>
      <c r="R15" s="110">
        <f t="shared" ref="R15" si="3">IF(AND(Q15&gt;=60%,Q15&lt;100%),Q15*((O15*J15)),IF(Q15=100%,((O15*J15)*Q15)*100%,IF(Q15&gt;100%,((J15*O15)*100%)*100%,0)))*100</f>
        <v>0</v>
      </c>
      <c r="S15" s="108" t="s">
        <v>43</v>
      </c>
      <c r="T15" s="108"/>
      <c r="U15" s="52"/>
      <c r="V15" s="53"/>
    </row>
    <row r="16" spans="1:22" x14ac:dyDescent="0.3">
      <c r="L16" s="11"/>
    </row>
  </sheetData>
  <mergeCells count="3">
    <mergeCell ref="A14:V14"/>
    <mergeCell ref="U11:U13"/>
    <mergeCell ref="V11:V13"/>
  </mergeCells>
  <conditionalFormatting sqref="I1 H4:I6 K1:M1 H8:I13 A15:B15">
    <cfRule type="cellIs" dxfId="133" priority="70" operator="equal">
      <formula>"maintasks"</formula>
    </cfRule>
  </conditionalFormatting>
  <conditionalFormatting sqref="H1">
    <cfRule type="cellIs" dxfId="132" priority="69" operator="equal">
      <formula>"maintasks"</formula>
    </cfRule>
  </conditionalFormatting>
  <conditionalFormatting sqref="I11">
    <cfRule type="cellIs" dxfId="131" priority="56" operator="equal">
      <formula>"maintasks"</formula>
    </cfRule>
  </conditionalFormatting>
  <conditionalFormatting sqref="H11">
    <cfRule type="cellIs" dxfId="130" priority="55" operator="equal">
      <formula>"maintasks"</formula>
    </cfRule>
  </conditionalFormatting>
  <conditionalFormatting sqref="I12">
    <cfRule type="cellIs" dxfId="129" priority="54" operator="equal">
      <formula>"maintasks"</formula>
    </cfRule>
  </conditionalFormatting>
  <conditionalFormatting sqref="H12">
    <cfRule type="cellIs" dxfId="128" priority="53" operator="equal">
      <formula>"maintasks"</formula>
    </cfRule>
  </conditionalFormatting>
  <conditionalFormatting sqref="I7">
    <cfRule type="cellIs" dxfId="127" priority="52" operator="equal">
      <formula>"maintasks"</formula>
    </cfRule>
  </conditionalFormatting>
  <conditionalFormatting sqref="I6">
    <cfRule type="cellIs" dxfId="126" priority="51" operator="equal">
      <formula>"maintasks"</formula>
    </cfRule>
  </conditionalFormatting>
  <conditionalFormatting sqref="I7">
    <cfRule type="cellIs" dxfId="125" priority="50" operator="equal">
      <formula>"maintasks"</formula>
    </cfRule>
  </conditionalFormatting>
  <conditionalFormatting sqref="H7">
    <cfRule type="cellIs" dxfId="124" priority="46" operator="equal">
      <formula>"maintasks"</formula>
    </cfRule>
  </conditionalFormatting>
  <conditionalFormatting sqref="I13">
    <cfRule type="cellIs" dxfId="123" priority="45" operator="equal">
      <formula>"maintasks"</formula>
    </cfRule>
  </conditionalFormatting>
  <conditionalFormatting sqref="H13">
    <cfRule type="cellIs" dxfId="122" priority="44" operator="equal">
      <formula>"maintasks"</formula>
    </cfRule>
  </conditionalFormatting>
  <conditionalFormatting sqref="I2:I3">
    <cfRule type="cellIs" dxfId="121" priority="43" operator="equal">
      <formula>"maintasks"</formula>
    </cfRule>
  </conditionalFormatting>
  <conditionalFormatting sqref="H2:H3">
    <cfRule type="cellIs" dxfId="120" priority="42" operator="equal">
      <formula>"maintasks"</formula>
    </cfRule>
  </conditionalFormatting>
  <conditionalFormatting sqref="L12">
    <cfRule type="cellIs" dxfId="119" priority="41" operator="equal">
      <formula>"maintasks"</formula>
    </cfRule>
  </conditionalFormatting>
  <conditionalFormatting sqref="L13">
    <cfRule type="cellIs" dxfId="118" priority="40" operator="equal">
      <formula>"maintasks"</formula>
    </cfRule>
  </conditionalFormatting>
  <conditionalFormatting sqref="K12">
    <cfRule type="cellIs" dxfId="117" priority="39" operator="equal">
      <formula>"maintasks"</formula>
    </cfRule>
  </conditionalFormatting>
  <conditionalFormatting sqref="K2:L7">
    <cfRule type="cellIs" dxfId="116" priority="37" operator="equal">
      <formula>"maintasks"</formula>
    </cfRule>
  </conditionalFormatting>
  <conditionalFormatting sqref="K10:L10">
    <cfRule type="cellIs" dxfId="115" priority="28" operator="equal">
      <formula>"maintasks"</formula>
    </cfRule>
  </conditionalFormatting>
  <conditionalFormatting sqref="K11:L11">
    <cfRule type="cellIs" dxfId="114" priority="27" operator="equal">
      <formula>"maintasks"</formula>
    </cfRule>
  </conditionalFormatting>
  <conditionalFormatting sqref="M10">
    <cfRule type="cellIs" dxfId="113" priority="25" operator="equal">
      <formula>"maintasks"</formula>
    </cfRule>
  </conditionalFormatting>
  <conditionalFormatting sqref="M11">
    <cfRule type="cellIs" dxfId="112" priority="23" operator="equal">
      <formula>"maintasks"</formula>
    </cfRule>
  </conditionalFormatting>
  <conditionalFormatting sqref="M12">
    <cfRule type="cellIs" dxfId="111" priority="21" operator="equal">
      <formula>"maintasks"</formula>
    </cfRule>
  </conditionalFormatting>
  <conditionalFormatting sqref="M13">
    <cfRule type="cellIs" dxfId="110" priority="20" operator="equal">
      <formula>"maintasks"</formula>
    </cfRule>
  </conditionalFormatting>
  <conditionalFormatting sqref="M5 M7">
    <cfRule type="cellIs" dxfId="109" priority="19" operator="equal">
      <formula>"maintasks"</formula>
    </cfRule>
  </conditionalFormatting>
  <conditionalFormatting sqref="M2:M4">
    <cfRule type="cellIs" dxfId="108" priority="16" operator="equal">
      <formula>"maintasks"</formula>
    </cfRule>
  </conditionalFormatting>
  <conditionalFormatting sqref="M6">
    <cfRule type="cellIs" dxfId="107" priority="15" operator="equal">
      <formula>"maintasks"</formula>
    </cfRule>
  </conditionalFormatting>
  <conditionalFormatting sqref="K9:L9">
    <cfRule type="cellIs" dxfId="106" priority="11" operator="equal">
      <formula>"maintasks"</formula>
    </cfRule>
  </conditionalFormatting>
  <conditionalFormatting sqref="M9">
    <cfRule type="cellIs" dxfId="105" priority="10" operator="equal">
      <formula>"maintasks"</formula>
    </cfRule>
  </conditionalFormatting>
  <conditionalFormatting sqref="K8:L8">
    <cfRule type="cellIs" dxfId="104" priority="9" operator="equal">
      <formula>"maintasks"</formula>
    </cfRule>
  </conditionalFormatting>
  <conditionalFormatting sqref="M8">
    <cfRule type="cellIs" dxfId="103" priority="8" operator="equal">
      <formula>"maintasks"</formula>
    </cfRule>
  </conditionalFormatting>
  <conditionalFormatting sqref="K13">
    <cfRule type="cellIs" dxfId="102" priority="7" operator="equal">
      <formula>"maintasks"</formula>
    </cfRule>
  </conditionalFormatting>
  <conditionalFormatting sqref="I15">
    <cfRule type="cellIs" dxfId="101" priority="3" operator="equal">
      <formula>"maintasks"</formula>
    </cfRule>
  </conditionalFormatting>
  <conditionalFormatting sqref="H15">
    <cfRule type="cellIs" dxfId="100" priority="2" operator="equal">
      <formula>"maintasks"</formula>
    </cfRule>
  </conditionalFormatting>
  <conditionalFormatting sqref="J15:N15">
    <cfRule type="cellIs" dxfId="99" priority="1" operator="equal">
      <formula>"maintasks"</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54998-4113-4799-8CBE-D155C613A68C}">
  <dimension ref="A1:T24"/>
  <sheetViews>
    <sheetView zoomScaleNormal="100" workbookViewId="0">
      <selection activeCell="A15" sqref="A15:T15"/>
    </sheetView>
  </sheetViews>
  <sheetFormatPr defaultColWidth="8.77734375" defaultRowHeight="14.4" x14ac:dyDescent="0.3"/>
  <cols>
    <col min="1" max="1" width="9.109375" style="11" bestFit="1" customWidth="1"/>
    <col min="2" max="2" width="2.77734375" style="11" bestFit="1" customWidth="1"/>
    <col min="3" max="3" width="5.109375" style="11" bestFit="1" customWidth="1"/>
    <col min="4" max="4" width="8.44140625" style="11" bestFit="1" customWidth="1"/>
    <col min="5" max="5" width="11.109375" style="11" bestFit="1" customWidth="1"/>
    <col min="6" max="6" width="5.88671875" style="11" bestFit="1" customWidth="1"/>
    <col min="7" max="8" width="6.6640625" style="11" bestFit="1" customWidth="1"/>
    <col min="9" max="9" width="6.77734375" style="11" bestFit="1" customWidth="1"/>
    <col min="10" max="10" width="8" style="11" customWidth="1"/>
    <col min="11" max="11" width="55.44140625" style="11" bestFit="1" customWidth="1"/>
    <col min="12" max="12" width="50.109375" style="40" customWidth="1"/>
    <col min="13" max="13" width="63.77734375" style="11" customWidth="1"/>
    <col min="14" max="14" width="7.77734375" style="11" customWidth="1"/>
    <col min="15" max="15" width="7.109375" style="11" bestFit="1" customWidth="1"/>
    <col min="16" max="16" width="10.6640625" style="11" bestFit="1" customWidth="1"/>
    <col min="17" max="17" width="14.88671875" style="11" bestFit="1" customWidth="1"/>
    <col min="18" max="18" width="8.77734375" style="11"/>
    <col min="19" max="19" width="3.109375" style="11" bestFit="1" customWidth="1"/>
    <col min="20" max="20" width="3.44140625" style="11" bestFit="1" customWidth="1"/>
    <col min="21" max="16384" width="8.77734375" style="11"/>
  </cols>
  <sheetData>
    <row r="1" spans="1:20" x14ac:dyDescent="0.3">
      <c r="A1" s="3" t="s">
        <v>0</v>
      </c>
      <c r="B1" s="4" t="s">
        <v>1</v>
      </c>
      <c r="C1" s="5" t="s">
        <v>2</v>
      </c>
      <c r="D1" s="4" t="s">
        <v>3</v>
      </c>
      <c r="E1" s="4" t="s">
        <v>4</v>
      </c>
      <c r="F1" s="4" t="s">
        <v>5</v>
      </c>
      <c r="G1" s="4" t="s">
        <v>6</v>
      </c>
      <c r="H1" s="4" t="s">
        <v>7</v>
      </c>
      <c r="I1" s="4" t="s">
        <v>8</v>
      </c>
      <c r="J1" s="6" t="s">
        <v>9</v>
      </c>
      <c r="K1" s="4" t="s">
        <v>10</v>
      </c>
      <c r="L1" s="4" t="s">
        <v>11</v>
      </c>
      <c r="M1" s="4" t="s">
        <v>12</v>
      </c>
      <c r="N1" s="4" t="s">
        <v>13</v>
      </c>
      <c r="O1" s="6" t="s">
        <v>14</v>
      </c>
      <c r="P1" s="4" t="s">
        <v>15</v>
      </c>
      <c r="Q1" s="7" t="s">
        <v>16</v>
      </c>
      <c r="R1" s="8" t="s">
        <v>17</v>
      </c>
      <c r="S1" s="9" t="s">
        <v>18</v>
      </c>
      <c r="T1" s="10" t="s">
        <v>19</v>
      </c>
    </row>
    <row r="2" spans="1:20" x14ac:dyDescent="0.3">
      <c r="A2" s="59" t="s">
        <v>71</v>
      </c>
      <c r="B2" s="60" t="s">
        <v>25</v>
      </c>
      <c r="C2" s="60">
        <v>5546</v>
      </c>
      <c r="D2" s="60" t="s">
        <v>89</v>
      </c>
      <c r="E2" s="60" t="s">
        <v>100</v>
      </c>
      <c r="F2" s="60" t="s">
        <v>94</v>
      </c>
      <c r="G2" s="60" t="s">
        <v>20</v>
      </c>
      <c r="H2" s="61" t="s">
        <v>21</v>
      </c>
      <c r="I2" s="61" t="s">
        <v>22</v>
      </c>
      <c r="J2" s="58">
        <v>0.6</v>
      </c>
      <c r="K2" s="62" t="s">
        <v>50</v>
      </c>
      <c r="L2" s="113" t="s">
        <v>59</v>
      </c>
      <c r="M2" s="114" t="s">
        <v>48</v>
      </c>
      <c r="N2" s="58">
        <v>0.99</v>
      </c>
      <c r="O2" s="58">
        <v>0.2</v>
      </c>
      <c r="P2" s="58"/>
      <c r="Q2" s="58">
        <f t="shared" ref="Q2:Q14" si="0">ROUND(IF(OR(N2="",P2=""),0,IF(AND(N2=0,P2=0),1,IF(S2="+",P2/N2,N2/P2))),2)</f>
        <v>0</v>
      </c>
      <c r="R2" s="65">
        <f t="shared" ref="R2:R14" si="1">IF(AND(Q2&gt;=60%,Q2&lt;100%),Q2*((O2*J2)),IF(Q2=100%,((O2*J2)*Q2)*100%,IF(Q2&gt;100%,((J2*O2)*100%)*100%,0)))*100</f>
        <v>0</v>
      </c>
      <c r="S2" s="58" t="s">
        <v>43</v>
      </c>
      <c r="T2" s="66"/>
    </row>
    <row r="3" spans="1:20" x14ac:dyDescent="0.3">
      <c r="A3" s="59" t="s">
        <v>71</v>
      </c>
      <c r="B3" s="60" t="s">
        <v>25</v>
      </c>
      <c r="C3" s="60">
        <v>5546</v>
      </c>
      <c r="D3" s="60" t="s">
        <v>89</v>
      </c>
      <c r="E3" s="60" t="s">
        <v>100</v>
      </c>
      <c r="F3" s="60" t="s">
        <v>94</v>
      </c>
      <c r="G3" s="60" t="s">
        <v>20</v>
      </c>
      <c r="H3" s="61" t="s">
        <v>21</v>
      </c>
      <c r="I3" s="61" t="s">
        <v>22</v>
      </c>
      <c r="J3" s="58">
        <v>0.6</v>
      </c>
      <c r="K3" s="62" t="s">
        <v>51</v>
      </c>
      <c r="L3" s="113" t="s">
        <v>62</v>
      </c>
      <c r="M3" s="114" t="s">
        <v>49</v>
      </c>
      <c r="N3" s="58">
        <v>0.99</v>
      </c>
      <c r="O3" s="58">
        <v>0.15</v>
      </c>
      <c r="P3" s="58"/>
      <c r="Q3" s="58">
        <f t="shared" si="0"/>
        <v>0</v>
      </c>
      <c r="R3" s="65">
        <f t="shared" si="1"/>
        <v>0</v>
      </c>
      <c r="S3" s="58" t="s">
        <v>43</v>
      </c>
      <c r="T3" s="66"/>
    </row>
    <row r="4" spans="1:20" x14ac:dyDescent="0.3">
      <c r="A4" s="59" t="s">
        <v>71</v>
      </c>
      <c r="B4" s="60" t="s">
        <v>25</v>
      </c>
      <c r="C4" s="60">
        <v>5546</v>
      </c>
      <c r="D4" s="60" t="s">
        <v>89</v>
      </c>
      <c r="E4" s="60" t="s">
        <v>100</v>
      </c>
      <c r="F4" s="60" t="s">
        <v>94</v>
      </c>
      <c r="G4" s="60" t="s">
        <v>20</v>
      </c>
      <c r="H4" s="61" t="s">
        <v>21</v>
      </c>
      <c r="I4" s="61" t="s">
        <v>22</v>
      </c>
      <c r="J4" s="58">
        <v>0.6</v>
      </c>
      <c r="K4" s="62" t="s">
        <v>31</v>
      </c>
      <c r="L4" s="113" t="s">
        <v>60</v>
      </c>
      <c r="M4" s="114" t="s">
        <v>39</v>
      </c>
      <c r="N4" s="58">
        <v>1</v>
      </c>
      <c r="O4" s="58">
        <v>0.2</v>
      </c>
      <c r="P4" s="58"/>
      <c r="Q4" s="58">
        <f t="shared" si="0"/>
        <v>0</v>
      </c>
      <c r="R4" s="65">
        <f t="shared" si="1"/>
        <v>0</v>
      </c>
      <c r="S4" s="58" t="s">
        <v>43</v>
      </c>
      <c r="T4" s="66"/>
    </row>
    <row r="5" spans="1:20" x14ac:dyDescent="0.3">
      <c r="A5" s="59" t="s">
        <v>71</v>
      </c>
      <c r="B5" s="60" t="s">
        <v>25</v>
      </c>
      <c r="C5" s="60">
        <v>5546</v>
      </c>
      <c r="D5" s="60" t="s">
        <v>89</v>
      </c>
      <c r="E5" s="60" t="s">
        <v>100</v>
      </c>
      <c r="F5" s="60" t="s">
        <v>94</v>
      </c>
      <c r="G5" s="60" t="s">
        <v>20</v>
      </c>
      <c r="H5" s="61" t="s">
        <v>21</v>
      </c>
      <c r="I5" s="61" t="s">
        <v>22</v>
      </c>
      <c r="J5" s="58">
        <v>0.6</v>
      </c>
      <c r="K5" s="62" t="s">
        <v>30</v>
      </c>
      <c r="L5" s="113" t="s">
        <v>63</v>
      </c>
      <c r="M5" s="114" t="s">
        <v>37</v>
      </c>
      <c r="N5" s="58">
        <v>1</v>
      </c>
      <c r="O5" s="58">
        <v>0.15</v>
      </c>
      <c r="P5" s="58"/>
      <c r="Q5" s="58">
        <f t="shared" si="0"/>
        <v>0</v>
      </c>
      <c r="R5" s="65">
        <f t="shared" si="1"/>
        <v>0</v>
      </c>
      <c r="S5" s="58" t="s">
        <v>43</v>
      </c>
      <c r="T5" s="66"/>
    </row>
    <row r="6" spans="1:20" x14ac:dyDescent="0.3">
      <c r="A6" s="59" t="s">
        <v>71</v>
      </c>
      <c r="B6" s="60" t="s">
        <v>25</v>
      </c>
      <c r="C6" s="60">
        <v>5546</v>
      </c>
      <c r="D6" s="60" t="s">
        <v>89</v>
      </c>
      <c r="E6" s="60" t="s">
        <v>100</v>
      </c>
      <c r="F6" s="60" t="s">
        <v>94</v>
      </c>
      <c r="G6" s="60" t="s">
        <v>20</v>
      </c>
      <c r="H6" s="61" t="s">
        <v>21</v>
      </c>
      <c r="I6" s="61" t="s">
        <v>22</v>
      </c>
      <c r="J6" s="58">
        <v>0.6</v>
      </c>
      <c r="K6" s="62" t="s">
        <v>65</v>
      </c>
      <c r="L6" s="113" t="s">
        <v>66</v>
      </c>
      <c r="M6" s="114" t="s">
        <v>67</v>
      </c>
      <c r="N6" s="58">
        <v>1</v>
      </c>
      <c r="O6" s="58">
        <v>0.15</v>
      </c>
      <c r="P6" s="58"/>
      <c r="Q6" s="58">
        <f t="shared" si="0"/>
        <v>0</v>
      </c>
      <c r="R6" s="65">
        <f t="shared" si="1"/>
        <v>0</v>
      </c>
      <c r="S6" s="58" t="s">
        <v>43</v>
      </c>
      <c r="T6" s="66"/>
    </row>
    <row r="7" spans="1:20" x14ac:dyDescent="0.3">
      <c r="A7" s="59" t="s">
        <v>71</v>
      </c>
      <c r="B7" s="60" t="s">
        <v>25</v>
      </c>
      <c r="C7" s="60">
        <v>5546</v>
      </c>
      <c r="D7" s="60" t="s">
        <v>89</v>
      </c>
      <c r="E7" s="60" t="s">
        <v>100</v>
      </c>
      <c r="F7" s="60" t="s">
        <v>94</v>
      </c>
      <c r="G7" s="60" t="s">
        <v>20</v>
      </c>
      <c r="H7" s="61" t="s">
        <v>21</v>
      </c>
      <c r="I7" s="61" t="s">
        <v>22</v>
      </c>
      <c r="J7" s="58">
        <v>0.6</v>
      </c>
      <c r="K7" s="62" t="s">
        <v>32</v>
      </c>
      <c r="L7" s="113" t="s">
        <v>61</v>
      </c>
      <c r="M7" s="114" t="s">
        <v>38</v>
      </c>
      <c r="N7" s="58">
        <v>0.95</v>
      </c>
      <c r="O7" s="58">
        <v>0.15</v>
      </c>
      <c r="P7" s="58"/>
      <c r="Q7" s="58">
        <f t="shared" si="0"/>
        <v>0</v>
      </c>
      <c r="R7" s="65">
        <f t="shared" si="1"/>
        <v>0</v>
      </c>
      <c r="S7" s="58" t="s">
        <v>43</v>
      </c>
      <c r="T7" s="66"/>
    </row>
    <row r="8" spans="1:20" ht="20.399999999999999" x14ac:dyDescent="0.3">
      <c r="A8" s="59" t="s">
        <v>71</v>
      </c>
      <c r="B8" s="60" t="s">
        <v>25</v>
      </c>
      <c r="C8" s="60">
        <v>5546</v>
      </c>
      <c r="D8" s="60" t="s">
        <v>89</v>
      </c>
      <c r="E8" s="60" t="s">
        <v>100</v>
      </c>
      <c r="F8" s="60" t="s">
        <v>94</v>
      </c>
      <c r="G8" s="60" t="s">
        <v>20</v>
      </c>
      <c r="H8" s="67" t="s">
        <v>23</v>
      </c>
      <c r="I8" s="67" t="s">
        <v>24</v>
      </c>
      <c r="J8" s="68">
        <v>0.4</v>
      </c>
      <c r="K8" s="69" t="s">
        <v>106</v>
      </c>
      <c r="L8" s="117" t="s">
        <v>64</v>
      </c>
      <c r="M8" s="69" t="s">
        <v>53</v>
      </c>
      <c r="N8" s="58">
        <v>1</v>
      </c>
      <c r="O8" s="58">
        <v>0.15</v>
      </c>
      <c r="P8" s="58"/>
      <c r="Q8" s="58">
        <f t="shared" si="0"/>
        <v>0</v>
      </c>
      <c r="R8" s="65">
        <f t="shared" si="1"/>
        <v>0</v>
      </c>
      <c r="S8" s="58" t="s">
        <v>43</v>
      </c>
      <c r="T8" s="66"/>
    </row>
    <row r="9" spans="1:20" x14ac:dyDescent="0.3">
      <c r="A9" s="59" t="s">
        <v>71</v>
      </c>
      <c r="B9" s="60" t="s">
        <v>25</v>
      </c>
      <c r="C9" s="60">
        <v>5546</v>
      </c>
      <c r="D9" s="60" t="s">
        <v>89</v>
      </c>
      <c r="E9" s="60" t="s">
        <v>100</v>
      </c>
      <c r="F9" s="60" t="s">
        <v>94</v>
      </c>
      <c r="G9" s="60" t="s">
        <v>20</v>
      </c>
      <c r="H9" s="67" t="s">
        <v>23</v>
      </c>
      <c r="I9" s="67" t="s">
        <v>24</v>
      </c>
      <c r="J9" s="68">
        <v>0.4</v>
      </c>
      <c r="K9" s="69" t="s">
        <v>104</v>
      </c>
      <c r="L9" s="113"/>
      <c r="M9" s="62" t="s">
        <v>42</v>
      </c>
      <c r="N9" s="58">
        <v>1</v>
      </c>
      <c r="O9" s="58">
        <v>0.2</v>
      </c>
      <c r="P9" s="58"/>
      <c r="Q9" s="58">
        <f t="shared" si="0"/>
        <v>0</v>
      </c>
      <c r="R9" s="65">
        <f t="shared" si="1"/>
        <v>0</v>
      </c>
      <c r="S9" s="58" t="s">
        <v>43</v>
      </c>
      <c r="T9" s="66"/>
    </row>
    <row r="10" spans="1:20" x14ac:dyDescent="0.3">
      <c r="A10" s="59" t="s">
        <v>71</v>
      </c>
      <c r="B10" s="60" t="s">
        <v>25</v>
      </c>
      <c r="C10" s="60">
        <v>5546</v>
      </c>
      <c r="D10" s="60" t="s">
        <v>89</v>
      </c>
      <c r="E10" s="60" t="s">
        <v>100</v>
      </c>
      <c r="F10" s="60" t="s">
        <v>94</v>
      </c>
      <c r="G10" s="60" t="s">
        <v>20</v>
      </c>
      <c r="H10" s="67" t="s">
        <v>23</v>
      </c>
      <c r="I10" s="67" t="s">
        <v>24</v>
      </c>
      <c r="J10" s="68">
        <v>0.4</v>
      </c>
      <c r="K10" s="69" t="s">
        <v>105</v>
      </c>
      <c r="L10" s="113"/>
      <c r="M10" s="62" t="s">
        <v>42</v>
      </c>
      <c r="N10" s="58">
        <v>1</v>
      </c>
      <c r="O10" s="58">
        <v>0.1</v>
      </c>
      <c r="P10" s="58"/>
      <c r="Q10" s="58">
        <f t="shared" si="0"/>
        <v>0</v>
      </c>
      <c r="R10" s="65">
        <f t="shared" si="1"/>
        <v>0</v>
      </c>
      <c r="S10" s="58" t="s">
        <v>43</v>
      </c>
      <c r="T10" s="66"/>
    </row>
    <row r="11" spans="1:20" x14ac:dyDescent="0.3">
      <c r="A11" s="59" t="s">
        <v>71</v>
      </c>
      <c r="B11" s="60" t="s">
        <v>25</v>
      </c>
      <c r="C11" s="60">
        <v>5546</v>
      </c>
      <c r="D11" s="60" t="s">
        <v>89</v>
      </c>
      <c r="E11" s="60" t="s">
        <v>100</v>
      </c>
      <c r="F11" s="60" t="s">
        <v>94</v>
      </c>
      <c r="G11" s="60" t="s">
        <v>20</v>
      </c>
      <c r="H11" s="67" t="s">
        <v>23</v>
      </c>
      <c r="I11" s="67" t="s">
        <v>24</v>
      </c>
      <c r="J11" s="68">
        <v>0.4</v>
      </c>
      <c r="K11" s="69" t="s">
        <v>107</v>
      </c>
      <c r="L11" s="113"/>
      <c r="M11" s="62" t="s">
        <v>42</v>
      </c>
      <c r="N11" s="58">
        <v>1</v>
      </c>
      <c r="O11" s="58">
        <v>0.1</v>
      </c>
      <c r="P11" s="58"/>
      <c r="Q11" s="58">
        <f t="shared" si="0"/>
        <v>0</v>
      </c>
      <c r="R11" s="65">
        <f t="shared" si="1"/>
        <v>0</v>
      </c>
      <c r="S11" s="58" t="s">
        <v>43</v>
      </c>
      <c r="T11" s="66"/>
    </row>
    <row r="12" spans="1:20" x14ac:dyDescent="0.3">
      <c r="A12" s="59" t="s">
        <v>71</v>
      </c>
      <c r="B12" s="60" t="s">
        <v>25</v>
      </c>
      <c r="C12" s="60">
        <v>5546</v>
      </c>
      <c r="D12" s="60" t="s">
        <v>89</v>
      </c>
      <c r="E12" s="60" t="s">
        <v>100</v>
      </c>
      <c r="F12" s="60" t="s">
        <v>94</v>
      </c>
      <c r="G12" s="60" t="s">
        <v>20</v>
      </c>
      <c r="H12" s="67" t="s">
        <v>23</v>
      </c>
      <c r="I12" s="67" t="s">
        <v>24</v>
      </c>
      <c r="J12" s="68">
        <v>0.4</v>
      </c>
      <c r="K12" s="69" t="s">
        <v>54</v>
      </c>
      <c r="L12" s="117" t="s">
        <v>68</v>
      </c>
      <c r="M12" s="69" t="s">
        <v>69</v>
      </c>
      <c r="N12" s="58">
        <v>1</v>
      </c>
      <c r="O12" s="58">
        <v>0.2</v>
      </c>
      <c r="P12" s="58"/>
      <c r="Q12" s="58">
        <f t="shared" si="0"/>
        <v>0</v>
      </c>
      <c r="R12" s="65">
        <f t="shared" si="1"/>
        <v>0</v>
      </c>
      <c r="S12" s="58" t="s">
        <v>43</v>
      </c>
      <c r="T12" s="66"/>
    </row>
    <row r="13" spans="1:20" x14ac:dyDescent="0.3">
      <c r="A13" s="59" t="s">
        <v>71</v>
      </c>
      <c r="B13" s="60" t="s">
        <v>25</v>
      </c>
      <c r="C13" s="60">
        <v>5546</v>
      </c>
      <c r="D13" s="60" t="s">
        <v>89</v>
      </c>
      <c r="E13" s="60" t="s">
        <v>100</v>
      </c>
      <c r="F13" s="60" t="s">
        <v>94</v>
      </c>
      <c r="G13" s="60" t="s">
        <v>20</v>
      </c>
      <c r="H13" s="67" t="s">
        <v>23</v>
      </c>
      <c r="I13" s="67" t="s">
        <v>24</v>
      </c>
      <c r="J13" s="68">
        <v>0.4</v>
      </c>
      <c r="K13" s="69" t="s">
        <v>108</v>
      </c>
      <c r="L13" s="113"/>
      <c r="M13" s="173" t="s">
        <v>42</v>
      </c>
      <c r="N13" s="58">
        <v>1</v>
      </c>
      <c r="O13" s="58">
        <v>0.1</v>
      </c>
      <c r="P13" s="58"/>
      <c r="Q13" s="58">
        <f t="shared" si="0"/>
        <v>0</v>
      </c>
      <c r="R13" s="65">
        <f t="shared" si="1"/>
        <v>0</v>
      </c>
      <c r="S13" s="58" t="s">
        <v>43</v>
      </c>
      <c r="T13" s="66"/>
    </row>
    <row r="14" spans="1:20" x14ac:dyDescent="0.3">
      <c r="A14" s="138" t="s">
        <v>71</v>
      </c>
      <c r="B14" s="139" t="s">
        <v>25</v>
      </c>
      <c r="C14" s="139">
        <v>5546</v>
      </c>
      <c r="D14" s="139" t="s">
        <v>89</v>
      </c>
      <c r="E14" s="139" t="s">
        <v>100</v>
      </c>
      <c r="F14" s="139" t="s">
        <v>94</v>
      </c>
      <c r="G14" s="139" t="s">
        <v>20</v>
      </c>
      <c r="H14" s="140" t="s">
        <v>23</v>
      </c>
      <c r="I14" s="140" t="s">
        <v>24</v>
      </c>
      <c r="J14" s="141">
        <v>0.4</v>
      </c>
      <c r="K14" s="142" t="s">
        <v>109</v>
      </c>
      <c r="L14" s="143"/>
      <c r="M14" s="142" t="s">
        <v>42</v>
      </c>
      <c r="N14" s="144">
        <v>1</v>
      </c>
      <c r="O14" s="144">
        <v>0.15</v>
      </c>
      <c r="P14" s="144"/>
      <c r="Q14" s="144">
        <f t="shared" si="0"/>
        <v>0</v>
      </c>
      <c r="R14" s="145">
        <f t="shared" si="1"/>
        <v>0</v>
      </c>
      <c r="S14" s="144" t="s">
        <v>43</v>
      </c>
      <c r="T14" s="146"/>
    </row>
    <row r="15" spans="1:20" ht="102" customHeight="1" x14ac:dyDescent="0.3">
      <c r="A15" s="189" t="s">
        <v>169</v>
      </c>
      <c r="B15" s="190"/>
      <c r="C15" s="190"/>
      <c r="D15" s="190"/>
      <c r="E15" s="190"/>
      <c r="F15" s="190"/>
      <c r="G15" s="190"/>
      <c r="H15" s="190"/>
      <c r="I15" s="190"/>
      <c r="J15" s="190"/>
      <c r="K15" s="190"/>
      <c r="L15" s="190"/>
      <c r="M15" s="190"/>
      <c r="N15" s="190"/>
      <c r="O15" s="190"/>
      <c r="P15" s="190"/>
      <c r="Q15" s="190"/>
      <c r="R15" s="190"/>
      <c r="S15" s="190"/>
      <c r="T15" s="190"/>
    </row>
    <row r="16" spans="1:20" ht="20.399999999999999" x14ac:dyDescent="0.3">
      <c r="A16" s="12" t="s">
        <v>71</v>
      </c>
      <c r="B16" s="13" t="s">
        <v>25</v>
      </c>
      <c r="C16" s="13">
        <v>5546</v>
      </c>
      <c r="D16" s="13" t="s">
        <v>89</v>
      </c>
      <c r="E16" s="13" t="s">
        <v>100</v>
      </c>
      <c r="F16" s="13" t="s">
        <v>94</v>
      </c>
      <c r="G16" s="13" t="s">
        <v>20</v>
      </c>
      <c r="H16" s="14" t="s">
        <v>21</v>
      </c>
      <c r="I16" s="94" t="s">
        <v>22</v>
      </c>
      <c r="J16" s="95">
        <v>0.7</v>
      </c>
      <c r="K16" s="56" t="s">
        <v>170</v>
      </c>
      <c r="L16" s="96" t="s">
        <v>171</v>
      </c>
      <c r="M16" s="56" t="s">
        <v>172</v>
      </c>
      <c r="N16" s="95">
        <v>0.95</v>
      </c>
      <c r="O16" s="95">
        <v>0.1</v>
      </c>
      <c r="P16" s="95"/>
      <c r="Q16" s="95">
        <f>ROUND(IF(OR(N16="",P16=""),0,IF(AND(N16=0,P16=0),1,IF(S16="+",P16/N16,N16/P16))),2)</f>
        <v>0</v>
      </c>
      <c r="R16" s="99">
        <f>IF(AND(Q16&gt;=60%,Q16&lt;100%),Q16*((O16*J16)),IF(Q16=100%,((O16*J16)*Q16)*100%,IF(Q16&gt;100%,((J16*O16)*100%)*100%,0)))*100</f>
        <v>0</v>
      </c>
      <c r="S16" s="95" t="s">
        <v>43</v>
      </c>
      <c r="T16" s="171">
        <f>SUM(R16:R24)%</f>
        <v>0</v>
      </c>
    </row>
    <row r="17" spans="1:20" ht="20.399999999999999" x14ac:dyDescent="0.3">
      <c r="A17" s="12" t="s">
        <v>71</v>
      </c>
      <c r="B17" s="13" t="s">
        <v>25</v>
      </c>
      <c r="C17" s="13">
        <v>5546</v>
      </c>
      <c r="D17" s="13" t="s">
        <v>89</v>
      </c>
      <c r="E17" s="13" t="s">
        <v>100</v>
      </c>
      <c r="F17" s="13" t="s">
        <v>94</v>
      </c>
      <c r="G17" s="13" t="s">
        <v>20</v>
      </c>
      <c r="H17" s="14" t="s">
        <v>21</v>
      </c>
      <c r="I17" s="94" t="s">
        <v>22</v>
      </c>
      <c r="J17" s="95">
        <v>0.7</v>
      </c>
      <c r="K17" s="56" t="s">
        <v>173</v>
      </c>
      <c r="L17" s="96" t="s">
        <v>174</v>
      </c>
      <c r="M17" s="56" t="s">
        <v>175</v>
      </c>
      <c r="N17" s="95" t="s">
        <v>176</v>
      </c>
      <c r="O17" s="95">
        <v>0.1</v>
      </c>
      <c r="P17" s="131"/>
      <c r="Q17" s="95">
        <f>ROUND(IF(OR(N17="",P17=""),0,IF(AND(N17=0,P17=0),1,IF(S17="+",P17/N17,N17/P17))),2)</f>
        <v>0</v>
      </c>
      <c r="R17" s="99">
        <f>IF(AND(Q17&gt;=60%,Q17&lt;100%),Q17*((O17*J17)),IF(Q17=100%,((O17*J17)*Q17)*100%,IF(Q17&gt;100%,((J17*O17)*100%)*100%,0)))*100</f>
        <v>0</v>
      </c>
      <c r="S17" s="95" t="s">
        <v>44</v>
      </c>
      <c r="T17" s="95"/>
    </row>
    <row r="18" spans="1:20" ht="20.399999999999999" x14ac:dyDescent="0.3">
      <c r="A18" s="12" t="s">
        <v>71</v>
      </c>
      <c r="B18" s="13" t="s">
        <v>25</v>
      </c>
      <c r="C18" s="13">
        <v>5546</v>
      </c>
      <c r="D18" s="13" t="s">
        <v>89</v>
      </c>
      <c r="E18" s="13" t="s">
        <v>100</v>
      </c>
      <c r="F18" s="13" t="s">
        <v>94</v>
      </c>
      <c r="G18" s="13" t="s">
        <v>20</v>
      </c>
      <c r="H18" s="14" t="s">
        <v>21</v>
      </c>
      <c r="I18" s="94" t="s">
        <v>22</v>
      </c>
      <c r="J18" s="95">
        <v>0.7</v>
      </c>
      <c r="K18" s="56" t="s">
        <v>177</v>
      </c>
      <c r="L18" s="96" t="s">
        <v>178</v>
      </c>
      <c r="M18" s="56" t="s">
        <v>179</v>
      </c>
      <c r="N18" s="95">
        <v>0.95</v>
      </c>
      <c r="O18" s="95">
        <v>0.15</v>
      </c>
      <c r="P18" s="131"/>
      <c r="Q18" s="95">
        <f t="shared" ref="Q18:Q22" si="2">ROUND(IF(OR(N18="",P18=""),0,IF(AND(N18=0,P18=0),1,IF(S18="+",P18/N18,N18/P18))),2)</f>
        <v>0</v>
      </c>
      <c r="R18" s="99">
        <f>IF(AND(Q18&gt;=60%,Q18&lt;100%),Q18*((O18*J18)),IF(Q18=100%,((O18*J18)*Q18)*100%,IF(Q18&gt;100%,((J18*O18)*100%)*100%,0)))*100</f>
        <v>0</v>
      </c>
      <c r="S18" s="95" t="s">
        <v>44</v>
      </c>
      <c r="T18" s="95"/>
    </row>
    <row r="19" spans="1:20" ht="20.399999999999999" x14ac:dyDescent="0.3">
      <c r="A19" s="12" t="s">
        <v>71</v>
      </c>
      <c r="B19" s="13" t="s">
        <v>25</v>
      </c>
      <c r="C19" s="13">
        <v>5546</v>
      </c>
      <c r="D19" s="13" t="s">
        <v>89</v>
      </c>
      <c r="E19" s="13" t="s">
        <v>100</v>
      </c>
      <c r="F19" s="13" t="s">
        <v>94</v>
      </c>
      <c r="G19" s="13" t="s">
        <v>20</v>
      </c>
      <c r="H19" s="14" t="s">
        <v>21</v>
      </c>
      <c r="I19" s="94" t="s">
        <v>22</v>
      </c>
      <c r="J19" s="95">
        <v>0.7</v>
      </c>
      <c r="K19" s="56" t="s">
        <v>180</v>
      </c>
      <c r="L19" s="96" t="s">
        <v>181</v>
      </c>
      <c r="M19" s="56" t="s">
        <v>182</v>
      </c>
      <c r="N19" s="95">
        <v>0.95</v>
      </c>
      <c r="O19" s="95">
        <v>0.1</v>
      </c>
      <c r="P19" s="132"/>
      <c r="Q19" s="95">
        <f t="shared" si="2"/>
        <v>0</v>
      </c>
      <c r="R19" s="99">
        <f>IF(AND(Q19&gt;=60%,Q19&lt;100%),Q19*((O19*J19)),IF(Q19=100%,((O19*J19)*Q19)*100%,IF(Q19&gt;100%,((J19*O19)*100%)*100%,0)))*100</f>
        <v>0</v>
      </c>
      <c r="S19" s="95" t="s">
        <v>43</v>
      </c>
      <c r="T19" s="95"/>
    </row>
    <row r="20" spans="1:20" ht="20.399999999999999" x14ac:dyDescent="0.3">
      <c r="A20" s="12" t="s">
        <v>71</v>
      </c>
      <c r="B20" s="13" t="s">
        <v>25</v>
      </c>
      <c r="C20" s="13">
        <v>5546</v>
      </c>
      <c r="D20" s="13" t="s">
        <v>89</v>
      </c>
      <c r="E20" s="13" t="s">
        <v>100</v>
      </c>
      <c r="F20" s="13" t="s">
        <v>94</v>
      </c>
      <c r="G20" s="13" t="s">
        <v>20</v>
      </c>
      <c r="H20" s="14" t="s">
        <v>21</v>
      </c>
      <c r="I20" s="94" t="s">
        <v>22</v>
      </c>
      <c r="J20" s="95">
        <v>0.7</v>
      </c>
      <c r="K20" s="56" t="s">
        <v>183</v>
      </c>
      <c r="L20" s="54" t="s">
        <v>184</v>
      </c>
      <c r="M20" s="56" t="s">
        <v>185</v>
      </c>
      <c r="N20" s="97">
        <v>0.95</v>
      </c>
      <c r="O20" s="95">
        <v>0.1</v>
      </c>
      <c r="P20" s="98"/>
      <c r="Q20" s="95">
        <f>ROUND(IF(OR(N20="",P20=""),0,IF(AND(N20=0,P20=0),1,IF(S20="+",P20/N20,N20/P20))),2)</f>
        <v>0</v>
      </c>
      <c r="R20" s="99">
        <f t="shared" ref="R20:R24" si="3">IF(AND(Q20&gt;=60%,Q20&lt;100%),Q20*((O20*J20)),IF(Q20=100%,((O20*J20)*Q20)*100%,IF(Q20&gt;100%,((J20*O20)*100%)*100%,0)))*100</f>
        <v>0</v>
      </c>
      <c r="S20" s="95" t="s">
        <v>43</v>
      </c>
      <c r="T20" s="95"/>
    </row>
    <row r="21" spans="1:20" ht="20.399999999999999" x14ac:dyDescent="0.3">
      <c r="A21" s="12" t="s">
        <v>71</v>
      </c>
      <c r="B21" s="13" t="s">
        <v>25</v>
      </c>
      <c r="C21" s="13">
        <v>5546</v>
      </c>
      <c r="D21" s="13" t="s">
        <v>89</v>
      </c>
      <c r="E21" s="13" t="s">
        <v>100</v>
      </c>
      <c r="F21" s="13" t="s">
        <v>94</v>
      </c>
      <c r="G21" s="13" t="s">
        <v>20</v>
      </c>
      <c r="H21" s="14" t="s">
        <v>21</v>
      </c>
      <c r="I21" s="94" t="s">
        <v>22</v>
      </c>
      <c r="J21" s="95">
        <v>0.7</v>
      </c>
      <c r="K21" s="57" t="s">
        <v>186</v>
      </c>
      <c r="L21" s="54" t="s">
        <v>187</v>
      </c>
      <c r="M21" s="57" t="s">
        <v>188</v>
      </c>
      <c r="N21" s="106">
        <v>0.95</v>
      </c>
      <c r="O21" s="108">
        <v>0.15</v>
      </c>
      <c r="P21" s="98"/>
      <c r="Q21" s="108">
        <f t="shared" si="2"/>
        <v>0</v>
      </c>
      <c r="R21" s="110">
        <f t="shared" si="3"/>
        <v>0</v>
      </c>
      <c r="S21" s="108" t="s">
        <v>43</v>
      </c>
      <c r="T21" s="108"/>
    </row>
    <row r="22" spans="1:20" ht="20.399999999999999" x14ac:dyDescent="0.3">
      <c r="A22" s="12" t="s">
        <v>71</v>
      </c>
      <c r="B22" s="13" t="s">
        <v>25</v>
      </c>
      <c r="C22" s="13">
        <v>5546</v>
      </c>
      <c r="D22" s="13" t="s">
        <v>89</v>
      </c>
      <c r="E22" s="13" t="s">
        <v>100</v>
      </c>
      <c r="F22" s="13" t="s">
        <v>94</v>
      </c>
      <c r="G22" s="13" t="s">
        <v>20</v>
      </c>
      <c r="H22" s="14" t="s">
        <v>21</v>
      </c>
      <c r="I22" s="57" t="s">
        <v>22</v>
      </c>
      <c r="J22" s="106">
        <v>0.7</v>
      </c>
      <c r="K22" s="57" t="s">
        <v>189</v>
      </c>
      <c r="L22" s="96" t="s">
        <v>190</v>
      </c>
      <c r="M22" s="57" t="s">
        <v>191</v>
      </c>
      <c r="N22" s="106">
        <v>0.95</v>
      </c>
      <c r="O22" s="108">
        <v>0.1</v>
      </c>
      <c r="P22" s="106"/>
      <c r="Q22" s="108">
        <f t="shared" si="2"/>
        <v>0</v>
      </c>
      <c r="R22" s="110">
        <f t="shared" si="3"/>
        <v>0</v>
      </c>
      <c r="S22" s="108" t="s">
        <v>43</v>
      </c>
      <c r="T22" s="108"/>
    </row>
    <row r="23" spans="1:20" ht="20.399999999999999" x14ac:dyDescent="0.3">
      <c r="A23" s="12" t="s">
        <v>71</v>
      </c>
      <c r="B23" s="13" t="s">
        <v>25</v>
      </c>
      <c r="C23" s="13">
        <v>5546</v>
      </c>
      <c r="D23" s="13" t="s">
        <v>89</v>
      </c>
      <c r="E23" s="13" t="s">
        <v>100</v>
      </c>
      <c r="F23" s="13" t="s">
        <v>94</v>
      </c>
      <c r="G23" s="13" t="s">
        <v>20</v>
      </c>
      <c r="H23" s="14" t="s">
        <v>21</v>
      </c>
      <c r="I23" s="57" t="s">
        <v>22</v>
      </c>
      <c r="J23" s="106">
        <v>0.7</v>
      </c>
      <c r="K23" s="57" t="s">
        <v>192</v>
      </c>
      <c r="L23" s="54" t="s">
        <v>193</v>
      </c>
      <c r="M23" s="57" t="s">
        <v>194</v>
      </c>
      <c r="N23" s="106" t="s">
        <v>195</v>
      </c>
      <c r="O23" s="108">
        <v>0.1</v>
      </c>
      <c r="P23" s="172"/>
      <c r="Q23" s="108">
        <f>ROUND(IF(OR(N23="",P23=""),0,IF(AND(N23=0,P23=0),1,IF(S23="+",P23/N23,N23/P23))),2)</f>
        <v>0</v>
      </c>
      <c r="R23" s="110">
        <f t="shared" si="3"/>
        <v>0</v>
      </c>
      <c r="S23" s="108" t="s">
        <v>43</v>
      </c>
      <c r="T23" s="108"/>
    </row>
    <row r="24" spans="1:20" x14ac:dyDescent="0.3">
      <c r="A24" s="12" t="s">
        <v>71</v>
      </c>
      <c r="B24" s="13" t="s">
        <v>25</v>
      </c>
      <c r="C24" s="13">
        <v>5546</v>
      </c>
      <c r="D24" s="13" t="s">
        <v>89</v>
      </c>
      <c r="E24" s="13" t="s">
        <v>100</v>
      </c>
      <c r="F24" s="13" t="s">
        <v>94</v>
      </c>
      <c r="G24" s="13" t="s">
        <v>20</v>
      </c>
      <c r="H24" s="163" t="s">
        <v>23</v>
      </c>
      <c r="I24" s="57" t="s">
        <v>24</v>
      </c>
      <c r="J24" s="95">
        <v>0.3</v>
      </c>
      <c r="K24" s="57" t="s">
        <v>196</v>
      </c>
      <c r="L24" s="54" t="s">
        <v>197</v>
      </c>
      <c r="M24" s="57" t="s">
        <v>198</v>
      </c>
      <c r="N24" s="107">
        <v>1</v>
      </c>
      <c r="O24" s="108">
        <v>0.1</v>
      </c>
      <c r="P24" s="172"/>
      <c r="Q24" s="108">
        <f>ROUND(IF(OR(N24="",P24=""),0,IF(AND(N24=0,P24=0),1,IF(S24="+",P24/N24,N24/P24))),2)</f>
        <v>0</v>
      </c>
      <c r="R24" s="110">
        <f t="shared" si="3"/>
        <v>0</v>
      </c>
      <c r="S24" s="108" t="s">
        <v>43</v>
      </c>
      <c r="T24" s="108"/>
    </row>
  </sheetData>
  <mergeCells count="1">
    <mergeCell ref="A15:T15"/>
  </mergeCells>
  <conditionalFormatting sqref="I1 K1:M1 K9:M11 L13 I14 H8:H14">
    <cfRule type="cellIs" dxfId="98" priority="46" operator="equal">
      <formula>"maintasks"</formula>
    </cfRule>
  </conditionalFormatting>
  <conditionalFormatting sqref="H1">
    <cfRule type="cellIs" dxfId="97" priority="45" operator="equal">
      <formula>"maintasks"</formula>
    </cfRule>
  </conditionalFormatting>
  <conditionalFormatting sqref="L14:M14">
    <cfRule type="cellIs" dxfId="96" priority="40" operator="equal">
      <formula>"maintasks"</formula>
    </cfRule>
  </conditionalFormatting>
  <conditionalFormatting sqref="I8">
    <cfRule type="cellIs" dxfId="95" priority="36" operator="equal">
      <formula>"maintasks"</formula>
    </cfRule>
  </conditionalFormatting>
  <conditionalFormatting sqref="I2">
    <cfRule type="cellIs" dxfId="94" priority="34" operator="equal">
      <formula>"maintasks"</formula>
    </cfRule>
  </conditionalFormatting>
  <conditionalFormatting sqref="H2:H7">
    <cfRule type="cellIs" dxfId="93" priority="33" operator="equal">
      <formula>"maintasks"</formula>
    </cfRule>
  </conditionalFormatting>
  <conditionalFormatting sqref="K13">
    <cfRule type="cellIs" dxfId="92" priority="32" operator="equal">
      <formula>"maintasks"</formula>
    </cfRule>
  </conditionalFormatting>
  <conditionalFormatting sqref="K14">
    <cfRule type="cellIs" dxfId="91" priority="29" operator="equal">
      <formula>"maintasks"</formula>
    </cfRule>
  </conditionalFormatting>
  <conditionalFormatting sqref="I3:I7">
    <cfRule type="cellIs" dxfId="90" priority="28" operator="equal">
      <formula>"maintasks"</formula>
    </cfRule>
  </conditionalFormatting>
  <conditionalFormatting sqref="H3:H7">
    <cfRule type="cellIs" dxfId="89" priority="27" operator="equal">
      <formula>"maintasks"</formula>
    </cfRule>
  </conditionalFormatting>
  <conditionalFormatting sqref="I9:I12">
    <cfRule type="cellIs" dxfId="88" priority="26" operator="equal">
      <formula>"maintasks"</formula>
    </cfRule>
  </conditionalFormatting>
  <conditionalFormatting sqref="I13">
    <cfRule type="cellIs" dxfId="87" priority="24" operator="equal">
      <formula>"maintasks"</formula>
    </cfRule>
  </conditionalFormatting>
  <conditionalFormatting sqref="K2:M6">
    <cfRule type="cellIs" dxfId="86" priority="18" operator="equal">
      <formula>"maintasks"</formula>
    </cfRule>
  </conditionalFormatting>
  <conditionalFormatting sqref="K2:M2">
    <cfRule type="cellIs" dxfId="85" priority="17" operator="equal">
      <formula>"maintasks"</formula>
    </cfRule>
  </conditionalFormatting>
  <conditionalFormatting sqref="K5:L5">
    <cfRule type="cellIs" dxfId="84" priority="16" operator="equal">
      <formula>"maintasks"</formula>
    </cfRule>
  </conditionalFormatting>
  <conditionalFormatting sqref="K7:L7">
    <cfRule type="cellIs" dxfId="83" priority="15" operator="equal">
      <formula>"maintasks"</formula>
    </cfRule>
  </conditionalFormatting>
  <conditionalFormatting sqref="M5">
    <cfRule type="cellIs" dxfId="82" priority="14" operator="equal">
      <formula>"maintasks"</formula>
    </cfRule>
  </conditionalFormatting>
  <conditionalFormatting sqref="M7">
    <cfRule type="cellIs" dxfId="81" priority="13" operator="equal">
      <formula>"maintasks"</formula>
    </cfRule>
  </conditionalFormatting>
  <conditionalFormatting sqref="K9:K11 K13">
    <cfRule type="cellIs" dxfId="80" priority="10" operator="equal">
      <formula>"maintasks"</formula>
    </cfRule>
  </conditionalFormatting>
  <conditionalFormatting sqref="K8:L8">
    <cfRule type="cellIs" dxfId="79" priority="8" operator="equal">
      <formula>"maintasks"</formula>
    </cfRule>
  </conditionalFormatting>
  <conditionalFormatting sqref="M8">
    <cfRule type="cellIs" dxfId="78" priority="7" operator="equal">
      <formula>"maintasks"</formula>
    </cfRule>
  </conditionalFormatting>
  <conditionalFormatting sqref="K12:L12">
    <cfRule type="cellIs" dxfId="77" priority="6" operator="equal">
      <formula>"maintasks"</formula>
    </cfRule>
  </conditionalFormatting>
  <conditionalFormatting sqref="M12">
    <cfRule type="cellIs" dxfId="76" priority="5" operator="equal">
      <formula>"maintasks"</formula>
    </cfRule>
  </conditionalFormatting>
  <conditionalFormatting sqref="I16:I24 K16:M24">
    <cfRule type="cellIs" dxfId="75" priority="4" operator="equal">
      <formula>"maintasks"</formula>
    </cfRule>
  </conditionalFormatting>
  <conditionalFormatting sqref="H16:H23">
    <cfRule type="cellIs" dxfId="74" priority="3" operator="equal">
      <formula>"maintasks"</formula>
    </cfRule>
  </conditionalFormatting>
  <conditionalFormatting sqref="H16:H23">
    <cfRule type="cellIs" dxfId="73" priority="2" operator="equal">
      <formula>"maintasks"</formula>
    </cfRule>
  </conditionalFormatting>
  <conditionalFormatting sqref="H24">
    <cfRule type="cellIs" dxfId="72" priority="1" operator="equal">
      <formula>"maintasks"</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D98C1-8C54-4872-B631-709FD64A16F1}">
  <dimension ref="A1:T22"/>
  <sheetViews>
    <sheetView topLeftCell="B1" zoomScale="115" zoomScaleNormal="115" workbookViewId="0">
      <selection activeCell="J21" sqref="J21"/>
    </sheetView>
  </sheetViews>
  <sheetFormatPr defaultColWidth="8.77734375" defaultRowHeight="14.4" x14ac:dyDescent="0.3"/>
  <cols>
    <col min="1" max="1" width="5.5546875" style="11" bestFit="1" customWidth="1"/>
    <col min="2" max="2" width="3.21875" style="11" bestFit="1" customWidth="1"/>
    <col min="3" max="3" width="5.88671875" style="11" bestFit="1" customWidth="1"/>
    <col min="4" max="4" width="17.21875" style="11" customWidth="1"/>
    <col min="5" max="5" width="40.5546875" style="11" customWidth="1"/>
    <col min="6" max="7" width="7.33203125" style="11" bestFit="1" customWidth="1"/>
    <col min="8" max="8" width="6.88671875" style="11" bestFit="1" customWidth="1"/>
    <col min="9" max="9" width="16.21875" style="11" customWidth="1"/>
    <col min="10" max="10" width="7.21875" style="11" bestFit="1" customWidth="1"/>
    <col min="11" max="11" width="57.44140625" style="11" customWidth="1"/>
    <col min="12" max="12" width="53.109375" style="40" bestFit="1" customWidth="1"/>
    <col min="13" max="13" width="93.44140625" style="11" bestFit="1" customWidth="1"/>
    <col min="14" max="14" width="4.44140625" style="11" bestFit="1" customWidth="1"/>
    <col min="15" max="15" width="7.21875" style="11" bestFit="1" customWidth="1"/>
    <col min="16" max="16" width="11.21875" style="11" bestFit="1" customWidth="1"/>
    <col min="17" max="17" width="16.21875" style="11" bestFit="1" customWidth="1"/>
    <col min="18" max="18" width="12.77734375" style="11" bestFit="1" customWidth="1"/>
    <col min="19" max="19" width="3.44140625" style="11" bestFit="1" customWidth="1"/>
    <col min="20" max="20" width="3.33203125" style="11" bestFit="1" customWidth="1"/>
    <col min="21" max="16384" width="8.77734375" style="11"/>
  </cols>
  <sheetData>
    <row r="1" spans="1:20" x14ac:dyDescent="0.3">
      <c r="A1" s="3" t="s">
        <v>0</v>
      </c>
      <c r="B1" s="4" t="s">
        <v>1</v>
      </c>
      <c r="C1" s="5" t="s">
        <v>2</v>
      </c>
      <c r="D1" s="4" t="s">
        <v>3</v>
      </c>
      <c r="E1" s="4" t="s">
        <v>4</v>
      </c>
      <c r="F1" s="4" t="s">
        <v>5</v>
      </c>
      <c r="G1" s="4" t="s">
        <v>6</v>
      </c>
      <c r="H1" s="4" t="s">
        <v>7</v>
      </c>
      <c r="I1" s="4" t="s">
        <v>8</v>
      </c>
      <c r="J1" s="6" t="s">
        <v>9</v>
      </c>
      <c r="K1" s="4" t="s">
        <v>10</v>
      </c>
      <c r="L1" s="4" t="s">
        <v>11</v>
      </c>
      <c r="M1" s="4" t="s">
        <v>12</v>
      </c>
      <c r="N1" s="4" t="s">
        <v>13</v>
      </c>
      <c r="O1" s="6" t="s">
        <v>14</v>
      </c>
      <c r="P1" s="4" t="s">
        <v>15</v>
      </c>
      <c r="Q1" s="7" t="s">
        <v>16</v>
      </c>
      <c r="R1" s="8" t="s">
        <v>17</v>
      </c>
      <c r="S1" s="9" t="s">
        <v>18</v>
      </c>
      <c r="T1" s="10" t="s">
        <v>19</v>
      </c>
    </row>
    <row r="2" spans="1:20" x14ac:dyDescent="0.3">
      <c r="A2" s="12" t="s">
        <v>71</v>
      </c>
      <c r="B2" s="13" t="s">
        <v>25</v>
      </c>
      <c r="C2" s="13">
        <v>3681</v>
      </c>
      <c r="D2" s="13" t="s">
        <v>90</v>
      </c>
      <c r="E2" s="13" t="s">
        <v>91</v>
      </c>
      <c r="F2" s="13" t="s">
        <v>94</v>
      </c>
      <c r="G2" s="13" t="s">
        <v>20</v>
      </c>
      <c r="H2" s="14" t="s">
        <v>21</v>
      </c>
      <c r="I2" s="14" t="s">
        <v>22</v>
      </c>
      <c r="J2" s="15">
        <v>0.6</v>
      </c>
      <c r="K2" s="16" t="s">
        <v>111</v>
      </c>
      <c r="L2" s="17" t="s">
        <v>59</v>
      </c>
      <c r="M2" s="18" t="s">
        <v>48</v>
      </c>
      <c r="N2" s="15">
        <v>0.99</v>
      </c>
      <c r="O2" s="15">
        <v>0.2</v>
      </c>
      <c r="P2" s="15"/>
      <c r="Q2" s="15">
        <f t="shared" ref="Q2:Q14" si="0">ROUND(IF(OR(N2="",P2=""),0,IF(AND(N2=0,P2=0),1,IF(S2="+",P2/N2,N2/P2))),2)</f>
        <v>0</v>
      </c>
      <c r="R2" s="19">
        <f t="shared" ref="R2:R14" si="1">IF(AND(Q2&gt;=60%,Q2&lt;100%),Q2*((O2*J2)),IF(Q2=100%,((O2*J2)*Q2)*100%,IF(Q2&gt;100%,((J2*O2)*100%)*100%,0)))*100</f>
        <v>0</v>
      </c>
      <c r="S2" s="15" t="s">
        <v>43</v>
      </c>
      <c r="T2" s="20"/>
    </row>
    <row r="3" spans="1:20" x14ac:dyDescent="0.3">
      <c r="A3" s="12" t="s">
        <v>71</v>
      </c>
      <c r="B3" s="13" t="s">
        <v>25</v>
      </c>
      <c r="C3" s="13">
        <v>3681</v>
      </c>
      <c r="D3" s="13" t="s">
        <v>90</v>
      </c>
      <c r="E3" s="13" t="s">
        <v>91</v>
      </c>
      <c r="F3" s="13" t="s">
        <v>94</v>
      </c>
      <c r="G3" s="13" t="s">
        <v>20</v>
      </c>
      <c r="H3" s="14" t="s">
        <v>21</v>
      </c>
      <c r="I3" s="14" t="s">
        <v>22</v>
      </c>
      <c r="J3" s="15">
        <v>0.6</v>
      </c>
      <c r="K3" s="16" t="s">
        <v>51</v>
      </c>
      <c r="L3" s="17" t="s">
        <v>62</v>
      </c>
      <c r="M3" s="18" t="s">
        <v>49</v>
      </c>
      <c r="N3" s="15">
        <v>0.99</v>
      </c>
      <c r="O3" s="15">
        <v>0.15</v>
      </c>
      <c r="P3" s="15"/>
      <c r="Q3" s="15">
        <f t="shared" si="0"/>
        <v>0</v>
      </c>
      <c r="R3" s="19">
        <f t="shared" si="1"/>
        <v>0</v>
      </c>
      <c r="S3" s="15" t="s">
        <v>43</v>
      </c>
      <c r="T3" s="21"/>
    </row>
    <row r="4" spans="1:20" x14ac:dyDescent="0.3">
      <c r="A4" s="12" t="s">
        <v>71</v>
      </c>
      <c r="B4" s="13" t="s">
        <v>25</v>
      </c>
      <c r="C4" s="13">
        <v>3681</v>
      </c>
      <c r="D4" s="13" t="s">
        <v>90</v>
      </c>
      <c r="E4" s="13" t="s">
        <v>91</v>
      </c>
      <c r="F4" s="13" t="s">
        <v>94</v>
      </c>
      <c r="G4" s="13" t="s">
        <v>20</v>
      </c>
      <c r="H4" s="14" t="s">
        <v>21</v>
      </c>
      <c r="I4" s="14" t="s">
        <v>22</v>
      </c>
      <c r="J4" s="15">
        <v>0.6</v>
      </c>
      <c r="K4" s="16" t="s">
        <v>110</v>
      </c>
      <c r="L4" s="17" t="s">
        <v>60</v>
      </c>
      <c r="M4" s="18" t="s">
        <v>39</v>
      </c>
      <c r="N4" s="15">
        <v>1</v>
      </c>
      <c r="O4" s="15">
        <v>0.2</v>
      </c>
      <c r="P4" s="15"/>
      <c r="Q4" s="15">
        <f t="shared" si="0"/>
        <v>0</v>
      </c>
      <c r="R4" s="19">
        <f t="shared" si="1"/>
        <v>0</v>
      </c>
      <c r="S4" s="15" t="s">
        <v>43</v>
      </c>
      <c r="T4" s="21"/>
    </row>
    <row r="5" spans="1:20" x14ac:dyDescent="0.3">
      <c r="A5" s="12" t="s">
        <v>71</v>
      </c>
      <c r="B5" s="13" t="s">
        <v>25</v>
      </c>
      <c r="C5" s="13">
        <v>3681</v>
      </c>
      <c r="D5" s="13" t="s">
        <v>90</v>
      </c>
      <c r="E5" s="13" t="s">
        <v>91</v>
      </c>
      <c r="F5" s="13" t="s">
        <v>94</v>
      </c>
      <c r="G5" s="13" t="s">
        <v>20</v>
      </c>
      <c r="H5" s="14" t="s">
        <v>21</v>
      </c>
      <c r="I5" s="14" t="s">
        <v>22</v>
      </c>
      <c r="J5" s="15">
        <v>0.6</v>
      </c>
      <c r="K5" s="16" t="s">
        <v>30</v>
      </c>
      <c r="L5" s="17" t="s">
        <v>63</v>
      </c>
      <c r="M5" s="18" t="s">
        <v>37</v>
      </c>
      <c r="N5" s="15">
        <v>1</v>
      </c>
      <c r="O5" s="15">
        <v>0.15</v>
      </c>
      <c r="P5" s="15"/>
      <c r="Q5" s="15">
        <f t="shared" si="0"/>
        <v>0</v>
      </c>
      <c r="R5" s="19">
        <f t="shared" si="1"/>
        <v>0</v>
      </c>
      <c r="S5" s="15" t="s">
        <v>43</v>
      </c>
      <c r="T5" s="21"/>
    </row>
    <row r="6" spans="1:20" x14ac:dyDescent="0.3">
      <c r="A6" s="12" t="s">
        <v>71</v>
      </c>
      <c r="B6" s="13" t="s">
        <v>25</v>
      </c>
      <c r="C6" s="13">
        <v>3681</v>
      </c>
      <c r="D6" s="13" t="s">
        <v>90</v>
      </c>
      <c r="E6" s="13" t="s">
        <v>91</v>
      </c>
      <c r="F6" s="13" t="s">
        <v>94</v>
      </c>
      <c r="G6" s="13" t="s">
        <v>20</v>
      </c>
      <c r="H6" s="14" t="s">
        <v>21</v>
      </c>
      <c r="I6" s="14" t="s">
        <v>22</v>
      </c>
      <c r="J6" s="15">
        <v>0.6</v>
      </c>
      <c r="K6" s="16" t="s">
        <v>65</v>
      </c>
      <c r="L6" s="17" t="s">
        <v>66</v>
      </c>
      <c r="M6" s="18" t="s">
        <v>67</v>
      </c>
      <c r="N6" s="15">
        <v>1</v>
      </c>
      <c r="O6" s="15">
        <v>0.15</v>
      </c>
      <c r="P6" s="15"/>
      <c r="Q6" s="15">
        <f t="shared" si="0"/>
        <v>0</v>
      </c>
      <c r="R6" s="19">
        <f t="shared" si="1"/>
        <v>0</v>
      </c>
      <c r="S6" s="15" t="s">
        <v>43</v>
      </c>
      <c r="T6" s="21"/>
    </row>
    <row r="7" spans="1:20" x14ac:dyDescent="0.3">
      <c r="A7" s="12" t="s">
        <v>71</v>
      </c>
      <c r="B7" s="13" t="s">
        <v>25</v>
      </c>
      <c r="C7" s="13">
        <v>3681</v>
      </c>
      <c r="D7" s="13" t="s">
        <v>90</v>
      </c>
      <c r="E7" s="13" t="s">
        <v>91</v>
      </c>
      <c r="F7" s="13" t="s">
        <v>94</v>
      </c>
      <c r="G7" s="13" t="s">
        <v>20</v>
      </c>
      <c r="H7" s="14" t="s">
        <v>21</v>
      </c>
      <c r="I7" s="14" t="s">
        <v>22</v>
      </c>
      <c r="J7" s="15">
        <v>0.6</v>
      </c>
      <c r="K7" s="16" t="s">
        <v>32</v>
      </c>
      <c r="L7" s="17" t="s">
        <v>61</v>
      </c>
      <c r="M7" s="18" t="s">
        <v>38</v>
      </c>
      <c r="N7" s="15">
        <v>0.95</v>
      </c>
      <c r="O7" s="15">
        <v>0.15</v>
      </c>
      <c r="P7" s="15"/>
      <c r="Q7" s="15">
        <f t="shared" si="0"/>
        <v>0</v>
      </c>
      <c r="R7" s="19">
        <f t="shared" si="1"/>
        <v>0</v>
      </c>
      <c r="S7" s="15" t="s">
        <v>43</v>
      </c>
      <c r="T7" s="21"/>
    </row>
    <row r="8" spans="1:20" x14ac:dyDescent="0.3">
      <c r="A8" s="12" t="s">
        <v>71</v>
      </c>
      <c r="B8" s="13" t="s">
        <v>25</v>
      </c>
      <c r="C8" s="13">
        <v>3681</v>
      </c>
      <c r="D8" s="13" t="s">
        <v>90</v>
      </c>
      <c r="E8" s="13" t="s">
        <v>91</v>
      </c>
      <c r="F8" s="13" t="s">
        <v>94</v>
      </c>
      <c r="G8" s="13" t="s">
        <v>20</v>
      </c>
      <c r="H8" s="22" t="s">
        <v>23</v>
      </c>
      <c r="I8" s="22" t="s">
        <v>24</v>
      </c>
      <c r="J8" s="23">
        <v>0.4</v>
      </c>
      <c r="K8" s="1" t="s">
        <v>112</v>
      </c>
      <c r="L8" s="2" t="s">
        <v>64</v>
      </c>
      <c r="M8" s="1" t="s">
        <v>53</v>
      </c>
      <c r="N8" s="24">
        <v>1</v>
      </c>
      <c r="O8" s="24">
        <v>0.15</v>
      </c>
      <c r="P8" s="25"/>
      <c r="Q8" s="25">
        <f t="shared" si="0"/>
        <v>0</v>
      </c>
      <c r="R8" s="26">
        <f t="shared" si="1"/>
        <v>0</v>
      </c>
      <c r="S8" s="25" t="s">
        <v>43</v>
      </c>
      <c r="T8" s="27"/>
    </row>
    <row r="9" spans="1:20" x14ac:dyDescent="0.3">
      <c r="A9" s="12" t="s">
        <v>71</v>
      </c>
      <c r="B9" s="13" t="s">
        <v>25</v>
      </c>
      <c r="C9" s="13">
        <v>3681</v>
      </c>
      <c r="D9" s="13" t="s">
        <v>90</v>
      </c>
      <c r="E9" s="13" t="s">
        <v>91</v>
      </c>
      <c r="F9" s="13" t="s">
        <v>94</v>
      </c>
      <c r="G9" s="13" t="s">
        <v>20</v>
      </c>
      <c r="H9" s="22" t="s">
        <v>23</v>
      </c>
      <c r="I9" s="22" t="s">
        <v>24</v>
      </c>
      <c r="J9" s="23">
        <v>0.4</v>
      </c>
      <c r="K9" s="1" t="s">
        <v>104</v>
      </c>
      <c r="L9" s="28"/>
      <c r="M9" s="29" t="s">
        <v>42</v>
      </c>
      <c r="N9" s="24">
        <v>1</v>
      </c>
      <c r="O9" s="24">
        <v>0.2</v>
      </c>
      <c r="P9" s="25"/>
      <c r="Q9" s="25">
        <f t="shared" si="0"/>
        <v>0</v>
      </c>
      <c r="R9" s="26">
        <f t="shared" si="1"/>
        <v>0</v>
      </c>
      <c r="S9" s="25" t="s">
        <v>43</v>
      </c>
      <c r="T9" s="27"/>
    </row>
    <row r="10" spans="1:20" x14ac:dyDescent="0.3">
      <c r="A10" s="12" t="s">
        <v>71</v>
      </c>
      <c r="B10" s="13" t="s">
        <v>25</v>
      </c>
      <c r="C10" s="13">
        <v>3681</v>
      </c>
      <c r="D10" s="13" t="s">
        <v>90</v>
      </c>
      <c r="E10" s="13" t="s">
        <v>91</v>
      </c>
      <c r="F10" s="13" t="s">
        <v>94</v>
      </c>
      <c r="G10" s="13" t="s">
        <v>20</v>
      </c>
      <c r="H10" s="22" t="s">
        <v>23</v>
      </c>
      <c r="I10" s="22" t="s">
        <v>24</v>
      </c>
      <c r="J10" s="23">
        <v>0.4</v>
      </c>
      <c r="K10" s="1" t="s">
        <v>105</v>
      </c>
      <c r="L10" s="28"/>
      <c r="M10" s="29" t="s">
        <v>42</v>
      </c>
      <c r="N10" s="24">
        <v>1</v>
      </c>
      <c r="O10" s="24">
        <v>0.1</v>
      </c>
      <c r="P10" s="25"/>
      <c r="Q10" s="25">
        <f t="shared" si="0"/>
        <v>0</v>
      </c>
      <c r="R10" s="26">
        <f t="shared" si="1"/>
        <v>0</v>
      </c>
      <c r="S10" s="25" t="s">
        <v>43</v>
      </c>
      <c r="T10" s="27"/>
    </row>
    <row r="11" spans="1:20" x14ac:dyDescent="0.3">
      <c r="A11" s="12" t="s">
        <v>71</v>
      </c>
      <c r="B11" s="13" t="s">
        <v>25</v>
      </c>
      <c r="C11" s="13">
        <v>3681</v>
      </c>
      <c r="D11" s="13" t="s">
        <v>90</v>
      </c>
      <c r="E11" s="13" t="s">
        <v>91</v>
      </c>
      <c r="F11" s="13" t="s">
        <v>94</v>
      </c>
      <c r="G11" s="13" t="s">
        <v>20</v>
      </c>
      <c r="H11" s="22" t="s">
        <v>23</v>
      </c>
      <c r="I11" s="22" t="s">
        <v>24</v>
      </c>
      <c r="J11" s="23">
        <v>0.4</v>
      </c>
      <c r="K11" s="1" t="s">
        <v>107</v>
      </c>
      <c r="L11" s="28"/>
      <c r="M11" s="29" t="s">
        <v>42</v>
      </c>
      <c r="N11" s="24">
        <v>1</v>
      </c>
      <c r="O11" s="24">
        <v>0.1</v>
      </c>
      <c r="P11" s="25"/>
      <c r="Q11" s="25">
        <f t="shared" si="0"/>
        <v>0</v>
      </c>
      <c r="R11" s="26">
        <f t="shared" si="1"/>
        <v>0</v>
      </c>
      <c r="S11" s="25" t="s">
        <v>43</v>
      </c>
      <c r="T11" s="27"/>
    </row>
    <row r="12" spans="1:20" x14ac:dyDescent="0.3">
      <c r="A12" s="12" t="s">
        <v>71</v>
      </c>
      <c r="B12" s="13" t="s">
        <v>25</v>
      </c>
      <c r="C12" s="13">
        <v>3681</v>
      </c>
      <c r="D12" s="13" t="s">
        <v>90</v>
      </c>
      <c r="E12" s="13" t="s">
        <v>91</v>
      </c>
      <c r="F12" s="13" t="s">
        <v>94</v>
      </c>
      <c r="G12" s="13" t="s">
        <v>20</v>
      </c>
      <c r="H12" s="22" t="s">
        <v>23</v>
      </c>
      <c r="I12" s="22" t="s">
        <v>24</v>
      </c>
      <c r="J12" s="23">
        <v>0.4</v>
      </c>
      <c r="K12" s="1" t="s">
        <v>54</v>
      </c>
      <c r="L12" s="2" t="s">
        <v>68</v>
      </c>
      <c r="M12" s="1" t="s">
        <v>69</v>
      </c>
      <c r="N12" s="24">
        <v>1</v>
      </c>
      <c r="O12" s="24">
        <v>0.2</v>
      </c>
      <c r="P12" s="25"/>
      <c r="Q12" s="25">
        <f t="shared" si="0"/>
        <v>0</v>
      </c>
      <c r="R12" s="26">
        <f t="shared" si="1"/>
        <v>0</v>
      </c>
      <c r="S12" s="25" t="s">
        <v>43</v>
      </c>
      <c r="T12" s="27"/>
    </row>
    <row r="13" spans="1:20" ht="20.399999999999999" x14ac:dyDescent="0.3">
      <c r="A13" s="12" t="s">
        <v>71</v>
      </c>
      <c r="B13" s="13" t="s">
        <v>25</v>
      </c>
      <c r="C13" s="13">
        <v>3681</v>
      </c>
      <c r="D13" s="13" t="s">
        <v>90</v>
      </c>
      <c r="E13" s="13" t="s">
        <v>91</v>
      </c>
      <c r="F13" s="13" t="s">
        <v>94</v>
      </c>
      <c r="G13" s="13" t="s">
        <v>20</v>
      </c>
      <c r="H13" s="22" t="s">
        <v>23</v>
      </c>
      <c r="I13" s="22" t="s">
        <v>24</v>
      </c>
      <c r="J13" s="23">
        <v>0.4</v>
      </c>
      <c r="K13" s="1" t="s">
        <v>113</v>
      </c>
      <c r="L13" s="28"/>
      <c r="M13" s="30" t="s">
        <v>42</v>
      </c>
      <c r="N13" s="24">
        <v>1</v>
      </c>
      <c r="O13" s="24">
        <v>0.1</v>
      </c>
      <c r="P13" s="25"/>
      <c r="Q13" s="25">
        <f t="shared" si="0"/>
        <v>0</v>
      </c>
      <c r="R13" s="26">
        <f t="shared" si="1"/>
        <v>0</v>
      </c>
      <c r="S13" s="25" t="s">
        <v>43</v>
      </c>
      <c r="T13" s="27"/>
    </row>
    <row r="14" spans="1:20" x14ac:dyDescent="0.3">
      <c r="A14" s="161" t="s">
        <v>71</v>
      </c>
      <c r="B14" s="162" t="s">
        <v>25</v>
      </c>
      <c r="C14" s="162">
        <v>3681</v>
      </c>
      <c r="D14" s="162" t="s">
        <v>90</v>
      </c>
      <c r="E14" s="162" t="s">
        <v>91</v>
      </c>
      <c r="F14" s="162" t="s">
        <v>94</v>
      </c>
      <c r="G14" s="162" t="s">
        <v>20</v>
      </c>
      <c r="H14" s="163" t="s">
        <v>23</v>
      </c>
      <c r="I14" s="163" t="s">
        <v>24</v>
      </c>
      <c r="J14" s="164">
        <v>0.4</v>
      </c>
      <c r="K14" s="165" t="s">
        <v>109</v>
      </c>
      <c r="L14" s="166"/>
      <c r="M14" s="165" t="s">
        <v>42</v>
      </c>
      <c r="N14" s="167">
        <v>1</v>
      </c>
      <c r="O14" s="167">
        <v>0.15</v>
      </c>
      <c r="P14" s="168"/>
      <c r="Q14" s="168">
        <f t="shared" si="0"/>
        <v>0</v>
      </c>
      <c r="R14" s="169">
        <f t="shared" si="1"/>
        <v>0</v>
      </c>
      <c r="S14" s="168" t="s">
        <v>43</v>
      </c>
      <c r="T14" s="170"/>
    </row>
    <row r="15" spans="1:20" ht="66" customHeight="1" x14ac:dyDescent="0.3">
      <c r="A15" s="189" t="s">
        <v>200</v>
      </c>
      <c r="B15" s="190"/>
      <c r="C15" s="190"/>
      <c r="D15" s="190"/>
      <c r="E15" s="190"/>
      <c r="F15" s="190"/>
      <c r="G15" s="190"/>
      <c r="H15" s="190"/>
      <c r="I15" s="190"/>
      <c r="J15" s="190"/>
      <c r="K15" s="190"/>
      <c r="L15" s="190"/>
      <c r="M15" s="190"/>
      <c r="N15" s="190"/>
      <c r="O15" s="190"/>
      <c r="P15" s="190"/>
      <c r="Q15" s="190"/>
      <c r="R15" s="190"/>
      <c r="S15" s="190"/>
      <c r="T15" s="190"/>
    </row>
    <row r="16" spans="1:20" x14ac:dyDescent="0.3">
      <c r="A16" s="12" t="s">
        <v>71</v>
      </c>
      <c r="B16" s="13" t="s">
        <v>25</v>
      </c>
      <c r="C16" s="13">
        <v>3681</v>
      </c>
      <c r="D16" s="13" t="s">
        <v>90</v>
      </c>
      <c r="E16" s="13" t="s">
        <v>91</v>
      </c>
      <c r="F16" s="13" t="s">
        <v>94</v>
      </c>
      <c r="G16" s="13" t="s">
        <v>20</v>
      </c>
      <c r="H16" s="14" t="s">
        <v>21</v>
      </c>
      <c r="I16" s="94" t="s">
        <v>22</v>
      </c>
      <c r="J16" s="95">
        <v>0.7</v>
      </c>
      <c r="K16" s="56" t="s">
        <v>201</v>
      </c>
      <c r="L16" s="96" t="s">
        <v>202</v>
      </c>
      <c r="M16" s="56" t="s">
        <v>203</v>
      </c>
      <c r="N16" s="95" t="s">
        <v>204</v>
      </c>
      <c r="O16" s="95">
        <v>0.15</v>
      </c>
      <c r="P16" s="95"/>
      <c r="Q16" s="95">
        <f>ROUND(IF(OR(N16="",P16=""),0,IF(AND(N16=0,P16=0),1,IF(S16="+",P16/N16,N16/P16))),2)</f>
        <v>0</v>
      </c>
      <c r="R16" s="99">
        <f>IF(AND(Q16&gt;=60%,Q16&lt;100%),Q16*((O16*J16)),IF(Q16=100%,((O16*J16)*Q16)*100%,IF(Q16&gt;100%,((J16*O16)*100%)*100%,0)))*100</f>
        <v>0</v>
      </c>
      <c r="S16" s="95" t="s">
        <v>43</v>
      </c>
      <c r="T16" s="171">
        <f>SUM(R16:R22)%</f>
        <v>0</v>
      </c>
    </row>
    <row r="17" spans="1:20" x14ac:dyDescent="0.3">
      <c r="A17" s="12" t="s">
        <v>71</v>
      </c>
      <c r="B17" s="13" t="s">
        <v>140</v>
      </c>
      <c r="C17" s="13">
        <v>3682</v>
      </c>
      <c r="D17" s="13" t="s">
        <v>90</v>
      </c>
      <c r="E17" s="13" t="s">
        <v>91</v>
      </c>
      <c r="F17" s="13" t="s">
        <v>94</v>
      </c>
      <c r="G17" s="13" t="s">
        <v>20</v>
      </c>
      <c r="H17" s="14" t="s">
        <v>21</v>
      </c>
      <c r="I17" s="94" t="s">
        <v>22</v>
      </c>
      <c r="J17" s="95">
        <v>0.7</v>
      </c>
      <c r="K17" s="56" t="s">
        <v>205</v>
      </c>
      <c r="L17" s="96" t="s">
        <v>206</v>
      </c>
      <c r="M17" s="56" t="s">
        <v>207</v>
      </c>
      <c r="N17" s="95" t="s">
        <v>208</v>
      </c>
      <c r="O17" s="95">
        <v>0.15</v>
      </c>
      <c r="P17" s="131"/>
      <c r="Q17" s="95">
        <f>ROUND(IF(OR(N17="",P17=""),0,IF(AND(N17=0,P17=0),1,IF(S17="+",P17/N17,N17/P17))),2)</f>
        <v>0</v>
      </c>
      <c r="R17" s="99">
        <f>IF(AND(Q17&gt;=60%,Q17&lt;100%),Q17*((O17*J17)),IF(Q17=100%,((O17*J17)*Q17)*100%,IF(Q17&gt;100%,((J17*O17)*100%)*100%,0)))*100</f>
        <v>0</v>
      </c>
      <c r="S17" s="95" t="s">
        <v>43</v>
      </c>
      <c r="T17" s="95"/>
    </row>
    <row r="18" spans="1:20" ht="20.399999999999999" x14ac:dyDescent="0.3">
      <c r="A18" s="12" t="s">
        <v>71</v>
      </c>
      <c r="B18" s="13" t="s">
        <v>158</v>
      </c>
      <c r="C18" s="13">
        <v>3683</v>
      </c>
      <c r="D18" s="13" t="s">
        <v>90</v>
      </c>
      <c r="E18" s="13" t="s">
        <v>91</v>
      </c>
      <c r="F18" s="13" t="s">
        <v>94</v>
      </c>
      <c r="G18" s="13" t="s">
        <v>20</v>
      </c>
      <c r="H18" s="14" t="s">
        <v>21</v>
      </c>
      <c r="I18" s="94" t="s">
        <v>22</v>
      </c>
      <c r="J18" s="95">
        <v>0.7</v>
      </c>
      <c r="K18" s="56" t="s">
        <v>209</v>
      </c>
      <c r="L18" s="96" t="s">
        <v>210</v>
      </c>
      <c r="M18" s="56" t="s">
        <v>211</v>
      </c>
      <c r="N18" s="95" t="s">
        <v>212</v>
      </c>
      <c r="O18" s="95">
        <v>0.1</v>
      </c>
      <c r="P18" s="131"/>
      <c r="Q18" s="95">
        <f t="shared" ref="Q18:Q19" si="2">ROUND(IF(OR(N18="",P18=""),0,IF(AND(N18=0,P18=0),1,IF(S18="+",P18/N18,N18/P18))),2)</f>
        <v>0</v>
      </c>
      <c r="R18" s="99">
        <f>IF(AND(Q18&gt;=60%,Q18&lt;100%),Q18*((O18*J18)),IF(Q18=100%,((O18*J18)*Q18)*100%,IF(Q18&gt;100%,((J18*O18)*100%)*100%,0)))*100</f>
        <v>0</v>
      </c>
      <c r="S18" s="95" t="s">
        <v>44</v>
      </c>
      <c r="T18" s="95"/>
    </row>
    <row r="19" spans="1:20" x14ac:dyDescent="0.3">
      <c r="A19" s="12" t="s">
        <v>71</v>
      </c>
      <c r="B19" s="13" t="s">
        <v>199</v>
      </c>
      <c r="C19" s="13">
        <v>3684</v>
      </c>
      <c r="D19" s="13" t="s">
        <v>90</v>
      </c>
      <c r="E19" s="13" t="s">
        <v>91</v>
      </c>
      <c r="F19" s="13" t="s">
        <v>94</v>
      </c>
      <c r="G19" s="13" t="s">
        <v>20</v>
      </c>
      <c r="H19" s="14" t="s">
        <v>21</v>
      </c>
      <c r="I19" s="94" t="s">
        <v>22</v>
      </c>
      <c r="J19" s="95">
        <v>0.7</v>
      </c>
      <c r="K19" s="56" t="s">
        <v>213</v>
      </c>
      <c r="L19" s="96" t="s">
        <v>214</v>
      </c>
      <c r="M19" s="56" t="s">
        <v>215</v>
      </c>
      <c r="N19" s="95" t="s">
        <v>208</v>
      </c>
      <c r="O19" s="95">
        <v>0.1</v>
      </c>
      <c r="P19" s="132"/>
      <c r="Q19" s="95">
        <f t="shared" si="2"/>
        <v>0</v>
      </c>
      <c r="R19" s="99">
        <f>IF(AND(Q19&gt;=60%,Q19&lt;100%),Q19*((O19*J19)),IF(Q19=100%,((O19*J19)*Q19)*100%,IF(Q19&gt;100%,((J19*O19)*100%)*100%,0)))*100</f>
        <v>0</v>
      </c>
      <c r="S19" s="95" t="s">
        <v>43</v>
      </c>
      <c r="T19" s="95"/>
    </row>
    <row r="20" spans="1:20" x14ac:dyDescent="0.3">
      <c r="A20" s="12" t="s">
        <v>71</v>
      </c>
      <c r="B20" s="13" t="s">
        <v>25</v>
      </c>
      <c r="C20" s="13">
        <v>3685</v>
      </c>
      <c r="D20" s="13" t="s">
        <v>90</v>
      </c>
      <c r="E20" s="13" t="s">
        <v>91</v>
      </c>
      <c r="F20" s="13" t="s">
        <v>94</v>
      </c>
      <c r="G20" s="13" t="s">
        <v>20</v>
      </c>
      <c r="H20" s="14" t="s">
        <v>21</v>
      </c>
      <c r="I20" s="94" t="s">
        <v>22</v>
      </c>
      <c r="J20" s="95">
        <v>0.7</v>
      </c>
      <c r="K20" s="56" t="s">
        <v>216</v>
      </c>
      <c r="L20" s="96" t="s">
        <v>217</v>
      </c>
      <c r="M20" s="56" t="s">
        <v>218</v>
      </c>
      <c r="N20" s="97" t="s">
        <v>219</v>
      </c>
      <c r="O20" s="95">
        <v>0.1</v>
      </c>
      <c r="P20" s="98"/>
      <c r="Q20" s="95">
        <f>ROUND(IF(OR(N20="",P20=""),0,IF(AND(N20=0,P20=0),1,IF(S20="+",P20/N20,N20/P20))),2)</f>
        <v>0</v>
      </c>
      <c r="R20" s="99">
        <f t="shared" ref="R20:R22" si="3">IF(AND(Q20&gt;=60%,Q20&lt;100%),Q20*((O20*J20)),IF(Q20=100%,((O20*J20)*Q20)*100%,IF(Q20&gt;100%,((J20*O20)*100%)*100%,0)))*100</f>
        <v>0</v>
      </c>
      <c r="S20" s="95" t="s">
        <v>43</v>
      </c>
      <c r="T20" s="95"/>
    </row>
    <row r="21" spans="1:20" x14ac:dyDescent="0.3">
      <c r="A21" s="12" t="s">
        <v>71</v>
      </c>
      <c r="B21" s="13" t="s">
        <v>140</v>
      </c>
      <c r="C21" s="13">
        <v>3686</v>
      </c>
      <c r="D21" s="13" t="s">
        <v>90</v>
      </c>
      <c r="E21" s="13" t="s">
        <v>91</v>
      </c>
      <c r="F21" s="13" t="s">
        <v>94</v>
      </c>
      <c r="G21" s="13" t="s">
        <v>20</v>
      </c>
      <c r="H21" s="22" t="s">
        <v>23</v>
      </c>
      <c r="I21" s="94" t="s">
        <v>24</v>
      </c>
      <c r="J21" s="95">
        <v>0.2</v>
      </c>
      <c r="K21" s="57" t="s">
        <v>220</v>
      </c>
      <c r="L21" s="54" t="s">
        <v>221</v>
      </c>
      <c r="M21" s="57" t="s">
        <v>222</v>
      </c>
      <c r="N21" s="106" t="s">
        <v>204</v>
      </c>
      <c r="O21" s="108">
        <v>0.2</v>
      </c>
      <c r="P21" s="98"/>
      <c r="Q21" s="108">
        <f t="shared" ref="Q21" si="4">ROUND(IF(OR(N21="",P21=""),0,IF(AND(N21=0,P21=0),1,IF(S21="+",P21/N21,N21/P21))),2)</f>
        <v>0</v>
      </c>
      <c r="R21" s="110">
        <f t="shared" si="3"/>
        <v>0</v>
      </c>
      <c r="S21" s="108" t="s">
        <v>43</v>
      </c>
      <c r="T21" s="108"/>
    </row>
    <row r="22" spans="1:20" ht="40.799999999999997" x14ac:dyDescent="0.3">
      <c r="A22" s="12" t="s">
        <v>71</v>
      </c>
      <c r="B22" s="13" t="s">
        <v>158</v>
      </c>
      <c r="C22" s="13">
        <v>3687</v>
      </c>
      <c r="D22" s="13" t="s">
        <v>90</v>
      </c>
      <c r="E22" s="13" t="s">
        <v>91</v>
      </c>
      <c r="F22" s="13" t="s">
        <v>94</v>
      </c>
      <c r="G22" s="13" t="s">
        <v>20</v>
      </c>
      <c r="H22" s="22" t="s">
        <v>23</v>
      </c>
      <c r="I22" s="57" t="s">
        <v>223</v>
      </c>
      <c r="J22" s="106">
        <v>0.1</v>
      </c>
      <c r="K22" s="57" t="s">
        <v>224</v>
      </c>
      <c r="L22" s="54" t="s">
        <v>225</v>
      </c>
      <c r="M22" s="57" t="s">
        <v>226</v>
      </c>
      <c r="N22" s="106" t="s">
        <v>227</v>
      </c>
      <c r="O22" s="108">
        <v>0.2</v>
      </c>
      <c r="P22" s="172"/>
      <c r="Q22" s="108">
        <f>ROUND(IF(OR(N22="",P22=""),0,IF(AND(N22=0,P22=0),1,IF(S22="+",P22/N22,N22/P22))),2)</f>
        <v>0</v>
      </c>
      <c r="R22" s="110">
        <f t="shared" si="3"/>
        <v>0</v>
      </c>
      <c r="S22" s="108" t="s">
        <v>43</v>
      </c>
      <c r="T22" s="108"/>
    </row>
  </sheetData>
  <mergeCells count="1">
    <mergeCell ref="A15:T15"/>
  </mergeCells>
  <conditionalFormatting sqref="M12">
    <cfRule type="cellIs" dxfId="71" priority="5" operator="equal">
      <formula>"maintasks"</formula>
    </cfRule>
  </conditionalFormatting>
  <conditionalFormatting sqref="I1 K1:M1 K9:M11 L13 I14 H8:H14">
    <cfRule type="cellIs" dxfId="70" priority="27" operator="equal">
      <formula>"maintasks"</formula>
    </cfRule>
  </conditionalFormatting>
  <conditionalFormatting sqref="H1">
    <cfRule type="cellIs" dxfId="69" priority="26" operator="equal">
      <formula>"maintasks"</formula>
    </cfRule>
  </conditionalFormatting>
  <conditionalFormatting sqref="L14:M14">
    <cfRule type="cellIs" dxfId="68" priority="25" operator="equal">
      <formula>"maintasks"</formula>
    </cfRule>
  </conditionalFormatting>
  <conditionalFormatting sqref="I8">
    <cfRule type="cellIs" dxfId="67" priority="24" operator="equal">
      <formula>"maintasks"</formula>
    </cfRule>
  </conditionalFormatting>
  <conditionalFormatting sqref="I2">
    <cfRule type="cellIs" dxfId="66" priority="23" operator="equal">
      <formula>"maintasks"</formula>
    </cfRule>
  </conditionalFormatting>
  <conditionalFormatting sqref="H2:H7">
    <cfRule type="cellIs" dxfId="65" priority="22" operator="equal">
      <formula>"maintasks"</formula>
    </cfRule>
  </conditionalFormatting>
  <conditionalFormatting sqref="K13">
    <cfRule type="cellIs" dxfId="64" priority="21" operator="equal">
      <formula>"maintasks"</formula>
    </cfRule>
  </conditionalFormatting>
  <conditionalFormatting sqref="K14">
    <cfRule type="cellIs" dxfId="63" priority="20" operator="equal">
      <formula>"maintasks"</formula>
    </cfRule>
  </conditionalFormatting>
  <conditionalFormatting sqref="I3:I7">
    <cfRule type="cellIs" dxfId="62" priority="19" operator="equal">
      <formula>"maintasks"</formula>
    </cfRule>
  </conditionalFormatting>
  <conditionalFormatting sqref="H3:H7">
    <cfRule type="cellIs" dxfId="61" priority="18" operator="equal">
      <formula>"maintasks"</formula>
    </cfRule>
  </conditionalFormatting>
  <conditionalFormatting sqref="I9:I12">
    <cfRule type="cellIs" dxfId="60" priority="17" operator="equal">
      <formula>"maintasks"</formula>
    </cfRule>
  </conditionalFormatting>
  <conditionalFormatting sqref="I13">
    <cfRule type="cellIs" dxfId="59" priority="16" operator="equal">
      <formula>"maintasks"</formula>
    </cfRule>
  </conditionalFormatting>
  <conditionalFormatting sqref="K2:M6">
    <cfRule type="cellIs" dxfId="58" priority="15" operator="equal">
      <formula>"maintasks"</formula>
    </cfRule>
  </conditionalFormatting>
  <conditionalFormatting sqref="K2:M2">
    <cfRule type="cellIs" dxfId="57" priority="14" operator="equal">
      <formula>"maintasks"</formula>
    </cfRule>
  </conditionalFormatting>
  <conditionalFormatting sqref="K5:L5">
    <cfRule type="cellIs" dxfId="56" priority="13" operator="equal">
      <formula>"maintasks"</formula>
    </cfRule>
  </conditionalFormatting>
  <conditionalFormatting sqref="K7:L7">
    <cfRule type="cellIs" dxfId="55" priority="12" operator="equal">
      <formula>"maintasks"</formula>
    </cfRule>
  </conditionalFormatting>
  <conditionalFormatting sqref="M5">
    <cfRule type="cellIs" dxfId="54" priority="11" operator="equal">
      <formula>"maintasks"</formula>
    </cfRule>
  </conditionalFormatting>
  <conditionalFormatting sqref="M7">
    <cfRule type="cellIs" dxfId="53" priority="10" operator="equal">
      <formula>"maintasks"</formula>
    </cfRule>
  </conditionalFormatting>
  <conditionalFormatting sqref="K9:K11 K13">
    <cfRule type="cellIs" dxfId="52" priority="9" operator="equal">
      <formula>"maintasks"</formula>
    </cfRule>
  </conditionalFormatting>
  <conditionalFormatting sqref="K8:L8">
    <cfRule type="cellIs" dxfId="51" priority="8" operator="equal">
      <formula>"maintasks"</formula>
    </cfRule>
  </conditionalFormatting>
  <conditionalFormatting sqref="M8">
    <cfRule type="cellIs" dxfId="50" priority="7" operator="equal">
      <formula>"maintasks"</formula>
    </cfRule>
  </conditionalFormatting>
  <conditionalFormatting sqref="K12:L12">
    <cfRule type="cellIs" dxfId="49" priority="6" operator="equal">
      <formula>"maintasks"</formula>
    </cfRule>
  </conditionalFormatting>
  <conditionalFormatting sqref="I16:I22 K16:M22">
    <cfRule type="cellIs" dxfId="48" priority="4" operator="equal">
      <formula>"maintasks"</formula>
    </cfRule>
  </conditionalFormatting>
  <conditionalFormatting sqref="H21:H22">
    <cfRule type="cellIs" dxfId="47" priority="3" operator="equal">
      <formula>"maintasks"</formula>
    </cfRule>
  </conditionalFormatting>
  <conditionalFormatting sqref="H16:H20">
    <cfRule type="cellIs" dxfId="46" priority="2" operator="equal">
      <formula>"maintasks"</formula>
    </cfRule>
  </conditionalFormatting>
  <conditionalFormatting sqref="H16:H20">
    <cfRule type="cellIs" dxfId="45" priority="1" operator="equal">
      <formula>"maintasks"</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7BC08-F20A-4E13-BC13-050C620273A5}">
  <dimension ref="A1:V25"/>
  <sheetViews>
    <sheetView zoomScaleNormal="100" workbookViewId="0">
      <selection activeCell="M8" sqref="M8"/>
    </sheetView>
  </sheetViews>
  <sheetFormatPr defaultColWidth="8.77734375" defaultRowHeight="14.4" x14ac:dyDescent="0.3"/>
  <cols>
    <col min="1" max="1" width="5.5546875" style="11" bestFit="1" customWidth="1"/>
    <col min="2" max="2" width="3.21875" style="11" bestFit="1" customWidth="1"/>
    <col min="3" max="3" width="5.88671875" style="11" bestFit="1" customWidth="1"/>
    <col min="4" max="4" width="14.21875" style="11" customWidth="1"/>
    <col min="5" max="5" width="23.88671875" style="11" customWidth="1"/>
    <col min="6" max="7" width="7.33203125" style="11" bestFit="1" customWidth="1"/>
    <col min="8" max="8" width="6.88671875" style="11" bestFit="1" customWidth="1"/>
    <col min="9" max="9" width="8.77734375" style="11" customWidth="1"/>
    <col min="10" max="10" width="7.21875" style="11" bestFit="1" customWidth="1"/>
    <col min="11" max="11" width="55.77734375" style="11" bestFit="1" customWidth="1"/>
    <col min="12" max="12" width="53.109375" style="111" bestFit="1" customWidth="1"/>
    <col min="13" max="13" width="93.44140625" style="111" bestFit="1" customWidth="1"/>
    <col min="14" max="14" width="4.44140625" style="11" bestFit="1" customWidth="1"/>
    <col min="15" max="15" width="7.21875" style="11" bestFit="1" customWidth="1"/>
    <col min="16" max="16" width="11.21875" style="11" bestFit="1" customWidth="1"/>
    <col min="17" max="17" width="16.21875" style="11" bestFit="1" customWidth="1"/>
    <col min="18" max="18" width="12.77734375" style="11" bestFit="1" customWidth="1"/>
    <col min="19" max="19" width="3.44140625" style="11" bestFit="1" customWidth="1"/>
    <col min="20" max="20" width="3.33203125" style="11" bestFit="1" customWidth="1"/>
    <col min="21" max="16384" width="8.77734375" style="11"/>
  </cols>
  <sheetData>
    <row r="1" spans="1:22" s="43" customFormat="1" x14ac:dyDescent="0.3">
      <c r="A1" s="3" t="s">
        <v>0</v>
      </c>
      <c r="B1" s="4" t="s">
        <v>1</v>
      </c>
      <c r="C1" s="4" t="s">
        <v>2</v>
      </c>
      <c r="D1" s="4" t="s">
        <v>3</v>
      </c>
      <c r="E1" s="4" t="s">
        <v>4</v>
      </c>
      <c r="F1" s="4" t="s">
        <v>5</v>
      </c>
      <c r="G1" s="4" t="s">
        <v>6</v>
      </c>
      <c r="H1" s="4" t="s">
        <v>7</v>
      </c>
      <c r="I1" s="4" t="s">
        <v>8</v>
      </c>
      <c r="J1" s="6" t="s">
        <v>9</v>
      </c>
      <c r="K1" s="4" t="s">
        <v>10</v>
      </c>
      <c r="L1" s="120" t="s">
        <v>11</v>
      </c>
      <c r="M1" s="120" t="s">
        <v>12</v>
      </c>
      <c r="N1" s="4" t="s">
        <v>13</v>
      </c>
      <c r="O1" s="6" t="s">
        <v>14</v>
      </c>
      <c r="P1" s="4" t="s">
        <v>15</v>
      </c>
      <c r="Q1" s="7" t="s">
        <v>16</v>
      </c>
      <c r="R1" s="8" t="s">
        <v>17</v>
      </c>
      <c r="S1" s="9" t="s">
        <v>18</v>
      </c>
      <c r="T1" s="10" t="s">
        <v>19</v>
      </c>
    </row>
    <row r="2" spans="1:22" x14ac:dyDescent="0.3">
      <c r="A2" s="12" t="s">
        <v>71</v>
      </c>
      <c r="B2" s="13" t="s">
        <v>25</v>
      </c>
      <c r="C2" s="13">
        <v>3527</v>
      </c>
      <c r="D2" s="13" t="s">
        <v>263</v>
      </c>
      <c r="E2" s="13" t="s">
        <v>72</v>
      </c>
      <c r="F2" s="13" t="s">
        <v>94</v>
      </c>
      <c r="G2" s="13" t="s">
        <v>20</v>
      </c>
      <c r="H2" s="14" t="s">
        <v>21</v>
      </c>
      <c r="I2" s="14" t="s">
        <v>22</v>
      </c>
      <c r="J2" s="15">
        <v>0.6</v>
      </c>
      <c r="K2" s="16" t="s">
        <v>50</v>
      </c>
      <c r="L2" s="122" t="s">
        <v>59</v>
      </c>
      <c r="M2" s="115" t="s">
        <v>48</v>
      </c>
      <c r="N2" s="15">
        <v>0.99</v>
      </c>
      <c r="O2" s="15">
        <v>0.2</v>
      </c>
      <c r="P2" s="15"/>
      <c r="Q2" s="15">
        <f t="shared" ref="Q2:Q13" si="0">ROUND(IF(OR(N2="",P2=""),0,IF(AND(N2=0,P2=0),1,IF(S2="+",P2/N2,N2/P2))),2)</f>
        <v>0</v>
      </c>
      <c r="R2" s="19">
        <f t="shared" ref="R2:R13" si="1">IF(AND(Q2&gt;=60%,Q2&lt;100%),Q2*((O2*J2)),IF(Q2=100%,((O2*J2)*Q2)*100%,IF(Q2&gt;100%,((J2*O2)*100%)*100%,0)))*100</f>
        <v>0</v>
      </c>
      <c r="S2" s="15" t="s">
        <v>43</v>
      </c>
      <c r="T2" s="21"/>
    </row>
    <row r="3" spans="1:22" x14ac:dyDescent="0.3">
      <c r="A3" s="12" t="s">
        <v>71</v>
      </c>
      <c r="B3" s="13" t="s">
        <v>25</v>
      </c>
      <c r="C3" s="13">
        <v>3527</v>
      </c>
      <c r="D3" s="13" t="s">
        <v>263</v>
      </c>
      <c r="E3" s="13" t="s">
        <v>72</v>
      </c>
      <c r="F3" s="13" t="s">
        <v>94</v>
      </c>
      <c r="G3" s="13" t="s">
        <v>20</v>
      </c>
      <c r="H3" s="14" t="s">
        <v>21</v>
      </c>
      <c r="I3" s="14" t="s">
        <v>22</v>
      </c>
      <c r="J3" s="15">
        <v>0.6</v>
      </c>
      <c r="K3" s="16" t="s">
        <v>51</v>
      </c>
      <c r="L3" s="122" t="s">
        <v>62</v>
      </c>
      <c r="M3" s="115" t="s">
        <v>49</v>
      </c>
      <c r="N3" s="15">
        <v>0.99</v>
      </c>
      <c r="O3" s="15">
        <v>0.15</v>
      </c>
      <c r="P3" s="15"/>
      <c r="Q3" s="15">
        <f t="shared" si="0"/>
        <v>0</v>
      </c>
      <c r="R3" s="19">
        <f t="shared" si="1"/>
        <v>0</v>
      </c>
      <c r="S3" s="15" t="s">
        <v>43</v>
      </c>
      <c r="T3" s="21"/>
    </row>
    <row r="4" spans="1:22" x14ac:dyDescent="0.3">
      <c r="A4" s="12" t="s">
        <v>71</v>
      </c>
      <c r="B4" s="13" t="s">
        <v>25</v>
      </c>
      <c r="C4" s="13">
        <v>3527</v>
      </c>
      <c r="D4" s="13" t="s">
        <v>263</v>
      </c>
      <c r="E4" s="13" t="s">
        <v>72</v>
      </c>
      <c r="F4" s="13" t="s">
        <v>94</v>
      </c>
      <c r="G4" s="13" t="s">
        <v>20</v>
      </c>
      <c r="H4" s="14" t="s">
        <v>21</v>
      </c>
      <c r="I4" s="14" t="s">
        <v>22</v>
      </c>
      <c r="J4" s="15">
        <v>0.6</v>
      </c>
      <c r="K4" s="16" t="s">
        <v>31</v>
      </c>
      <c r="L4" s="122" t="s">
        <v>60</v>
      </c>
      <c r="M4" s="115" t="s">
        <v>39</v>
      </c>
      <c r="N4" s="15">
        <v>1</v>
      </c>
      <c r="O4" s="15">
        <v>0.2</v>
      </c>
      <c r="P4" s="15"/>
      <c r="Q4" s="15">
        <f t="shared" si="0"/>
        <v>0</v>
      </c>
      <c r="R4" s="19">
        <f t="shared" si="1"/>
        <v>0</v>
      </c>
      <c r="S4" s="15" t="s">
        <v>43</v>
      </c>
      <c r="T4" s="20"/>
    </row>
    <row r="5" spans="1:22" x14ac:dyDescent="0.3">
      <c r="A5" s="12" t="s">
        <v>71</v>
      </c>
      <c r="B5" s="13" t="s">
        <v>25</v>
      </c>
      <c r="C5" s="13">
        <v>3527</v>
      </c>
      <c r="D5" s="13" t="s">
        <v>263</v>
      </c>
      <c r="E5" s="13" t="s">
        <v>72</v>
      </c>
      <c r="F5" s="13" t="s">
        <v>94</v>
      </c>
      <c r="G5" s="13" t="s">
        <v>20</v>
      </c>
      <c r="H5" s="14" t="s">
        <v>21</v>
      </c>
      <c r="I5" s="14" t="s">
        <v>22</v>
      </c>
      <c r="J5" s="15">
        <v>0.6</v>
      </c>
      <c r="K5" s="16" t="s">
        <v>30</v>
      </c>
      <c r="L5" s="122" t="s">
        <v>63</v>
      </c>
      <c r="M5" s="115" t="s">
        <v>37</v>
      </c>
      <c r="N5" s="15">
        <v>1</v>
      </c>
      <c r="O5" s="15">
        <v>0.15</v>
      </c>
      <c r="P5" s="15"/>
      <c r="Q5" s="15">
        <f t="shared" si="0"/>
        <v>0</v>
      </c>
      <c r="R5" s="19">
        <f t="shared" si="1"/>
        <v>0</v>
      </c>
      <c r="S5" s="15" t="s">
        <v>43</v>
      </c>
      <c r="T5" s="21"/>
    </row>
    <row r="6" spans="1:22" ht="20.399999999999999" x14ac:dyDescent="0.3">
      <c r="A6" s="12" t="s">
        <v>71</v>
      </c>
      <c r="B6" s="13" t="s">
        <v>25</v>
      </c>
      <c r="C6" s="13">
        <v>3527</v>
      </c>
      <c r="D6" s="13" t="s">
        <v>263</v>
      </c>
      <c r="E6" s="13" t="s">
        <v>72</v>
      </c>
      <c r="F6" s="13" t="s">
        <v>94</v>
      </c>
      <c r="G6" s="13" t="s">
        <v>20</v>
      </c>
      <c r="H6" s="14" t="s">
        <v>21</v>
      </c>
      <c r="I6" s="14" t="s">
        <v>22</v>
      </c>
      <c r="J6" s="15">
        <v>0.6</v>
      </c>
      <c r="K6" s="16" t="s">
        <v>65</v>
      </c>
      <c r="L6" s="122" t="s">
        <v>66</v>
      </c>
      <c r="M6" s="115" t="s">
        <v>67</v>
      </c>
      <c r="N6" s="15">
        <v>1</v>
      </c>
      <c r="O6" s="15">
        <v>0.15</v>
      </c>
      <c r="P6" s="15"/>
      <c r="Q6" s="15">
        <f t="shared" si="0"/>
        <v>0</v>
      </c>
      <c r="R6" s="19">
        <f t="shared" si="1"/>
        <v>0</v>
      </c>
      <c r="S6" s="15" t="s">
        <v>43</v>
      </c>
      <c r="T6" s="21"/>
    </row>
    <row r="7" spans="1:22" x14ac:dyDescent="0.3">
      <c r="A7" s="12" t="s">
        <v>71</v>
      </c>
      <c r="B7" s="13" t="s">
        <v>25</v>
      </c>
      <c r="C7" s="13">
        <v>3527</v>
      </c>
      <c r="D7" s="13" t="s">
        <v>263</v>
      </c>
      <c r="E7" s="13" t="s">
        <v>72</v>
      </c>
      <c r="F7" s="13" t="s">
        <v>94</v>
      </c>
      <c r="G7" s="13" t="s">
        <v>20</v>
      </c>
      <c r="H7" s="14" t="s">
        <v>21</v>
      </c>
      <c r="I7" s="14" t="s">
        <v>22</v>
      </c>
      <c r="J7" s="15">
        <v>0.6</v>
      </c>
      <c r="K7" s="16" t="s">
        <v>32</v>
      </c>
      <c r="L7" s="122" t="s">
        <v>61</v>
      </c>
      <c r="M7" s="115" t="s">
        <v>38</v>
      </c>
      <c r="N7" s="15">
        <v>0.95</v>
      </c>
      <c r="O7" s="15">
        <v>0.15</v>
      </c>
      <c r="P7" s="15"/>
      <c r="Q7" s="15">
        <f t="shared" si="0"/>
        <v>0</v>
      </c>
      <c r="R7" s="19">
        <f t="shared" si="1"/>
        <v>0</v>
      </c>
      <c r="S7" s="15" t="s">
        <v>43</v>
      </c>
      <c r="T7" s="21"/>
    </row>
    <row r="8" spans="1:22" x14ac:dyDescent="0.3">
      <c r="A8" s="12" t="s">
        <v>71</v>
      </c>
      <c r="B8" s="13" t="s">
        <v>25</v>
      </c>
      <c r="C8" s="13">
        <v>3527</v>
      </c>
      <c r="D8" s="13" t="s">
        <v>263</v>
      </c>
      <c r="E8" s="13" t="s">
        <v>72</v>
      </c>
      <c r="F8" s="13" t="s">
        <v>94</v>
      </c>
      <c r="G8" s="13" t="s">
        <v>20</v>
      </c>
      <c r="H8" s="22" t="s">
        <v>23</v>
      </c>
      <c r="I8" s="22" t="s">
        <v>24</v>
      </c>
      <c r="J8" s="23">
        <v>0.4</v>
      </c>
      <c r="K8" s="1" t="s">
        <v>52</v>
      </c>
      <c r="L8" s="121" t="s">
        <v>64</v>
      </c>
      <c r="M8" s="121" t="s">
        <v>53</v>
      </c>
      <c r="N8" s="24">
        <v>1</v>
      </c>
      <c r="O8" s="24">
        <v>0.15</v>
      </c>
      <c r="P8" s="25"/>
      <c r="Q8" s="25">
        <f t="shared" si="0"/>
        <v>0</v>
      </c>
      <c r="R8" s="26">
        <f t="shared" si="1"/>
        <v>0</v>
      </c>
      <c r="S8" s="25" t="s">
        <v>43</v>
      </c>
      <c r="T8" s="27"/>
    </row>
    <row r="9" spans="1:22" x14ac:dyDescent="0.3">
      <c r="A9" s="12" t="s">
        <v>71</v>
      </c>
      <c r="B9" s="13" t="s">
        <v>25</v>
      </c>
      <c r="C9" s="13">
        <v>3527</v>
      </c>
      <c r="D9" s="13" t="s">
        <v>263</v>
      </c>
      <c r="E9" s="13" t="s">
        <v>72</v>
      </c>
      <c r="F9" s="13" t="s">
        <v>94</v>
      </c>
      <c r="G9" s="13" t="s">
        <v>20</v>
      </c>
      <c r="H9" s="22" t="s">
        <v>23</v>
      </c>
      <c r="I9" s="22" t="s">
        <v>24</v>
      </c>
      <c r="J9" s="23">
        <v>0.4</v>
      </c>
      <c r="K9" s="1" t="s">
        <v>54</v>
      </c>
      <c r="L9" s="121" t="s">
        <v>68</v>
      </c>
      <c r="M9" s="121" t="s">
        <v>69</v>
      </c>
      <c r="N9" s="24">
        <v>1</v>
      </c>
      <c r="O9" s="24">
        <v>0.2</v>
      </c>
      <c r="P9" s="25"/>
      <c r="Q9" s="25">
        <f t="shared" si="0"/>
        <v>0</v>
      </c>
      <c r="R9" s="26">
        <f t="shared" si="1"/>
        <v>0</v>
      </c>
      <c r="S9" s="25" t="s">
        <v>43</v>
      </c>
      <c r="T9" s="27"/>
    </row>
    <row r="10" spans="1:22" x14ac:dyDescent="0.3">
      <c r="A10" s="12" t="s">
        <v>71</v>
      </c>
      <c r="B10" s="13" t="s">
        <v>25</v>
      </c>
      <c r="C10" s="13">
        <v>3527</v>
      </c>
      <c r="D10" s="13" t="s">
        <v>263</v>
      </c>
      <c r="E10" s="13" t="s">
        <v>72</v>
      </c>
      <c r="F10" s="13" t="s">
        <v>94</v>
      </c>
      <c r="G10" s="13" t="s">
        <v>20</v>
      </c>
      <c r="H10" s="22" t="s">
        <v>23</v>
      </c>
      <c r="I10" s="22" t="s">
        <v>24</v>
      </c>
      <c r="J10" s="23">
        <v>0.4</v>
      </c>
      <c r="K10" s="29" t="s">
        <v>34</v>
      </c>
      <c r="L10" s="121" t="s">
        <v>27</v>
      </c>
      <c r="M10" s="121" t="s">
        <v>41</v>
      </c>
      <c r="N10" s="24">
        <v>1</v>
      </c>
      <c r="O10" s="24">
        <v>0.15</v>
      </c>
      <c r="P10" s="25"/>
      <c r="Q10" s="25">
        <f t="shared" si="0"/>
        <v>0</v>
      </c>
      <c r="R10" s="26">
        <f t="shared" si="1"/>
        <v>0</v>
      </c>
      <c r="S10" s="25" t="s">
        <v>43</v>
      </c>
      <c r="T10" s="27"/>
    </row>
    <row r="11" spans="1:22" x14ac:dyDescent="0.3">
      <c r="A11" s="12" t="s">
        <v>71</v>
      </c>
      <c r="B11" s="13" t="s">
        <v>25</v>
      </c>
      <c r="C11" s="13">
        <v>3527</v>
      </c>
      <c r="D11" s="13" t="s">
        <v>263</v>
      </c>
      <c r="E11" s="13" t="s">
        <v>72</v>
      </c>
      <c r="F11" s="13" t="s">
        <v>94</v>
      </c>
      <c r="G11" s="13" t="s">
        <v>20</v>
      </c>
      <c r="H11" s="22" t="s">
        <v>23</v>
      </c>
      <c r="I11" s="22" t="s">
        <v>24</v>
      </c>
      <c r="J11" s="23">
        <v>0.4</v>
      </c>
      <c r="K11" s="29" t="s">
        <v>35</v>
      </c>
      <c r="L11" s="121" t="s">
        <v>28</v>
      </c>
      <c r="M11" s="121" t="s">
        <v>40</v>
      </c>
      <c r="N11" s="24">
        <v>1</v>
      </c>
      <c r="O11" s="24">
        <v>0.15</v>
      </c>
      <c r="P11" s="25"/>
      <c r="Q11" s="25">
        <f t="shared" si="0"/>
        <v>0</v>
      </c>
      <c r="R11" s="26">
        <f t="shared" si="1"/>
        <v>0</v>
      </c>
      <c r="S11" s="25" t="s">
        <v>43</v>
      </c>
      <c r="T11" s="27"/>
    </row>
    <row r="12" spans="1:22" x14ac:dyDescent="0.3">
      <c r="A12" s="12" t="s">
        <v>71</v>
      </c>
      <c r="B12" s="13" t="s">
        <v>25</v>
      </c>
      <c r="C12" s="13">
        <v>3527</v>
      </c>
      <c r="D12" s="13" t="s">
        <v>263</v>
      </c>
      <c r="E12" s="13" t="s">
        <v>72</v>
      </c>
      <c r="F12" s="13" t="s">
        <v>94</v>
      </c>
      <c r="G12" s="13" t="s">
        <v>20</v>
      </c>
      <c r="H12" s="22" t="s">
        <v>23</v>
      </c>
      <c r="I12" s="22" t="s">
        <v>24</v>
      </c>
      <c r="J12" s="23">
        <v>0.4</v>
      </c>
      <c r="K12" s="29" t="s">
        <v>58</v>
      </c>
      <c r="L12" s="121" t="s">
        <v>70</v>
      </c>
      <c r="M12" s="121"/>
      <c r="N12" s="24">
        <v>1</v>
      </c>
      <c r="O12" s="24">
        <v>0.15</v>
      </c>
      <c r="P12" s="25"/>
      <c r="Q12" s="25">
        <f t="shared" si="0"/>
        <v>0</v>
      </c>
      <c r="R12" s="26">
        <f t="shared" si="1"/>
        <v>0</v>
      </c>
      <c r="S12" s="25" t="s">
        <v>43</v>
      </c>
      <c r="T12" s="27"/>
    </row>
    <row r="13" spans="1:22" ht="15" thickBot="1" x14ac:dyDescent="0.35">
      <c r="A13" s="31" t="s">
        <v>71</v>
      </c>
      <c r="B13" s="32" t="s">
        <v>25</v>
      </c>
      <c r="C13" s="32">
        <v>3527</v>
      </c>
      <c r="D13" s="13" t="s">
        <v>263</v>
      </c>
      <c r="E13" s="32" t="s">
        <v>72</v>
      </c>
      <c r="F13" s="32" t="s">
        <v>94</v>
      </c>
      <c r="G13" s="32" t="s">
        <v>20</v>
      </c>
      <c r="H13" s="33" t="s">
        <v>23</v>
      </c>
      <c r="I13" s="33" t="s">
        <v>24</v>
      </c>
      <c r="J13" s="34">
        <v>0.4</v>
      </c>
      <c r="K13" s="35" t="s">
        <v>98</v>
      </c>
      <c r="L13" s="123"/>
      <c r="M13" s="123" t="s">
        <v>42</v>
      </c>
      <c r="N13" s="36">
        <v>1</v>
      </c>
      <c r="O13" s="36">
        <v>0.2</v>
      </c>
      <c r="P13" s="37"/>
      <c r="Q13" s="37">
        <f t="shared" si="0"/>
        <v>0</v>
      </c>
      <c r="R13" s="38">
        <f t="shared" si="1"/>
        <v>0</v>
      </c>
      <c r="S13" s="37" t="s">
        <v>43</v>
      </c>
      <c r="T13" s="39"/>
    </row>
    <row r="14" spans="1:22" ht="76.2" customHeight="1" x14ac:dyDescent="0.3">
      <c r="A14" s="191" t="s">
        <v>228</v>
      </c>
      <c r="B14" s="192"/>
      <c r="C14" s="192"/>
      <c r="D14" s="192"/>
      <c r="E14" s="192"/>
      <c r="F14" s="192"/>
      <c r="G14" s="192"/>
      <c r="H14" s="192"/>
      <c r="I14" s="192"/>
      <c r="J14" s="192"/>
      <c r="K14" s="192"/>
      <c r="L14" s="192"/>
      <c r="M14" s="192"/>
      <c r="N14" s="192"/>
      <c r="O14" s="192"/>
      <c r="P14" s="192"/>
      <c r="Q14" s="192"/>
      <c r="R14" s="192"/>
      <c r="S14" s="192"/>
      <c r="T14" s="192"/>
      <c r="U14" s="192"/>
      <c r="V14" s="192"/>
    </row>
    <row r="15" spans="1:22" ht="16.8" x14ac:dyDescent="0.3">
      <c r="A15" s="12" t="s">
        <v>71</v>
      </c>
      <c r="B15" s="13" t="s">
        <v>25</v>
      </c>
      <c r="C15" s="13">
        <v>3527</v>
      </c>
      <c r="D15" s="13" t="s">
        <v>263</v>
      </c>
      <c r="E15" s="13" t="s">
        <v>72</v>
      </c>
      <c r="F15" s="13" t="s">
        <v>94</v>
      </c>
      <c r="G15" s="13" t="s">
        <v>20</v>
      </c>
      <c r="H15" s="14" t="s">
        <v>21</v>
      </c>
      <c r="I15" s="94" t="s">
        <v>22</v>
      </c>
      <c r="J15" s="95">
        <v>0.7</v>
      </c>
      <c r="K15" s="56" t="s">
        <v>229</v>
      </c>
      <c r="L15" s="96" t="s">
        <v>230</v>
      </c>
      <c r="M15" s="56" t="s">
        <v>231</v>
      </c>
      <c r="N15" s="95" t="s">
        <v>204</v>
      </c>
      <c r="O15" s="95">
        <v>0.1</v>
      </c>
      <c r="P15" s="95"/>
      <c r="Q15" s="95">
        <f>ROUND(IF(OR(N15="",P15=""),0,IF(AND(N15=0,P15=0),1,IF(S15="+",P15/N15,N15/P15))),2)</f>
        <v>0</v>
      </c>
      <c r="R15" s="99">
        <f>IF(AND(Q15&gt;=60%,Q15&lt;100%),Q15*((O15*J15)),IF(Q15=100%,((O15*J15)*Q15)*100%,IF(Q15&gt;100%,((J15*O15)*100%)*100%,0)))*100</f>
        <v>0</v>
      </c>
      <c r="S15" s="95" t="s">
        <v>43</v>
      </c>
      <c r="T15" s="171">
        <f>SUM(R15:R23)%</f>
        <v>0</v>
      </c>
      <c r="U15" s="52"/>
      <c r="V15" s="53"/>
    </row>
    <row r="16" spans="1:22" x14ac:dyDescent="0.3">
      <c r="A16" s="12" t="s">
        <v>71</v>
      </c>
      <c r="B16" s="13" t="s">
        <v>25</v>
      </c>
      <c r="C16" s="13">
        <v>3527</v>
      </c>
      <c r="D16" s="13" t="s">
        <v>263</v>
      </c>
      <c r="E16" s="13" t="s">
        <v>72</v>
      </c>
      <c r="F16" s="13" t="s">
        <v>94</v>
      </c>
      <c r="G16" s="13" t="s">
        <v>20</v>
      </c>
      <c r="H16" s="14" t="s">
        <v>21</v>
      </c>
      <c r="I16" s="94" t="s">
        <v>22</v>
      </c>
      <c r="J16" s="95">
        <v>0.7</v>
      </c>
      <c r="K16" s="56" t="s">
        <v>232</v>
      </c>
      <c r="L16" s="96" t="s">
        <v>233</v>
      </c>
      <c r="M16" s="56" t="s">
        <v>234</v>
      </c>
      <c r="N16" s="95">
        <v>1</v>
      </c>
      <c r="O16" s="95">
        <v>0.1</v>
      </c>
      <c r="P16" s="131"/>
      <c r="Q16" s="95">
        <f>ROUND(IF(OR(N16="",P16=""),0,IF(AND(N16=0,P16=0),1,IF(S16="+",P16/N16,N16/P16))),2)</f>
        <v>0</v>
      </c>
      <c r="R16" s="99">
        <f>IF(AND(Q16&gt;=60%,Q16&lt;100%),Q16*((O16*J16)),IF(Q16=100%,((O16*J16)*Q16)*100%,IF(Q16&gt;100%,((J16*O16)*100%)*100%,0)))*100</f>
        <v>0</v>
      </c>
      <c r="S16" s="95" t="s">
        <v>43</v>
      </c>
      <c r="T16" s="95"/>
    </row>
    <row r="17" spans="1:20" x14ac:dyDescent="0.3">
      <c r="A17" s="12" t="s">
        <v>71</v>
      </c>
      <c r="B17" s="13" t="s">
        <v>25</v>
      </c>
      <c r="C17" s="13">
        <v>3527</v>
      </c>
      <c r="D17" s="13" t="s">
        <v>263</v>
      </c>
      <c r="E17" s="13" t="s">
        <v>72</v>
      </c>
      <c r="F17" s="13" t="s">
        <v>94</v>
      </c>
      <c r="G17" s="13" t="s">
        <v>20</v>
      </c>
      <c r="H17" s="14" t="s">
        <v>21</v>
      </c>
      <c r="I17" s="94" t="s">
        <v>22</v>
      </c>
      <c r="J17" s="95">
        <v>0.7</v>
      </c>
      <c r="K17" s="56" t="s">
        <v>235</v>
      </c>
      <c r="L17" s="96" t="s">
        <v>236</v>
      </c>
      <c r="M17" s="56" t="s">
        <v>237</v>
      </c>
      <c r="N17" s="95" t="s">
        <v>238</v>
      </c>
      <c r="O17" s="95">
        <v>0.1</v>
      </c>
      <c r="P17" s="131"/>
      <c r="Q17" s="95">
        <f t="shared" ref="Q17:Q18" si="2">ROUND(IF(OR(N17="",P17=""),0,IF(AND(N17=0,P17=0),1,IF(S17="+",P17/N17,N17/P17))),2)</f>
        <v>0</v>
      </c>
      <c r="R17" s="99">
        <f>IF(AND(Q17&gt;=60%,Q17&lt;100%),Q17*((O17*J17)),IF(Q17=100%,((O17*J17)*Q17)*100%,IF(Q17&gt;100%,((J17*O17)*100%)*100%,0)))*100</f>
        <v>0</v>
      </c>
      <c r="S17" s="95" t="s">
        <v>44</v>
      </c>
      <c r="T17" s="95"/>
    </row>
    <row r="18" spans="1:20" ht="20.399999999999999" x14ac:dyDescent="0.3">
      <c r="A18" s="12" t="s">
        <v>71</v>
      </c>
      <c r="B18" s="13" t="s">
        <v>25</v>
      </c>
      <c r="C18" s="13">
        <v>3527</v>
      </c>
      <c r="D18" s="13" t="s">
        <v>263</v>
      </c>
      <c r="E18" s="13" t="s">
        <v>72</v>
      </c>
      <c r="F18" s="13" t="s">
        <v>94</v>
      </c>
      <c r="G18" s="13" t="s">
        <v>20</v>
      </c>
      <c r="H18" s="14" t="s">
        <v>21</v>
      </c>
      <c r="I18" s="94" t="s">
        <v>22</v>
      </c>
      <c r="J18" s="95">
        <v>0.7</v>
      </c>
      <c r="K18" s="56" t="s">
        <v>239</v>
      </c>
      <c r="L18" s="96" t="s">
        <v>240</v>
      </c>
      <c r="M18" s="56" t="s">
        <v>241</v>
      </c>
      <c r="N18" s="95" t="s">
        <v>242</v>
      </c>
      <c r="O18" s="95">
        <v>0.1</v>
      </c>
      <c r="P18" s="132"/>
      <c r="Q18" s="95">
        <f t="shared" si="2"/>
        <v>0</v>
      </c>
      <c r="R18" s="99">
        <f>IF(AND(Q18&gt;=60%,Q18&lt;100%),Q18*((O18*J18)),IF(Q18=100%,((O18*J18)*Q18)*100%,IF(Q18&gt;100%,((J18*O18)*100%)*100%,0)))*100</f>
        <v>0</v>
      </c>
      <c r="S18" s="95" t="s">
        <v>44</v>
      </c>
      <c r="T18" s="95"/>
    </row>
    <row r="19" spans="1:20" x14ac:dyDescent="0.3">
      <c r="A19" s="12" t="s">
        <v>71</v>
      </c>
      <c r="B19" s="13" t="s">
        <v>25</v>
      </c>
      <c r="C19" s="13">
        <v>3527</v>
      </c>
      <c r="D19" s="13" t="s">
        <v>263</v>
      </c>
      <c r="E19" s="13" t="s">
        <v>72</v>
      </c>
      <c r="F19" s="13" t="s">
        <v>94</v>
      </c>
      <c r="G19" s="13" t="s">
        <v>20</v>
      </c>
      <c r="H19" s="14" t="s">
        <v>21</v>
      </c>
      <c r="I19" s="94" t="s">
        <v>22</v>
      </c>
      <c r="J19" s="95">
        <v>0.7</v>
      </c>
      <c r="K19" s="56" t="s">
        <v>243</v>
      </c>
      <c r="L19" s="96" t="s">
        <v>244</v>
      </c>
      <c r="M19" s="56" t="s">
        <v>245</v>
      </c>
      <c r="N19" s="97">
        <v>1</v>
      </c>
      <c r="O19" s="95">
        <v>0.08</v>
      </c>
      <c r="P19" s="98"/>
      <c r="Q19" s="95">
        <f>ROUND(IF(OR(N19="",P19=""),0,IF(AND(N19=0,P19=0),1,IF(S19="+",P19/N19,N19/P19))),2)</f>
        <v>0</v>
      </c>
      <c r="R19" s="99">
        <f t="shared" ref="R19:R23" si="3">IF(AND(Q19&gt;=60%,Q19&lt;100%),Q19*((O19*J19)),IF(Q19=100%,((O19*J19)*Q19)*100%,IF(Q19&gt;100%,((J19*O19)*100%)*100%,0)))*100</f>
        <v>0</v>
      </c>
      <c r="S19" s="95" t="s">
        <v>43</v>
      </c>
      <c r="T19" s="95"/>
    </row>
    <row r="20" spans="1:20" ht="20.399999999999999" x14ac:dyDescent="0.3">
      <c r="A20" s="12" t="s">
        <v>71</v>
      </c>
      <c r="B20" s="13" t="s">
        <v>25</v>
      </c>
      <c r="C20" s="13">
        <v>3527</v>
      </c>
      <c r="D20" s="13" t="s">
        <v>263</v>
      </c>
      <c r="E20" s="13" t="s">
        <v>72</v>
      </c>
      <c r="F20" s="13" t="s">
        <v>94</v>
      </c>
      <c r="G20" s="13" t="s">
        <v>20</v>
      </c>
      <c r="H20" s="14" t="s">
        <v>21</v>
      </c>
      <c r="I20" s="94" t="s">
        <v>22</v>
      </c>
      <c r="J20" s="95">
        <v>0.7</v>
      </c>
      <c r="K20" s="57" t="s">
        <v>246</v>
      </c>
      <c r="L20" s="54" t="s">
        <v>247</v>
      </c>
      <c r="M20" s="57" t="s">
        <v>248</v>
      </c>
      <c r="N20" s="106" t="s">
        <v>249</v>
      </c>
      <c r="O20" s="108">
        <v>0.08</v>
      </c>
      <c r="P20" s="98"/>
      <c r="Q20" s="108">
        <f t="shared" ref="Q20:Q22" si="4">ROUND(IF(OR(N20="",P20=""),0,IF(AND(N20=0,P20=0),1,IF(S20="+",P20/N20,N20/P20))),2)</f>
        <v>0</v>
      </c>
      <c r="R20" s="110">
        <f t="shared" si="3"/>
        <v>0</v>
      </c>
      <c r="S20" s="108" t="s">
        <v>44</v>
      </c>
      <c r="T20" s="108"/>
    </row>
    <row r="21" spans="1:20" x14ac:dyDescent="0.3">
      <c r="A21" s="12" t="s">
        <v>71</v>
      </c>
      <c r="B21" s="13" t="s">
        <v>25</v>
      </c>
      <c r="C21" s="13">
        <v>3527</v>
      </c>
      <c r="D21" s="13" t="s">
        <v>263</v>
      </c>
      <c r="E21" s="13" t="s">
        <v>72</v>
      </c>
      <c r="F21" s="13" t="s">
        <v>94</v>
      </c>
      <c r="G21" s="13" t="s">
        <v>20</v>
      </c>
      <c r="H21" s="14" t="s">
        <v>21</v>
      </c>
      <c r="I21" s="57" t="s">
        <v>22</v>
      </c>
      <c r="J21" s="106">
        <v>0.7</v>
      </c>
      <c r="K21" s="57" t="s">
        <v>250</v>
      </c>
      <c r="L21" s="54" t="s">
        <v>251</v>
      </c>
      <c r="M21" s="57" t="s">
        <v>252</v>
      </c>
      <c r="N21" s="106" t="s">
        <v>253</v>
      </c>
      <c r="O21" s="108">
        <v>0.09</v>
      </c>
      <c r="P21" s="106"/>
      <c r="Q21" s="108">
        <f t="shared" si="4"/>
        <v>0</v>
      </c>
      <c r="R21" s="110">
        <f t="shared" si="3"/>
        <v>0</v>
      </c>
      <c r="S21" s="108" t="s">
        <v>43</v>
      </c>
      <c r="T21" s="108"/>
    </row>
    <row r="22" spans="1:20" ht="40.799999999999997" x14ac:dyDescent="0.3">
      <c r="A22" s="12" t="s">
        <v>71</v>
      </c>
      <c r="B22" s="13" t="s">
        <v>25</v>
      </c>
      <c r="C22" s="13">
        <v>3527</v>
      </c>
      <c r="D22" s="13" t="s">
        <v>263</v>
      </c>
      <c r="E22" s="13" t="s">
        <v>72</v>
      </c>
      <c r="F22" s="13" t="s">
        <v>94</v>
      </c>
      <c r="G22" s="13" t="s">
        <v>20</v>
      </c>
      <c r="H22" s="14" t="s">
        <v>21</v>
      </c>
      <c r="I22" s="57" t="s">
        <v>22</v>
      </c>
      <c r="J22" s="106">
        <v>0.7</v>
      </c>
      <c r="K22" s="57" t="s">
        <v>254</v>
      </c>
      <c r="L22" s="54" t="s">
        <v>255</v>
      </c>
      <c r="M22" s="57" t="s">
        <v>256</v>
      </c>
      <c r="N22" s="106" t="s">
        <v>257</v>
      </c>
      <c r="O22" s="108">
        <v>0.1</v>
      </c>
      <c r="P22" s="106"/>
      <c r="Q22" s="108">
        <f t="shared" si="4"/>
        <v>0</v>
      </c>
      <c r="R22" s="110">
        <f t="shared" si="3"/>
        <v>0</v>
      </c>
      <c r="S22" s="108" t="s">
        <v>43</v>
      </c>
      <c r="T22" s="108"/>
    </row>
    <row r="23" spans="1:20" ht="30.6" x14ac:dyDescent="0.3">
      <c r="A23" s="12" t="s">
        <v>71</v>
      </c>
      <c r="B23" s="13" t="s">
        <v>25</v>
      </c>
      <c r="C23" s="13">
        <v>3527</v>
      </c>
      <c r="D23" s="13" t="s">
        <v>263</v>
      </c>
      <c r="E23" s="13" t="s">
        <v>72</v>
      </c>
      <c r="F23" s="13" t="s">
        <v>94</v>
      </c>
      <c r="G23" s="13" t="s">
        <v>20</v>
      </c>
      <c r="H23" s="14" t="s">
        <v>21</v>
      </c>
      <c r="I23" s="57" t="s">
        <v>22</v>
      </c>
      <c r="J23" s="106">
        <v>0.7</v>
      </c>
      <c r="K23" s="57" t="s">
        <v>258</v>
      </c>
      <c r="L23" s="54" t="s">
        <v>259</v>
      </c>
      <c r="M23" s="57" t="s">
        <v>260</v>
      </c>
      <c r="N23" s="106" t="s">
        <v>261</v>
      </c>
      <c r="O23" s="108">
        <v>0.1</v>
      </c>
      <c r="P23" s="172"/>
      <c r="Q23" s="108">
        <f>ROUND(IF(OR(N23="",P23=""),0,IF(AND(N23=0,P23=0),1,IF(S23="+",P23/N23,N23/P23))),2)</f>
        <v>0</v>
      </c>
      <c r="R23" s="110">
        <f t="shared" si="3"/>
        <v>0</v>
      </c>
      <c r="S23" s="108" t="s">
        <v>44</v>
      </c>
      <c r="T23" s="108"/>
    </row>
    <row r="24" spans="1:20" x14ac:dyDescent="0.3">
      <c r="A24" s="12" t="s">
        <v>71</v>
      </c>
      <c r="B24" s="13" t="s">
        <v>25</v>
      </c>
      <c r="C24" s="13">
        <v>3527</v>
      </c>
      <c r="D24" s="13" t="s">
        <v>263</v>
      </c>
      <c r="E24" s="13" t="s">
        <v>72</v>
      </c>
      <c r="F24" s="13" t="s">
        <v>94</v>
      </c>
      <c r="G24" s="13" t="s">
        <v>20</v>
      </c>
      <c r="H24" s="22" t="s">
        <v>23</v>
      </c>
      <c r="I24" s="57" t="s">
        <v>24</v>
      </c>
      <c r="J24" s="106">
        <v>0.3</v>
      </c>
      <c r="K24" s="57" t="s">
        <v>143</v>
      </c>
      <c r="L24" s="54" t="s">
        <v>144</v>
      </c>
      <c r="M24" s="57" t="s">
        <v>145</v>
      </c>
      <c r="N24" s="106">
        <v>1</v>
      </c>
      <c r="O24" s="108">
        <v>0.05</v>
      </c>
      <c r="P24" s="172"/>
      <c r="Q24" s="108">
        <v>0</v>
      </c>
      <c r="R24" s="110">
        <v>0</v>
      </c>
      <c r="S24" s="108" t="s">
        <v>43</v>
      </c>
      <c r="T24" s="108"/>
    </row>
    <row r="25" spans="1:20" x14ac:dyDescent="0.3">
      <c r="A25" s="12" t="s">
        <v>71</v>
      </c>
      <c r="B25" s="13" t="s">
        <v>25</v>
      </c>
      <c r="C25" s="13">
        <v>3527</v>
      </c>
      <c r="D25" s="13" t="s">
        <v>263</v>
      </c>
      <c r="E25" s="13" t="s">
        <v>72</v>
      </c>
      <c r="F25" s="13" t="s">
        <v>94</v>
      </c>
      <c r="G25" s="13" t="s">
        <v>20</v>
      </c>
      <c r="H25" s="22" t="s">
        <v>23</v>
      </c>
      <c r="I25" s="57" t="s">
        <v>24</v>
      </c>
      <c r="J25" s="106">
        <v>0.3</v>
      </c>
      <c r="K25" s="57" t="s">
        <v>196</v>
      </c>
      <c r="L25" s="54" t="s">
        <v>197</v>
      </c>
      <c r="M25" s="57" t="s">
        <v>262</v>
      </c>
      <c r="N25" s="106">
        <v>0.9</v>
      </c>
      <c r="O25" s="108">
        <v>0.1</v>
      </c>
      <c r="P25" s="172"/>
      <c r="Q25" s="108">
        <v>0</v>
      </c>
      <c r="R25" s="110">
        <v>0</v>
      </c>
      <c r="S25" s="108" t="s">
        <v>43</v>
      </c>
      <c r="T25" s="108"/>
    </row>
  </sheetData>
  <mergeCells count="1">
    <mergeCell ref="A14:V14"/>
  </mergeCells>
  <conditionalFormatting sqref="M12">
    <cfRule type="cellIs" dxfId="44" priority="12" operator="equal">
      <formula>"maintasks"</formula>
    </cfRule>
  </conditionalFormatting>
  <conditionalFormatting sqref="I1:I3 K13:L13 K1:M1">
    <cfRule type="cellIs" dxfId="43" priority="51" operator="equal">
      <formula>"maintasks"</formula>
    </cfRule>
  </conditionalFormatting>
  <conditionalFormatting sqref="H1:H3">
    <cfRule type="cellIs" dxfId="42" priority="50" operator="equal">
      <formula>"maintasks"</formula>
    </cfRule>
  </conditionalFormatting>
  <conditionalFormatting sqref="H7:I7">
    <cfRule type="cellIs" dxfId="41" priority="49" operator="equal">
      <formula>"maintasks"</formula>
    </cfRule>
  </conditionalFormatting>
  <conditionalFormatting sqref="I4">
    <cfRule type="cellIs" dxfId="40" priority="48" operator="equal">
      <formula>"maintasks"</formula>
    </cfRule>
  </conditionalFormatting>
  <conditionalFormatting sqref="H4">
    <cfRule type="cellIs" dxfId="39" priority="47" operator="equal">
      <formula>"maintasks"</formula>
    </cfRule>
  </conditionalFormatting>
  <conditionalFormatting sqref="I8">
    <cfRule type="cellIs" dxfId="38" priority="46" operator="equal">
      <formula>"maintasks"</formula>
    </cfRule>
  </conditionalFormatting>
  <conditionalFormatting sqref="H8">
    <cfRule type="cellIs" dxfId="37" priority="45" operator="equal">
      <formula>"maintasks"</formula>
    </cfRule>
  </conditionalFormatting>
  <conditionalFormatting sqref="I9">
    <cfRule type="cellIs" dxfId="36" priority="44" operator="equal">
      <formula>"maintasks"</formula>
    </cfRule>
  </conditionalFormatting>
  <conditionalFormatting sqref="H9">
    <cfRule type="cellIs" dxfId="35" priority="43" operator="equal">
      <formula>"maintasks"</formula>
    </cfRule>
  </conditionalFormatting>
  <conditionalFormatting sqref="I10">
    <cfRule type="cellIs" dxfId="34" priority="42" operator="equal">
      <formula>"maintasks"</formula>
    </cfRule>
  </conditionalFormatting>
  <conditionalFormatting sqref="H10">
    <cfRule type="cellIs" dxfId="33" priority="41" operator="equal">
      <formula>"maintasks"</formula>
    </cfRule>
  </conditionalFormatting>
  <conditionalFormatting sqref="I11">
    <cfRule type="cellIs" dxfId="32" priority="40" operator="equal">
      <formula>"maintasks"</formula>
    </cfRule>
  </conditionalFormatting>
  <conditionalFormatting sqref="H11">
    <cfRule type="cellIs" dxfId="31" priority="39" operator="equal">
      <formula>"maintasks"</formula>
    </cfRule>
  </conditionalFormatting>
  <conditionalFormatting sqref="I13">
    <cfRule type="cellIs" dxfId="30" priority="38" operator="equal">
      <formula>"maintasks"</formula>
    </cfRule>
  </conditionalFormatting>
  <conditionalFormatting sqref="I2:I3">
    <cfRule type="cellIs" dxfId="29" priority="37" operator="equal">
      <formula>"maintasks"</formula>
    </cfRule>
  </conditionalFormatting>
  <conditionalFormatting sqref="H2:H3">
    <cfRule type="cellIs" dxfId="28" priority="36" operator="equal">
      <formula>"maintasks"</formula>
    </cfRule>
  </conditionalFormatting>
  <conditionalFormatting sqref="H13">
    <cfRule type="cellIs" dxfId="27" priority="35" operator="equal">
      <formula>"maintasks"</formula>
    </cfRule>
  </conditionalFormatting>
  <conditionalFormatting sqref="I5">
    <cfRule type="cellIs" dxfId="26" priority="34" operator="equal">
      <formula>"maintasks"</formula>
    </cfRule>
  </conditionalFormatting>
  <conditionalFormatting sqref="H5">
    <cfRule type="cellIs" dxfId="25" priority="33" operator="equal">
      <formula>"maintasks"</formula>
    </cfRule>
  </conditionalFormatting>
  <conditionalFormatting sqref="I12">
    <cfRule type="cellIs" dxfId="24" priority="32" operator="equal">
      <formula>"maintasks"</formula>
    </cfRule>
  </conditionalFormatting>
  <conditionalFormatting sqref="H12">
    <cfRule type="cellIs" dxfId="23" priority="31" operator="equal">
      <formula>"maintasks"</formula>
    </cfRule>
  </conditionalFormatting>
  <conditionalFormatting sqref="I6">
    <cfRule type="cellIs" dxfId="22" priority="30" operator="equal">
      <formula>"maintasks"</formula>
    </cfRule>
  </conditionalFormatting>
  <conditionalFormatting sqref="H6">
    <cfRule type="cellIs" dxfId="21" priority="29" operator="equal">
      <formula>"maintasks"</formula>
    </cfRule>
  </conditionalFormatting>
  <conditionalFormatting sqref="M13">
    <cfRule type="cellIs" dxfId="20" priority="28" operator="equal">
      <formula>"maintasks"</formula>
    </cfRule>
  </conditionalFormatting>
  <conditionalFormatting sqref="K2:M6">
    <cfRule type="cellIs" dxfId="19" priority="27" operator="equal">
      <formula>"maintasks"</formula>
    </cfRule>
  </conditionalFormatting>
  <conditionalFormatting sqref="K2:M2">
    <cfRule type="cellIs" dxfId="18" priority="26" operator="equal">
      <formula>"maintasks"</formula>
    </cfRule>
  </conditionalFormatting>
  <conditionalFormatting sqref="K5:L5">
    <cfRule type="cellIs" dxfId="17" priority="25" operator="equal">
      <formula>"maintasks"</formula>
    </cfRule>
  </conditionalFormatting>
  <conditionalFormatting sqref="K7:L7">
    <cfRule type="cellIs" dxfId="16" priority="24" operator="equal">
      <formula>"maintasks"</formula>
    </cfRule>
  </conditionalFormatting>
  <conditionalFormatting sqref="M5">
    <cfRule type="cellIs" dxfId="15" priority="23" operator="equal">
      <formula>"maintasks"</formula>
    </cfRule>
  </conditionalFormatting>
  <conditionalFormatting sqref="M7">
    <cfRule type="cellIs" dxfId="14" priority="22" operator="equal">
      <formula>"maintasks"</formula>
    </cfRule>
  </conditionalFormatting>
  <conditionalFormatting sqref="K9:L9">
    <cfRule type="cellIs" dxfId="13" priority="21" operator="equal">
      <formula>"maintasks"</formula>
    </cfRule>
  </conditionalFormatting>
  <conditionalFormatting sqref="M9">
    <cfRule type="cellIs" dxfId="12" priority="20" operator="equal">
      <formula>"maintasks"</formula>
    </cfRule>
  </conditionalFormatting>
  <conditionalFormatting sqref="K8:L8">
    <cfRule type="cellIs" dxfId="11" priority="19" operator="equal">
      <formula>"maintasks"</formula>
    </cfRule>
  </conditionalFormatting>
  <conditionalFormatting sqref="M8">
    <cfRule type="cellIs" dxfId="10" priority="18" operator="equal">
      <formula>"maintasks"</formula>
    </cfRule>
  </conditionalFormatting>
  <conditionalFormatting sqref="K10:L10">
    <cfRule type="cellIs" dxfId="9" priority="17" operator="equal">
      <formula>"maintasks"</formula>
    </cfRule>
  </conditionalFormatting>
  <conditionalFormatting sqref="M10">
    <cfRule type="cellIs" dxfId="8" priority="16" operator="equal">
      <formula>"maintasks"</formula>
    </cfRule>
  </conditionalFormatting>
  <conditionalFormatting sqref="K11:L11">
    <cfRule type="cellIs" dxfId="7" priority="15" operator="equal">
      <formula>"maintasks"</formula>
    </cfRule>
  </conditionalFormatting>
  <conditionalFormatting sqref="M11">
    <cfRule type="cellIs" dxfId="6" priority="14" operator="equal">
      <formula>"maintasks"</formula>
    </cfRule>
  </conditionalFormatting>
  <conditionalFormatting sqref="K12:L12">
    <cfRule type="cellIs" dxfId="5" priority="13" operator="equal">
      <formula>"maintasks"</formula>
    </cfRule>
  </conditionalFormatting>
  <conditionalFormatting sqref="K15:M23 I15:I23">
    <cfRule type="cellIs" dxfId="4" priority="5" operator="equal">
      <formula>"maintasks"</formula>
    </cfRule>
  </conditionalFormatting>
  <conditionalFormatting sqref="K24:M24 I24">
    <cfRule type="cellIs" dxfId="3" priority="4" operator="equal">
      <formula>"maintasks"</formula>
    </cfRule>
  </conditionalFormatting>
  <conditionalFormatting sqref="K25:M25 I25">
    <cfRule type="cellIs" dxfId="2" priority="3" operator="equal">
      <formula>"maintasks"</formula>
    </cfRule>
  </conditionalFormatting>
  <conditionalFormatting sqref="H15:H23">
    <cfRule type="cellIs" dxfId="1" priority="2" operator="equal">
      <formula>"maintasks"</formula>
    </cfRule>
  </conditionalFormatting>
  <conditionalFormatting sqref="H24:H25">
    <cfRule type="cellIs" dxfId="0" priority="1" operator="equal">
      <formula>"maintasks"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Electrical1</vt:lpstr>
      <vt:lpstr>Electrical2</vt:lpstr>
      <vt:lpstr>Utilities1</vt:lpstr>
      <vt:lpstr>Utilities2</vt:lpstr>
      <vt:lpstr>Mech1</vt:lpstr>
      <vt:lpstr>Mech2</vt:lpstr>
      <vt:lpstr>Workshop</vt:lpstr>
      <vt:lpstr>Metal Works</vt:lpstr>
      <vt:lpstr>PM &amp; Engr</vt:lpstr>
      <vt:lpstr>Design</vt:lpstr>
      <vt:lpstr>Machinery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Hamideh Jafarian</dc:creator>
  <cp:lastModifiedBy>Kalantari, Ali Asghar</cp:lastModifiedBy>
  <dcterms:created xsi:type="dcterms:W3CDTF">2025-03-15T07:46:11Z</dcterms:created>
  <dcterms:modified xsi:type="dcterms:W3CDTF">2025-06-21T07:17:50Z</dcterms:modified>
</cp:coreProperties>
</file>