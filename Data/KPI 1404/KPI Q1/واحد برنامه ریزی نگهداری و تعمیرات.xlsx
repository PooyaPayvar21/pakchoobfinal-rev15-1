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پرسنل فصل بهار\"/>
    </mc:Choice>
  </mc:AlternateContent>
  <xr:revisionPtr revIDLastSave="0" documentId="13_ncr:1_{7BE5E108-F876-45FE-A9B5-2405C09D134E}" xr6:coauthVersionLast="47" xr6:coauthVersionMax="47" xr10:uidLastSave="{00000000-0000-0000-0000-000000000000}"/>
  <bookViews>
    <workbookView xWindow="-28920" yWindow="-120" windowWidth="29040" windowHeight="15840" xr2:uid="{BD38DE6A-3E43-40C4-9B39-34F45D7F133B}"/>
  </bookViews>
  <sheets>
    <sheet name="واحد برنامه ریزی نت" sheetId="1" r:id="rId1"/>
    <sheet name="نرم افزار" sheetId="6" r:id="rId2"/>
    <sheet name="برنامه ریز" sheetId="4" r:id="rId3"/>
    <sheet name="CM" sheetId="5" r:id="rId4"/>
  </sheets>
  <definedNames>
    <definedName name="_xlnm._FilterDatabase" localSheetId="0" hidden="1">'واحد برنامه ریزی نت'!$A$1:$T$131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5" i="1" l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24" i="1"/>
  <c r="R124" i="1" s="1"/>
  <c r="Q122" i="1"/>
  <c r="R122" i="1" s="1"/>
  <c r="Q121" i="1"/>
  <c r="R121" i="1" s="1"/>
  <c r="Q120" i="1"/>
  <c r="R120" i="1" s="1"/>
  <c r="Q119" i="1"/>
  <c r="R119" i="1" s="1"/>
  <c r="Q117" i="1"/>
  <c r="R117" i="1" s="1"/>
  <c r="Q116" i="1"/>
  <c r="R116" i="1" s="1"/>
  <c r="Q115" i="1"/>
  <c r="R115" i="1" s="1"/>
  <c r="Q114" i="1"/>
  <c r="R114" i="1" s="1"/>
  <c r="Q113" i="1"/>
  <c r="R113" i="1" s="1"/>
  <c r="Q112" i="1"/>
  <c r="R112" i="1" s="1"/>
  <c r="Q111" i="1"/>
  <c r="R111" i="1" s="1"/>
  <c r="Q110" i="1"/>
  <c r="R110" i="1" s="1"/>
  <c r="Q99" i="1"/>
  <c r="R99" i="1" s="1"/>
  <c r="Q97" i="1"/>
  <c r="R97" i="1" s="1"/>
  <c r="Q96" i="1"/>
  <c r="R96" i="1" s="1"/>
  <c r="Q95" i="1"/>
  <c r="R95" i="1" s="1"/>
  <c r="Q94" i="1"/>
  <c r="R94" i="1" s="1"/>
  <c r="Q92" i="1"/>
  <c r="R92" i="1" s="1"/>
  <c r="Q91" i="1"/>
  <c r="R91" i="1" s="1"/>
  <c r="Q90" i="1"/>
  <c r="R90" i="1" s="1"/>
  <c r="Q89" i="1"/>
  <c r="R89" i="1" s="1"/>
  <c r="Q88" i="1"/>
  <c r="R88" i="1" s="1"/>
  <c r="Q87" i="1"/>
  <c r="R87" i="1" s="1"/>
  <c r="Q86" i="1"/>
  <c r="R86" i="1" s="1"/>
  <c r="Q85" i="1"/>
  <c r="R85" i="1" s="1"/>
  <c r="Q84" i="1"/>
  <c r="R84" i="1" s="1"/>
  <c r="Q82" i="1"/>
  <c r="R82" i="1" s="1"/>
  <c r="Q81" i="1"/>
  <c r="R81" i="1" s="1"/>
  <c r="Q80" i="1"/>
  <c r="R80" i="1" s="1"/>
  <c r="Q79" i="1"/>
  <c r="R79" i="1" s="1"/>
  <c r="Q77" i="1"/>
  <c r="R77" i="1" s="1"/>
  <c r="Q76" i="1"/>
  <c r="R76" i="1" s="1"/>
  <c r="Q75" i="1"/>
  <c r="R75" i="1" s="1"/>
  <c r="Q74" i="1"/>
  <c r="R74" i="1" s="1"/>
  <c r="Q73" i="1"/>
  <c r="R73" i="1" s="1"/>
  <c r="Q72" i="1"/>
  <c r="R72" i="1" s="1"/>
  <c r="Q71" i="1"/>
  <c r="R71" i="1" s="1"/>
  <c r="Q70" i="1"/>
  <c r="R70" i="1" s="1"/>
  <c r="Q69" i="1"/>
  <c r="R69" i="1" s="1"/>
  <c r="Q67" i="1"/>
  <c r="R67" i="1" s="1"/>
  <c r="Q66" i="1"/>
  <c r="R66" i="1" s="1"/>
  <c r="Q65" i="1"/>
  <c r="R65" i="1" s="1"/>
  <c r="Q64" i="1"/>
  <c r="R64" i="1" s="1"/>
  <c r="Q62" i="1"/>
  <c r="R62" i="1" s="1"/>
  <c r="Q61" i="1"/>
  <c r="R61" i="1" s="1"/>
  <c r="Q60" i="1"/>
  <c r="R60" i="1" s="1"/>
  <c r="Q59" i="1"/>
  <c r="R59" i="1" s="1"/>
  <c r="Q58" i="1"/>
  <c r="R58" i="1" s="1"/>
  <c r="Q57" i="1"/>
  <c r="R57" i="1" s="1"/>
  <c r="Q56" i="1"/>
  <c r="R56" i="1" s="1"/>
  <c r="Q55" i="1"/>
  <c r="R55" i="1" s="1"/>
  <c r="Q54" i="1"/>
  <c r="R54" i="1" s="1"/>
  <c r="Q52" i="1"/>
  <c r="R52" i="1" s="1"/>
  <c r="Q51" i="1"/>
  <c r="R51" i="1" s="1"/>
  <c r="Q50" i="1"/>
  <c r="R50" i="1" s="1"/>
  <c r="Q49" i="1"/>
  <c r="R49" i="1" s="1"/>
  <c r="Q47" i="1"/>
  <c r="R47" i="1" s="1"/>
  <c r="Q46" i="1"/>
  <c r="R46" i="1" s="1"/>
  <c r="Q45" i="1"/>
  <c r="R45" i="1" s="1"/>
  <c r="Q44" i="1"/>
  <c r="R44" i="1" s="1"/>
  <c r="Q43" i="1"/>
  <c r="R43" i="1" s="1"/>
  <c r="Q42" i="1"/>
  <c r="R42" i="1" s="1"/>
  <c r="Q41" i="1"/>
  <c r="R41" i="1" s="1"/>
  <c r="Q40" i="1"/>
  <c r="R40" i="1" s="1"/>
  <c r="Q16" i="1"/>
  <c r="R16" i="1" s="1"/>
  <c r="Q14" i="1"/>
  <c r="R14" i="1" s="1"/>
  <c r="Q13" i="1"/>
  <c r="R13" i="1" s="1"/>
  <c r="Q12" i="1"/>
  <c r="R12" i="1" s="1"/>
  <c r="Q11" i="1"/>
  <c r="R11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Q3" i="1"/>
  <c r="R3" i="1" s="1"/>
  <c r="Q2" i="1"/>
  <c r="R2" i="1" s="1"/>
  <c r="Q34" i="1"/>
  <c r="R34" i="1" s="1"/>
  <c r="Q32" i="1"/>
  <c r="R32" i="1" s="1"/>
  <c r="Q31" i="1"/>
  <c r="R31" i="1" s="1"/>
  <c r="Q30" i="1"/>
  <c r="R30" i="1" s="1"/>
  <c r="Q109" i="1"/>
  <c r="R109" i="1" s="1"/>
  <c r="Q107" i="1"/>
  <c r="R107" i="1" s="1"/>
  <c r="Q106" i="1"/>
  <c r="R106" i="1" s="1"/>
  <c r="Q105" i="1"/>
  <c r="R105" i="1" s="1"/>
  <c r="Q104" i="1"/>
  <c r="R104" i="1" s="1"/>
  <c r="Q103" i="1"/>
  <c r="R103" i="1" s="1"/>
  <c r="Q102" i="1"/>
  <c r="R102" i="1" s="1"/>
  <c r="Q101" i="1"/>
  <c r="R101" i="1" s="1"/>
  <c r="Q100" i="1"/>
  <c r="R100" i="1" s="1"/>
  <c r="Q39" i="1"/>
  <c r="R39" i="1" s="1"/>
  <c r="Q37" i="1"/>
  <c r="R37" i="1" s="1"/>
  <c r="Q36" i="1"/>
  <c r="R36" i="1" s="1"/>
  <c r="Q35" i="1"/>
  <c r="R35" i="1" s="1"/>
  <c r="Q29" i="1"/>
  <c r="R29" i="1" s="1"/>
  <c r="Q28" i="1"/>
  <c r="R28" i="1" s="1"/>
  <c r="Q27" i="1"/>
  <c r="R27" i="1" s="1"/>
  <c r="Q26" i="1"/>
  <c r="R26" i="1" s="1"/>
  <c r="Q25" i="1"/>
  <c r="R25" i="1" s="1"/>
  <c r="Q24" i="1"/>
  <c r="R24" i="1" s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Q17" i="1"/>
  <c r="R17" i="1" s="1"/>
  <c r="T125" i="1" l="1"/>
  <c r="T110" i="1"/>
  <c r="T85" i="1"/>
  <c r="T70" i="1"/>
  <c r="T55" i="1"/>
  <c r="T40" i="1"/>
  <c r="T2" i="1"/>
  <c r="T100" i="1"/>
  <c r="T25" i="1"/>
  <c r="T17" i="1"/>
</calcChain>
</file>

<file path=xl/sharedStrings.xml><?xml version="1.0" encoding="utf-8"?>
<sst xmlns="http://schemas.openxmlformats.org/spreadsheetml/2006/main" count="1799" uniqueCount="205">
  <si>
    <t>+</t>
  </si>
  <si>
    <t>Projects</t>
  </si>
  <si>
    <t>تخته فشرده</t>
  </si>
  <si>
    <t>MainTasks</t>
  </si>
  <si>
    <t>-</t>
  </si>
  <si>
    <t>Sum</t>
  </si>
  <si>
    <t>type</t>
  </si>
  <si>
    <t>Score Achievement</t>
  </si>
  <si>
    <t>Percentage Achievement</t>
  </si>
  <si>
    <t>KPI Achievement</t>
  </si>
  <si>
    <t>KPI weight</t>
  </si>
  <si>
    <t>target</t>
  </si>
  <si>
    <t>kpi INFO</t>
  </si>
  <si>
    <t>KPI Fa</t>
  </si>
  <si>
    <t>KPI En</t>
  </si>
  <si>
    <t>obj weight</t>
  </si>
  <si>
    <t>دسته بندی</t>
  </si>
  <si>
    <t>دپارتمان</t>
  </si>
  <si>
    <t>مدیر مستقیم</t>
  </si>
  <si>
    <t>عنوان شغلی</t>
  </si>
  <si>
    <t>نام و نام خانوادگی</t>
  </si>
  <si>
    <t>کد پرسنلی</t>
  </si>
  <si>
    <t>فصل</t>
  </si>
  <si>
    <t>نام شرکت</t>
  </si>
  <si>
    <t>ردیف</t>
  </si>
  <si>
    <t>Q1</t>
  </si>
  <si>
    <t>PM Compliance Rate</t>
  </si>
  <si>
    <t>فني و مهندسي-نت</t>
  </si>
  <si>
    <t>كارشناس برنامه ريزي،نگهداري و تعميراتPM</t>
  </si>
  <si>
    <t>سارا کرم سراجی</t>
  </si>
  <si>
    <t>پویا پایور</t>
  </si>
  <si>
    <t>آیدا آبسالان</t>
  </si>
  <si>
    <t>الهام احمدیان</t>
  </si>
  <si>
    <t>پگاه محمودی کوهی</t>
  </si>
  <si>
    <t>نیلوفر جباری نژاد</t>
  </si>
  <si>
    <t>سامان تکریمی</t>
  </si>
  <si>
    <t>علی رضا آل کثیر</t>
  </si>
  <si>
    <t>امین حمید نژاد</t>
  </si>
  <si>
    <t>رضا دیناروندی پور</t>
  </si>
  <si>
    <t xml:space="preserve">علی اصغر کلانتری </t>
  </si>
  <si>
    <t>Schedule Compliance</t>
  </si>
  <si>
    <t>درصد تحقق برنامه زمان‌بندی‌شده تعمیرات</t>
  </si>
  <si>
    <t>≥ 95%</t>
  </si>
  <si>
    <t>درصد اجرای PM</t>
  </si>
  <si>
    <t>100%</t>
  </si>
  <si>
    <t>Planning Lead Time</t>
  </si>
  <si>
    <t>میانگین زمان برنامه‌ریزی تا اجرا</t>
  </si>
  <si>
    <t>≤ 2 days</t>
  </si>
  <si>
    <t>Unplanned Maintenance Rate</t>
  </si>
  <si>
    <t>درصد تعمیرات بدون برنامه</t>
  </si>
  <si>
    <t>≤ 10%</t>
  </si>
  <si>
    <t>Documentation Accuracy</t>
  </si>
  <si>
    <t>درصد تکمیل مستندسازی</t>
  </si>
  <si>
    <t>Planning Error Rate</t>
  </si>
  <si>
    <t>درصد خطاهای برنامه‌ریزی</t>
  </si>
  <si>
    <t>≤ 5%</t>
  </si>
  <si>
    <t>Equipment Data Update Rate</t>
  </si>
  <si>
    <t>درصد به‌روزرسانی اطلاعات تجهیزات</t>
  </si>
  <si>
    <t>≥ 90%</t>
  </si>
  <si>
    <t>Meeting Participation &amp; Suggestions</t>
  </si>
  <si>
    <t>مشارکت در جلسات و پیشنهادات</t>
  </si>
  <si>
    <t>≥ 1 per month</t>
  </si>
  <si>
    <t>Scheduling Accuracy</t>
  </si>
  <si>
    <t>دقت در زمان‌بندی اجرا</t>
  </si>
  <si>
    <t>Asset Coding &amp; Documentation Coverage</t>
  </si>
  <si>
    <t>پوشش کدگذاری و مستندسازی تجهیزات</t>
  </si>
  <si>
    <t>(Number of Completed Scheduled Tasks / Total Scheduled Tasks) * 100</t>
  </si>
  <si>
    <t>(Number of PMs Completed / Total Planned PMs) * 100</t>
  </si>
  <si>
    <t>(Total Days Between Planning Date and Execution) / Number of Tasks</t>
  </si>
  <si>
    <t>(Number of Unplanned Tasks / Total Maintenance Tasks) * 100</t>
  </si>
  <si>
    <t>(Number of Tasks with Complete Documentation / Total Tasks) * 100</t>
  </si>
  <si>
    <t>(Number of Planning Errors / Total Planned Tasks) * 100</t>
  </si>
  <si>
    <t>(Number of Updated Equipment Records / Total Equipment Records) * 100</t>
  </si>
  <si>
    <t xml:space="preserve"> (Number of Suggestions / Number of Meetings) * 100</t>
  </si>
  <si>
    <t>(Tasks Executed Within Time Window / Total Scheduled Tasks) * 100</t>
  </si>
  <si>
    <t>(Coded &amp; Documented Assets / Total Assets) * 100</t>
  </si>
  <si>
    <t>توضیح</t>
  </si>
  <si>
    <t>فرمول</t>
  </si>
  <si>
    <t>دسته‌بندی (obj category)</t>
  </si>
  <si>
    <t>وزن (KPI weight)</t>
  </si>
  <si>
    <t>Monitoring Coverage</t>
  </si>
  <si>
    <t>پوشش پایش وضعیت تجهیزات</t>
  </si>
  <si>
    <t>درصد تجهیزات تحت پوشش پایش وضعیت (CM) نسبت به تعداد کل تجهیزات موجود.</t>
  </si>
  <si>
    <t>(Number of Equipment Under Monitoring / Total Equipment) * 100</t>
  </si>
  <si>
    <t>Failure Detection Time</t>
  </si>
  <si>
    <t>زمان شناسایی خرابی‌ها</t>
  </si>
  <si>
    <t>میانگین زمانی که برای شناسایی خرابی‌ها یا شرایط بحرانی از لحظه وقوع تا تشخیص نیاز است.</t>
  </si>
  <si>
    <t>کمتر از 24 ساعت</t>
  </si>
  <si>
    <t>Average Time to Detect Failure</t>
  </si>
  <si>
    <t>Preventive Maintenance Alerts</t>
  </si>
  <si>
    <t>هشدارهای پیشگیرانه به موقع</t>
  </si>
  <si>
    <t>درصد هشدارهای پیشگیرانه‌ای که به موقع برای جلوگیری از خرابی‌های آینده صادر شده است.</t>
  </si>
  <si>
    <t>(Number of Preventive Alerts Issued on Time / Total Preventive Alerts) * 100</t>
  </si>
  <si>
    <t>Accuracy of Monitoring</t>
  </si>
  <si>
    <t>دقت پایش وضعیت</t>
  </si>
  <si>
    <t>دقت و صحت داده‌های دریافتی از سیستم‌های پایش وضعیت.</t>
  </si>
  <si>
    <t>(Correctly Detected Conditions / Total Detected Conditions) * 100</t>
  </si>
  <si>
    <t>Condition-based Maintenance Initiation</t>
  </si>
  <si>
    <t>شروع نگهداری بر اساس وضعیت</t>
  </si>
  <si>
    <t>درصد زمان‌هایی که بر اساس شرایط شناسایی‌شده نگهداری پیشگیرانه یا تعمیرات لازم انجام شده است.</t>
  </si>
  <si>
    <t>(Number of Corrective or Preventive Actions Based on CM / Total CM Alerts) * 100</t>
  </si>
  <si>
    <t>False Alarm Rate</t>
  </si>
  <si>
    <t>نرخ هشدارهای کاذب</t>
  </si>
  <si>
    <t>درصد هشدارهای کاذبی که باعث ایجاد اضطراب بی‌مورد یا اقدامات غیر ضروری می‌شود.</t>
  </si>
  <si>
    <t>کمتر از 5%</t>
  </si>
  <si>
    <t>(Number of False Alarms / Total Alarms Issued) * 100</t>
  </si>
  <si>
    <t>Monitoring System Uptime</t>
  </si>
  <si>
    <t>درصد عملکرد صحیح سیستم پایش</t>
  </si>
  <si>
    <t>درصد زمان‌هایی که سیستم‌های پایش وضعیت بدون اختلال و به صورت فعال عمل کرده‌اند.</t>
  </si>
  <si>
    <t>(System Uptime Hours / Total Available Hours) * 100</t>
  </si>
  <si>
    <t>Report Accuracy</t>
  </si>
  <si>
    <t>دقت گزارشات</t>
  </si>
  <si>
    <t>درصد گزارشات دقیق که بدون اشتباه محاسبه و ارسال می‌شوند.</t>
  </si>
  <si>
    <t>(Number of Accurate Reports / Total Reports) * 100</t>
  </si>
  <si>
    <t>Timeliness of Report Submission</t>
  </si>
  <si>
    <t>موقعیت زمانی ارسال گزارشات</t>
  </si>
  <si>
    <t>درصد گزارشات که به موقع ارسال می‌شوند طبق برنامه زمان‌بندی.</t>
  </si>
  <si>
    <t>(Number of Reports Submitted on Time / Total Reports) * 100</t>
  </si>
  <si>
    <t>Documentation and Procedure Completion</t>
  </si>
  <si>
    <t>تکمیل مستندات و دستورالعمل‌ها</t>
  </si>
  <si>
    <t>درصد مستندات و دستورالعمل‌های تکمیل شده طبق زمان‌بندی و با کیفیت مطلوب.</t>
  </si>
  <si>
    <t>(Number of Procedures Completed / Total Procedures) * 100</t>
  </si>
  <si>
    <t>KPI Calculation Accuracy</t>
  </si>
  <si>
    <t>دقت محاسبه شاخص‌ها</t>
  </si>
  <si>
    <t>دقت در محاسبه و گزارش‌دهی شاخص‌های مختلف به صورت صحیح و بدون اشتباه.</t>
  </si>
  <si>
    <t>(Number of Accurate KPI Calculations / Total KPI Calculations) * 100</t>
  </si>
  <si>
    <t>Document Archiving Compliance</t>
  </si>
  <si>
    <t>رعایت اصول بایگانی مستندات</t>
  </si>
  <si>
    <t>درصد مستندات که به درستی بایگانی و ذخیره‌سازی می‌شوند طبق استانداردها.</t>
  </si>
  <si>
    <t>(Number of Documents Archived Correctly / Total Documents) * 100</t>
  </si>
  <si>
    <t>Process Improvement Suggestions</t>
  </si>
  <si>
    <t>پیشنهادات بهبود فرآیند</t>
  </si>
  <si>
    <t>تعداد پیشنهادات بهبود برای فرآیندهای گزارش‌دهی و بایگانی ارائه‌شده توسط فرد.</t>
  </si>
  <si>
    <t>Number of Suggestions</t>
  </si>
  <si>
    <t>Target Completion Rate</t>
  </si>
  <si>
    <t>نرخ تکمیل اهداف</t>
  </si>
  <si>
    <t>درصد اهدافی که به موقع و طبق برنامه توسط شخص تکمیل شده‌اند.</t>
  </si>
  <si>
    <t>(Completed Targets / Total Targets) * 100</t>
  </si>
  <si>
    <t>SAP Data Entry Accuracy</t>
  </si>
  <si>
    <t>دقت وارد کردن داده‌ها در SAP</t>
  </si>
  <si>
    <t>درصد داده‌های وارد شده به SAP که به درستی و بدون اشتباه در سیستم ثبت شده‌اند.</t>
  </si>
  <si>
    <t>(Number of Correct SAP Entries / Total SAP Entries) * 100</t>
  </si>
  <si>
    <t>Documentation of SAP Procedures</t>
  </si>
  <si>
    <t>مستند کردن فرآیندهای SAP</t>
  </si>
  <si>
    <t>درصد مستندات مربوط به فرآیندهای SAP که به درستی مستند و برای استفاده در آینده آماده شده‌اند.</t>
  </si>
  <si>
    <t>(Number of SAP Procedures Documented / Total SAP Procedures) * 100</t>
  </si>
  <si>
    <t>Target</t>
  </si>
  <si>
    <t>Type</t>
  </si>
  <si>
    <t>فرمول پیشنهادی</t>
  </si>
  <si>
    <t>Category</t>
  </si>
  <si>
    <t>KPI Weight</t>
  </si>
  <si>
    <t>Obj Weight</t>
  </si>
  <si>
    <t>Maintenance Schedule Adherence</t>
  </si>
  <si>
    <t>درصد انجام تعمیرات طبق برنامه زمان‌بندی‌شده</t>
  </si>
  <si>
    <t>تعداد فعالیت‌های انجام‌شده در زمان‌بندی ÷ کل فعالیت‌های برنامه‌ریزی‌شده</t>
  </si>
  <si>
    <t>Preventive Maintenance Execution Rate</t>
  </si>
  <si>
    <t>میزان اجرای برنامه‌های PM نسبت به برنامه‌های تعریف‌شده</t>
  </si>
  <si>
    <t>تعداد PM انجام‌شده ÷ تعداد PM برنامه‌ریزی‌شده</t>
  </si>
  <si>
    <t>Planning to Execution Lead Time</t>
  </si>
  <si>
    <t>متوسط زمان بین برنامه‌ریزی فعالیت و اجرای واقعی آن</t>
  </si>
  <si>
    <t>≤ 3 روز</t>
  </si>
  <si>
    <t>مجموع فاصله زمانی (برنامه‌ریزی تا اجرا) ÷ تعداد فعالیت‌ها</t>
  </si>
  <si>
    <t>Unplanned Maintenance Ratio</t>
  </si>
  <si>
    <t>میزان تعمیرات اضطراری و بدون برنامه نسبت به کل فعالیت‌ها</t>
  </si>
  <si>
    <t>تعداد تعمیرات اضطراری ÷ کل فعالیت‌های نگهداری</t>
  </si>
  <si>
    <t>Documentation Completion Rate</t>
  </si>
  <si>
    <t>میزان تکمیل مستندات پس از انجام فعالیت‌های نگهداری</t>
  </si>
  <si>
    <t>تعداد فعالیت‌های با مستندسازی کامل ÷ کل فعالیت‌ها</t>
  </si>
  <si>
    <t>Planning Accuracy</t>
  </si>
  <si>
    <t>تعداد خطاها یا ناهماهنگی‌های برنامه‌ریزی نسبت به کل برنامه‌ها</t>
  </si>
  <si>
    <t>تعداد خطاهای برنامه‌ریزی ÷ کل برنامه‌ها</t>
  </si>
  <si>
    <t>Asset Data Update Rate</t>
  </si>
  <si>
    <t>نسبت به‌روزرسانی اطلاعات تجهیزات نسبت به تعداد کل تجهیزات تحت نظارت</t>
  </si>
  <si>
    <t>≥ 85%</t>
  </si>
  <si>
    <t>تعداد تجهیزات با اطلاعات به‌روز ÷ کل تجهیزات</t>
  </si>
  <si>
    <t>Participation &amp; Suggestions</t>
  </si>
  <si>
    <t>مشارکت در جلسات کاری و ارائه پیشنهاد برای بهبود فرآیندها</t>
  </si>
  <si>
    <t>≥ 2 مورد/ماه</t>
  </si>
  <si>
    <t>مجموع جلسات و پیشنهادات ثبت‌شده</t>
  </si>
  <si>
    <t>تفاوت بین زمان‌بندی اولیه و اجرای واقعی فعالیت‌ها</t>
  </si>
  <si>
    <t>≤ ±1 روز</t>
  </si>
  <si>
    <t>میانگین اختلاف زمان‌بندی شده و زمان واقعی برای اجرای فعالیت‌ها</t>
  </si>
  <si>
    <t>درصد تجهیزاتی که دارای کد، مشخصات، و مستندات کامل هستند</t>
  </si>
  <si>
    <t>تعداد تجهیزات دارای مستندات کامل ÷ کل تجهیزات</t>
  </si>
  <si>
    <t>SOP Completion Rate</t>
  </si>
  <si>
    <t>نرخ تکمیل دستورالعمل‌ها</t>
  </si>
  <si>
    <t>تعداد دستورالعمل‌های تدوین‌شده نسبت به تعداد برنامه‌ریزی‌شده</t>
  </si>
  <si>
    <t>تعداد SOP تدوین‌شده ÷ تعداد برنامه‌ریزی‌شده</t>
  </si>
  <si>
    <t>Project Completion Rate</t>
  </si>
  <si>
    <t>نرخ تکمیل پروژه‌ها</t>
  </si>
  <si>
    <t>میزان پیشرفت و اتمام پروژه‌های تعریف‌شده در بازه زمانی مشخص</t>
  </si>
  <si>
    <t>تعداد پروژه‌های تکمیل‌شده ÷ تعداد کل پروژه‌ها</t>
  </si>
  <si>
    <t>MTBF Tracking Accuracy</t>
  </si>
  <si>
    <t>دقت در پایش MTBF</t>
  </si>
  <si>
    <t>میزان صحت اندازه‌گیری و ثبت میانگین زمان بین خرابی‌ها</t>
  </si>
  <si>
    <t>تعداد گزارش‌های صحیح MTBF ÷ کل دفعات پایش</t>
  </si>
  <si>
    <t>MTTR Tracking Accuracy</t>
  </si>
  <si>
    <t>دقت در پایش MTTR</t>
  </si>
  <si>
    <t>صحت ثبت و تحلیل میانگین زمان تعمیرات</t>
  </si>
  <si>
    <t>تعداد ثبت‌های صحیح MTTR ÷ کل ثبت‌ها</t>
  </si>
  <si>
    <t>Root Cause Analysis &amp; Planning</t>
  </si>
  <si>
    <t>تحلیل ریشه‌ای مشکلات و برنامه‌ریزی</t>
  </si>
  <si>
    <t>استخراج مشکلات پرتکرار از گزارشات و برنامه‌ریزی برای حذف یا پیشگیری آن‌ها</t>
  </si>
  <si>
    <t>≥ 80%</t>
  </si>
  <si>
    <t>تعداد موارد تحلیل و برنامه‌ریزی‌شده ÷ تعداد کل مشکلات گزارش‌شده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</si>
</sst>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B Nazanin"/>
      <charset val="178"/>
    </font>
    <font>
      <sz val="8"/>
      <name val="B Nazanin"/>
      <charset val="178"/>
    </font>
    <font>
      <b/>
      <sz val="11"/>
      <color theme="1"/>
      <name val="Calibri"/>
      <family val="2"/>
      <scheme val="minor"/>
    </font>
    <font>
      <sz val="14"/>
      <name val="B Nazanin"/>
      <charset val="178"/>
    </font>
    <font>
      <b/>
      <sz val="8"/>
      <color theme="0"/>
      <name val="B Titr"/>
      <charset val="178"/>
    </font>
    <font>
      <sz val="11"/>
      <color theme="1"/>
      <name val="B Titr"/>
      <charset val="17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4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0" borderId="0" xfId="0" applyFont="1"/>
    <xf numFmtId="49" fontId="10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8" fillId="3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1" applyNumberFormat="1" applyFont="1" applyFill="1" applyBorder="1" applyAlignment="1">
      <alignment horizontal="center" vertical="center"/>
    </xf>
    <xf numFmtId="9" fontId="8" fillId="4" borderId="1" xfId="1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1" fontId="8" fillId="3" borderId="1" xfId="2" applyNumberFormat="1" applyFont="1" applyFill="1" applyBorder="1" applyAlignment="1">
      <alignment horizontal="center" vertical="center"/>
    </xf>
    <xf numFmtId="10" fontId="7" fillId="3" borderId="0" xfId="0" applyNumberFormat="1" applyFont="1" applyFill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9" fontId="6" fillId="6" borderId="1" xfId="1" applyFont="1" applyFill="1" applyBorder="1" applyAlignment="1">
      <alignment horizontal="center" vertical="center"/>
    </xf>
    <xf numFmtId="1" fontId="6" fillId="6" borderId="1" xfId="1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Percent" xfId="1" builtinId="5"/>
    <cellStyle name="Percent 2" xfId="2" xr:uid="{6AE1D523-B7EE-4EA2-9B03-B6EDB101A8FB}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661B-8CB2-466F-8DBB-EB69CD48EE90}">
  <sheetPr filterMode="1"/>
  <dimension ref="A1:AV131"/>
  <sheetViews>
    <sheetView tabSelected="1" topLeftCell="G28" zoomScale="160" zoomScaleNormal="160" workbookViewId="0">
      <selection activeCell="L39" sqref="L39"/>
    </sheetView>
  </sheetViews>
  <sheetFormatPr defaultRowHeight="14.4" x14ac:dyDescent="0.3"/>
  <cols>
    <col min="1" max="1" width="6.77734375" style="41" customWidth="1"/>
    <col min="2" max="2" width="14.44140625" style="41" bestFit="1" customWidth="1"/>
    <col min="3" max="3" width="6.77734375" style="41" customWidth="1"/>
    <col min="4" max="4" width="8.88671875" style="41"/>
    <col min="5" max="5" width="19.77734375" style="41" bestFit="1" customWidth="1"/>
    <col min="6" max="6" width="26.33203125" style="41" customWidth="1"/>
    <col min="7" max="7" width="12.44140625" style="41" customWidth="1"/>
    <col min="8" max="8" width="11.77734375" style="41" customWidth="1"/>
    <col min="9" max="9" width="14.77734375" style="41" customWidth="1"/>
    <col min="10" max="10" width="10" style="41" customWidth="1"/>
    <col min="11" max="11" width="22.77734375" style="41" customWidth="1"/>
    <col min="12" max="12" width="42.21875" style="41" customWidth="1"/>
    <col min="13" max="13" width="51.77734375" style="41" customWidth="1"/>
    <col min="14" max="14" width="14.21875" style="41" customWidth="1"/>
    <col min="15" max="15" width="7.77734375" style="41" customWidth="1"/>
    <col min="16" max="16" width="21.44140625" style="41" customWidth="1"/>
    <col min="17" max="17" width="19.109375" style="41" bestFit="1" customWidth="1"/>
    <col min="18" max="18" width="15" style="41" bestFit="1" customWidth="1"/>
    <col min="19" max="19" width="4" style="41" bestFit="1" customWidth="1"/>
    <col min="20" max="20" width="7.77734375" style="41" customWidth="1"/>
    <col min="30" max="46" width="9.21875"/>
  </cols>
  <sheetData>
    <row r="1" spans="1:48" s="16" customFormat="1" ht="22.2" x14ac:dyDescent="0.75">
      <c r="A1" s="14" t="s">
        <v>24</v>
      </c>
      <c r="B1" s="15" t="s">
        <v>23</v>
      </c>
      <c r="C1" s="15" t="s">
        <v>22</v>
      </c>
      <c r="D1" s="14" t="s">
        <v>21</v>
      </c>
      <c r="E1" s="15" t="s">
        <v>20</v>
      </c>
      <c r="F1" s="15" t="s">
        <v>19</v>
      </c>
      <c r="G1" s="15" t="s">
        <v>18</v>
      </c>
      <c r="H1" s="15" t="s">
        <v>17</v>
      </c>
      <c r="I1" s="15" t="s">
        <v>16</v>
      </c>
      <c r="J1" s="37" t="s">
        <v>15</v>
      </c>
      <c r="K1" s="36" t="s">
        <v>14</v>
      </c>
      <c r="L1" s="36" t="s">
        <v>13</v>
      </c>
      <c r="M1" s="36" t="s">
        <v>12</v>
      </c>
      <c r="N1" s="36" t="s">
        <v>11</v>
      </c>
      <c r="O1" s="37" t="s">
        <v>10</v>
      </c>
      <c r="P1" s="36" t="s">
        <v>9</v>
      </c>
      <c r="Q1" s="38" t="s">
        <v>8</v>
      </c>
      <c r="R1" s="39" t="s">
        <v>7</v>
      </c>
      <c r="S1" s="40" t="s">
        <v>6</v>
      </c>
      <c r="T1" s="37" t="s">
        <v>5</v>
      </c>
    </row>
    <row r="2" spans="1:48" s="3" customFormat="1" ht="21.6" hidden="1" x14ac:dyDescent="0.2">
      <c r="A2" s="4">
        <v>2070</v>
      </c>
      <c r="B2" s="17" t="s">
        <v>2</v>
      </c>
      <c r="C2" s="5" t="s">
        <v>25</v>
      </c>
      <c r="D2" s="1">
        <v>3926</v>
      </c>
      <c r="E2" s="17" t="s">
        <v>29</v>
      </c>
      <c r="F2" s="9" t="s">
        <v>28</v>
      </c>
      <c r="G2" s="17" t="s">
        <v>39</v>
      </c>
      <c r="H2" s="9" t="s">
        <v>27</v>
      </c>
      <c r="I2" s="18" t="s">
        <v>3</v>
      </c>
      <c r="J2" s="19">
        <v>0.7</v>
      </c>
      <c r="K2" s="7" t="s">
        <v>152</v>
      </c>
      <c r="L2" s="42" t="s">
        <v>41</v>
      </c>
      <c r="M2" s="7" t="s">
        <v>153</v>
      </c>
      <c r="N2" s="12" t="s">
        <v>58</v>
      </c>
      <c r="O2" s="19">
        <v>0.1</v>
      </c>
      <c r="P2" s="19"/>
      <c r="Q2" s="19">
        <f t="shared" ref="Q2" si="0">ROUND(IF(OR(N2="",P2=""),0,IF(AND(N2=0,P2=0),1,IF(S2="+",P2/N2,N2/P2))),2)</f>
        <v>0</v>
      </c>
      <c r="R2" s="26">
        <f t="shared" ref="R2:R9" si="1">IF(AND(Q2&gt;=60%,Q2&lt;100%),Q2*((O2*J2)),IF(Q2=100%,((O2*J2)*Q2)*100%,IF(Q2&gt;100%,((J2*O2)*100%)*100%,0)))*100</f>
        <v>0</v>
      </c>
      <c r="S2" s="19" t="s">
        <v>0</v>
      </c>
      <c r="T2" s="27">
        <f>SUM(R2:R16)%</f>
        <v>0</v>
      </c>
      <c r="U2" s="2"/>
      <c r="V2" s="2"/>
      <c r="W2" s="2"/>
      <c r="X2" s="2"/>
      <c r="Y2" s="2"/>
      <c r="Z2" s="2"/>
      <c r="AA2" s="2"/>
      <c r="AB2" s="2"/>
      <c r="AC2" s="2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s="3" customFormat="1" ht="21.6" hidden="1" x14ac:dyDescent="0.2">
      <c r="A3" s="4">
        <v>2071</v>
      </c>
      <c r="B3" s="17" t="s">
        <v>2</v>
      </c>
      <c r="C3" s="5" t="s">
        <v>25</v>
      </c>
      <c r="D3" s="1">
        <v>3926</v>
      </c>
      <c r="E3" s="17" t="s">
        <v>29</v>
      </c>
      <c r="F3" s="9" t="s">
        <v>28</v>
      </c>
      <c r="G3" s="17" t="s">
        <v>39</v>
      </c>
      <c r="H3" s="9" t="s">
        <v>27</v>
      </c>
      <c r="I3" s="18" t="s">
        <v>3</v>
      </c>
      <c r="J3" s="19">
        <v>0.7</v>
      </c>
      <c r="K3" s="7" t="s">
        <v>155</v>
      </c>
      <c r="L3" s="42" t="s">
        <v>43</v>
      </c>
      <c r="M3" s="7" t="s">
        <v>156</v>
      </c>
      <c r="N3" s="25" t="s">
        <v>42</v>
      </c>
      <c r="O3" s="19">
        <v>0.1</v>
      </c>
      <c r="P3" s="28"/>
      <c r="Q3" s="19">
        <f>ROUND(IF(OR(N3="",P3=""),0,IF(AND(N3=0,P3=0),1,IF(S3="+",P3/N3,N3/P3))),2)</f>
        <v>0</v>
      </c>
      <c r="R3" s="26">
        <f t="shared" si="1"/>
        <v>0</v>
      </c>
      <c r="S3" s="19" t="s">
        <v>0</v>
      </c>
      <c r="T3" s="19"/>
      <c r="U3" s="2"/>
      <c r="V3" s="2"/>
      <c r="W3" s="2"/>
      <c r="X3" s="2"/>
      <c r="Y3" s="2"/>
      <c r="Z3" s="2"/>
      <c r="AA3" s="2"/>
      <c r="AB3" s="2"/>
      <c r="AC3" s="2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s="3" customFormat="1" ht="21.6" hidden="1" x14ac:dyDescent="0.2">
      <c r="A4" s="4">
        <v>2072</v>
      </c>
      <c r="B4" s="17" t="s">
        <v>2</v>
      </c>
      <c r="C4" s="5" t="s">
        <v>25</v>
      </c>
      <c r="D4" s="1">
        <v>3926</v>
      </c>
      <c r="E4" s="17" t="s">
        <v>29</v>
      </c>
      <c r="F4" s="9" t="s">
        <v>28</v>
      </c>
      <c r="G4" s="17" t="s">
        <v>39</v>
      </c>
      <c r="H4" s="9" t="s">
        <v>27</v>
      </c>
      <c r="I4" s="18" t="s">
        <v>3</v>
      </c>
      <c r="J4" s="19">
        <v>0.7</v>
      </c>
      <c r="K4" s="7" t="s">
        <v>158</v>
      </c>
      <c r="L4" s="42" t="s">
        <v>46</v>
      </c>
      <c r="M4" s="7" t="s">
        <v>159</v>
      </c>
      <c r="N4" s="29" t="s">
        <v>160</v>
      </c>
      <c r="O4" s="19">
        <v>7.0000000000000007E-2</v>
      </c>
      <c r="P4" s="28"/>
      <c r="Q4" s="19">
        <f t="shared" ref="Q4:Q9" si="2">ROUND(IF(OR(N4="",P4=""),0,IF(AND(N4=0,P4=0),1,IF(S4="+",P4/N4,N4/P4))),2)</f>
        <v>0</v>
      </c>
      <c r="R4" s="26">
        <f t="shared" si="1"/>
        <v>0</v>
      </c>
      <c r="S4" s="19" t="s">
        <v>4</v>
      </c>
      <c r="T4" s="19"/>
      <c r="U4" s="2"/>
      <c r="V4" s="2"/>
      <c r="W4" s="2"/>
      <c r="X4" s="2"/>
      <c r="Y4" s="2"/>
      <c r="Z4" s="2"/>
      <c r="AA4" s="2"/>
      <c r="AB4" s="2"/>
      <c r="AC4" s="2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s="3" customFormat="1" ht="21.6" hidden="1" x14ac:dyDescent="0.2">
      <c r="A5" s="4">
        <v>2073</v>
      </c>
      <c r="B5" s="17" t="s">
        <v>2</v>
      </c>
      <c r="C5" s="5" t="s">
        <v>25</v>
      </c>
      <c r="D5" s="1">
        <v>3926</v>
      </c>
      <c r="E5" s="17" t="s">
        <v>29</v>
      </c>
      <c r="F5" s="9" t="s">
        <v>28</v>
      </c>
      <c r="G5" s="17" t="s">
        <v>39</v>
      </c>
      <c r="H5" s="9" t="s">
        <v>27</v>
      </c>
      <c r="I5" s="18" t="s">
        <v>3</v>
      </c>
      <c r="J5" s="19">
        <v>0.7</v>
      </c>
      <c r="K5" s="7" t="s">
        <v>162</v>
      </c>
      <c r="L5" s="42" t="s">
        <v>49</v>
      </c>
      <c r="M5" s="7" t="s">
        <v>163</v>
      </c>
      <c r="N5" s="28" t="s">
        <v>50</v>
      </c>
      <c r="O5" s="19">
        <v>0.08</v>
      </c>
      <c r="P5" s="30"/>
      <c r="Q5" s="19">
        <f t="shared" si="2"/>
        <v>0</v>
      </c>
      <c r="R5" s="26">
        <f t="shared" si="1"/>
        <v>0</v>
      </c>
      <c r="S5" s="19" t="s">
        <v>4</v>
      </c>
      <c r="T5" s="19"/>
      <c r="U5" s="2"/>
      <c r="V5" s="2"/>
      <c r="W5" s="2"/>
      <c r="X5" s="2"/>
      <c r="Y5" s="2"/>
      <c r="Z5" s="2"/>
      <c r="AA5" s="2"/>
      <c r="AB5" s="2"/>
      <c r="AC5" s="2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s="3" customFormat="1" ht="21.6" hidden="1" x14ac:dyDescent="0.2">
      <c r="A6" s="4">
        <v>2074</v>
      </c>
      <c r="B6" s="17" t="s">
        <v>2</v>
      </c>
      <c r="C6" s="5" t="s">
        <v>25</v>
      </c>
      <c r="D6" s="1">
        <v>3926</v>
      </c>
      <c r="E6" s="17" t="s">
        <v>29</v>
      </c>
      <c r="F6" s="9" t="s">
        <v>28</v>
      </c>
      <c r="G6" s="17" t="s">
        <v>39</v>
      </c>
      <c r="H6" s="9" t="s">
        <v>27</v>
      </c>
      <c r="I6" s="18" t="s">
        <v>3</v>
      </c>
      <c r="J6" s="19">
        <v>0.7</v>
      </c>
      <c r="K6" s="7" t="s">
        <v>165</v>
      </c>
      <c r="L6" s="42" t="s">
        <v>52</v>
      </c>
      <c r="M6" s="7" t="s">
        <v>166</v>
      </c>
      <c r="N6" s="24" t="s">
        <v>58</v>
      </c>
      <c r="O6" s="19">
        <v>0.06</v>
      </c>
      <c r="P6" s="31"/>
      <c r="Q6" s="19">
        <f t="shared" si="2"/>
        <v>0</v>
      </c>
      <c r="R6" s="26">
        <f t="shared" si="1"/>
        <v>0</v>
      </c>
      <c r="S6" s="19" t="s">
        <v>0</v>
      </c>
      <c r="T6" s="19"/>
      <c r="U6" s="2"/>
      <c r="V6" s="2"/>
      <c r="W6" s="2"/>
      <c r="X6" s="2"/>
      <c r="Y6" s="2"/>
      <c r="Z6" s="2"/>
      <c r="AA6" s="2"/>
      <c r="AB6" s="2"/>
      <c r="AC6" s="2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s="3" customFormat="1" ht="21.6" hidden="1" x14ac:dyDescent="0.2">
      <c r="A7" s="4">
        <v>2074</v>
      </c>
      <c r="B7" s="17" t="s">
        <v>2</v>
      </c>
      <c r="C7" s="5" t="s">
        <v>25</v>
      </c>
      <c r="D7" s="1">
        <v>3926</v>
      </c>
      <c r="E7" s="17" t="s">
        <v>29</v>
      </c>
      <c r="F7" s="9" t="s">
        <v>28</v>
      </c>
      <c r="G7" s="17" t="s">
        <v>39</v>
      </c>
      <c r="H7" s="9" t="s">
        <v>27</v>
      </c>
      <c r="I7" s="20" t="s">
        <v>3</v>
      </c>
      <c r="J7" s="21">
        <v>0.7</v>
      </c>
      <c r="K7" s="8" t="s">
        <v>168</v>
      </c>
      <c r="L7" s="43" t="s">
        <v>54</v>
      </c>
      <c r="M7" s="8" t="s">
        <v>169</v>
      </c>
      <c r="N7" s="32" t="s">
        <v>55</v>
      </c>
      <c r="O7" s="33">
        <v>0.06</v>
      </c>
      <c r="P7" s="31"/>
      <c r="Q7" s="33">
        <f t="shared" si="2"/>
        <v>0</v>
      </c>
      <c r="R7" s="34">
        <f t="shared" si="1"/>
        <v>0</v>
      </c>
      <c r="S7" s="33" t="s">
        <v>4</v>
      </c>
      <c r="T7" s="33"/>
      <c r="U7" s="2"/>
      <c r="V7" s="2"/>
      <c r="W7" s="2"/>
      <c r="X7" s="2"/>
      <c r="Y7" s="2"/>
      <c r="Z7" s="2"/>
      <c r="AA7" s="2"/>
      <c r="AB7" s="2"/>
      <c r="AC7" s="2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s="3" customFormat="1" ht="21.6" hidden="1" x14ac:dyDescent="0.2">
      <c r="A8" s="4">
        <v>2074</v>
      </c>
      <c r="B8" s="17" t="s">
        <v>2</v>
      </c>
      <c r="C8" s="5" t="s">
        <v>25</v>
      </c>
      <c r="D8" s="1">
        <v>3926</v>
      </c>
      <c r="E8" s="17" t="s">
        <v>29</v>
      </c>
      <c r="F8" s="9" t="s">
        <v>28</v>
      </c>
      <c r="G8" s="17" t="s">
        <v>39</v>
      </c>
      <c r="H8" s="9" t="s">
        <v>27</v>
      </c>
      <c r="I8" s="20" t="s">
        <v>1</v>
      </c>
      <c r="J8" s="21">
        <v>0.3</v>
      </c>
      <c r="K8" s="8" t="s">
        <v>171</v>
      </c>
      <c r="L8" s="43" t="s">
        <v>57</v>
      </c>
      <c r="M8" s="8" t="s">
        <v>172</v>
      </c>
      <c r="N8" s="32" t="s">
        <v>173</v>
      </c>
      <c r="O8" s="33">
        <v>0.05</v>
      </c>
      <c r="P8" s="31"/>
      <c r="Q8" s="33">
        <f t="shared" si="2"/>
        <v>0</v>
      </c>
      <c r="R8" s="34">
        <f t="shared" si="1"/>
        <v>0</v>
      </c>
      <c r="S8" s="33" t="s">
        <v>0</v>
      </c>
      <c r="T8" s="33"/>
      <c r="U8" s="2"/>
      <c r="V8" s="2"/>
      <c r="W8" s="2"/>
      <c r="X8" s="2"/>
      <c r="Y8" s="2"/>
      <c r="Z8" s="2"/>
      <c r="AA8" s="2"/>
      <c r="AB8" s="2"/>
      <c r="AC8" s="2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s="3" customFormat="1" ht="21.6" hidden="1" x14ac:dyDescent="0.2">
      <c r="A9" s="4">
        <v>2074</v>
      </c>
      <c r="B9" s="17" t="s">
        <v>2</v>
      </c>
      <c r="C9" s="5" t="s">
        <v>25</v>
      </c>
      <c r="D9" s="1">
        <v>3926</v>
      </c>
      <c r="E9" s="17" t="s">
        <v>29</v>
      </c>
      <c r="F9" s="9" t="s">
        <v>28</v>
      </c>
      <c r="G9" s="17" t="s">
        <v>39</v>
      </c>
      <c r="H9" s="9" t="s">
        <v>27</v>
      </c>
      <c r="I9" s="20" t="s">
        <v>1</v>
      </c>
      <c r="J9" s="21">
        <v>0.3</v>
      </c>
      <c r="K9" s="8" t="s">
        <v>175</v>
      </c>
      <c r="L9" s="43" t="s">
        <v>60</v>
      </c>
      <c r="M9" s="8" t="s">
        <v>176</v>
      </c>
      <c r="N9" s="35" t="s">
        <v>177</v>
      </c>
      <c r="O9" s="33">
        <v>0.05</v>
      </c>
      <c r="P9" s="35"/>
      <c r="Q9" s="33">
        <f t="shared" si="2"/>
        <v>0</v>
      </c>
      <c r="R9" s="34">
        <f t="shared" si="1"/>
        <v>0</v>
      </c>
      <c r="S9" s="33" t="s">
        <v>0</v>
      </c>
      <c r="T9" s="33"/>
      <c r="U9" s="2"/>
      <c r="V9" s="2"/>
      <c r="W9" s="2"/>
      <c r="X9" s="2"/>
      <c r="Y9" s="2"/>
      <c r="Z9" s="2"/>
      <c r="AA9" s="2"/>
      <c r="AB9" s="2"/>
      <c r="AC9" s="2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s="3" customFormat="1" ht="21.6" hidden="1" x14ac:dyDescent="0.2">
      <c r="A10" s="4">
        <v>2074</v>
      </c>
      <c r="B10" s="17" t="s">
        <v>2</v>
      </c>
      <c r="C10" s="5" t="s">
        <v>25</v>
      </c>
      <c r="D10" s="1">
        <v>3926</v>
      </c>
      <c r="E10" s="17" t="s">
        <v>29</v>
      </c>
      <c r="F10" s="9" t="s">
        <v>28</v>
      </c>
      <c r="G10" s="17" t="s">
        <v>39</v>
      </c>
      <c r="H10" s="9" t="s">
        <v>27</v>
      </c>
      <c r="I10" s="20" t="s">
        <v>3</v>
      </c>
      <c r="J10" s="21">
        <v>0.7</v>
      </c>
      <c r="K10" s="8" t="s">
        <v>62</v>
      </c>
      <c r="L10" s="43" t="s">
        <v>63</v>
      </c>
      <c r="M10" s="8" t="s">
        <v>179</v>
      </c>
      <c r="N10" s="35" t="s">
        <v>180</v>
      </c>
      <c r="O10" s="33">
        <v>0.05</v>
      </c>
      <c r="P10" s="35"/>
      <c r="Q10" s="33"/>
      <c r="R10" s="34"/>
      <c r="S10" s="33" t="s">
        <v>4</v>
      </c>
      <c r="T10" s="33"/>
      <c r="U10" s="2"/>
      <c r="V10" s="2"/>
      <c r="W10" s="2"/>
      <c r="X10" s="2"/>
      <c r="Y10" s="2"/>
      <c r="Z10" s="2"/>
      <c r="AA10" s="2"/>
      <c r="AB10" s="2"/>
      <c r="AC10" s="2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s="3" customFormat="1" ht="21.6" hidden="1" x14ac:dyDescent="0.2">
      <c r="A11" s="4">
        <v>2074</v>
      </c>
      <c r="B11" s="17" t="s">
        <v>2</v>
      </c>
      <c r="C11" s="5" t="s">
        <v>25</v>
      </c>
      <c r="D11" s="1">
        <v>3926</v>
      </c>
      <c r="E11" s="17" t="s">
        <v>29</v>
      </c>
      <c r="F11" s="9" t="s">
        <v>28</v>
      </c>
      <c r="G11" s="17" t="s">
        <v>39</v>
      </c>
      <c r="H11" s="9" t="s">
        <v>27</v>
      </c>
      <c r="I11" s="20" t="s">
        <v>1</v>
      </c>
      <c r="J11" s="21">
        <v>0.3</v>
      </c>
      <c r="K11" s="8" t="s">
        <v>64</v>
      </c>
      <c r="L11" s="43" t="s">
        <v>65</v>
      </c>
      <c r="M11" s="8" t="s">
        <v>182</v>
      </c>
      <c r="N11" s="35" t="s">
        <v>58</v>
      </c>
      <c r="O11" s="33">
        <v>0.05</v>
      </c>
      <c r="P11" s="35"/>
      <c r="Q11" s="33">
        <f t="shared" ref="Q11:Q14" si="3">ROUND(IF(OR(N11="",P11=""),0,IF(AND(N11=0,P11=0),1,IF(S11="+",P11/N11,N11/P11))),2)</f>
        <v>0</v>
      </c>
      <c r="R11" s="34">
        <f t="shared" ref="R11:R14" si="4">IF(AND(Q11&gt;=60%,Q11&lt;100%),Q11*((O11*J11)),IF(Q11=100%,((O11*J11)*Q11)*100%,IF(Q11&gt;100%,((J11*O11)*100%)*100%,0)))*100</f>
        <v>0</v>
      </c>
      <c r="S11" s="33" t="s">
        <v>0</v>
      </c>
      <c r="T11" s="33"/>
      <c r="U11" s="2"/>
      <c r="V11" s="2"/>
      <c r="W11" s="2"/>
      <c r="X11" s="2"/>
      <c r="Y11" s="2"/>
      <c r="Z11" s="2"/>
      <c r="AA11" s="2"/>
      <c r="AB11" s="2"/>
      <c r="AC11" s="2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s="3" customFormat="1" ht="21.6" hidden="1" x14ac:dyDescent="0.2">
      <c r="A12" s="4">
        <v>2075</v>
      </c>
      <c r="B12" s="17" t="s">
        <v>2</v>
      </c>
      <c r="C12" s="5" t="s">
        <v>25</v>
      </c>
      <c r="D12" s="1">
        <v>3926</v>
      </c>
      <c r="E12" s="17" t="s">
        <v>29</v>
      </c>
      <c r="F12" s="9" t="s">
        <v>28</v>
      </c>
      <c r="G12" s="17" t="s">
        <v>39</v>
      </c>
      <c r="H12" s="9" t="s">
        <v>27</v>
      </c>
      <c r="I12" s="20" t="s">
        <v>1</v>
      </c>
      <c r="J12" s="21">
        <v>0.3</v>
      </c>
      <c r="K12" s="8" t="s">
        <v>184</v>
      </c>
      <c r="L12" s="43" t="s">
        <v>185</v>
      </c>
      <c r="M12" s="8" t="s">
        <v>186</v>
      </c>
      <c r="N12" s="32" t="s">
        <v>58</v>
      </c>
      <c r="O12" s="33">
        <v>0.05</v>
      </c>
      <c r="P12" s="31"/>
      <c r="Q12" s="33">
        <f t="shared" si="3"/>
        <v>0</v>
      </c>
      <c r="R12" s="34">
        <f t="shared" si="4"/>
        <v>0</v>
      </c>
      <c r="S12" s="33" t="s">
        <v>0</v>
      </c>
      <c r="T12" s="33"/>
      <c r="U12" s="2"/>
      <c r="V12" s="2"/>
      <c r="W12" s="2"/>
      <c r="X12" s="2"/>
      <c r="Y12" s="2"/>
      <c r="Z12" s="2"/>
      <c r="AA12" s="2"/>
      <c r="AB12" s="2"/>
      <c r="AC12" s="2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s="3" customFormat="1" ht="21.6" hidden="1" x14ac:dyDescent="0.2">
      <c r="A13" s="4">
        <v>2076</v>
      </c>
      <c r="B13" s="17" t="s">
        <v>2</v>
      </c>
      <c r="C13" s="5" t="s">
        <v>25</v>
      </c>
      <c r="D13" s="1">
        <v>3926</v>
      </c>
      <c r="E13" s="17" t="s">
        <v>29</v>
      </c>
      <c r="F13" s="9" t="s">
        <v>28</v>
      </c>
      <c r="G13" s="17" t="s">
        <v>39</v>
      </c>
      <c r="H13" s="9" t="s">
        <v>27</v>
      </c>
      <c r="I13" s="20" t="s">
        <v>1</v>
      </c>
      <c r="J13" s="21">
        <v>0.3</v>
      </c>
      <c r="K13" s="8" t="s">
        <v>188</v>
      </c>
      <c r="L13" s="43" t="s">
        <v>189</v>
      </c>
      <c r="M13" s="8" t="s">
        <v>190</v>
      </c>
      <c r="N13" s="32" t="s">
        <v>58</v>
      </c>
      <c r="O13" s="33">
        <v>0.05</v>
      </c>
      <c r="P13" s="31"/>
      <c r="Q13" s="33">
        <f t="shared" si="3"/>
        <v>0</v>
      </c>
      <c r="R13" s="34">
        <f t="shared" si="4"/>
        <v>0</v>
      </c>
      <c r="S13" s="33" t="s">
        <v>0</v>
      </c>
      <c r="T13" s="33"/>
      <c r="U13" s="2"/>
      <c r="V13" s="2"/>
      <c r="W13" s="2"/>
      <c r="X13" s="2"/>
      <c r="Y13" s="2"/>
      <c r="Z13" s="2"/>
      <c r="AA13" s="2"/>
      <c r="AB13" s="2"/>
      <c r="AC13" s="2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s="3" customFormat="1" ht="21.6" hidden="1" x14ac:dyDescent="0.2">
      <c r="A14" s="4">
        <v>2077</v>
      </c>
      <c r="B14" s="17" t="s">
        <v>2</v>
      </c>
      <c r="C14" s="5" t="s">
        <v>25</v>
      </c>
      <c r="D14" s="1">
        <v>3926</v>
      </c>
      <c r="E14" s="17" t="s">
        <v>29</v>
      </c>
      <c r="F14" s="9" t="s">
        <v>28</v>
      </c>
      <c r="G14" s="17" t="s">
        <v>39</v>
      </c>
      <c r="H14" s="9" t="s">
        <v>27</v>
      </c>
      <c r="I14" s="20" t="s">
        <v>3</v>
      </c>
      <c r="J14" s="21">
        <v>0.7</v>
      </c>
      <c r="K14" s="8" t="s">
        <v>192</v>
      </c>
      <c r="L14" s="43" t="s">
        <v>193</v>
      </c>
      <c r="M14" s="8" t="s">
        <v>194</v>
      </c>
      <c r="N14" s="35" t="s">
        <v>58</v>
      </c>
      <c r="O14" s="33">
        <v>0.04</v>
      </c>
      <c r="P14" s="35"/>
      <c r="Q14" s="33">
        <f t="shared" si="3"/>
        <v>0</v>
      </c>
      <c r="R14" s="34">
        <f t="shared" si="4"/>
        <v>0</v>
      </c>
      <c r="S14" s="33" t="s">
        <v>0</v>
      </c>
      <c r="T14" s="33"/>
      <c r="U14" s="2"/>
      <c r="V14" s="2"/>
      <c r="W14" s="2"/>
      <c r="X14" s="2"/>
      <c r="Y14" s="2"/>
      <c r="Z14" s="2"/>
      <c r="AA14" s="2"/>
      <c r="AB14" s="2"/>
      <c r="AC14" s="2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s="3" customFormat="1" ht="21.6" hidden="1" x14ac:dyDescent="0.2">
      <c r="A15" s="4">
        <v>2078</v>
      </c>
      <c r="B15" s="17" t="s">
        <v>2</v>
      </c>
      <c r="C15" s="5" t="s">
        <v>25</v>
      </c>
      <c r="D15" s="1">
        <v>3926</v>
      </c>
      <c r="E15" s="17" t="s">
        <v>29</v>
      </c>
      <c r="F15" s="9" t="s">
        <v>28</v>
      </c>
      <c r="G15" s="17" t="s">
        <v>39</v>
      </c>
      <c r="H15" s="9" t="s">
        <v>27</v>
      </c>
      <c r="I15" s="20" t="s">
        <v>3</v>
      </c>
      <c r="J15" s="21">
        <v>0.7</v>
      </c>
      <c r="K15" s="8" t="s">
        <v>196</v>
      </c>
      <c r="L15" s="43" t="s">
        <v>197</v>
      </c>
      <c r="M15" s="8" t="s">
        <v>198</v>
      </c>
      <c r="N15" s="35" t="s">
        <v>58</v>
      </c>
      <c r="O15" s="33">
        <v>0.04</v>
      </c>
      <c r="P15" s="35"/>
      <c r="Q15" s="33"/>
      <c r="R15" s="34"/>
      <c r="S15" s="33" t="s">
        <v>0</v>
      </c>
      <c r="T15" s="33"/>
      <c r="U15" s="2"/>
      <c r="V15" s="2"/>
      <c r="W15" s="2"/>
      <c r="X15" s="2"/>
      <c r="Y15" s="2"/>
      <c r="Z15" s="2"/>
      <c r="AA15" s="2"/>
      <c r="AB15" s="2"/>
      <c r="AC15" s="2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s="3" customFormat="1" ht="21.6" hidden="1" x14ac:dyDescent="0.2">
      <c r="A16" s="4">
        <v>2079</v>
      </c>
      <c r="B16" s="17" t="s">
        <v>2</v>
      </c>
      <c r="C16" s="5" t="s">
        <v>25</v>
      </c>
      <c r="D16" s="1">
        <v>3926</v>
      </c>
      <c r="E16" s="17" t="s">
        <v>29</v>
      </c>
      <c r="F16" s="9" t="s">
        <v>28</v>
      </c>
      <c r="G16" s="17" t="s">
        <v>39</v>
      </c>
      <c r="H16" s="9" t="s">
        <v>27</v>
      </c>
      <c r="I16" s="20" t="s">
        <v>3</v>
      </c>
      <c r="J16" s="21">
        <v>0.7</v>
      </c>
      <c r="K16" s="8" t="s">
        <v>200</v>
      </c>
      <c r="L16" s="43" t="s">
        <v>201</v>
      </c>
      <c r="M16" s="8" t="s">
        <v>202</v>
      </c>
      <c r="N16" s="35" t="s">
        <v>203</v>
      </c>
      <c r="O16" s="33">
        <v>0.1</v>
      </c>
      <c r="P16" s="35"/>
      <c r="Q16" s="33">
        <f t="shared" ref="Q16" si="5">ROUND(IF(OR(N16="",P16=""),0,IF(AND(N16=0,P16=0),1,IF(S16="+",P16/N16,N16/P16))),2)</f>
        <v>0</v>
      </c>
      <c r="R16" s="34">
        <f t="shared" ref="R16" si="6">IF(AND(Q16&gt;=60%,Q16&lt;100%),Q16*((O16*J16)),IF(Q16=100%,((O16*J16)*Q16)*100%,IF(Q16&gt;100%,((J16*O16)*100%)*100%,0)))*100</f>
        <v>0</v>
      </c>
      <c r="S16" s="33" t="s">
        <v>0</v>
      </c>
      <c r="T16" s="33"/>
      <c r="U16" s="2"/>
      <c r="V16" s="2"/>
      <c r="W16" s="2"/>
      <c r="X16" s="2"/>
      <c r="Y16" s="2"/>
      <c r="Z16" s="2"/>
      <c r="AA16" s="2"/>
      <c r="AB16" s="2"/>
      <c r="AC16" s="2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s="3" customFormat="1" ht="21.6" hidden="1" x14ac:dyDescent="0.2">
      <c r="A17" s="4">
        <v>2080</v>
      </c>
      <c r="B17" s="17" t="s">
        <v>2</v>
      </c>
      <c r="C17" s="5" t="s">
        <v>25</v>
      </c>
      <c r="D17" s="1">
        <v>5135</v>
      </c>
      <c r="E17" s="1" t="s">
        <v>31</v>
      </c>
      <c r="F17" s="9" t="s">
        <v>28</v>
      </c>
      <c r="G17" s="17" t="s">
        <v>39</v>
      </c>
      <c r="H17" s="9" t="s">
        <v>27</v>
      </c>
      <c r="I17" s="18" t="s">
        <v>3</v>
      </c>
      <c r="J17" s="19">
        <v>0.7</v>
      </c>
      <c r="K17" s="24" t="s">
        <v>110</v>
      </c>
      <c r="L17" s="22" t="s">
        <v>111</v>
      </c>
      <c r="M17" s="7" t="s">
        <v>113</v>
      </c>
      <c r="N17" s="19">
        <v>0.98</v>
      </c>
      <c r="O17" s="19">
        <v>0.15</v>
      </c>
      <c r="P17" s="19"/>
      <c r="Q17" s="19">
        <f t="shared" ref="Q17" si="7">ROUND(IF(OR(N17="",P17=""),0,IF(AND(N17=0,P17=0),1,IF(S17="+",P17/N17,N17/P17))),2)</f>
        <v>0</v>
      </c>
      <c r="R17" s="26">
        <f t="shared" ref="R17:R24" si="8">IF(AND(Q17&gt;=60%,Q17&lt;100%),Q17*((O17*J17)),IF(Q17=100%,((O17*J17)*Q17)*100%,IF(Q17&gt;100%,((J17*O17)*100%)*100%,0)))*100</f>
        <v>0</v>
      </c>
      <c r="S17" s="19" t="s">
        <v>0</v>
      </c>
      <c r="T17" s="27">
        <f>SUM(R17:R24)%</f>
        <v>0</v>
      </c>
      <c r="U17" s="2"/>
      <c r="V17" s="2"/>
      <c r="W17" s="2"/>
      <c r="X17" s="2"/>
      <c r="Y17" s="2"/>
      <c r="Z17" s="2"/>
      <c r="AA17" s="2"/>
      <c r="AB17" s="2"/>
      <c r="AC17" s="2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s="3" customFormat="1" ht="21.6" hidden="1" x14ac:dyDescent="0.2">
      <c r="A18" s="4">
        <v>2081</v>
      </c>
      <c r="B18" s="17" t="s">
        <v>2</v>
      </c>
      <c r="C18" s="5" t="s">
        <v>25</v>
      </c>
      <c r="D18" s="1">
        <v>5135</v>
      </c>
      <c r="E18" s="1" t="s">
        <v>31</v>
      </c>
      <c r="F18" s="9" t="s">
        <v>28</v>
      </c>
      <c r="G18" s="17" t="s">
        <v>39</v>
      </c>
      <c r="H18" s="9" t="s">
        <v>27</v>
      </c>
      <c r="I18" s="18" t="s">
        <v>3</v>
      </c>
      <c r="J18" s="19">
        <v>0.7</v>
      </c>
      <c r="K18" s="24" t="s">
        <v>114</v>
      </c>
      <c r="L18" s="22" t="s">
        <v>115</v>
      </c>
      <c r="M18" s="24" t="s">
        <v>117</v>
      </c>
      <c r="N18" s="19">
        <v>1</v>
      </c>
      <c r="O18" s="19">
        <v>0.15</v>
      </c>
      <c r="P18" s="28"/>
      <c r="Q18" s="19">
        <f>ROUND(IF(OR(N18="",P18=""),0,IF(AND(N18=0,P18=0),1,IF(S18="+",P18/N18,N18/P18))),2)</f>
        <v>0</v>
      </c>
      <c r="R18" s="26">
        <f t="shared" si="8"/>
        <v>0</v>
      </c>
      <c r="S18" s="19" t="s">
        <v>0</v>
      </c>
      <c r="T18" s="19"/>
      <c r="U18" s="2"/>
      <c r="V18" s="2"/>
      <c r="W18" s="2"/>
      <c r="X18" s="2"/>
      <c r="Y18" s="2"/>
      <c r="Z18" s="2"/>
      <c r="AA18" s="2"/>
      <c r="AB18" s="2"/>
      <c r="AC18" s="2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s="3" customFormat="1" ht="21.6" hidden="1" x14ac:dyDescent="0.2">
      <c r="A19" s="4">
        <v>2082</v>
      </c>
      <c r="B19" s="17" t="s">
        <v>2</v>
      </c>
      <c r="C19" s="5" t="s">
        <v>25</v>
      </c>
      <c r="D19" s="1">
        <v>5135</v>
      </c>
      <c r="E19" s="1" t="s">
        <v>31</v>
      </c>
      <c r="F19" s="9" t="s">
        <v>28</v>
      </c>
      <c r="G19" s="17" t="s">
        <v>39</v>
      </c>
      <c r="H19" s="9" t="s">
        <v>27</v>
      </c>
      <c r="I19" s="18" t="s">
        <v>3</v>
      </c>
      <c r="J19" s="19">
        <v>0.7</v>
      </c>
      <c r="K19" s="24" t="s">
        <v>118</v>
      </c>
      <c r="L19" s="22" t="s">
        <v>119</v>
      </c>
      <c r="M19" s="24" t="s">
        <v>121</v>
      </c>
      <c r="N19" s="19">
        <v>1</v>
      </c>
      <c r="O19" s="19">
        <v>0.15</v>
      </c>
      <c r="P19" s="28"/>
      <c r="Q19" s="19">
        <f t="shared" ref="Q19:Q24" si="9">ROUND(IF(OR(N19="",P19=""),0,IF(AND(N19=0,P19=0),1,IF(S19="+",P19/N19,N19/P19))),2)</f>
        <v>0</v>
      </c>
      <c r="R19" s="26">
        <f t="shared" si="8"/>
        <v>0</v>
      </c>
      <c r="S19" s="19" t="s">
        <v>0</v>
      </c>
      <c r="T19" s="19"/>
      <c r="U19" s="2"/>
      <c r="V19" s="2"/>
      <c r="W19" s="2"/>
      <c r="X19" s="2"/>
      <c r="Y19" s="2"/>
      <c r="Z19" s="2"/>
      <c r="AA19" s="2"/>
      <c r="AB19" s="2"/>
      <c r="AC19" s="2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s="3" customFormat="1" ht="21.6" hidden="1" x14ac:dyDescent="0.2">
      <c r="A20" s="4">
        <v>2083</v>
      </c>
      <c r="B20" s="17" t="s">
        <v>2</v>
      </c>
      <c r="C20" s="5" t="s">
        <v>25</v>
      </c>
      <c r="D20" s="1">
        <v>5135</v>
      </c>
      <c r="E20" s="1" t="s">
        <v>31</v>
      </c>
      <c r="F20" s="9" t="s">
        <v>28</v>
      </c>
      <c r="G20" s="17" t="s">
        <v>39</v>
      </c>
      <c r="H20" s="9" t="s">
        <v>27</v>
      </c>
      <c r="I20" s="18" t="s">
        <v>3</v>
      </c>
      <c r="J20" s="19">
        <v>0.7</v>
      </c>
      <c r="K20" s="24" t="s">
        <v>122</v>
      </c>
      <c r="L20" s="22" t="s">
        <v>123</v>
      </c>
      <c r="M20" s="24" t="s">
        <v>125</v>
      </c>
      <c r="N20" s="19">
        <v>0.99</v>
      </c>
      <c r="O20" s="19">
        <v>0.15</v>
      </c>
      <c r="P20" s="30"/>
      <c r="Q20" s="19">
        <f t="shared" si="9"/>
        <v>0</v>
      </c>
      <c r="R20" s="26">
        <f t="shared" si="8"/>
        <v>0</v>
      </c>
      <c r="S20" s="19" t="s">
        <v>0</v>
      </c>
      <c r="T20" s="19"/>
      <c r="U20" s="2"/>
      <c r="V20" s="2"/>
      <c r="W20" s="2"/>
      <c r="X20" s="2"/>
      <c r="Y20" s="2"/>
      <c r="Z20" s="2"/>
      <c r="AA20" s="2"/>
      <c r="AB20" s="2"/>
      <c r="AC20" s="2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s="3" customFormat="1" ht="21.6" hidden="1" x14ac:dyDescent="0.2">
      <c r="A21" s="4">
        <v>2084</v>
      </c>
      <c r="B21" s="17" t="s">
        <v>2</v>
      </c>
      <c r="C21" s="5" t="s">
        <v>25</v>
      </c>
      <c r="D21" s="1">
        <v>5135</v>
      </c>
      <c r="E21" s="1" t="s">
        <v>31</v>
      </c>
      <c r="F21" s="9" t="s">
        <v>28</v>
      </c>
      <c r="G21" s="17" t="s">
        <v>39</v>
      </c>
      <c r="H21" s="9" t="s">
        <v>27</v>
      </c>
      <c r="I21" s="18" t="s">
        <v>3</v>
      </c>
      <c r="J21" s="19">
        <v>0.7</v>
      </c>
      <c r="K21" s="24" t="s">
        <v>126</v>
      </c>
      <c r="L21" s="22" t="s">
        <v>127</v>
      </c>
      <c r="M21" s="24" t="s">
        <v>129</v>
      </c>
      <c r="N21" s="19">
        <v>1</v>
      </c>
      <c r="O21" s="19">
        <v>0.12</v>
      </c>
      <c r="P21" s="31"/>
      <c r="Q21" s="19">
        <f t="shared" si="9"/>
        <v>0</v>
      </c>
      <c r="R21" s="26">
        <f t="shared" si="8"/>
        <v>0</v>
      </c>
      <c r="S21" s="19" t="s">
        <v>0</v>
      </c>
      <c r="T21" s="19"/>
      <c r="U21" s="2"/>
      <c r="V21" s="2"/>
      <c r="W21" s="2"/>
      <c r="X21" s="2"/>
      <c r="Y21" s="2"/>
      <c r="Z21" s="2"/>
      <c r="AA21" s="2"/>
      <c r="AB21" s="2"/>
      <c r="AC21" s="2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s="3" customFormat="1" ht="21.6" hidden="1" x14ac:dyDescent="0.2">
      <c r="A22" s="4">
        <v>2085</v>
      </c>
      <c r="B22" s="17" t="s">
        <v>2</v>
      </c>
      <c r="C22" s="5" t="s">
        <v>25</v>
      </c>
      <c r="D22" s="1">
        <v>5135</v>
      </c>
      <c r="E22" s="1" t="s">
        <v>31</v>
      </c>
      <c r="F22" s="9" t="s">
        <v>28</v>
      </c>
      <c r="G22" s="17" t="s">
        <v>39</v>
      </c>
      <c r="H22" s="9" t="s">
        <v>27</v>
      </c>
      <c r="I22" s="20" t="s">
        <v>1</v>
      </c>
      <c r="J22" s="21">
        <v>0.3</v>
      </c>
      <c r="K22" s="20" t="s">
        <v>130</v>
      </c>
      <c r="L22" s="23" t="s">
        <v>131</v>
      </c>
      <c r="M22" s="20" t="s">
        <v>133</v>
      </c>
      <c r="N22" s="34">
        <v>5</v>
      </c>
      <c r="O22" s="33">
        <v>0.08</v>
      </c>
      <c r="P22" s="31"/>
      <c r="Q22" s="33">
        <f t="shared" si="9"/>
        <v>0</v>
      </c>
      <c r="R22" s="34">
        <f t="shared" si="8"/>
        <v>0</v>
      </c>
      <c r="S22" s="33" t="s">
        <v>0</v>
      </c>
      <c r="T22" s="33"/>
      <c r="U22" s="2"/>
      <c r="V22" s="2"/>
      <c r="W22" s="2"/>
      <c r="X22" s="2"/>
      <c r="Y22" s="2"/>
      <c r="Z22" s="2"/>
      <c r="AA22" s="2"/>
      <c r="AB22" s="2"/>
      <c r="AC22" s="2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s="3" customFormat="1" ht="21.6" hidden="1" x14ac:dyDescent="0.2">
      <c r="A23" s="4">
        <v>2086</v>
      </c>
      <c r="B23" s="17" t="s">
        <v>2</v>
      </c>
      <c r="C23" s="5" t="s">
        <v>25</v>
      </c>
      <c r="D23" s="1">
        <v>5135</v>
      </c>
      <c r="E23" s="1" t="s">
        <v>31</v>
      </c>
      <c r="F23" s="9" t="s">
        <v>28</v>
      </c>
      <c r="G23" s="17" t="s">
        <v>39</v>
      </c>
      <c r="H23" s="9" t="s">
        <v>27</v>
      </c>
      <c r="I23" s="20" t="s">
        <v>1</v>
      </c>
      <c r="J23" s="21">
        <v>0.3</v>
      </c>
      <c r="K23" s="20" t="s">
        <v>134</v>
      </c>
      <c r="L23" s="23" t="s">
        <v>135</v>
      </c>
      <c r="M23" s="20" t="s">
        <v>137</v>
      </c>
      <c r="N23" s="33">
        <v>1</v>
      </c>
      <c r="O23" s="33">
        <v>0.06</v>
      </c>
      <c r="P23" s="31"/>
      <c r="Q23" s="33">
        <f t="shared" si="9"/>
        <v>0</v>
      </c>
      <c r="R23" s="34">
        <f t="shared" si="8"/>
        <v>0</v>
      </c>
      <c r="S23" s="33" t="s">
        <v>0</v>
      </c>
      <c r="T23" s="33"/>
      <c r="U23" s="2"/>
      <c r="V23" s="2"/>
      <c r="W23" s="2"/>
      <c r="X23" s="2"/>
      <c r="Y23" s="2"/>
      <c r="Z23" s="2"/>
      <c r="AA23" s="2"/>
      <c r="AB23" s="2"/>
      <c r="AC23" s="2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s="3" customFormat="1" ht="21.6" hidden="1" x14ac:dyDescent="0.2">
      <c r="A24" s="4">
        <v>2087</v>
      </c>
      <c r="B24" s="17" t="s">
        <v>2</v>
      </c>
      <c r="C24" s="5" t="s">
        <v>25</v>
      </c>
      <c r="D24" s="1">
        <v>5135</v>
      </c>
      <c r="E24" s="1" t="s">
        <v>31</v>
      </c>
      <c r="F24" s="9" t="s">
        <v>28</v>
      </c>
      <c r="G24" s="17" t="s">
        <v>39</v>
      </c>
      <c r="H24" s="9" t="s">
        <v>27</v>
      </c>
      <c r="I24" s="20" t="s">
        <v>3</v>
      </c>
      <c r="J24" s="21">
        <v>0.7</v>
      </c>
      <c r="K24" s="20" t="s">
        <v>138</v>
      </c>
      <c r="L24" s="23" t="s">
        <v>139</v>
      </c>
      <c r="M24" s="8" t="s">
        <v>141</v>
      </c>
      <c r="N24" s="33">
        <v>0.99</v>
      </c>
      <c r="O24" s="33">
        <v>0.06</v>
      </c>
      <c r="P24" s="35"/>
      <c r="Q24" s="33">
        <f t="shared" si="9"/>
        <v>0</v>
      </c>
      <c r="R24" s="34">
        <f t="shared" si="8"/>
        <v>0</v>
      </c>
      <c r="S24" s="33" t="s">
        <v>0</v>
      </c>
      <c r="T24" s="33"/>
      <c r="U24" s="2"/>
      <c r="V24" s="2"/>
      <c r="W24" s="2"/>
      <c r="X24" s="2"/>
      <c r="Y24" s="2"/>
      <c r="Z24" s="2"/>
      <c r="AA24" s="2"/>
      <c r="AB24" s="2"/>
      <c r="AC24" s="2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s="3" customFormat="1" ht="21.6" x14ac:dyDescent="0.2">
      <c r="A25" s="4">
        <v>2090</v>
      </c>
      <c r="B25" s="17" t="s">
        <v>2</v>
      </c>
      <c r="C25" s="5" t="s">
        <v>25</v>
      </c>
      <c r="D25" s="1">
        <v>5300</v>
      </c>
      <c r="E25" s="1" t="s">
        <v>32</v>
      </c>
      <c r="F25" s="9" t="s">
        <v>28</v>
      </c>
      <c r="G25" s="17" t="s">
        <v>39</v>
      </c>
      <c r="H25" s="9" t="s">
        <v>27</v>
      </c>
      <c r="I25" s="18" t="s">
        <v>3</v>
      </c>
      <c r="J25" s="19">
        <v>0.7</v>
      </c>
      <c r="K25" s="7" t="s">
        <v>152</v>
      </c>
      <c r="L25" s="42" t="s">
        <v>41</v>
      </c>
      <c r="M25" s="7" t="s">
        <v>153</v>
      </c>
      <c r="N25" s="12" t="s">
        <v>58</v>
      </c>
      <c r="O25" s="19">
        <v>0.1</v>
      </c>
      <c r="P25" s="19"/>
      <c r="Q25" s="19">
        <f t="shared" ref="Q25" si="10">ROUND(IF(OR(N25="",P25=""),0,IF(AND(N25=0,P25=0),1,IF(S25="+",P25/N25,N25/P25))),2)</f>
        <v>0</v>
      </c>
      <c r="R25" s="26">
        <f t="shared" ref="R25:R37" si="11">IF(AND(Q25&gt;=60%,Q25&lt;100%),Q25*((O25*J25)),IF(Q25=100%,((O25*J25)*Q25)*100%,IF(Q25&gt;100%,((J25*O25)*100%)*100%,0)))*100</f>
        <v>0</v>
      </c>
      <c r="S25" s="19" t="s">
        <v>0</v>
      </c>
      <c r="T25" s="27">
        <f>SUM(R25:R39)%</f>
        <v>0</v>
      </c>
      <c r="U25" s="2"/>
      <c r="V25" s="2"/>
      <c r="W25" s="2"/>
      <c r="X25" s="2"/>
      <c r="Y25" s="2"/>
      <c r="Z25" s="2"/>
      <c r="AA25" s="2"/>
      <c r="AB25" s="2"/>
      <c r="AC25" s="2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s="3" customFormat="1" ht="21.6" x14ac:dyDescent="0.2">
      <c r="A26" s="4">
        <v>2091</v>
      </c>
      <c r="B26" s="17" t="s">
        <v>2</v>
      </c>
      <c r="C26" s="5" t="s">
        <v>25</v>
      </c>
      <c r="D26" s="1">
        <v>5300</v>
      </c>
      <c r="E26" s="1" t="s">
        <v>32</v>
      </c>
      <c r="F26" s="9" t="s">
        <v>28</v>
      </c>
      <c r="G26" s="17" t="s">
        <v>39</v>
      </c>
      <c r="H26" s="9" t="s">
        <v>27</v>
      </c>
      <c r="I26" s="18" t="s">
        <v>3</v>
      </c>
      <c r="J26" s="19">
        <v>0.7</v>
      </c>
      <c r="K26" s="7" t="s">
        <v>155</v>
      </c>
      <c r="L26" s="42" t="s">
        <v>43</v>
      </c>
      <c r="M26" s="7" t="s">
        <v>156</v>
      </c>
      <c r="N26" s="25" t="s">
        <v>42</v>
      </c>
      <c r="O26" s="19">
        <v>0.1</v>
      </c>
      <c r="P26" s="28"/>
      <c r="Q26" s="19">
        <f>ROUND(IF(OR(N26="",P26=""),0,IF(AND(N26=0,P26=0),1,IF(S26="+",P26/N26,N26/P26))),2)</f>
        <v>0</v>
      </c>
      <c r="R26" s="26">
        <f t="shared" si="11"/>
        <v>0</v>
      </c>
      <c r="S26" s="19" t="s">
        <v>0</v>
      </c>
      <c r="T26" s="19"/>
      <c r="U26" s="2"/>
      <c r="V26" s="2"/>
      <c r="W26" s="2"/>
      <c r="X26" s="2"/>
      <c r="Y26" s="2"/>
      <c r="Z26" s="2"/>
      <c r="AA26" s="2"/>
      <c r="AB26" s="2"/>
      <c r="AC26" s="2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s="3" customFormat="1" ht="21.6" x14ac:dyDescent="0.2">
      <c r="A27" s="4">
        <v>2092</v>
      </c>
      <c r="B27" s="17" t="s">
        <v>2</v>
      </c>
      <c r="C27" s="5" t="s">
        <v>25</v>
      </c>
      <c r="D27" s="1">
        <v>5300</v>
      </c>
      <c r="E27" s="1" t="s">
        <v>32</v>
      </c>
      <c r="F27" s="9" t="s">
        <v>28</v>
      </c>
      <c r="G27" s="17" t="s">
        <v>39</v>
      </c>
      <c r="H27" s="9" t="s">
        <v>27</v>
      </c>
      <c r="I27" s="18" t="s">
        <v>3</v>
      </c>
      <c r="J27" s="19">
        <v>0.7</v>
      </c>
      <c r="K27" s="7" t="s">
        <v>158</v>
      </c>
      <c r="L27" s="42" t="s">
        <v>46</v>
      </c>
      <c r="M27" s="7" t="s">
        <v>159</v>
      </c>
      <c r="N27" s="29" t="s">
        <v>160</v>
      </c>
      <c r="O27" s="19">
        <v>7.0000000000000007E-2</v>
      </c>
      <c r="P27" s="28"/>
      <c r="Q27" s="19">
        <f t="shared" ref="Q27:Q37" si="12">ROUND(IF(OR(N27="",P27=""),0,IF(AND(N27=0,P27=0),1,IF(S27="+",P27/N27,N27/P27))),2)</f>
        <v>0</v>
      </c>
      <c r="R27" s="26">
        <f t="shared" si="11"/>
        <v>0</v>
      </c>
      <c r="S27" s="19" t="s">
        <v>4</v>
      </c>
      <c r="T27" s="19"/>
      <c r="U27" s="2"/>
      <c r="V27" s="2"/>
      <c r="W27" s="2"/>
      <c r="X27" s="2"/>
      <c r="Y27" s="2"/>
      <c r="Z27" s="2"/>
      <c r="AA27" s="2"/>
      <c r="AB27" s="2"/>
      <c r="AC27" s="2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s="3" customFormat="1" ht="21.6" x14ac:dyDescent="0.2">
      <c r="A28" s="4">
        <v>2093</v>
      </c>
      <c r="B28" s="17" t="s">
        <v>2</v>
      </c>
      <c r="C28" s="5" t="s">
        <v>25</v>
      </c>
      <c r="D28" s="1">
        <v>5300</v>
      </c>
      <c r="E28" s="1" t="s">
        <v>32</v>
      </c>
      <c r="F28" s="9" t="s">
        <v>28</v>
      </c>
      <c r="G28" s="17" t="s">
        <v>39</v>
      </c>
      <c r="H28" s="9" t="s">
        <v>27</v>
      </c>
      <c r="I28" s="18" t="s">
        <v>3</v>
      </c>
      <c r="J28" s="19">
        <v>0.7</v>
      </c>
      <c r="K28" s="7" t="s">
        <v>162</v>
      </c>
      <c r="L28" s="42" t="s">
        <v>49</v>
      </c>
      <c r="M28" s="7" t="s">
        <v>163</v>
      </c>
      <c r="N28" s="28" t="s">
        <v>50</v>
      </c>
      <c r="O28" s="19">
        <v>0.08</v>
      </c>
      <c r="P28" s="30"/>
      <c r="Q28" s="19">
        <f t="shared" si="12"/>
        <v>0</v>
      </c>
      <c r="R28" s="26">
        <f t="shared" si="11"/>
        <v>0</v>
      </c>
      <c r="S28" s="19" t="s">
        <v>4</v>
      </c>
      <c r="T28" s="19"/>
      <c r="U28" s="2"/>
      <c r="V28" s="2"/>
      <c r="W28" s="2"/>
      <c r="X28" s="2"/>
      <c r="Y28" s="2"/>
      <c r="Z28" s="2"/>
      <c r="AA28" s="2"/>
      <c r="AB28" s="2"/>
      <c r="AC28" s="2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s="3" customFormat="1" ht="21.6" x14ac:dyDescent="0.2">
      <c r="A29" s="4">
        <v>2094</v>
      </c>
      <c r="B29" s="17" t="s">
        <v>2</v>
      </c>
      <c r="C29" s="5" t="s">
        <v>25</v>
      </c>
      <c r="D29" s="1">
        <v>5300</v>
      </c>
      <c r="E29" s="1" t="s">
        <v>32</v>
      </c>
      <c r="F29" s="9" t="s">
        <v>28</v>
      </c>
      <c r="G29" s="17" t="s">
        <v>39</v>
      </c>
      <c r="H29" s="9" t="s">
        <v>27</v>
      </c>
      <c r="I29" s="18" t="s">
        <v>3</v>
      </c>
      <c r="J29" s="19">
        <v>0.7</v>
      </c>
      <c r="K29" s="7" t="s">
        <v>165</v>
      </c>
      <c r="L29" s="42" t="s">
        <v>52</v>
      </c>
      <c r="M29" s="7" t="s">
        <v>166</v>
      </c>
      <c r="N29" s="24" t="s">
        <v>58</v>
      </c>
      <c r="O29" s="19">
        <v>0.06</v>
      </c>
      <c r="P29" s="31"/>
      <c r="Q29" s="19">
        <f t="shared" si="12"/>
        <v>0</v>
      </c>
      <c r="R29" s="26">
        <f t="shared" si="11"/>
        <v>0</v>
      </c>
      <c r="S29" s="19" t="s">
        <v>0</v>
      </c>
      <c r="T29" s="19"/>
      <c r="U29" s="2"/>
      <c r="V29" s="2"/>
      <c r="W29" s="2"/>
      <c r="X29" s="2"/>
      <c r="Y29" s="2"/>
      <c r="Z29" s="2"/>
      <c r="AA29" s="2"/>
      <c r="AB29" s="2"/>
      <c r="AC29" s="2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s="3" customFormat="1" ht="21.6" x14ac:dyDescent="0.2">
      <c r="A30" s="4">
        <v>2095</v>
      </c>
      <c r="B30" s="17" t="s">
        <v>2</v>
      </c>
      <c r="C30" s="5" t="s">
        <v>25</v>
      </c>
      <c r="D30" s="1">
        <v>5300</v>
      </c>
      <c r="E30" s="1" t="s">
        <v>32</v>
      </c>
      <c r="F30" s="9" t="s">
        <v>28</v>
      </c>
      <c r="G30" s="17" t="s">
        <v>39</v>
      </c>
      <c r="H30" s="9" t="s">
        <v>27</v>
      </c>
      <c r="I30" s="20" t="s">
        <v>3</v>
      </c>
      <c r="J30" s="21">
        <v>0.7</v>
      </c>
      <c r="K30" s="8" t="s">
        <v>168</v>
      </c>
      <c r="L30" s="43" t="s">
        <v>54</v>
      </c>
      <c r="M30" s="8" t="s">
        <v>169</v>
      </c>
      <c r="N30" s="32" t="s">
        <v>55</v>
      </c>
      <c r="O30" s="33">
        <v>0.06</v>
      </c>
      <c r="P30" s="31"/>
      <c r="Q30" s="33">
        <f t="shared" ref="Q30:Q32" si="13">ROUND(IF(OR(N30="",P30=""),0,IF(AND(N30=0,P30=0),1,IF(S30="+",P30/N30,N30/P30))),2)</f>
        <v>0</v>
      </c>
      <c r="R30" s="34">
        <f t="shared" ref="R30:R32" si="14">IF(AND(Q30&gt;=60%,Q30&lt;100%),Q30*((O30*J30)),IF(Q30=100%,((O30*J30)*Q30)*100%,IF(Q30&gt;100%,((J30*O30)*100%)*100%,0)))*100</f>
        <v>0</v>
      </c>
      <c r="S30" s="33" t="s">
        <v>4</v>
      </c>
      <c r="T30" s="33"/>
      <c r="U30" s="2"/>
      <c r="V30" s="2"/>
      <c r="W30" s="2"/>
      <c r="X30" s="2"/>
      <c r="Y30" s="2"/>
      <c r="Z30" s="2"/>
      <c r="AA30" s="2"/>
      <c r="AB30" s="2"/>
      <c r="AC30" s="2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s="3" customFormat="1" ht="21.6" x14ac:dyDescent="0.2">
      <c r="A31" s="4">
        <v>2096</v>
      </c>
      <c r="B31" s="17" t="s">
        <v>2</v>
      </c>
      <c r="C31" s="5" t="s">
        <v>25</v>
      </c>
      <c r="D31" s="1">
        <v>5300</v>
      </c>
      <c r="E31" s="1" t="s">
        <v>32</v>
      </c>
      <c r="F31" s="9" t="s">
        <v>28</v>
      </c>
      <c r="G31" s="17" t="s">
        <v>39</v>
      </c>
      <c r="H31" s="9" t="s">
        <v>27</v>
      </c>
      <c r="I31" s="20" t="s">
        <v>1</v>
      </c>
      <c r="J31" s="21">
        <v>0.3</v>
      </c>
      <c r="K31" s="8" t="s">
        <v>171</v>
      </c>
      <c r="L31" s="43" t="s">
        <v>57</v>
      </c>
      <c r="M31" s="8" t="s">
        <v>172</v>
      </c>
      <c r="N31" s="32" t="s">
        <v>173</v>
      </c>
      <c r="O31" s="33">
        <v>0.05</v>
      </c>
      <c r="P31" s="31"/>
      <c r="Q31" s="33">
        <f t="shared" si="13"/>
        <v>0</v>
      </c>
      <c r="R31" s="34">
        <f t="shared" si="14"/>
        <v>0</v>
      </c>
      <c r="S31" s="33" t="s">
        <v>0</v>
      </c>
      <c r="T31" s="33"/>
      <c r="U31" s="2"/>
      <c r="V31" s="2"/>
      <c r="W31" s="2"/>
      <c r="X31" s="2"/>
      <c r="Y31" s="2"/>
      <c r="Z31" s="2"/>
      <c r="AA31" s="2"/>
      <c r="AB31" s="2"/>
      <c r="AC31" s="2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s="3" customFormat="1" ht="21.6" x14ac:dyDescent="0.2">
      <c r="A32" s="4">
        <v>2097</v>
      </c>
      <c r="B32" s="17" t="s">
        <v>2</v>
      </c>
      <c r="C32" s="5" t="s">
        <v>25</v>
      </c>
      <c r="D32" s="1">
        <v>5300</v>
      </c>
      <c r="E32" s="1" t="s">
        <v>32</v>
      </c>
      <c r="F32" s="9" t="s">
        <v>28</v>
      </c>
      <c r="G32" s="17" t="s">
        <v>39</v>
      </c>
      <c r="H32" s="9" t="s">
        <v>27</v>
      </c>
      <c r="I32" s="20" t="s">
        <v>1</v>
      </c>
      <c r="J32" s="21">
        <v>0.3</v>
      </c>
      <c r="K32" s="8" t="s">
        <v>175</v>
      </c>
      <c r="L32" s="43" t="s">
        <v>60</v>
      </c>
      <c r="M32" s="8" t="s">
        <v>176</v>
      </c>
      <c r="N32" s="35" t="s">
        <v>177</v>
      </c>
      <c r="O32" s="33">
        <v>0.05</v>
      </c>
      <c r="P32" s="35"/>
      <c r="Q32" s="33">
        <f t="shared" si="13"/>
        <v>0</v>
      </c>
      <c r="R32" s="34">
        <f t="shared" si="14"/>
        <v>0</v>
      </c>
      <c r="S32" s="33" t="s">
        <v>0</v>
      </c>
      <c r="T32" s="33"/>
      <c r="U32" s="2"/>
      <c r="V32" s="2"/>
      <c r="W32" s="2"/>
      <c r="X32" s="2"/>
      <c r="Y32" s="2"/>
      <c r="Z32" s="2"/>
      <c r="AA32" s="2"/>
      <c r="AB32" s="2"/>
      <c r="AC32" s="2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s="3" customFormat="1" ht="21.6" x14ac:dyDescent="0.2">
      <c r="A33" s="4">
        <v>2098</v>
      </c>
      <c r="B33" s="17" t="s">
        <v>2</v>
      </c>
      <c r="C33" s="5" t="s">
        <v>25</v>
      </c>
      <c r="D33" s="1">
        <v>5300</v>
      </c>
      <c r="E33" s="1" t="s">
        <v>32</v>
      </c>
      <c r="F33" s="9" t="s">
        <v>28</v>
      </c>
      <c r="G33" s="17" t="s">
        <v>39</v>
      </c>
      <c r="H33" s="9" t="s">
        <v>27</v>
      </c>
      <c r="I33" s="20" t="s">
        <v>3</v>
      </c>
      <c r="J33" s="21">
        <v>0.7</v>
      </c>
      <c r="K33" s="8" t="s">
        <v>62</v>
      </c>
      <c r="L33" s="43" t="s">
        <v>63</v>
      </c>
      <c r="M33" s="8" t="s">
        <v>179</v>
      </c>
      <c r="N33" s="35" t="s">
        <v>180</v>
      </c>
      <c r="O33" s="33">
        <v>0.05</v>
      </c>
      <c r="P33" s="35"/>
      <c r="Q33" s="33"/>
      <c r="R33" s="34"/>
      <c r="S33" s="33" t="s">
        <v>4</v>
      </c>
      <c r="T33" s="33"/>
      <c r="U33" s="2"/>
      <c r="V33" s="2"/>
      <c r="W33" s="2"/>
      <c r="X33" s="2"/>
      <c r="Y33" s="2"/>
      <c r="Z33" s="2"/>
      <c r="AA33" s="2"/>
      <c r="AB33" s="2"/>
      <c r="AC33" s="2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s="3" customFormat="1" ht="21.6" x14ac:dyDescent="0.2">
      <c r="A34" s="4">
        <v>2099</v>
      </c>
      <c r="B34" s="17" t="s">
        <v>2</v>
      </c>
      <c r="C34" s="5" t="s">
        <v>25</v>
      </c>
      <c r="D34" s="1">
        <v>5300</v>
      </c>
      <c r="E34" s="1" t="s">
        <v>32</v>
      </c>
      <c r="F34" s="9" t="s">
        <v>28</v>
      </c>
      <c r="G34" s="17" t="s">
        <v>39</v>
      </c>
      <c r="H34" s="9" t="s">
        <v>27</v>
      </c>
      <c r="I34" s="20" t="s">
        <v>1</v>
      </c>
      <c r="J34" s="21">
        <v>0.3</v>
      </c>
      <c r="K34" s="8" t="s">
        <v>64</v>
      </c>
      <c r="L34" s="43" t="s">
        <v>65</v>
      </c>
      <c r="M34" s="8" t="s">
        <v>182</v>
      </c>
      <c r="N34" s="35" t="s">
        <v>58</v>
      </c>
      <c r="O34" s="33">
        <v>0.05</v>
      </c>
      <c r="P34" s="35"/>
      <c r="Q34" s="33">
        <f t="shared" ref="Q34" si="15">ROUND(IF(OR(N34="",P34=""),0,IF(AND(N34=0,P34=0),1,IF(S34="+",P34/N34,N34/P34))),2)</f>
        <v>0</v>
      </c>
      <c r="R34" s="34">
        <f t="shared" ref="R34" si="16">IF(AND(Q34&gt;=60%,Q34&lt;100%),Q34*((O34*J34)),IF(Q34=100%,((O34*J34)*Q34)*100%,IF(Q34&gt;100%,((J34*O34)*100%)*100%,0)))*100</f>
        <v>0</v>
      </c>
      <c r="S34" s="33" t="s">
        <v>0</v>
      </c>
      <c r="T34" s="33"/>
      <c r="U34" s="2"/>
      <c r="V34" s="2"/>
      <c r="W34" s="2"/>
      <c r="X34" s="2"/>
      <c r="Y34" s="2"/>
      <c r="Z34" s="2"/>
      <c r="AA34" s="2"/>
      <c r="AB34" s="2"/>
      <c r="AC34" s="2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s="3" customFormat="1" ht="21.6" x14ac:dyDescent="0.2">
      <c r="A35" s="4">
        <v>2095</v>
      </c>
      <c r="B35" s="17" t="s">
        <v>2</v>
      </c>
      <c r="C35" s="5" t="s">
        <v>25</v>
      </c>
      <c r="D35" s="1">
        <v>5300</v>
      </c>
      <c r="E35" s="1" t="s">
        <v>32</v>
      </c>
      <c r="F35" s="9" t="s">
        <v>28</v>
      </c>
      <c r="G35" s="17" t="s">
        <v>39</v>
      </c>
      <c r="H35" s="9" t="s">
        <v>27</v>
      </c>
      <c r="I35" s="20" t="s">
        <v>1</v>
      </c>
      <c r="J35" s="21">
        <v>0.3</v>
      </c>
      <c r="K35" s="8" t="s">
        <v>184</v>
      </c>
      <c r="L35" s="43" t="s">
        <v>185</v>
      </c>
      <c r="M35" s="8" t="s">
        <v>186</v>
      </c>
      <c r="N35" s="32" t="s">
        <v>58</v>
      </c>
      <c r="O35" s="33">
        <v>0.05</v>
      </c>
      <c r="P35" s="31"/>
      <c r="Q35" s="33">
        <f t="shared" si="12"/>
        <v>0</v>
      </c>
      <c r="R35" s="34">
        <f t="shared" si="11"/>
        <v>0</v>
      </c>
      <c r="S35" s="33" t="s">
        <v>0</v>
      </c>
      <c r="T35" s="33"/>
      <c r="U35" s="2"/>
      <c r="V35" s="2"/>
      <c r="W35" s="2"/>
      <c r="X35" s="2"/>
      <c r="Y35" s="2"/>
      <c r="Z35" s="2"/>
      <c r="AA35" s="2"/>
      <c r="AB35" s="2"/>
      <c r="AC35" s="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s="3" customFormat="1" ht="21.6" x14ac:dyDescent="0.2">
      <c r="A36" s="4">
        <v>2096</v>
      </c>
      <c r="B36" s="17" t="s">
        <v>2</v>
      </c>
      <c r="C36" s="5" t="s">
        <v>25</v>
      </c>
      <c r="D36" s="1">
        <v>5300</v>
      </c>
      <c r="E36" s="1" t="s">
        <v>32</v>
      </c>
      <c r="F36" s="9" t="s">
        <v>28</v>
      </c>
      <c r="G36" s="17" t="s">
        <v>39</v>
      </c>
      <c r="H36" s="9" t="s">
        <v>27</v>
      </c>
      <c r="I36" s="20" t="s">
        <v>1</v>
      </c>
      <c r="J36" s="21">
        <v>0.3</v>
      </c>
      <c r="K36" s="8" t="s">
        <v>188</v>
      </c>
      <c r="L36" s="43" t="s">
        <v>189</v>
      </c>
      <c r="M36" s="8" t="s">
        <v>190</v>
      </c>
      <c r="N36" s="32" t="s">
        <v>58</v>
      </c>
      <c r="O36" s="33">
        <v>0.05</v>
      </c>
      <c r="P36" s="31"/>
      <c r="Q36" s="33">
        <f t="shared" si="12"/>
        <v>0</v>
      </c>
      <c r="R36" s="34">
        <f t="shared" si="11"/>
        <v>0</v>
      </c>
      <c r="S36" s="33" t="s">
        <v>0</v>
      </c>
      <c r="T36" s="33"/>
      <c r="U36" s="2"/>
      <c r="V36" s="2"/>
      <c r="W36" s="2"/>
      <c r="X36" s="2"/>
      <c r="Y36" s="2"/>
      <c r="Z36" s="2"/>
      <c r="AA36" s="2"/>
      <c r="AB36" s="2"/>
      <c r="AC36" s="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s="3" customFormat="1" ht="21.6" x14ac:dyDescent="0.2">
      <c r="A37" s="4">
        <v>2097</v>
      </c>
      <c r="B37" s="17" t="s">
        <v>2</v>
      </c>
      <c r="C37" s="5" t="s">
        <v>25</v>
      </c>
      <c r="D37" s="1">
        <v>5300</v>
      </c>
      <c r="E37" s="1" t="s">
        <v>32</v>
      </c>
      <c r="F37" s="9" t="s">
        <v>28</v>
      </c>
      <c r="G37" s="17" t="s">
        <v>39</v>
      </c>
      <c r="H37" s="9" t="s">
        <v>27</v>
      </c>
      <c r="I37" s="20" t="s">
        <v>3</v>
      </c>
      <c r="J37" s="21">
        <v>0.7</v>
      </c>
      <c r="K37" s="8" t="s">
        <v>192</v>
      </c>
      <c r="L37" s="43" t="s">
        <v>193</v>
      </c>
      <c r="M37" s="8" t="s">
        <v>194</v>
      </c>
      <c r="N37" s="35" t="s">
        <v>58</v>
      </c>
      <c r="O37" s="33">
        <v>0.04</v>
      </c>
      <c r="P37" s="35"/>
      <c r="Q37" s="33">
        <f t="shared" si="12"/>
        <v>0</v>
      </c>
      <c r="R37" s="34">
        <f t="shared" si="11"/>
        <v>0</v>
      </c>
      <c r="S37" s="33" t="s">
        <v>0</v>
      </c>
      <c r="T37" s="33"/>
      <c r="U37" s="2"/>
      <c r="V37" s="2"/>
      <c r="W37" s="2"/>
      <c r="X37" s="2"/>
      <c r="Y37" s="2"/>
      <c r="Z37" s="2"/>
      <c r="AA37" s="2"/>
      <c r="AB37" s="2"/>
      <c r="AC37" s="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s="3" customFormat="1" ht="21.6" x14ac:dyDescent="0.2">
      <c r="A38" s="4">
        <v>2098</v>
      </c>
      <c r="B38" s="17" t="s">
        <v>2</v>
      </c>
      <c r="C38" s="5" t="s">
        <v>25</v>
      </c>
      <c r="D38" s="1">
        <v>5300</v>
      </c>
      <c r="E38" s="1" t="s">
        <v>32</v>
      </c>
      <c r="F38" s="9" t="s">
        <v>28</v>
      </c>
      <c r="G38" s="17" t="s">
        <v>39</v>
      </c>
      <c r="H38" s="9" t="s">
        <v>27</v>
      </c>
      <c r="I38" s="20" t="s">
        <v>3</v>
      </c>
      <c r="J38" s="21">
        <v>0.7</v>
      </c>
      <c r="K38" s="8" t="s">
        <v>196</v>
      </c>
      <c r="L38" s="43" t="s">
        <v>197</v>
      </c>
      <c r="M38" s="8" t="s">
        <v>198</v>
      </c>
      <c r="N38" s="35" t="s">
        <v>58</v>
      </c>
      <c r="O38" s="33">
        <v>0.04</v>
      </c>
      <c r="P38" s="35"/>
      <c r="Q38" s="33"/>
      <c r="R38" s="34"/>
      <c r="S38" s="33" t="s">
        <v>0</v>
      </c>
      <c r="T38" s="33"/>
      <c r="U38" s="2"/>
      <c r="V38" s="2"/>
      <c r="W38" s="2"/>
      <c r="X38" s="2"/>
      <c r="Y38" s="2"/>
      <c r="Z38" s="2"/>
      <c r="AA38" s="2"/>
      <c r="AB38" s="2"/>
      <c r="AC38" s="2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s="3" customFormat="1" ht="21.6" x14ac:dyDescent="0.2">
      <c r="A39" s="4">
        <v>2099</v>
      </c>
      <c r="B39" s="17" t="s">
        <v>2</v>
      </c>
      <c r="C39" s="5" t="s">
        <v>25</v>
      </c>
      <c r="D39" s="1">
        <v>5300</v>
      </c>
      <c r="E39" s="1" t="s">
        <v>32</v>
      </c>
      <c r="F39" s="9" t="s">
        <v>28</v>
      </c>
      <c r="G39" s="17" t="s">
        <v>39</v>
      </c>
      <c r="H39" s="9" t="s">
        <v>27</v>
      </c>
      <c r="I39" s="20" t="s">
        <v>3</v>
      </c>
      <c r="J39" s="21">
        <v>0.7</v>
      </c>
      <c r="K39" s="8" t="s">
        <v>200</v>
      </c>
      <c r="L39" s="43" t="s">
        <v>201</v>
      </c>
      <c r="M39" s="8" t="s">
        <v>202</v>
      </c>
      <c r="N39" s="35" t="s">
        <v>203</v>
      </c>
      <c r="O39" s="33">
        <v>0.1</v>
      </c>
      <c r="P39" s="35"/>
      <c r="Q39" s="33">
        <f t="shared" ref="Q39:Q40" si="17">ROUND(IF(OR(N39="",P39=""),0,IF(AND(N39=0,P39=0),1,IF(S39="+",P39/N39,N39/P39))),2)</f>
        <v>0</v>
      </c>
      <c r="R39" s="34">
        <f t="shared" ref="R39:R47" si="18">IF(AND(Q39&gt;=60%,Q39&lt;100%),Q39*((O39*J39)),IF(Q39=100%,((O39*J39)*Q39)*100%,IF(Q39&gt;100%,((J39*O39)*100%)*100%,0)))*100</f>
        <v>0</v>
      </c>
      <c r="S39" s="33" t="s">
        <v>0</v>
      </c>
      <c r="T39" s="33"/>
      <c r="U39" s="2"/>
      <c r="V39" s="2"/>
      <c r="W39" s="2"/>
      <c r="X39" s="2"/>
      <c r="Y39" s="2"/>
      <c r="Z39" s="2"/>
      <c r="AA39" s="2"/>
      <c r="AB39" s="2"/>
      <c r="AC39" s="2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s="3" customFormat="1" ht="21.6" hidden="1" x14ac:dyDescent="0.2">
      <c r="A40" s="4">
        <v>2100</v>
      </c>
      <c r="B40" s="17" t="s">
        <v>2</v>
      </c>
      <c r="C40" s="5" t="s">
        <v>25</v>
      </c>
      <c r="D40" s="1">
        <v>5814</v>
      </c>
      <c r="E40" s="1" t="s">
        <v>33</v>
      </c>
      <c r="F40" s="9" t="s">
        <v>28</v>
      </c>
      <c r="G40" s="17" t="s">
        <v>39</v>
      </c>
      <c r="H40" s="9" t="s">
        <v>27</v>
      </c>
      <c r="I40" s="18" t="s">
        <v>3</v>
      </c>
      <c r="J40" s="19">
        <v>0.7</v>
      </c>
      <c r="K40" s="7" t="s">
        <v>152</v>
      </c>
      <c r="L40" s="42" t="s">
        <v>41</v>
      </c>
      <c r="M40" s="7" t="s">
        <v>153</v>
      </c>
      <c r="N40" s="12" t="s">
        <v>58</v>
      </c>
      <c r="O40" s="19">
        <v>0.1</v>
      </c>
      <c r="P40" s="19"/>
      <c r="Q40" s="19">
        <f t="shared" si="17"/>
        <v>0</v>
      </c>
      <c r="R40" s="26">
        <f t="shared" si="18"/>
        <v>0</v>
      </c>
      <c r="S40" s="19" t="s">
        <v>0</v>
      </c>
      <c r="T40" s="27">
        <f>SUM(R40:R54)%</f>
        <v>0</v>
      </c>
      <c r="U40" s="2"/>
      <c r="V40" s="2"/>
      <c r="W40" s="2"/>
      <c r="X40" s="2"/>
      <c r="Y40" s="2"/>
      <c r="Z40" s="2"/>
      <c r="AA40" s="2"/>
      <c r="AB40" s="2"/>
      <c r="AC40" s="2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s="3" customFormat="1" ht="21.6" hidden="1" x14ac:dyDescent="0.2">
      <c r="A41" s="4">
        <v>2101</v>
      </c>
      <c r="B41" s="17" t="s">
        <v>2</v>
      </c>
      <c r="C41" s="5" t="s">
        <v>25</v>
      </c>
      <c r="D41" s="1">
        <v>5814</v>
      </c>
      <c r="E41" s="1" t="s">
        <v>33</v>
      </c>
      <c r="F41" s="9" t="s">
        <v>28</v>
      </c>
      <c r="G41" s="17" t="s">
        <v>39</v>
      </c>
      <c r="H41" s="9" t="s">
        <v>27</v>
      </c>
      <c r="I41" s="18" t="s">
        <v>3</v>
      </c>
      <c r="J41" s="19">
        <v>0.7</v>
      </c>
      <c r="K41" s="7" t="s">
        <v>155</v>
      </c>
      <c r="L41" s="42" t="s">
        <v>43</v>
      </c>
      <c r="M41" s="7" t="s">
        <v>156</v>
      </c>
      <c r="N41" s="25" t="s">
        <v>42</v>
      </c>
      <c r="O41" s="19">
        <v>0.1</v>
      </c>
      <c r="P41" s="28"/>
      <c r="Q41" s="19">
        <f>ROUND(IF(OR(N41="",P41=""),0,IF(AND(N41=0,P41=0),1,IF(S41="+",P41/N41,N41/P41))),2)</f>
        <v>0</v>
      </c>
      <c r="R41" s="26">
        <f t="shared" si="18"/>
        <v>0</v>
      </c>
      <c r="S41" s="19" t="s">
        <v>0</v>
      </c>
      <c r="T41" s="19"/>
      <c r="U41" s="2"/>
      <c r="V41" s="2"/>
      <c r="W41" s="2"/>
      <c r="X41" s="2"/>
      <c r="Y41" s="2"/>
      <c r="Z41" s="2"/>
      <c r="AA41" s="2"/>
      <c r="AB41" s="2"/>
      <c r="AC41" s="2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s="3" customFormat="1" ht="21.6" hidden="1" x14ac:dyDescent="0.2">
      <c r="A42" s="4">
        <v>2102</v>
      </c>
      <c r="B42" s="17" t="s">
        <v>2</v>
      </c>
      <c r="C42" s="5" t="s">
        <v>25</v>
      </c>
      <c r="D42" s="1">
        <v>5814</v>
      </c>
      <c r="E42" s="1" t="s">
        <v>33</v>
      </c>
      <c r="F42" s="9" t="s">
        <v>28</v>
      </c>
      <c r="G42" s="17" t="s">
        <v>39</v>
      </c>
      <c r="H42" s="9" t="s">
        <v>27</v>
      </c>
      <c r="I42" s="18" t="s">
        <v>3</v>
      </c>
      <c r="J42" s="19">
        <v>0.7</v>
      </c>
      <c r="K42" s="7" t="s">
        <v>158</v>
      </c>
      <c r="L42" s="42" t="s">
        <v>46</v>
      </c>
      <c r="M42" s="7" t="s">
        <v>159</v>
      </c>
      <c r="N42" s="29" t="s">
        <v>160</v>
      </c>
      <c r="O42" s="19">
        <v>7.0000000000000007E-2</v>
      </c>
      <c r="P42" s="28"/>
      <c r="Q42" s="19">
        <f t="shared" ref="Q42:Q47" si="19">ROUND(IF(OR(N42="",P42=""),0,IF(AND(N42=0,P42=0),1,IF(S42="+",P42/N42,N42/P42))),2)</f>
        <v>0</v>
      </c>
      <c r="R42" s="26">
        <f t="shared" si="18"/>
        <v>0</v>
      </c>
      <c r="S42" s="19" t="s">
        <v>4</v>
      </c>
      <c r="T42" s="19"/>
      <c r="U42" s="2"/>
      <c r="V42" s="2"/>
      <c r="W42" s="2"/>
      <c r="X42" s="2"/>
      <c r="Y42" s="2"/>
      <c r="Z42" s="2"/>
      <c r="AA42" s="2"/>
      <c r="AB42" s="2"/>
      <c r="AC42" s="2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s="3" customFormat="1" ht="21.6" hidden="1" x14ac:dyDescent="0.2">
      <c r="A43" s="4">
        <v>2103</v>
      </c>
      <c r="B43" s="17" t="s">
        <v>2</v>
      </c>
      <c r="C43" s="5" t="s">
        <v>25</v>
      </c>
      <c r="D43" s="1">
        <v>5814</v>
      </c>
      <c r="E43" s="1" t="s">
        <v>33</v>
      </c>
      <c r="F43" s="9" t="s">
        <v>28</v>
      </c>
      <c r="G43" s="17" t="s">
        <v>39</v>
      </c>
      <c r="H43" s="9" t="s">
        <v>27</v>
      </c>
      <c r="I43" s="18" t="s">
        <v>3</v>
      </c>
      <c r="J43" s="19">
        <v>0.7</v>
      </c>
      <c r="K43" s="7" t="s">
        <v>162</v>
      </c>
      <c r="L43" s="42" t="s">
        <v>49</v>
      </c>
      <c r="M43" s="7" t="s">
        <v>163</v>
      </c>
      <c r="N43" s="28" t="s">
        <v>50</v>
      </c>
      <c r="O43" s="19">
        <v>0.08</v>
      </c>
      <c r="P43" s="30"/>
      <c r="Q43" s="19">
        <f t="shared" si="19"/>
        <v>0</v>
      </c>
      <c r="R43" s="26">
        <f t="shared" si="18"/>
        <v>0</v>
      </c>
      <c r="S43" s="19" t="s">
        <v>4</v>
      </c>
      <c r="T43" s="19"/>
      <c r="U43" s="2"/>
      <c r="V43" s="2"/>
      <c r="W43" s="2"/>
      <c r="X43" s="2"/>
      <c r="Y43" s="2"/>
      <c r="Z43" s="2"/>
      <c r="AA43" s="2"/>
      <c r="AB43" s="2"/>
      <c r="AC43" s="2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s="3" customFormat="1" ht="21.6" hidden="1" x14ac:dyDescent="0.2">
      <c r="A44" s="4">
        <v>2104</v>
      </c>
      <c r="B44" s="17" t="s">
        <v>2</v>
      </c>
      <c r="C44" s="5" t="s">
        <v>25</v>
      </c>
      <c r="D44" s="1">
        <v>5814</v>
      </c>
      <c r="E44" s="1" t="s">
        <v>33</v>
      </c>
      <c r="F44" s="9" t="s">
        <v>28</v>
      </c>
      <c r="G44" s="17" t="s">
        <v>39</v>
      </c>
      <c r="H44" s="9" t="s">
        <v>27</v>
      </c>
      <c r="I44" s="18" t="s">
        <v>3</v>
      </c>
      <c r="J44" s="19">
        <v>0.7</v>
      </c>
      <c r="K44" s="7" t="s">
        <v>165</v>
      </c>
      <c r="L44" s="42" t="s">
        <v>52</v>
      </c>
      <c r="M44" s="7" t="s">
        <v>166</v>
      </c>
      <c r="N44" s="24" t="s">
        <v>58</v>
      </c>
      <c r="O44" s="19">
        <v>0.06</v>
      </c>
      <c r="P44" s="31"/>
      <c r="Q44" s="19">
        <f t="shared" si="19"/>
        <v>0</v>
      </c>
      <c r="R44" s="26">
        <f t="shared" si="18"/>
        <v>0</v>
      </c>
      <c r="S44" s="19" t="s">
        <v>0</v>
      </c>
      <c r="T44" s="19"/>
      <c r="U44" s="2"/>
      <c r="V44" s="2"/>
      <c r="W44" s="2"/>
      <c r="X44" s="2"/>
      <c r="Y44" s="2"/>
      <c r="Z44" s="2"/>
      <c r="AA44" s="2"/>
      <c r="AB44" s="2"/>
      <c r="AC44" s="2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s="3" customFormat="1" ht="21.6" hidden="1" x14ac:dyDescent="0.2">
      <c r="A45" s="4">
        <v>2104</v>
      </c>
      <c r="B45" s="17" t="s">
        <v>2</v>
      </c>
      <c r="C45" s="5" t="s">
        <v>25</v>
      </c>
      <c r="D45" s="1">
        <v>5814</v>
      </c>
      <c r="E45" s="1" t="s">
        <v>33</v>
      </c>
      <c r="F45" s="9" t="s">
        <v>28</v>
      </c>
      <c r="G45" s="17" t="s">
        <v>39</v>
      </c>
      <c r="H45" s="9" t="s">
        <v>27</v>
      </c>
      <c r="I45" s="20" t="s">
        <v>3</v>
      </c>
      <c r="J45" s="21">
        <v>0.7</v>
      </c>
      <c r="K45" s="8" t="s">
        <v>168</v>
      </c>
      <c r="L45" s="43" t="s">
        <v>54</v>
      </c>
      <c r="M45" s="8" t="s">
        <v>169</v>
      </c>
      <c r="N45" s="32" t="s">
        <v>55</v>
      </c>
      <c r="O45" s="33">
        <v>0.06</v>
      </c>
      <c r="P45" s="31"/>
      <c r="Q45" s="33">
        <f t="shared" si="19"/>
        <v>0</v>
      </c>
      <c r="R45" s="34">
        <f t="shared" si="18"/>
        <v>0</v>
      </c>
      <c r="S45" s="33" t="s">
        <v>4</v>
      </c>
      <c r="T45" s="33"/>
      <c r="U45" s="2"/>
      <c r="V45" s="2"/>
      <c r="W45" s="2"/>
      <c r="X45" s="2"/>
      <c r="Y45" s="2"/>
      <c r="Z45" s="2"/>
      <c r="AA45" s="2"/>
      <c r="AB45" s="2"/>
      <c r="AC45" s="2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s="3" customFormat="1" ht="21.6" hidden="1" x14ac:dyDescent="0.2">
      <c r="A46" s="4">
        <v>2104</v>
      </c>
      <c r="B46" s="17" t="s">
        <v>2</v>
      </c>
      <c r="C46" s="5" t="s">
        <v>25</v>
      </c>
      <c r="D46" s="1">
        <v>5814</v>
      </c>
      <c r="E46" s="1" t="s">
        <v>33</v>
      </c>
      <c r="F46" s="9" t="s">
        <v>28</v>
      </c>
      <c r="G46" s="17" t="s">
        <v>39</v>
      </c>
      <c r="H46" s="9" t="s">
        <v>27</v>
      </c>
      <c r="I46" s="20" t="s">
        <v>1</v>
      </c>
      <c r="J46" s="21">
        <v>0.3</v>
      </c>
      <c r="K46" s="8" t="s">
        <v>171</v>
      </c>
      <c r="L46" s="43" t="s">
        <v>57</v>
      </c>
      <c r="M46" s="8" t="s">
        <v>172</v>
      </c>
      <c r="N46" s="32" t="s">
        <v>173</v>
      </c>
      <c r="O46" s="33">
        <v>0.05</v>
      </c>
      <c r="P46" s="31"/>
      <c r="Q46" s="33">
        <f t="shared" si="19"/>
        <v>0</v>
      </c>
      <c r="R46" s="34">
        <f t="shared" si="18"/>
        <v>0</v>
      </c>
      <c r="S46" s="33" t="s">
        <v>0</v>
      </c>
      <c r="T46" s="33"/>
      <c r="U46" s="2"/>
      <c r="V46" s="2"/>
      <c r="W46" s="2"/>
      <c r="X46" s="2"/>
      <c r="Y46" s="2"/>
      <c r="Z46" s="2"/>
      <c r="AA46" s="2"/>
      <c r="AB46" s="2"/>
      <c r="AC46" s="2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s="3" customFormat="1" ht="21.6" hidden="1" x14ac:dyDescent="0.2">
      <c r="A47" s="4">
        <v>2104</v>
      </c>
      <c r="B47" s="17" t="s">
        <v>2</v>
      </c>
      <c r="C47" s="5" t="s">
        <v>25</v>
      </c>
      <c r="D47" s="1">
        <v>5814</v>
      </c>
      <c r="E47" s="1" t="s">
        <v>33</v>
      </c>
      <c r="F47" s="9" t="s">
        <v>28</v>
      </c>
      <c r="G47" s="17" t="s">
        <v>39</v>
      </c>
      <c r="H47" s="9" t="s">
        <v>27</v>
      </c>
      <c r="I47" s="20" t="s">
        <v>1</v>
      </c>
      <c r="J47" s="21">
        <v>0.3</v>
      </c>
      <c r="K47" s="8" t="s">
        <v>175</v>
      </c>
      <c r="L47" s="43" t="s">
        <v>60</v>
      </c>
      <c r="M47" s="8" t="s">
        <v>176</v>
      </c>
      <c r="N47" s="35" t="s">
        <v>177</v>
      </c>
      <c r="O47" s="33">
        <v>0.05</v>
      </c>
      <c r="P47" s="35"/>
      <c r="Q47" s="33">
        <f t="shared" si="19"/>
        <v>0</v>
      </c>
      <c r="R47" s="34">
        <f t="shared" si="18"/>
        <v>0</v>
      </c>
      <c r="S47" s="33" t="s">
        <v>0</v>
      </c>
      <c r="T47" s="33"/>
      <c r="U47" s="2"/>
      <c r="V47" s="2"/>
      <c r="W47" s="2"/>
      <c r="X47" s="2"/>
      <c r="Y47" s="2"/>
      <c r="Z47" s="2"/>
      <c r="AA47" s="2"/>
      <c r="AB47" s="2"/>
      <c r="AC47" s="2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s="3" customFormat="1" ht="21.6" hidden="1" x14ac:dyDescent="0.2">
      <c r="A48" s="4">
        <v>2104</v>
      </c>
      <c r="B48" s="17" t="s">
        <v>2</v>
      </c>
      <c r="C48" s="5" t="s">
        <v>25</v>
      </c>
      <c r="D48" s="1">
        <v>5814</v>
      </c>
      <c r="E48" s="1" t="s">
        <v>33</v>
      </c>
      <c r="F48" s="9" t="s">
        <v>28</v>
      </c>
      <c r="G48" s="17" t="s">
        <v>39</v>
      </c>
      <c r="H48" s="9" t="s">
        <v>27</v>
      </c>
      <c r="I48" s="20" t="s">
        <v>3</v>
      </c>
      <c r="J48" s="21">
        <v>0.7</v>
      </c>
      <c r="K48" s="8" t="s">
        <v>62</v>
      </c>
      <c r="L48" s="43" t="s">
        <v>63</v>
      </c>
      <c r="M48" s="8" t="s">
        <v>179</v>
      </c>
      <c r="N48" s="35" t="s">
        <v>180</v>
      </c>
      <c r="O48" s="33">
        <v>0.05</v>
      </c>
      <c r="P48" s="35"/>
      <c r="Q48" s="33"/>
      <c r="R48" s="34"/>
      <c r="S48" s="33" t="s">
        <v>4</v>
      </c>
      <c r="T48" s="33"/>
      <c r="U48" s="2"/>
      <c r="V48" s="2"/>
      <c r="W48" s="2"/>
      <c r="X48" s="2"/>
      <c r="Y48" s="2"/>
      <c r="Z48" s="2"/>
      <c r="AA48" s="2"/>
      <c r="AB48" s="2"/>
      <c r="AC48" s="2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s="3" customFormat="1" ht="21.6" hidden="1" x14ac:dyDescent="0.2">
      <c r="A49" s="4">
        <v>2104</v>
      </c>
      <c r="B49" s="17" t="s">
        <v>2</v>
      </c>
      <c r="C49" s="5" t="s">
        <v>25</v>
      </c>
      <c r="D49" s="1">
        <v>5814</v>
      </c>
      <c r="E49" s="1" t="s">
        <v>33</v>
      </c>
      <c r="F49" s="9" t="s">
        <v>28</v>
      </c>
      <c r="G49" s="17" t="s">
        <v>39</v>
      </c>
      <c r="H49" s="9" t="s">
        <v>27</v>
      </c>
      <c r="I49" s="20" t="s">
        <v>1</v>
      </c>
      <c r="J49" s="21">
        <v>0.3</v>
      </c>
      <c r="K49" s="8" t="s">
        <v>64</v>
      </c>
      <c r="L49" s="43" t="s">
        <v>65</v>
      </c>
      <c r="M49" s="8" t="s">
        <v>182</v>
      </c>
      <c r="N49" s="35" t="s">
        <v>58</v>
      </c>
      <c r="O49" s="33">
        <v>0.05</v>
      </c>
      <c r="P49" s="35"/>
      <c r="Q49" s="33">
        <f t="shared" ref="Q49:Q52" si="20">ROUND(IF(OR(N49="",P49=""),0,IF(AND(N49=0,P49=0),1,IF(S49="+",P49/N49,N49/P49))),2)</f>
        <v>0</v>
      </c>
      <c r="R49" s="34">
        <f t="shared" ref="R49:R52" si="21">IF(AND(Q49&gt;=60%,Q49&lt;100%),Q49*((O49*J49)),IF(Q49=100%,((O49*J49)*Q49)*100%,IF(Q49&gt;100%,((J49*O49)*100%)*100%,0)))*100</f>
        <v>0</v>
      </c>
      <c r="S49" s="33" t="s">
        <v>0</v>
      </c>
      <c r="T49" s="33"/>
      <c r="U49" s="2"/>
      <c r="V49" s="2"/>
      <c r="W49" s="2"/>
      <c r="X49" s="2"/>
      <c r="Y49" s="2"/>
      <c r="Z49" s="2"/>
      <c r="AA49" s="2"/>
      <c r="AB49" s="2"/>
      <c r="AC49" s="2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s="3" customFormat="1" ht="21.6" hidden="1" x14ac:dyDescent="0.2">
      <c r="A50" s="4">
        <v>2105</v>
      </c>
      <c r="B50" s="17" t="s">
        <v>2</v>
      </c>
      <c r="C50" s="5" t="s">
        <v>25</v>
      </c>
      <c r="D50" s="1">
        <v>5814</v>
      </c>
      <c r="E50" s="1" t="s">
        <v>33</v>
      </c>
      <c r="F50" s="9" t="s">
        <v>28</v>
      </c>
      <c r="G50" s="17" t="s">
        <v>39</v>
      </c>
      <c r="H50" s="9" t="s">
        <v>27</v>
      </c>
      <c r="I50" s="20" t="s">
        <v>1</v>
      </c>
      <c r="J50" s="21">
        <v>0.3</v>
      </c>
      <c r="K50" s="8" t="s">
        <v>184</v>
      </c>
      <c r="L50" s="43" t="s">
        <v>185</v>
      </c>
      <c r="M50" s="8" t="s">
        <v>186</v>
      </c>
      <c r="N50" s="32" t="s">
        <v>58</v>
      </c>
      <c r="O50" s="33">
        <v>0.05</v>
      </c>
      <c r="P50" s="31"/>
      <c r="Q50" s="33">
        <f t="shared" si="20"/>
        <v>0</v>
      </c>
      <c r="R50" s="34">
        <f t="shared" si="21"/>
        <v>0</v>
      </c>
      <c r="S50" s="33" t="s">
        <v>0</v>
      </c>
      <c r="T50" s="33"/>
      <c r="U50" s="2"/>
      <c r="V50" s="2"/>
      <c r="W50" s="2"/>
      <c r="X50" s="2"/>
      <c r="Y50" s="2"/>
      <c r="Z50" s="2"/>
      <c r="AA50" s="2"/>
      <c r="AB50" s="2"/>
      <c r="AC50" s="2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s="3" customFormat="1" ht="21.6" hidden="1" x14ac:dyDescent="0.2">
      <c r="A51" s="4">
        <v>2106</v>
      </c>
      <c r="B51" s="17" t="s">
        <v>2</v>
      </c>
      <c r="C51" s="5" t="s">
        <v>25</v>
      </c>
      <c r="D51" s="1">
        <v>5814</v>
      </c>
      <c r="E51" s="1" t="s">
        <v>33</v>
      </c>
      <c r="F51" s="9" t="s">
        <v>28</v>
      </c>
      <c r="G51" s="17" t="s">
        <v>39</v>
      </c>
      <c r="H51" s="9" t="s">
        <v>27</v>
      </c>
      <c r="I51" s="20" t="s">
        <v>1</v>
      </c>
      <c r="J51" s="21">
        <v>0.3</v>
      </c>
      <c r="K51" s="8" t="s">
        <v>188</v>
      </c>
      <c r="L51" s="43" t="s">
        <v>189</v>
      </c>
      <c r="M51" s="8" t="s">
        <v>190</v>
      </c>
      <c r="N51" s="32" t="s">
        <v>58</v>
      </c>
      <c r="O51" s="33">
        <v>0.05</v>
      </c>
      <c r="P51" s="31"/>
      <c r="Q51" s="33">
        <f t="shared" si="20"/>
        <v>0</v>
      </c>
      <c r="R51" s="34">
        <f t="shared" si="21"/>
        <v>0</v>
      </c>
      <c r="S51" s="33" t="s">
        <v>0</v>
      </c>
      <c r="T51" s="33"/>
      <c r="U51" s="2"/>
      <c r="V51" s="2"/>
      <c r="W51" s="2"/>
      <c r="X51" s="2"/>
      <c r="Y51" s="2"/>
      <c r="Z51" s="2"/>
      <c r="AA51" s="2"/>
      <c r="AB51" s="2"/>
      <c r="AC51" s="2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s="3" customFormat="1" ht="21.6" hidden="1" x14ac:dyDescent="0.2">
      <c r="A52" s="4">
        <v>2107</v>
      </c>
      <c r="B52" s="17" t="s">
        <v>2</v>
      </c>
      <c r="C52" s="5" t="s">
        <v>25</v>
      </c>
      <c r="D52" s="1">
        <v>5814</v>
      </c>
      <c r="E52" s="1" t="s">
        <v>33</v>
      </c>
      <c r="F52" s="9" t="s">
        <v>28</v>
      </c>
      <c r="G52" s="17" t="s">
        <v>39</v>
      </c>
      <c r="H52" s="9" t="s">
        <v>27</v>
      </c>
      <c r="I52" s="20" t="s">
        <v>3</v>
      </c>
      <c r="J52" s="21">
        <v>0.7</v>
      </c>
      <c r="K52" s="8" t="s">
        <v>192</v>
      </c>
      <c r="L52" s="43" t="s">
        <v>193</v>
      </c>
      <c r="M52" s="8" t="s">
        <v>194</v>
      </c>
      <c r="N52" s="35" t="s">
        <v>58</v>
      </c>
      <c r="O52" s="33">
        <v>0.04</v>
      </c>
      <c r="P52" s="35"/>
      <c r="Q52" s="33">
        <f t="shared" si="20"/>
        <v>0</v>
      </c>
      <c r="R52" s="34">
        <f t="shared" si="21"/>
        <v>0</v>
      </c>
      <c r="S52" s="33" t="s">
        <v>0</v>
      </c>
      <c r="T52" s="33"/>
      <c r="U52" s="2"/>
      <c r="V52" s="2"/>
      <c r="W52" s="2"/>
      <c r="X52" s="2"/>
      <c r="Y52" s="2"/>
      <c r="Z52" s="2"/>
      <c r="AA52" s="2"/>
      <c r="AB52" s="2"/>
      <c r="AC52" s="2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s="3" customFormat="1" ht="21.6" hidden="1" x14ac:dyDescent="0.2">
      <c r="A53" s="4">
        <v>2108</v>
      </c>
      <c r="B53" s="17" t="s">
        <v>2</v>
      </c>
      <c r="C53" s="5" t="s">
        <v>25</v>
      </c>
      <c r="D53" s="1">
        <v>5814</v>
      </c>
      <c r="E53" s="1" t="s">
        <v>33</v>
      </c>
      <c r="F53" s="9" t="s">
        <v>28</v>
      </c>
      <c r="G53" s="17" t="s">
        <v>39</v>
      </c>
      <c r="H53" s="9" t="s">
        <v>27</v>
      </c>
      <c r="I53" s="20" t="s">
        <v>3</v>
      </c>
      <c r="J53" s="21">
        <v>0.7</v>
      </c>
      <c r="K53" s="8" t="s">
        <v>196</v>
      </c>
      <c r="L53" s="43" t="s">
        <v>197</v>
      </c>
      <c r="M53" s="8" t="s">
        <v>198</v>
      </c>
      <c r="N53" s="35" t="s">
        <v>58</v>
      </c>
      <c r="O53" s="33">
        <v>0.04</v>
      </c>
      <c r="P53" s="35"/>
      <c r="Q53" s="33"/>
      <c r="R53" s="34"/>
      <c r="S53" s="33" t="s">
        <v>0</v>
      </c>
      <c r="T53" s="33"/>
      <c r="U53" s="2"/>
      <c r="V53" s="2"/>
      <c r="W53" s="2"/>
      <c r="X53" s="2"/>
      <c r="Y53" s="2"/>
      <c r="Z53" s="2"/>
      <c r="AA53" s="2"/>
      <c r="AB53" s="2"/>
      <c r="AC53" s="2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s="3" customFormat="1" ht="21.6" hidden="1" x14ac:dyDescent="0.2">
      <c r="A54" s="4">
        <v>2109</v>
      </c>
      <c r="B54" s="17" t="s">
        <v>2</v>
      </c>
      <c r="C54" s="5" t="s">
        <v>25</v>
      </c>
      <c r="D54" s="1">
        <v>5814</v>
      </c>
      <c r="E54" s="1" t="s">
        <v>33</v>
      </c>
      <c r="F54" s="9" t="s">
        <v>28</v>
      </c>
      <c r="G54" s="17" t="s">
        <v>39</v>
      </c>
      <c r="H54" s="9" t="s">
        <v>27</v>
      </c>
      <c r="I54" s="20" t="s">
        <v>3</v>
      </c>
      <c r="J54" s="21">
        <v>0.7</v>
      </c>
      <c r="K54" s="8" t="s">
        <v>200</v>
      </c>
      <c r="L54" s="43" t="s">
        <v>201</v>
      </c>
      <c r="M54" s="8" t="s">
        <v>202</v>
      </c>
      <c r="N54" s="35" t="s">
        <v>203</v>
      </c>
      <c r="O54" s="33">
        <v>0.1</v>
      </c>
      <c r="P54" s="35"/>
      <c r="Q54" s="33">
        <f t="shared" ref="Q54:Q55" si="22">ROUND(IF(OR(N54="",P54=""),0,IF(AND(N54=0,P54=0),1,IF(S54="+",P54/N54,N54/P54))),2)</f>
        <v>0</v>
      </c>
      <c r="R54" s="34">
        <f t="shared" ref="R54:R62" si="23">IF(AND(Q54&gt;=60%,Q54&lt;100%),Q54*((O54*J54)),IF(Q54=100%,((O54*J54)*Q54)*100%,IF(Q54&gt;100%,((J54*O54)*100%)*100%,0)))*100</f>
        <v>0</v>
      </c>
      <c r="S54" s="33" t="s">
        <v>0</v>
      </c>
      <c r="T54" s="33"/>
      <c r="U54" s="2"/>
      <c r="V54" s="2"/>
      <c r="W54" s="2"/>
      <c r="X54" s="2"/>
      <c r="Y54" s="2"/>
      <c r="Z54" s="2"/>
      <c r="AA54" s="2"/>
      <c r="AB54" s="2"/>
      <c r="AC54" s="2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s="3" customFormat="1" ht="21.6" hidden="1" x14ac:dyDescent="0.2">
      <c r="A55" s="4">
        <v>2110</v>
      </c>
      <c r="B55" s="17" t="s">
        <v>2</v>
      </c>
      <c r="C55" s="5" t="s">
        <v>25</v>
      </c>
      <c r="D55" s="1">
        <v>6150</v>
      </c>
      <c r="E55" s="1" t="s">
        <v>34</v>
      </c>
      <c r="F55" s="9" t="s">
        <v>28</v>
      </c>
      <c r="G55" s="17" t="s">
        <v>39</v>
      </c>
      <c r="H55" s="9" t="s">
        <v>27</v>
      </c>
      <c r="I55" s="18" t="s">
        <v>3</v>
      </c>
      <c r="J55" s="19">
        <v>0.7</v>
      </c>
      <c r="K55" s="7" t="s">
        <v>152</v>
      </c>
      <c r="L55" s="42" t="s">
        <v>41</v>
      </c>
      <c r="M55" s="7" t="s">
        <v>153</v>
      </c>
      <c r="N55" s="12" t="s">
        <v>58</v>
      </c>
      <c r="O55" s="19">
        <v>0.1</v>
      </c>
      <c r="P55" s="19"/>
      <c r="Q55" s="19">
        <f t="shared" si="22"/>
        <v>0</v>
      </c>
      <c r="R55" s="26">
        <f t="shared" si="23"/>
        <v>0</v>
      </c>
      <c r="S55" s="19" t="s">
        <v>0</v>
      </c>
      <c r="T55" s="27">
        <f>SUM(R55:R69)%</f>
        <v>0</v>
      </c>
      <c r="U55" s="2"/>
      <c r="V55" s="2"/>
      <c r="W55" s="2"/>
      <c r="X55" s="2"/>
      <c r="Y55" s="2"/>
      <c r="Z55" s="2"/>
      <c r="AA55" s="2"/>
      <c r="AB55" s="2"/>
      <c r="AC55" s="2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s="3" customFormat="1" ht="21.6" hidden="1" x14ac:dyDescent="0.2">
      <c r="A56" s="4">
        <v>2111</v>
      </c>
      <c r="B56" s="17" t="s">
        <v>2</v>
      </c>
      <c r="C56" s="5" t="s">
        <v>25</v>
      </c>
      <c r="D56" s="1">
        <v>6150</v>
      </c>
      <c r="E56" s="1" t="s">
        <v>34</v>
      </c>
      <c r="F56" s="9" t="s">
        <v>28</v>
      </c>
      <c r="G56" s="17" t="s">
        <v>39</v>
      </c>
      <c r="H56" s="9" t="s">
        <v>27</v>
      </c>
      <c r="I56" s="18" t="s">
        <v>3</v>
      </c>
      <c r="J56" s="19">
        <v>0.7</v>
      </c>
      <c r="K56" s="7" t="s">
        <v>155</v>
      </c>
      <c r="L56" s="42" t="s">
        <v>43</v>
      </c>
      <c r="M56" s="7" t="s">
        <v>156</v>
      </c>
      <c r="N56" s="25" t="s">
        <v>42</v>
      </c>
      <c r="O56" s="19">
        <v>0.1</v>
      </c>
      <c r="P56" s="28"/>
      <c r="Q56" s="19">
        <f>ROUND(IF(OR(N56="",P56=""),0,IF(AND(N56=0,P56=0),1,IF(S56="+",P56/N56,N56/P56))),2)</f>
        <v>0</v>
      </c>
      <c r="R56" s="26">
        <f t="shared" si="23"/>
        <v>0</v>
      </c>
      <c r="S56" s="19" t="s">
        <v>0</v>
      </c>
      <c r="T56" s="19"/>
      <c r="U56" s="2"/>
      <c r="V56" s="2"/>
      <c r="W56" s="2"/>
      <c r="X56" s="2"/>
      <c r="Y56" s="2"/>
      <c r="Z56" s="2"/>
      <c r="AA56" s="2"/>
      <c r="AB56" s="2"/>
      <c r="AC56" s="2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s="3" customFormat="1" ht="21.6" hidden="1" x14ac:dyDescent="0.2">
      <c r="A57" s="4">
        <v>2112</v>
      </c>
      <c r="B57" s="17" t="s">
        <v>2</v>
      </c>
      <c r="C57" s="5" t="s">
        <v>25</v>
      </c>
      <c r="D57" s="1">
        <v>6150</v>
      </c>
      <c r="E57" s="1" t="s">
        <v>34</v>
      </c>
      <c r="F57" s="9" t="s">
        <v>28</v>
      </c>
      <c r="G57" s="17" t="s">
        <v>39</v>
      </c>
      <c r="H57" s="9" t="s">
        <v>27</v>
      </c>
      <c r="I57" s="18" t="s">
        <v>3</v>
      </c>
      <c r="J57" s="19">
        <v>0.7</v>
      </c>
      <c r="K57" s="7" t="s">
        <v>158</v>
      </c>
      <c r="L57" s="42" t="s">
        <v>46</v>
      </c>
      <c r="M57" s="7" t="s">
        <v>159</v>
      </c>
      <c r="N57" s="29" t="s">
        <v>160</v>
      </c>
      <c r="O57" s="19">
        <v>7.0000000000000007E-2</v>
      </c>
      <c r="P57" s="28"/>
      <c r="Q57" s="19">
        <f t="shared" ref="Q57:Q62" si="24">ROUND(IF(OR(N57="",P57=""),0,IF(AND(N57=0,P57=0),1,IF(S57="+",P57/N57,N57/P57))),2)</f>
        <v>0</v>
      </c>
      <c r="R57" s="26">
        <f t="shared" si="23"/>
        <v>0</v>
      </c>
      <c r="S57" s="19" t="s">
        <v>4</v>
      </c>
      <c r="T57" s="19"/>
      <c r="U57" s="2"/>
      <c r="V57" s="2"/>
      <c r="W57" s="2"/>
      <c r="X57" s="2"/>
      <c r="Y57" s="2"/>
      <c r="Z57" s="2"/>
      <c r="AA57" s="2"/>
      <c r="AB57" s="2"/>
      <c r="AC57" s="2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s="3" customFormat="1" ht="21.6" hidden="1" x14ac:dyDescent="0.2">
      <c r="A58" s="4">
        <v>2113</v>
      </c>
      <c r="B58" s="17" t="s">
        <v>2</v>
      </c>
      <c r="C58" s="5" t="s">
        <v>25</v>
      </c>
      <c r="D58" s="1">
        <v>6150</v>
      </c>
      <c r="E58" s="1" t="s">
        <v>34</v>
      </c>
      <c r="F58" s="9" t="s">
        <v>28</v>
      </c>
      <c r="G58" s="17" t="s">
        <v>39</v>
      </c>
      <c r="H58" s="9" t="s">
        <v>27</v>
      </c>
      <c r="I58" s="18" t="s">
        <v>3</v>
      </c>
      <c r="J58" s="19">
        <v>0.7</v>
      </c>
      <c r="K58" s="7" t="s">
        <v>162</v>
      </c>
      <c r="L58" s="42" t="s">
        <v>49</v>
      </c>
      <c r="M58" s="7" t="s">
        <v>163</v>
      </c>
      <c r="N58" s="28" t="s">
        <v>50</v>
      </c>
      <c r="O58" s="19">
        <v>0.08</v>
      </c>
      <c r="P58" s="30"/>
      <c r="Q58" s="19">
        <f t="shared" si="24"/>
        <v>0</v>
      </c>
      <c r="R58" s="26">
        <f t="shared" si="23"/>
        <v>0</v>
      </c>
      <c r="S58" s="19" t="s">
        <v>4</v>
      </c>
      <c r="T58" s="19"/>
      <c r="U58" s="2"/>
      <c r="V58" s="2"/>
      <c r="W58" s="2"/>
      <c r="X58" s="2"/>
      <c r="Y58" s="2"/>
      <c r="Z58" s="2"/>
      <c r="AA58" s="2"/>
      <c r="AB58" s="2"/>
      <c r="AC58" s="2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s="3" customFormat="1" ht="21.6" hidden="1" x14ac:dyDescent="0.2">
      <c r="A59" s="4">
        <v>2114</v>
      </c>
      <c r="B59" s="17" t="s">
        <v>2</v>
      </c>
      <c r="C59" s="5" t="s">
        <v>25</v>
      </c>
      <c r="D59" s="1">
        <v>6150</v>
      </c>
      <c r="E59" s="1" t="s">
        <v>34</v>
      </c>
      <c r="F59" s="9" t="s">
        <v>28</v>
      </c>
      <c r="G59" s="17" t="s">
        <v>39</v>
      </c>
      <c r="H59" s="9" t="s">
        <v>27</v>
      </c>
      <c r="I59" s="18" t="s">
        <v>3</v>
      </c>
      <c r="J59" s="19">
        <v>0.7</v>
      </c>
      <c r="K59" s="7" t="s">
        <v>165</v>
      </c>
      <c r="L59" s="42" t="s">
        <v>52</v>
      </c>
      <c r="M59" s="7" t="s">
        <v>166</v>
      </c>
      <c r="N59" s="24" t="s">
        <v>58</v>
      </c>
      <c r="O59" s="19">
        <v>0.06</v>
      </c>
      <c r="P59" s="31"/>
      <c r="Q59" s="19">
        <f t="shared" si="24"/>
        <v>0</v>
      </c>
      <c r="R59" s="26">
        <f t="shared" si="23"/>
        <v>0</v>
      </c>
      <c r="S59" s="19" t="s">
        <v>0</v>
      </c>
      <c r="T59" s="19"/>
      <c r="U59" s="2"/>
      <c r="V59" s="2"/>
      <c r="W59" s="2"/>
      <c r="X59" s="2"/>
      <c r="Y59" s="2"/>
      <c r="Z59" s="2"/>
      <c r="AA59" s="2"/>
      <c r="AB59" s="2"/>
      <c r="AC59" s="2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s="3" customFormat="1" ht="21.6" hidden="1" x14ac:dyDescent="0.2">
      <c r="A60" s="4">
        <v>2114</v>
      </c>
      <c r="B60" s="17" t="s">
        <v>2</v>
      </c>
      <c r="C60" s="5" t="s">
        <v>25</v>
      </c>
      <c r="D60" s="1">
        <v>6150</v>
      </c>
      <c r="E60" s="1" t="s">
        <v>34</v>
      </c>
      <c r="F60" s="9" t="s">
        <v>28</v>
      </c>
      <c r="G60" s="17" t="s">
        <v>39</v>
      </c>
      <c r="H60" s="9" t="s">
        <v>27</v>
      </c>
      <c r="I60" s="20" t="s">
        <v>3</v>
      </c>
      <c r="J60" s="21">
        <v>0.7</v>
      </c>
      <c r="K60" s="8" t="s">
        <v>168</v>
      </c>
      <c r="L60" s="43" t="s">
        <v>54</v>
      </c>
      <c r="M60" s="8" t="s">
        <v>169</v>
      </c>
      <c r="N60" s="32" t="s">
        <v>55</v>
      </c>
      <c r="O60" s="33">
        <v>0.06</v>
      </c>
      <c r="P60" s="31"/>
      <c r="Q60" s="33">
        <f t="shared" si="24"/>
        <v>0</v>
      </c>
      <c r="R60" s="34">
        <f t="shared" si="23"/>
        <v>0</v>
      </c>
      <c r="S60" s="33" t="s">
        <v>4</v>
      </c>
      <c r="T60" s="33"/>
      <c r="U60" s="2"/>
      <c r="V60" s="2"/>
      <c r="W60" s="2"/>
      <c r="X60" s="2"/>
      <c r="Y60" s="2"/>
      <c r="Z60" s="2"/>
      <c r="AA60" s="2"/>
      <c r="AB60" s="2"/>
      <c r="AC60" s="2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s="3" customFormat="1" ht="21.6" hidden="1" x14ac:dyDescent="0.2">
      <c r="A61" s="4">
        <v>2114</v>
      </c>
      <c r="B61" s="17" t="s">
        <v>2</v>
      </c>
      <c r="C61" s="5" t="s">
        <v>25</v>
      </c>
      <c r="D61" s="1">
        <v>6150</v>
      </c>
      <c r="E61" s="1" t="s">
        <v>34</v>
      </c>
      <c r="F61" s="9" t="s">
        <v>28</v>
      </c>
      <c r="G61" s="17" t="s">
        <v>39</v>
      </c>
      <c r="H61" s="9" t="s">
        <v>27</v>
      </c>
      <c r="I61" s="20" t="s">
        <v>1</v>
      </c>
      <c r="J61" s="21">
        <v>0.3</v>
      </c>
      <c r="K61" s="8" t="s">
        <v>171</v>
      </c>
      <c r="L61" s="43" t="s">
        <v>57</v>
      </c>
      <c r="M61" s="8" t="s">
        <v>172</v>
      </c>
      <c r="N61" s="32" t="s">
        <v>173</v>
      </c>
      <c r="O61" s="33">
        <v>0.05</v>
      </c>
      <c r="P61" s="31"/>
      <c r="Q61" s="33">
        <f t="shared" si="24"/>
        <v>0</v>
      </c>
      <c r="R61" s="34">
        <f t="shared" si="23"/>
        <v>0</v>
      </c>
      <c r="S61" s="33" t="s">
        <v>0</v>
      </c>
      <c r="T61" s="33"/>
      <c r="U61" s="2"/>
      <c r="V61" s="2"/>
      <c r="W61" s="2"/>
      <c r="X61" s="2"/>
      <c r="Y61" s="2"/>
      <c r="Z61" s="2"/>
      <c r="AA61" s="2"/>
      <c r="AB61" s="2"/>
      <c r="AC61" s="2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s="3" customFormat="1" ht="21.6" hidden="1" x14ac:dyDescent="0.2">
      <c r="A62" s="4">
        <v>2114</v>
      </c>
      <c r="B62" s="17" t="s">
        <v>2</v>
      </c>
      <c r="C62" s="5" t="s">
        <v>25</v>
      </c>
      <c r="D62" s="1">
        <v>6150</v>
      </c>
      <c r="E62" s="1" t="s">
        <v>34</v>
      </c>
      <c r="F62" s="9" t="s">
        <v>28</v>
      </c>
      <c r="G62" s="17" t="s">
        <v>39</v>
      </c>
      <c r="H62" s="9" t="s">
        <v>27</v>
      </c>
      <c r="I62" s="20" t="s">
        <v>1</v>
      </c>
      <c r="J62" s="21">
        <v>0.3</v>
      </c>
      <c r="K62" s="8" t="s">
        <v>175</v>
      </c>
      <c r="L62" s="43" t="s">
        <v>60</v>
      </c>
      <c r="M62" s="8" t="s">
        <v>176</v>
      </c>
      <c r="N62" s="35" t="s">
        <v>177</v>
      </c>
      <c r="O62" s="33">
        <v>0.05</v>
      </c>
      <c r="P62" s="35"/>
      <c r="Q62" s="33">
        <f t="shared" si="24"/>
        <v>0</v>
      </c>
      <c r="R62" s="34">
        <f t="shared" si="23"/>
        <v>0</v>
      </c>
      <c r="S62" s="33" t="s">
        <v>0</v>
      </c>
      <c r="T62" s="33"/>
      <c r="U62" s="2"/>
      <c r="V62" s="2"/>
      <c r="W62" s="2"/>
      <c r="X62" s="2"/>
      <c r="Y62" s="2"/>
      <c r="Z62" s="2"/>
      <c r="AA62" s="2"/>
      <c r="AB62" s="2"/>
      <c r="AC62" s="2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s="3" customFormat="1" ht="21.6" hidden="1" x14ac:dyDescent="0.2">
      <c r="A63" s="4">
        <v>2114</v>
      </c>
      <c r="B63" s="17" t="s">
        <v>2</v>
      </c>
      <c r="C63" s="5" t="s">
        <v>25</v>
      </c>
      <c r="D63" s="1">
        <v>6150</v>
      </c>
      <c r="E63" s="1" t="s">
        <v>34</v>
      </c>
      <c r="F63" s="9" t="s">
        <v>28</v>
      </c>
      <c r="G63" s="17" t="s">
        <v>39</v>
      </c>
      <c r="H63" s="9" t="s">
        <v>27</v>
      </c>
      <c r="I63" s="20" t="s">
        <v>3</v>
      </c>
      <c r="J63" s="21">
        <v>0.7</v>
      </c>
      <c r="K63" s="8" t="s">
        <v>62</v>
      </c>
      <c r="L63" s="43" t="s">
        <v>63</v>
      </c>
      <c r="M63" s="8" t="s">
        <v>179</v>
      </c>
      <c r="N63" s="35" t="s">
        <v>180</v>
      </c>
      <c r="O63" s="33">
        <v>0.05</v>
      </c>
      <c r="P63" s="35"/>
      <c r="Q63" s="33"/>
      <c r="R63" s="34"/>
      <c r="S63" s="33" t="s">
        <v>4</v>
      </c>
      <c r="T63" s="33"/>
      <c r="U63" s="2"/>
      <c r="V63" s="2"/>
      <c r="W63" s="2"/>
      <c r="X63" s="2"/>
      <c r="Y63" s="2"/>
      <c r="Z63" s="2"/>
      <c r="AA63" s="2"/>
      <c r="AB63" s="2"/>
      <c r="AC63" s="2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s="3" customFormat="1" ht="21.6" hidden="1" x14ac:dyDescent="0.2">
      <c r="A64" s="4">
        <v>2114</v>
      </c>
      <c r="B64" s="17" t="s">
        <v>2</v>
      </c>
      <c r="C64" s="5" t="s">
        <v>25</v>
      </c>
      <c r="D64" s="1">
        <v>6150</v>
      </c>
      <c r="E64" s="1" t="s">
        <v>34</v>
      </c>
      <c r="F64" s="9" t="s">
        <v>28</v>
      </c>
      <c r="G64" s="17" t="s">
        <v>39</v>
      </c>
      <c r="H64" s="9" t="s">
        <v>27</v>
      </c>
      <c r="I64" s="20" t="s">
        <v>1</v>
      </c>
      <c r="J64" s="21">
        <v>0.3</v>
      </c>
      <c r="K64" s="8" t="s">
        <v>64</v>
      </c>
      <c r="L64" s="43" t="s">
        <v>65</v>
      </c>
      <c r="M64" s="8" t="s">
        <v>182</v>
      </c>
      <c r="N64" s="35" t="s">
        <v>58</v>
      </c>
      <c r="O64" s="33">
        <v>0.05</v>
      </c>
      <c r="P64" s="35"/>
      <c r="Q64" s="33">
        <f t="shared" ref="Q64:Q67" si="25">ROUND(IF(OR(N64="",P64=""),0,IF(AND(N64=0,P64=0),1,IF(S64="+",P64/N64,N64/P64))),2)</f>
        <v>0</v>
      </c>
      <c r="R64" s="34">
        <f t="shared" ref="R64:R67" si="26">IF(AND(Q64&gt;=60%,Q64&lt;100%),Q64*((O64*J64)),IF(Q64=100%,((O64*J64)*Q64)*100%,IF(Q64&gt;100%,((J64*O64)*100%)*100%,0)))*100</f>
        <v>0</v>
      </c>
      <c r="S64" s="33" t="s">
        <v>0</v>
      </c>
      <c r="T64" s="33"/>
      <c r="U64" s="2"/>
      <c r="V64" s="2"/>
      <c r="W64" s="2"/>
      <c r="X64" s="2"/>
      <c r="Y64" s="2"/>
      <c r="Z64" s="2"/>
      <c r="AA64" s="2"/>
      <c r="AB64" s="2"/>
      <c r="AC64" s="2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s="3" customFormat="1" ht="21.6" hidden="1" x14ac:dyDescent="0.2">
      <c r="A65" s="4">
        <v>2115</v>
      </c>
      <c r="B65" s="17" t="s">
        <v>2</v>
      </c>
      <c r="C65" s="5" t="s">
        <v>25</v>
      </c>
      <c r="D65" s="1">
        <v>6150</v>
      </c>
      <c r="E65" s="1" t="s">
        <v>34</v>
      </c>
      <c r="F65" s="9" t="s">
        <v>28</v>
      </c>
      <c r="G65" s="17" t="s">
        <v>39</v>
      </c>
      <c r="H65" s="9" t="s">
        <v>27</v>
      </c>
      <c r="I65" s="20" t="s">
        <v>1</v>
      </c>
      <c r="J65" s="21">
        <v>0.3</v>
      </c>
      <c r="K65" s="8" t="s">
        <v>184</v>
      </c>
      <c r="L65" s="43" t="s">
        <v>185</v>
      </c>
      <c r="M65" s="8" t="s">
        <v>186</v>
      </c>
      <c r="N65" s="32" t="s">
        <v>58</v>
      </c>
      <c r="O65" s="33">
        <v>0.05</v>
      </c>
      <c r="P65" s="31"/>
      <c r="Q65" s="33">
        <f t="shared" si="25"/>
        <v>0</v>
      </c>
      <c r="R65" s="34">
        <f t="shared" si="26"/>
        <v>0</v>
      </c>
      <c r="S65" s="33" t="s">
        <v>0</v>
      </c>
      <c r="T65" s="33"/>
      <c r="U65" s="2"/>
      <c r="V65" s="2"/>
      <c r="W65" s="2"/>
      <c r="X65" s="2"/>
      <c r="Y65" s="2"/>
      <c r="Z65" s="2"/>
      <c r="AA65" s="2"/>
      <c r="AB65" s="2"/>
      <c r="AC65" s="2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s="3" customFormat="1" ht="21.6" hidden="1" x14ac:dyDescent="0.2">
      <c r="A66" s="4">
        <v>2116</v>
      </c>
      <c r="B66" s="17" t="s">
        <v>2</v>
      </c>
      <c r="C66" s="5" t="s">
        <v>25</v>
      </c>
      <c r="D66" s="1">
        <v>6150</v>
      </c>
      <c r="E66" s="1" t="s">
        <v>34</v>
      </c>
      <c r="F66" s="9" t="s">
        <v>28</v>
      </c>
      <c r="G66" s="17" t="s">
        <v>39</v>
      </c>
      <c r="H66" s="9" t="s">
        <v>27</v>
      </c>
      <c r="I66" s="20" t="s">
        <v>1</v>
      </c>
      <c r="J66" s="21">
        <v>0.3</v>
      </c>
      <c r="K66" s="8" t="s">
        <v>188</v>
      </c>
      <c r="L66" s="43" t="s">
        <v>189</v>
      </c>
      <c r="M66" s="8" t="s">
        <v>190</v>
      </c>
      <c r="N66" s="32" t="s">
        <v>58</v>
      </c>
      <c r="O66" s="33">
        <v>0.05</v>
      </c>
      <c r="P66" s="31"/>
      <c r="Q66" s="33">
        <f t="shared" si="25"/>
        <v>0</v>
      </c>
      <c r="R66" s="34">
        <f t="shared" si="26"/>
        <v>0</v>
      </c>
      <c r="S66" s="33" t="s">
        <v>0</v>
      </c>
      <c r="T66" s="33"/>
      <c r="U66" s="2"/>
      <c r="V66" s="2"/>
      <c r="W66" s="2"/>
      <c r="X66" s="2"/>
      <c r="Y66" s="2"/>
      <c r="Z66" s="2"/>
      <c r="AA66" s="2"/>
      <c r="AB66" s="2"/>
      <c r="AC66" s="2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s="3" customFormat="1" ht="21.6" hidden="1" x14ac:dyDescent="0.2">
      <c r="A67" s="4">
        <v>2117</v>
      </c>
      <c r="B67" s="17" t="s">
        <v>2</v>
      </c>
      <c r="C67" s="5" t="s">
        <v>25</v>
      </c>
      <c r="D67" s="1">
        <v>6150</v>
      </c>
      <c r="E67" s="1" t="s">
        <v>34</v>
      </c>
      <c r="F67" s="9" t="s">
        <v>28</v>
      </c>
      <c r="G67" s="17" t="s">
        <v>39</v>
      </c>
      <c r="H67" s="9" t="s">
        <v>27</v>
      </c>
      <c r="I67" s="20" t="s">
        <v>3</v>
      </c>
      <c r="J67" s="21">
        <v>0.7</v>
      </c>
      <c r="K67" s="8" t="s">
        <v>192</v>
      </c>
      <c r="L67" s="43" t="s">
        <v>193</v>
      </c>
      <c r="M67" s="8" t="s">
        <v>194</v>
      </c>
      <c r="N67" s="35" t="s">
        <v>58</v>
      </c>
      <c r="O67" s="33">
        <v>0.04</v>
      </c>
      <c r="P67" s="35"/>
      <c r="Q67" s="33">
        <f t="shared" si="25"/>
        <v>0</v>
      </c>
      <c r="R67" s="34">
        <f t="shared" si="26"/>
        <v>0</v>
      </c>
      <c r="S67" s="33" t="s">
        <v>0</v>
      </c>
      <c r="T67" s="33"/>
      <c r="U67" s="2"/>
      <c r="V67" s="2"/>
      <c r="W67" s="2"/>
      <c r="X67" s="2"/>
      <c r="Y67" s="2"/>
      <c r="Z67" s="2"/>
      <c r="AA67" s="2"/>
      <c r="AB67" s="2"/>
      <c r="AC67" s="2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s="3" customFormat="1" ht="21.6" hidden="1" x14ac:dyDescent="0.2">
      <c r="A68" s="4">
        <v>2118</v>
      </c>
      <c r="B68" s="17" t="s">
        <v>2</v>
      </c>
      <c r="C68" s="5" t="s">
        <v>25</v>
      </c>
      <c r="D68" s="1">
        <v>6150</v>
      </c>
      <c r="E68" s="1" t="s">
        <v>34</v>
      </c>
      <c r="F68" s="9" t="s">
        <v>28</v>
      </c>
      <c r="G68" s="17" t="s">
        <v>39</v>
      </c>
      <c r="H68" s="9" t="s">
        <v>27</v>
      </c>
      <c r="I68" s="20" t="s">
        <v>3</v>
      </c>
      <c r="J68" s="21">
        <v>0.7</v>
      </c>
      <c r="K68" s="8" t="s">
        <v>196</v>
      </c>
      <c r="L68" s="43" t="s">
        <v>197</v>
      </c>
      <c r="M68" s="8" t="s">
        <v>198</v>
      </c>
      <c r="N68" s="35" t="s">
        <v>58</v>
      </c>
      <c r="O68" s="33">
        <v>0.04</v>
      </c>
      <c r="P68" s="35"/>
      <c r="Q68" s="33"/>
      <c r="R68" s="34"/>
      <c r="S68" s="33" t="s">
        <v>0</v>
      </c>
      <c r="T68" s="33"/>
      <c r="U68" s="2"/>
      <c r="V68" s="2"/>
      <c r="W68" s="2"/>
      <c r="X68" s="2"/>
      <c r="Y68" s="2"/>
      <c r="Z68" s="2"/>
      <c r="AA68" s="2"/>
      <c r="AB68" s="2"/>
      <c r="AC68" s="2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s="3" customFormat="1" ht="21.6" hidden="1" x14ac:dyDescent="0.2">
      <c r="A69" s="4">
        <v>2119</v>
      </c>
      <c r="B69" s="17" t="s">
        <v>2</v>
      </c>
      <c r="C69" s="5" t="s">
        <v>25</v>
      </c>
      <c r="D69" s="1">
        <v>6150</v>
      </c>
      <c r="E69" s="1" t="s">
        <v>34</v>
      </c>
      <c r="F69" s="9" t="s">
        <v>28</v>
      </c>
      <c r="G69" s="17" t="s">
        <v>39</v>
      </c>
      <c r="H69" s="9" t="s">
        <v>27</v>
      </c>
      <c r="I69" s="20" t="s">
        <v>3</v>
      </c>
      <c r="J69" s="21">
        <v>0.7</v>
      </c>
      <c r="K69" s="8" t="s">
        <v>200</v>
      </c>
      <c r="L69" s="43" t="s">
        <v>201</v>
      </c>
      <c r="M69" s="8" t="s">
        <v>202</v>
      </c>
      <c r="N69" s="35" t="s">
        <v>203</v>
      </c>
      <c r="O69" s="33">
        <v>0.1</v>
      </c>
      <c r="P69" s="35"/>
      <c r="Q69" s="33">
        <f t="shared" ref="Q69:Q70" si="27">ROUND(IF(OR(N69="",P69=""),0,IF(AND(N69=0,P69=0),1,IF(S69="+",P69/N69,N69/P69))),2)</f>
        <v>0</v>
      </c>
      <c r="R69" s="34">
        <f t="shared" ref="R69:R77" si="28">IF(AND(Q69&gt;=60%,Q69&lt;100%),Q69*((O69*J69)),IF(Q69=100%,((O69*J69)*Q69)*100%,IF(Q69&gt;100%,((J69*O69)*100%)*100%,0)))*100</f>
        <v>0</v>
      </c>
      <c r="S69" s="33" t="s">
        <v>0</v>
      </c>
      <c r="T69" s="33"/>
      <c r="U69" s="2"/>
      <c r="V69" s="2"/>
      <c r="W69" s="2"/>
      <c r="X69" s="2"/>
      <c r="Y69" s="2"/>
      <c r="Z69" s="2"/>
      <c r="AA69" s="2"/>
      <c r="AB69" s="2"/>
      <c r="AC69" s="2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s="3" customFormat="1" ht="21.6" hidden="1" x14ac:dyDescent="0.2">
      <c r="A70" s="4">
        <v>2120</v>
      </c>
      <c r="B70" s="17" t="s">
        <v>2</v>
      </c>
      <c r="C70" s="5" t="s">
        <v>25</v>
      </c>
      <c r="D70" s="1">
        <v>6246</v>
      </c>
      <c r="E70" s="1" t="s">
        <v>35</v>
      </c>
      <c r="F70" s="9" t="s">
        <v>28</v>
      </c>
      <c r="G70" s="17" t="s">
        <v>39</v>
      </c>
      <c r="H70" s="9" t="s">
        <v>27</v>
      </c>
      <c r="I70" s="18" t="s">
        <v>3</v>
      </c>
      <c r="J70" s="19">
        <v>0.7</v>
      </c>
      <c r="K70" s="7" t="s">
        <v>152</v>
      </c>
      <c r="L70" s="42" t="s">
        <v>41</v>
      </c>
      <c r="M70" s="7" t="s">
        <v>153</v>
      </c>
      <c r="N70" s="12" t="s">
        <v>58</v>
      </c>
      <c r="O70" s="19">
        <v>0.1</v>
      </c>
      <c r="P70" s="19"/>
      <c r="Q70" s="19">
        <f t="shared" si="27"/>
        <v>0</v>
      </c>
      <c r="R70" s="26">
        <f t="shared" si="28"/>
        <v>0</v>
      </c>
      <c r="S70" s="19" t="s">
        <v>0</v>
      </c>
      <c r="T70" s="27">
        <f>SUM(R70:R84)%</f>
        <v>0</v>
      </c>
      <c r="U70" s="2"/>
      <c r="V70" s="2"/>
      <c r="W70" s="2"/>
      <c r="X70" s="2"/>
      <c r="Y70" s="2"/>
      <c r="Z70" s="2"/>
      <c r="AA70" s="2"/>
      <c r="AB70" s="2"/>
      <c r="AC70" s="2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s="3" customFormat="1" ht="21.6" hidden="1" x14ac:dyDescent="0.2">
      <c r="A71" s="4">
        <v>2121</v>
      </c>
      <c r="B71" s="17" t="s">
        <v>2</v>
      </c>
      <c r="C71" s="5" t="s">
        <v>25</v>
      </c>
      <c r="D71" s="1">
        <v>6246</v>
      </c>
      <c r="E71" s="1" t="s">
        <v>35</v>
      </c>
      <c r="F71" s="9" t="s">
        <v>28</v>
      </c>
      <c r="G71" s="17" t="s">
        <v>39</v>
      </c>
      <c r="H71" s="9" t="s">
        <v>27</v>
      </c>
      <c r="I71" s="18" t="s">
        <v>3</v>
      </c>
      <c r="J71" s="19">
        <v>0.7</v>
      </c>
      <c r="K71" s="7" t="s">
        <v>155</v>
      </c>
      <c r="L71" s="42" t="s">
        <v>43</v>
      </c>
      <c r="M71" s="7" t="s">
        <v>156</v>
      </c>
      <c r="N71" s="25" t="s">
        <v>42</v>
      </c>
      <c r="O71" s="19">
        <v>0.1</v>
      </c>
      <c r="P71" s="28"/>
      <c r="Q71" s="19">
        <f>ROUND(IF(OR(N71="",P71=""),0,IF(AND(N71=0,P71=0),1,IF(S71="+",P71/N71,N71/P71))),2)</f>
        <v>0</v>
      </c>
      <c r="R71" s="26">
        <f t="shared" si="28"/>
        <v>0</v>
      </c>
      <c r="S71" s="19" t="s">
        <v>0</v>
      </c>
      <c r="T71" s="19"/>
      <c r="U71" s="2"/>
      <c r="V71" s="2"/>
      <c r="W71" s="2"/>
      <c r="X71" s="2"/>
      <c r="Y71" s="2"/>
      <c r="Z71" s="2"/>
      <c r="AA71" s="2"/>
      <c r="AB71" s="2"/>
      <c r="AC71" s="2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s="3" customFormat="1" ht="21.6" hidden="1" x14ac:dyDescent="0.2">
      <c r="A72" s="4">
        <v>2122</v>
      </c>
      <c r="B72" s="17" t="s">
        <v>2</v>
      </c>
      <c r="C72" s="5" t="s">
        <v>25</v>
      </c>
      <c r="D72" s="1">
        <v>6246</v>
      </c>
      <c r="E72" s="1" t="s">
        <v>35</v>
      </c>
      <c r="F72" s="9" t="s">
        <v>28</v>
      </c>
      <c r="G72" s="17" t="s">
        <v>39</v>
      </c>
      <c r="H72" s="9" t="s">
        <v>27</v>
      </c>
      <c r="I72" s="18" t="s">
        <v>3</v>
      </c>
      <c r="J72" s="19">
        <v>0.7</v>
      </c>
      <c r="K72" s="7" t="s">
        <v>158</v>
      </c>
      <c r="L72" s="42" t="s">
        <v>46</v>
      </c>
      <c r="M72" s="7" t="s">
        <v>159</v>
      </c>
      <c r="N72" s="29" t="s">
        <v>160</v>
      </c>
      <c r="O72" s="19">
        <v>7.0000000000000007E-2</v>
      </c>
      <c r="P72" s="28"/>
      <c r="Q72" s="19">
        <f t="shared" ref="Q72:Q77" si="29">ROUND(IF(OR(N72="",P72=""),0,IF(AND(N72=0,P72=0),1,IF(S72="+",P72/N72,N72/P72))),2)</f>
        <v>0</v>
      </c>
      <c r="R72" s="26">
        <f t="shared" si="28"/>
        <v>0</v>
      </c>
      <c r="S72" s="19" t="s">
        <v>4</v>
      </c>
      <c r="T72" s="19"/>
      <c r="U72" s="2"/>
      <c r="V72" s="2"/>
      <c r="W72" s="2"/>
      <c r="X72" s="2"/>
      <c r="Y72" s="2"/>
      <c r="Z72" s="2"/>
      <c r="AA72" s="2"/>
      <c r="AB72" s="2"/>
      <c r="AC72" s="2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s="3" customFormat="1" ht="21.6" hidden="1" x14ac:dyDescent="0.2">
      <c r="A73" s="4">
        <v>2123</v>
      </c>
      <c r="B73" s="17" t="s">
        <v>2</v>
      </c>
      <c r="C73" s="5" t="s">
        <v>25</v>
      </c>
      <c r="D73" s="1">
        <v>6246</v>
      </c>
      <c r="E73" s="1" t="s">
        <v>35</v>
      </c>
      <c r="F73" s="9" t="s">
        <v>28</v>
      </c>
      <c r="G73" s="17" t="s">
        <v>39</v>
      </c>
      <c r="H73" s="9" t="s">
        <v>27</v>
      </c>
      <c r="I73" s="18" t="s">
        <v>3</v>
      </c>
      <c r="J73" s="19">
        <v>0.7</v>
      </c>
      <c r="K73" s="7" t="s">
        <v>162</v>
      </c>
      <c r="L73" s="42" t="s">
        <v>49</v>
      </c>
      <c r="M73" s="7" t="s">
        <v>163</v>
      </c>
      <c r="N73" s="28" t="s">
        <v>50</v>
      </c>
      <c r="O73" s="19">
        <v>0.08</v>
      </c>
      <c r="P73" s="30"/>
      <c r="Q73" s="19">
        <f t="shared" si="29"/>
        <v>0</v>
      </c>
      <c r="R73" s="26">
        <f t="shared" si="28"/>
        <v>0</v>
      </c>
      <c r="S73" s="19" t="s">
        <v>4</v>
      </c>
      <c r="T73" s="19"/>
      <c r="U73" s="2"/>
      <c r="V73" s="2"/>
      <c r="W73" s="2"/>
      <c r="X73" s="2"/>
      <c r="Y73" s="2"/>
      <c r="Z73" s="2"/>
      <c r="AA73" s="2"/>
      <c r="AB73" s="2"/>
      <c r="AC73" s="2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s="3" customFormat="1" ht="21.6" hidden="1" x14ac:dyDescent="0.2">
      <c r="A74" s="4">
        <v>2124</v>
      </c>
      <c r="B74" s="17" t="s">
        <v>2</v>
      </c>
      <c r="C74" s="5" t="s">
        <v>25</v>
      </c>
      <c r="D74" s="1">
        <v>6246</v>
      </c>
      <c r="E74" s="1" t="s">
        <v>35</v>
      </c>
      <c r="F74" s="9" t="s">
        <v>28</v>
      </c>
      <c r="G74" s="17" t="s">
        <v>39</v>
      </c>
      <c r="H74" s="9" t="s">
        <v>27</v>
      </c>
      <c r="I74" s="18" t="s">
        <v>3</v>
      </c>
      <c r="J74" s="19">
        <v>0.7</v>
      </c>
      <c r="K74" s="7" t="s">
        <v>165</v>
      </c>
      <c r="L74" s="42" t="s">
        <v>52</v>
      </c>
      <c r="M74" s="7" t="s">
        <v>166</v>
      </c>
      <c r="N74" s="24" t="s">
        <v>58</v>
      </c>
      <c r="O74" s="19">
        <v>0.06</v>
      </c>
      <c r="P74" s="31"/>
      <c r="Q74" s="19">
        <f t="shared" si="29"/>
        <v>0</v>
      </c>
      <c r="R74" s="26">
        <f t="shared" si="28"/>
        <v>0</v>
      </c>
      <c r="S74" s="19" t="s">
        <v>0</v>
      </c>
      <c r="T74" s="19"/>
      <c r="U74" s="2"/>
      <c r="V74" s="2"/>
      <c r="W74" s="2"/>
      <c r="X74" s="2"/>
      <c r="Y74" s="2"/>
      <c r="Z74" s="2"/>
      <c r="AA74" s="2"/>
      <c r="AB74" s="2"/>
      <c r="AC74" s="2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s="3" customFormat="1" ht="21.6" hidden="1" x14ac:dyDescent="0.2">
      <c r="A75" s="4">
        <v>2124</v>
      </c>
      <c r="B75" s="17" t="s">
        <v>2</v>
      </c>
      <c r="C75" s="5" t="s">
        <v>25</v>
      </c>
      <c r="D75" s="1">
        <v>6246</v>
      </c>
      <c r="E75" s="1" t="s">
        <v>35</v>
      </c>
      <c r="F75" s="9" t="s">
        <v>28</v>
      </c>
      <c r="G75" s="17" t="s">
        <v>39</v>
      </c>
      <c r="H75" s="9" t="s">
        <v>27</v>
      </c>
      <c r="I75" s="20" t="s">
        <v>3</v>
      </c>
      <c r="J75" s="21">
        <v>0.7</v>
      </c>
      <c r="K75" s="8" t="s">
        <v>168</v>
      </c>
      <c r="L75" s="43" t="s">
        <v>54</v>
      </c>
      <c r="M75" s="8" t="s">
        <v>169</v>
      </c>
      <c r="N75" s="32" t="s">
        <v>55</v>
      </c>
      <c r="O75" s="33">
        <v>0.06</v>
      </c>
      <c r="P75" s="31"/>
      <c r="Q75" s="33">
        <f t="shared" si="29"/>
        <v>0</v>
      </c>
      <c r="R75" s="34">
        <f t="shared" si="28"/>
        <v>0</v>
      </c>
      <c r="S75" s="33" t="s">
        <v>4</v>
      </c>
      <c r="T75" s="33"/>
      <c r="U75" s="2"/>
      <c r="V75" s="2"/>
      <c r="W75" s="2"/>
      <c r="X75" s="2"/>
      <c r="Y75" s="2"/>
      <c r="Z75" s="2"/>
      <c r="AA75" s="2"/>
      <c r="AB75" s="2"/>
      <c r="AC75" s="2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s="3" customFormat="1" ht="21.6" hidden="1" x14ac:dyDescent="0.2">
      <c r="A76" s="4">
        <v>2124</v>
      </c>
      <c r="B76" s="17" t="s">
        <v>2</v>
      </c>
      <c r="C76" s="5" t="s">
        <v>25</v>
      </c>
      <c r="D76" s="1">
        <v>6246</v>
      </c>
      <c r="E76" s="1" t="s">
        <v>35</v>
      </c>
      <c r="F76" s="9" t="s">
        <v>28</v>
      </c>
      <c r="G76" s="17" t="s">
        <v>39</v>
      </c>
      <c r="H76" s="9" t="s">
        <v>27</v>
      </c>
      <c r="I76" s="20" t="s">
        <v>1</v>
      </c>
      <c r="J76" s="21">
        <v>0.3</v>
      </c>
      <c r="K76" s="8" t="s">
        <v>171</v>
      </c>
      <c r="L76" s="43" t="s">
        <v>57</v>
      </c>
      <c r="M76" s="8" t="s">
        <v>172</v>
      </c>
      <c r="N76" s="32" t="s">
        <v>173</v>
      </c>
      <c r="O76" s="33">
        <v>0.05</v>
      </c>
      <c r="P76" s="31"/>
      <c r="Q76" s="33">
        <f t="shared" si="29"/>
        <v>0</v>
      </c>
      <c r="R76" s="34">
        <f t="shared" si="28"/>
        <v>0</v>
      </c>
      <c r="S76" s="33" t="s">
        <v>0</v>
      </c>
      <c r="T76" s="33"/>
      <c r="U76" s="2"/>
      <c r="V76" s="2"/>
      <c r="W76" s="2"/>
      <c r="X76" s="2"/>
      <c r="Y76" s="2"/>
      <c r="Z76" s="2"/>
      <c r="AA76" s="2"/>
      <c r="AB76" s="2"/>
      <c r="AC76" s="2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s="3" customFormat="1" ht="21.6" hidden="1" x14ac:dyDescent="0.2">
      <c r="A77" s="4">
        <v>2124</v>
      </c>
      <c r="B77" s="17" t="s">
        <v>2</v>
      </c>
      <c r="C77" s="5" t="s">
        <v>25</v>
      </c>
      <c r="D77" s="1">
        <v>6246</v>
      </c>
      <c r="E77" s="1" t="s">
        <v>35</v>
      </c>
      <c r="F77" s="9" t="s">
        <v>28</v>
      </c>
      <c r="G77" s="17" t="s">
        <v>39</v>
      </c>
      <c r="H77" s="9" t="s">
        <v>27</v>
      </c>
      <c r="I77" s="20" t="s">
        <v>1</v>
      </c>
      <c r="J77" s="21">
        <v>0.3</v>
      </c>
      <c r="K77" s="8" t="s">
        <v>175</v>
      </c>
      <c r="L77" s="43" t="s">
        <v>60</v>
      </c>
      <c r="M77" s="8" t="s">
        <v>176</v>
      </c>
      <c r="N77" s="35" t="s">
        <v>177</v>
      </c>
      <c r="O77" s="33">
        <v>0.05</v>
      </c>
      <c r="P77" s="35"/>
      <c r="Q77" s="33">
        <f t="shared" si="29"/>
        <v>0</v>
      </c>
      <c r="R77" s="34">
        <f t="shared" si="28"/>
        <v>0</v>
      </c>
      <c r="S77" s="33" t="s">
        <v>0</v>
      </c>
      <c r="T77" s="33"/>
      <c r="U77" s="2"/>
      <c r="V77" s="2"/>
      <c r="W77" s="2"/>
      <c r="X77" s="2"/>
      <c r="Y77" s="2"/>
      <c r="Z77" s="2"/>
      <c r="AA77" s="2"/>
      <c r="AB77" s="2"/>
      <c r="AC77" s="2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s="3" customFormat="1" ht="21.6" hidden="1" x14ac:dyDescent="0.2">
      <c r="A78" s="4">
        <v>2124</v>
      </c>
      <c r="B78" s="17" t="s">
        <v>2</v>
      </c>
      <c r="C78" s="5" t="s">
        <v>25</v>
      </c>
      <c r="D78" s="1">
        <v>6246</v>
      </c>
      <c r="E78" s="1" t="s">
        <v>35</v>
      </c>
      <c r="F78" s="9" t="s">
        <v>28</v>
      </c>
      <c r="G78" s="17" t="s">
        <v>39</v>
      </c>
      <c r="H78" s="9" t="s">
        <v>27</v>
      </c>
      <c r="I78" s="20" t="s">
        <v>3</v>
      </c>
      <c r="J78" s="21">
        <v>0.7</v>
      </c>
      <c r="K78" s="8" t="s">
        <v>62</v>
      </c>
      <c r="L78" s="43" t="s">
        <v>63</v>
      </c>
      <c r="M78" s="8" t="s">
        <v>179</v>
      </c>
      <c r="N78" s="35" t="s">
        <v>180</v>
      </c>
      <c r="O78" s="33">
        <v>0.05</v>
      </c>
      <c r="P78" s="35"/>
      <c r="Q78" s="33"/>
      <c r="R78" s="34"/>
      <c r="S78" s="33" t="s">
        <v>4</v>
      </c>
      <c r="T78" s="33"/>
      <c r="U78" s="2"/>
      <c r="V78" s="2"/>
      <c r="W78" s="2"/>
      <c r="X78" s="2"/>
      <c r="Y78" s="2"/>
      <c r="Z78" s="2"/>
      <c r="AA78" s="2"/>
      <c r="AB78" s="2"/>
      <c r="AC78" s="2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s="3" customFormat="1" ht="21.6" hidden="1" x14ac:dyDescent="0.2">
      <c r="A79" s="4">
        <v>2124</v>
      </c>
      <c r="B79" s="17" t="s">
        <v>2</v>
      </c>
      <c r="C79" s="5" t="s">
        <v>25</v>
      </c>
      <c r="D79" s="1">
        <v>6246</v>
      </c>
      <c r="E79" s="1" t="s">
        <v>35</v>
      </c>
      <c r="F79" s="9" t="s">
        <v>28</v>
      </c>
      <c r="G79" s="17" t="s">
        <v>39</v>
      </c>
      <c r="H79" s="9" t="s">
        <v>27</v>
      </c>
      <c r="I79" s="20" t="s">
        <v>1</v>
      </c>
      <c r="J79" s="21">
        <v>0.3</v>
      </c>
      <c r="K79" s="8" t="s">
        <v>64</v>
      </c>
      <c r="L79" s="43" t="s">
        <v>65</v>
      </c>
      <c r="M79" s="8" t="s">
        <v>182</v>
      </c>
      <c r="N79" s="35" t="s">
        <v>58</v>
      </c>
      <c r="O79" s="33">
        <v>0.05</v>
      </c>
      <c r="P79" s="35"/>
      <c r="Q79" s="33">
        <f t="shared" ref="Q79:Q82" si="30">ROUND(IF(OR(N79="",P79=""),0,IF(AND(N79=0,P79=0),1,IF(S79="+",P79/N79,N79/P79))),2)</f>
        <v>0</v>
      </c>
      <c r="R79" s="34">
        <f t="shared" ref="R79:R82" si="31">IF(AND(Q79&gt;=60%,Q79&lt;100%),Q79*((O79*J79)),IF(Q79=100%,((O79*J79)*Q79)*100%,IF(Q79&gt;100%,((J79*O79)*100%)*100%,0)))*100</f>
        <v>0</v>
      </c>
      <c r="S79" s="33" t="s">
        <v>0</v>
      </c>
      <c r="T79" s="33"/>
      <c r="U79" s="2"/>
      <c r="V79" s="2"/>
      <c r="W79" s="2"/>
      <c r="X79" s="2"/>
      <c r="Y79" s="2"/>
      <c r="Z79" s="2"/>
      <c r="AA79" s="2"/>
      <c r="AB79" s="2"/>
      <c r="AC79" s="2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s="3" customFormat="1" ht="21.6" hidden="1" x14ac:dyDescent="0.2">
      <c r="A80" s="4">
        <v>2125</v>
      </c>
      <c r="B80" s="17" t="s">
        <v>2</v>
      </c>
      <c r="C80" s="5" t="s">
        <v>25</v>
      </c>
      <c r="D80" s="1">
        <v>6246</v>
      </c>
      <c r="E80" s="1" t="s">
        <v>35</v>
      </c>
      <c r="F80" s="9" t="s">
        <v>28</v>
      </c>
      <c r="G80" s="17" t="s">
        <v>39</v>
      </c>
      <c r="H80" s="9" t="s">
        <v>27</v>
      </c>
      <c r="I80" s="20" t="s">
        <v>1</v>
      </c>
      <c r="J80" s="21">
        <v>0.3</v>
      </c>
      <c r="K80" s="8" t="s">
        <v>184</v>
      </c>
      <c r="L80" s="43" t="s">
        <v>185</v>
      </c>
      <c r="M80" s="8" t="s">
        <v>186</v>
      </c>
      <c r="N80" s="32" t="s">
        <v>58</v>
      </c>
      <c r="O80" s="33">
        <v>0.05</v>
      </c>
      <c r="P80" s="31"/>
      <c r="Q80" s="33">
        <f t="shared" si="30"/>
        <v>0</v>
      </c>
      <c r="R80" s="34">
        <f t="shared" si="31"/>
        <v>0</v>
      </c>
      <c r="S80" s="33" t="s">
        <v>0</v>
      </c>
      <c r="T80" s="33"/>
      <c r="U80" s="2"/>
      <c r="V80" s="2"/>
      <c r="W80" s="2"/>
      <c r="X80" s="2"/>
      <c r="Y80" s="2"/>
      <c r="Z80" s="2"/>
      <c r="AA80" s="2"/>
      <c r="AB80" s="2"/>
      <c r="AC80" s="2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s="3" customFormat="1" ht="21.6" hidden="1" x14ac:dyDescent="0.2">
      <c r="A81" s="4">
        <v>2126</v>
      </c>
      <c r="B81" s="17" t="s">
        <v>2</v>
      </c>
      <c r="C81" s="5" t="s">
        <v>25</v>
      </c>
      <c r="D81" s="1">
        <v>6246</v>
      </c>
      <c r="E81" s="1" t="s">
        <v>35</v>
      </c>
      <c r="F81" s="9" t="s">
        <v>28</v>
      </c>
      <c r="G81" s="17" t="s">
        <v>39</v>
      </c>
      <c r="H81" s="9" t="s">
        <v>27</v>
      </c>
      <c r="I81" s="20" t="s">
        <v>1</v>
      </c>
      <c r="J81" s="21">
        <v>0.3</v>
      </c>
      <c r="K81" s="8" t="s">
        <v>188</v>
      </c>
      <c r="L81" s="43" t="s">
        <v>189</v>
      </c>
      <c r="M81" s="8" t="s">
        <v>190</v>
      </c>
      <c r="N81" s="32" t="s">
        <v>58</v>
      </c>
      <c r="O81" s="33">
        <v>0.05</v>
      </c>
      <c r="P81" s="31"/>
      <c r="Q81" s="33">
        <f t="shared" si="30"/>
        <v>0</v>
      </c>
      <c r="R81" s="34">
        <f t="shared" si="31"/>
        <v>0</v>
      </c>
      <c r="S81" s="33" t="s">
        <v>0</v>
      </c>
      <c r="T81" s="33"/>
      <c r="U81" s="2"/>
      <c r="V81" s="2"/>
      <c r="W81" s="2"/>
      <c r="X81" s="2"/>
      <c r="Y81" s="2"/>
      <c r="Z81" s="2"/>
      <c r="AA81" s="2"/>
      <c r="AB81" s="2"/>
      <c r="AC81" s="2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s="3" customFormat="1" ht="21.6" hidden="1" x14ac:dyDescent="0.2">
      <c r="A82" s="4">
        <v>2127</v>
      </c>
      <c r="B82" s="17" t="s">
        <v>2</v>
      </c>
      <c r="C82" s="5" t="s">
        <v>25</v>
      </c>
      <c r="D82" s="1">
        <v>6246</v>
      </c>
      <c r="E82" s="1" t="s">
        <v>35</v>
      </c>
      <c r="F82" s="9" t="s">
        <v>28</v>
      </c>
      <c r="G82" s="17" t="s">
        <v>39</v>
      </c>
      <c r="H82" s="9" t="s">
        <v>27</v>
      </c>
      <c r="I82" s="20" t="s">
        <v>3</v>
      </c>
      <c r="J82" s="21">
        <v>0.7</v>
      </c>
      <c r="K82" s="8" t="s">
        <v>192</v>
      </c>
      <c r="L82" s="43" t="s">
        <v>193</v>
      </c>
      <c r="M82" s="8" t="s">
        <v>194</v>
      </c>
      <c r="N82" s="35" t="s">
        <v>58</v>
      </c>
      <c r="O82" s="33">
        <v>0.04</v>
      </c>
      <c r="P82" s="35"/>
      <c r="Q82" s="33">
        <f t="shared" si="30"/>
        <v>0</v>
      </c>
      <c r="R82" s="34">
        <f t="shared" si="31"/>
        <v>0</v>
      </c>
      <c r="S82" s="33" t="s">
        <v>0</v>
      </c>
      <c r="T82" s="33"/>
      <c r="U82" s="2"/>
      <c r="V82" s="2"/>
      <c r="W82" s="2"/>
      <c r="X82" s="2"/>
      <c r="Y82" s="2"/>
      <c r="Z82" s="2"/>
      <c r="AA82" s="2"/>
      <c r="AB82" s="2"/>
      <c r="AC82" s="2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s="3" customFormat="1" ht="21.6" hidden="1" x14ac:dyDescent="0.2">
      <c r="A83" s="4">
        <v>2128</v>
      </c>
      <c r="B83" s="17" t="s">
        <v>2</v>
      </c>
      <c r="C83" s="5" t="s">
        <v>25</v>
      </c>
      <c r="D83" s="1">
        <v>6246</v>
      </c>
      <c r="E83" s="1" t="s">
        <v>35</v>
      </c>
      <c r="F83" s="9" t="s">
        <v>28</v>
      </c>
      <c r="G83" s="17" t="s">
        <v>39</v>
      </c>
      <c r="H83" s="9" t="s">
        <v>27</v>
      </c>
      <c r="I83" s="20" t="s">
        <v>3</v>
      </c>
      <c r="J83" s="21">
        <v>0.7</v>
      </c>
      <c r="K83" s="8" t="s">
        <v>196</v>
      </c>
      <c r="L83" s="43" t="s">
        <v>197</v>
      </c>
      <c r="M83" s="8" t="s">
        <v>198</v>
      </c>
      <c r="N83" s="35" t="s">
        <v>58</v>
      </c>
      <c r="O83" s="33">
        <v>0.04</v>
      </c>
      <c r="P83" s="35"/>
      <c r="Q83" s="33"/>
      <c r="R83" s="34"/>
      <c r="S83" s="33" t="s">
        <v>0</v>
      </c>
      <c r="T83" s="33"/>
      <c r="U83" s="2"/>
      <c r="V83" s="2"/>
      <c r="W83" s="2"/>
      <c r="X83" s="2"/>
      <c r="Y83" s="2"/>
      <c r="Z83" s="2"/>
      <c r="AA83" s="2"/>
      <c r="AB83" s="2"/>
      <c r="AC83" s="2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s="3" customFormat="1" ht="21.6" hidden="1" x14ac:dyDescent="0.2">
      <c r="A84" s="4">
        <v>2129</v>
      </c>
      <c r="B84" s="17" t="s">
        <v>2</v>
      </c>
      <c r="C84" s="5" t="s">
        <v>25</v>
      </c>
      <c r="D84" s="1">
        <v>6246</v>
      </c>
      <c r="E84" s="1" t="s">
        <v>35</v>
      </c>
      <c r="F84" s="9" t="s">
        <v>28</v>
      </c>
      <c r="G84" s="17" t="s">
        <v>39</v>
      </c>
      <c r="H84" s="9" t="s">
        <v>27</v>
      </c>
      <c r="I84" s="20" t="s">
        <v>3</v>
      </c>
      <c r="J84" s="21">
        <v>0.7</v>
      </c>
      <c r="K84" s="8" t="s">
        <v>200</v>
      </c>
      <c r="L84" s="43" t="s">
        <v>201</v>
      </c>
      <c r="M84" s="8" t="s">
        <v>202</v>
      </c>
      <c r="N84" s="35" t="s">
        <v>203</v>
      </c>
      <c r="O84" s="33">
        <v>0.1</v>
      </c>
      <c r="P84" s="35"/>
      <c r="Q84" s="33">
        <f t="shared" ref="Q84:Q85" si="32">ROUND(IF(OR(N84="",P84=""),0,IF(AND(N84=0,P84=0),1,IF(S84="+",P84/N84,N84/P84))),2)</f>
        <v>0</v>
      </c>
      <c r="R84" s="34">
        <f t="shared" ref="R84:R92" si="33">IF(AND(Q84&gt;=60%,Q84&lt;100%),Q84*((O84*J84)),IF(Q84=100%,((O84*J84)*Q84)*100%,IF(Q84&gt;100%,((J84*O84)*100%)*100%,0)))*100</f>
        <v>0</v>
      </c>
      <c r="S84" s="33" t="s">
        <v>0</v>
      </c>
      <c r="T84" s="33"/>
      <c r="U84" s="2"/>
      <c r="V84" s="2"/>
      <c r="W84" s="2"/>
      <c r="X84" s="2"/>
      <c r="Y84" s="2"/>
      <c r="Z84" s="2"/>
      <c r="AA84" s="2"/>
      <c r="AB84" s="2"/>
      <c r="AC84" s="2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s="3" customFormat="1" ht="21.6" hidden="1" x14ac:dyDescent="0.2">
      <c r="A85" s="4">
        <v>2130</v>
      </c>
      <c r="B85" s="17" t="s">
        <v>2</v>
      </c>
      <c r="C85" s="5" t="s">
        <v>25</v>
      </c>
      <c r="D85" s="1">
        <v>6329</v>
      </c>
      <c r="E85" s="1" t="s">
        <v>36</v>
      </c>
      <c r="F85" s="9" t="s">
        <v>28</v>
      </c>
      <c r="G85" s="17" t="s">
        <v>39</v>
      </c>
      <c r="H85" s="9" t="s">
        <v>27</v>
      </c>
      <c r="I85" s="18" t="s">
        <v>3</v>
      </c>
      <c r="J85" s="19">
        <v>0.7</v>
      </c>
      <c r="K85" s="7" t="s">
        <v>152</v>
      </c>
      <c r="L85" s="42" t="s">
        <v>41</v>
      </c>
      <c r="M85" s="7" t="s">
        <v>153</v>
      </c>
      <c r="N85" s="12" t="s">
        <v>58</v>
      </c>
      <c r="O85" s="19">
        <v>0.1</v>
      </c>
      <c r="P85" s="19"/>
      <c r="Q85" s="19">
        <f t="shared" si="32"/>
        <v>0</v>
      </c>
      <c r="R85" s="26">
        <f t="shared" si="33"/>
        <v>0</v>
      </c>
      <c r="S85" s="19" t="s">
        <v>0</v>
      </c>
      <c r="T85" s="27">
        <f>SUM(R85:R99)%</f>
        <v>0</v>
      </c>
      <c r="U85" s="2"/>
      <c r="V85" s="2"/>
      <c r="W85" s="2"/>
      <c r="X85" s="2"/>
      <c r="Y85" s="2"/>
      <c r="Z85" s="2"/>
      <c r="AA85" s="2"/>
      <c r="AB85" s="2"/>
      <c r="AC85" s="2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s="3" customFormat="1" ht="21.6" hidden="1" x14ac:dyDescent="0.2">
      <c r="A86" s="4">
        <v>2131</v>
      </c>
      <c r="B86" s="17" t="s">
        <v>2</v>
      </c>
      <c r="C86" s="5" t="s">
        <v>25</v>
      </c>
      <c r="D86" s="1">
        <v>6329</v>
      </c>
      <c r="E86" s="1" t="s">
        <v>36</v>
      </c>
      <c r="F86" s="9" t="s">
        <v>28</v>
      </c>
      <c r="G86" s="17" t="s">
        <v>39</v>
      </c>
      <c r="H86" s="9" t="s">
        <v>27</v>
      </c>
      <c r="I86" s="18" t="s">
        <v>3</v>
      </c>
      <c r="J86" s="19">
        <v>0.7</v>
      </c>
      <c r="K86" s="7" t="s">
        <v>155</v>
      </c>
      <c r="L86" s="42" t="s">
        <v>43</v>
      </c>
      <c r="M86" s="7" t="s">
        <v>156</v>
      </c>
      <c r="N86" s="25" t="s">
        <v>42</v>
      </c>
      <c r="O86" s="19">
        <v>0.1</v>
      </c>
      <c r="P86" s="28"/>
      <c r="Q86" s="19">
        <f>ROUND(IF(OR(N86="",P86=""),0,IF(AND(N86=0,P86=0),1,IF(S86="+",P86/N86,N86/P86))),2)</f>
        <v>0</v>
      </c>
      <c r="R86" s="26">
        <f t="shared" si="33"/>
        <v>0</v>
      </c>
      <c r="S86" s="19" t="s">
        <v>0</v>
      </c>
      <c r="T86" s="19"/>
      <c r="U86" s="2"/>
      <c r="V86" s="2"/>
      <c r="W86" s="2"/>
      <c r="X86" s="2"/>
      <c r="Y86" s="2"/>
      <c r="Z86" s="2"/>
      <c r="AA86" s="2"/>
      <c r="AB86" s="2"/>
      <c r="AC86" s="2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s="3" customFormat="1" ht="21.6" hidden="1" x14ac:dyDescent="0.2">
      <c r="A87" s="4">
        <v>2132</v>
      </c>
      <c r="B87" s="17" t="s">
        <v>2</v>
      </c>
      <c r="C87" s="5" t="s">
        <v>25</v>
      </c>
      <c r="D87" s="1">
        <v>6329</v>
      </c>
      <c r="E87" s="1" t="s">
        <v>36</v>
      </c>
      <c r="F87" s="9" t="s">
        <v>28</v>
      </c>
      <c r="G87" s="17" t="s">
        <v>39</v>
      </c>
      <c r="H87" s="9" t="s">
        <v>27</v>
      </c>
      <c r="I87" s="18" t="s">
        <v>3</v>
      </c>
      <c r="J87" s="19">
        <v>0.7</v>
      </c>
      <c r="K87" s="7" t="s">
        <v>158</v>
      </c>
      <c r="L87" s="42" t="s">
        <v>46</v>
      </c>
      <c r="M87" s="7" t="s">
        <v>159</v>
      </c>
      <c r="N87" s="29" t="s">
        <v>160</v>
      </c>
      <c r="O87" s="19">
        <v>7.0000000000000007E-2</v>
      </c>
      <c r="P87" s="28"/>
      <c r="Q87" s="19">
        <f t="shared" ref="Q87:Q92" si="34">ROUND(IF(OR(N87="",P87=""),0,IF(AND(N87=0,P87=0),1,IF(S87="+",P87/N87,N87/P87))),2)</f>
        <v>0</v>
      </c>
      <c r="R87" s="26">
        <f t="shared" si="33"/>
        <v>0</v>
      </c>
      <c r="S87" s="19" t="s">
        <v>4</v>
      </c>
      <c r="T87" s="19"/>
      <c r="U87" s="2"/>
      <c r="V87" s="2"/>
      <c r="W87" s="2"/>
      <c r="X87" s="2"/>
      <c r="Y87" s="2"/>
      <c r="Z87" s="2"/>
      <c r="AA87" s="2"/>
      <c r="AB87" s="2"/>
      <c r="AC87" s="2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s="3" customFormat="1" ht="21.6" hidden="1" x14ac:dyDescent="0.2">
      <c r="A88" s="4">
        <v>2133</v>
      </c>
      <c r="B88" s="17" t="s">
        <v>2</v>
      </c>
      <c r="C88" s="5" t="s">
        <v>25</v>
      </c>
      <c r="D88" s="1">
        <v>6329</v>
      </c>
      <c r="E88" s="1" t="s">
        <v>36</v>
      </c>
      <c r="F88" s="9" t="s">
        <v>28</v>
      </c>
      <c r="G88" s="17" t="s">
        <v>39</v>
      </c>
      <c r="H88" s="9" t="s">
        <v>27</v>
      </c>
      <c r="I88" s="18" t="s">
        <v>3</v>
      </c>
      <c r="J88" s="19">
        <v>0.7</v>
      </c>
      <c r="K88" s="7" t="s">
        <v>162</v>
      </c>
      <c r="L88" s="42" t="s">
        <v>49</v>
      </c>
      <c r="M88" s="7" t="s">
        <v>163</v>
      </c>
      <c r="N88" s="28" t="s">
        <v>50</v>
      </c>
      <c r="O88" s="19">
        <v>0.08</v>
      </c>
      <c r="P88" s="30"/>
      <c r="Q88" s="19">
        <f t="shared" si="34"/>
        <v>0</v>
      </c>
      <c r="R88" s="26">
        <f t="shared" si="33"/>
        <v>0</v>
      </c>
      <c r="S88" s="19" t="s">
        <v>4</v>
      </c>
      <c r="T88" s="19"/>
      <c r="U88" s="2"/>
      <c r="V88" s="2"/>
      <c r="W88" s="2"/>
      <c r="X88" s="2"/>
      <c r="Y88" s="2"/>
      <c r="Z88" s="2"/>
      <c r="AA88" s="2"/>
      <c r="AB88" s="2"/>
      <c r="AC88" s="2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s="3" customFormat="1" ht="21.6" hidden="1" x14ac:dyDescent="0.2">
      <c r="A89" s="4">
        <v>2133</v>
      </c>
      <c r="B89" s="17" t="s">
        <v>2</v>
      </c>
      <c r="C89" s="5" t="s">
        <v>25</v>
      </c>
      <c r="D89" s="1">
        <v>6329</v>
      </c>
      <c r="E89" s="1" t="s">
        <v>36</v>
      </c>
      <c r="F89" s="9" t="s">
        <v>28</v>
      </c>
      <c r="G89" s="17" t="s">
        <v>39</v>
      </c>
      <c r="H89" s="9" t="s">
        <v>27</v>
      </c>
      <c r="I89" s="18" t="s">
        <v>3</v>
      </c>
      <c r="J89" s="19">
        <v>0.7</v>
      </c>
      <c r="K89" s="7" t="s">
        <v>165</v>
      </c>
      <c r="L89" s="42" t="s">
        <v>52</v>
      </c>
      <c r="M89" s="7" t="s">
        <v>166</v>
      </c>
      <c r="N89" s="24" t="s">
        <v>58</v>
      </c>
      <c r="O89" s="19">
        <v>0.06</v>
      </c>
      <c r="P89" s="31"/>
      <c r="Q89" s="19">
        <f t="shared" si="34"/>
        <v>0</v>
      </c>
      <c r="R89" s="26">
        <f t="shared" si="33"/>
        <v>0</v>
      </c>
      <c r="S89" s="19" t="s">
        <v>0</v>
      </c>
      <c r="T89" s="19"/>
      <c r="U89" s="2"/>
      <c r="V89" s="2"/>
      <c r="W89" s="2"/>
      <c r="X89" s="2"/>
      <c r="Y89" s="2"/>
      <c r="Z89" s="2"/>
      <c r="AA89" s="2"/>
      <c r="AB89" s="2"/>
      <c r="AC89" s="2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s="3" customFormat="1" ht="21.6" hidden="1" x14ac:dyDescent="0.2">
      <c r="A90" s="4">
        <v>2133</v>
      </c>
      <c r="B90" s="17" t="s">
        <v>2</v>
      </c>
      <c r="C90" s="5" t="s">
        <v>25</v>
      </c>
      <c r="D90" s="1">
        <v>6329</v>
      </c>
      <c r="E90" s="1" t="s">
        <v>36</v>
      </c>
      <c r="F90" s="9" t="s">
        <v>28</v>
      </c>
      <c r="G90" s="17" t="s">
        <v>39</v>
      </c>
      <c r="H90" s="9" t="s">
        <v>27</v>
      </c>
      <c r="I90" s="20" t="s">
        <v>3</v>
      </c>
      <c r="J90" s="21">
        <v>0.7</v>
      </c>
      <c r="K90" s="8" t="s">
        <v>168</v>
      </c>
      <c r="L90" s="43" t="s">
        <v>54</v>
      </c>
      <c r="M90" s="8" t="s">
        <v>169</v>
      </c>
      <c r="N90" s="32" t="s">
        <v>55</v>
      </c>
      <c r="O90" s="33">
        <v>0.06</v>
      </c>
      <c r="P90" s="31"/>
      <c r="Q90" s="33">
        <f t="shared" si="34"/>
        <v>0</v>
      </c>
      <c r="R90" s="34">
        <f t="shared" si="33"/>
        <v>0</v>
      </c>
      <c r="S90" s="33" t="s">
        <v>4</v>
      </c>
      <c r="T90" s="33"/>
      <c r="U90" s="2"/>
      <c r="V90" s="2"/>
      <c r="W90" s="2"/>
      <c r="X90" s="2"/>
      <c r="Y90" s="2"/>
      <c r="Z90" s="2"/>
      <c r="AA90" s="2"/>
      <c r="AB90" s="2"/>
      <c r="AC90" s="2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s="3" customFormat="1" ht="21.6" hidden="1" x14ac:dyDescent="0.2">
      <c r="A91" s="4">
        <v>2133</v>
      </c>
      <c r="B91" s="17" t="s">
        <v>2</v>
      </c>
      <c r="C91" s="5" t="s">
        <v>25</v>
      </c>
      <c r="D91" s="1">
        <v>6329</v>
      </c>
      <c r="E91" s="1" t="s">
        <v>36</v>
      </c>
      <c r="F91" s="9" t="s">
        <v>28</v>
      </c>
      <c r="G91" s="17" t="s">
        <v>39</v>
      </c>
      <c r="H91" s="9" t="s">
        <v>27</v>
      </c>
      <c r="I91" s="20" t="s">
        <v>1</v>
      </c>
      <c r="J91" s="21">
        <v>0.3</v>
      </c>
      <c r="K91" s="8" t="s">
        <v>171</v>
      </c>
      <c r="L91" s="43" t="s">
        <v>57</v>
      </c>
      <c r="M91" s="8" t="s">
        <v>172</v>
      </c>
      <c r="N91" s="32" t="s">
        <v>173</v>
      </c>
      <c r="O91" s="33">
        <v>0.05</v>
      </c>
      <c r="P91" s="31"/>
      <c r="Q91" s="33">
        <f t="shared" si="34"/>
        <v>0</v>
      </c>
      <c r="R91" s="34">
        <f t="shared" si="33"/>
        <v>0</v>
      </c>
      <c r="S91" s="33" t="s">
        <v>0</v>
      </c>
      <c r="T91" s="33"/>
      <c r="U91" s="2"/>
      <c r="V91" s="2"/>
      <c r="W91" s="2"/>
      <c r="X91" s="2"/>
      <c r="Y91" s="2"/>
      <c r="Z91" s="2"/>
      <c r="AA91" s="2"/>
      <c r="AB91" s="2"/>
      <c r="AC91" s="2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s="3" customFormat="1" ht="21.6" hidden="1" x14ac:dyDescent="0.2">
      <c r="A92" s="4">
        <v>2133</v>
      </c>
      <c r="B92" s="17" t="s">
        <v>2</v>
      </c>
      <c r="C92" s="5" t="s">
        <v>25</v>
      </c>
      <c r="D92" s="1">
        <v>6329</v>
      </c>
      <c r="E92" s="1" t="s">
        <v>36</v>
      </c>
      <c r="F92" s="9" t="s">
        <v>28</v>
      </c>
      <c r="G92" s="17" t="s">
        <v>39</v>
      </c>
      <c r="H92" s="9" t="s">
        <v>27</v>
      </c>
      <c r="I92" s="20" t="s">
        <v>1</v>
      </c>
      <c r="J92" s="21">
        <v>0.3</v>
      </c>
      <c r="K92" s="8" t="s">
        <v>175</v>
      </c>
      <c r="L92" s="43" t="s">
        <v>60</v>
      </c>
      <c r="M92" s="8" t="s">
        <v>176</v>
      </c>
      <c r="N92" s="35" t="s">
        <v>177</v>
      </c>
      <c r="O92" s="33">
        <v>0.05</v>
      </c>
      <c r="P92" s="35"/>
      <c r="Q92" s="33">
        <f t="shared" si="34"/>
        <v>0</v>
      </c>
      <c r="R92" s="34">
        <f t="shared" si="33"/>
        <v>0</v>
      </c>
      <c r="S92" s="33" t="s">
        <v>0</v>
      </c>
      <c r="T92" s="33"/>
      <c r="U92" s="2"/>
      <c r="V92" s="2"/>
      <c r="W92" s="2"/>
      <c r="X92" s="2"/>
      <c r="Y92" s="2"/>
      <c r="Z92" s="2"/>
      <c r="AA92" s="2"/>
      <c r="AB92" s="2"/>
      <c r="AC92" s="2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s="3" customFormat="1" ht="21.6" hidden="1" x14ac:dyDescent="0.2">
      <c r="A93" s="4">
        <v>2133</v>
      </c>
      <c r="B93" s="17" t="s">
        <v>2</v>
      </c>
      <c r="C93" s="5" t="s">
        <v>25</v>
      </c>
      <c r="D93" s="1">
        <v>6329</v>
      </c>
      <c r="E93" s="1" t="s">
        <v>36</v>
      </c>
      <c r="F93" s="9" t="s">
        <v>28</v>
      </c>
      <c r="G93" s="17" t="s">
        <v>39</v>
      </c>
      <c r="H93" s="9" t="s">
        <v>27</v>
      </c>
      <c r="I93" s="20" t="s">
        <v>3</v>
      </c>
      <c r="J93" s="21">
        <v>0.7</v>
      </c>
      <c r="K93" s="8" t="s">
        <v>62</v>
      </c>
      <c r="L93" s="43" t="s">
        <v>63</v>
      </c>
      <c r="M93" s="8" t="s">
        <v>179</v>
      </c>
      <c r="N93" s="35" t="s">
        <v>180</v>
      </c>
      <c r="O93" s="33">
        <v>0.05</v>
      </c>
      <c r="P93" s="35"/>
      <c r="Q93" s="33"/>
      <c r="R93" s="34"/>
      <c r="S93" s="33" t="s">
        <v>4</v>
      </c>
      <c r="T93" s="33"/>
      <c r="U93" s="2"/>
      <c r="V93" s="2"/>
      <c r="W93" s="2"/>
      <c r="X93" s="2"/>
      <c r="Y93" s="2"/>
      <c r="Z93" s="2"/>
      <c r="AA93" s="2"/>
      <c r="AB93" s="2"/>
      <c r="AC93" s="2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s="3" customFormat="1" ht="21.6" hidden="1" x14ac:dyDescent="0.2">
      <c r="A94" s="4">
        <v>2134</v>
      </c>
      <c r="B94" s="17" t="s">
        <v>2</v>
      </c>
      <c r="C94" s="5" t="s">
        <v>25</v>
      </c>
      <c r="D94" s="1">
        <v>6329</v>
      </c>
      <c r="E94" s="1" t="s">
        <v>36</v>
      </c>
      <c r="F94" s="9" t="s">
        <v>28</v>
      </c>
      <c r="G94" s="17" t="s">
        <v>39</v>
      </c>
      <c r="H94" s="9" t="s">
        <v>27</v>
      </c>
      <c r="I94" s="20" t="s">
        <v>1</v>
      </c>
      <c r="J94" s="21">
        <v>0.3</v>
      </c>
      <c r="K94" s="8" t="s">
        <v>64</v>
      </c>
      <c r="L94" s="43" t="s">
        <v>65</v>
      </c>
      <c r="M94" s="8" t="s">
        <v>182</v>
      </c>
      <c r="N94" s="35" t="s">
        <v>58</v>
      </c>
      <c r="O94" s="33">
        <v>0.05</v>
      </c>
      <c r="P94" s="35"/>
      <c r="Q94" s="33">
        <f t="shared" ref="Q94:Q97" si="35">ROUND(IF(OR(N94="",P94=""),0,IF(AND(N94=0,P94=0),1,IF(S94="+",P94/N94,N94/P94))),2)</f>
        <v>0</v>
      </c>
      <c r="R94" s="34">
        <f t="shared" ref="R94:R97" si="36">IF(AND(Q94&gt;=60%,Q94&lt;100%),Q94*((O94*J94)),IF(Q94=100%,((O94*J94)*Q94)*100%,IF(Q94&gt;100%,((J94*O94)*100%)*100%,0)))*100</f>
        <v>0</v>
      </c>
      <c r="S94" s="33" t="s">
        <v>0</v>
      </c>
      <c r="T94" s="33"/>
      <c r="U94" s="2"/>
      <c r="V94" s="2"/>
      <c r="W94" s="2"/>
      <c r="X94" s="2"/>
      <c r="Y94" s="2"/>
      <c r="Z94" s="2"/>
      <c r="AA94" s="2"/>
      <c r="AB94" s="2"/>
      <c r="AC94" s="2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s="3" customFormat="1" ht="21.6" hidden="1" x14ac:dyDescent="0.2">
      <c r="A95" s="4">
        <v>2135</v>
      </c>
      <c r="B95" s="17" t="s">
        <v>2</v>
      </c>
      <c r="C95" s="5" t="s">
        <v>25</v>
      </c>
      <c r="D95" s="1">
        <v>6329</v>
      </c>
      <c r="E95" s="1" t="s">
        <v>36</v>
      </c>
      <c r="F95" s="9" t="s">
        <v>28</v>
      </c>
      <c r="G95" s="17" t="s">
        <v>39</v>
      </c>
      <c r="H95" s="9" t="s">
        <v>27</v>
      </c>
      <c r="I95" s="20" t="s">
        <v>1</v>
      </c>
      <c r="J95" s="21">
        <v>0.3</v>
      </c>
      <c r="K95" s="8" t="s">
        <v>184</v>
      </c>
      <c r="L95" s="43" t="s">
        <v>185</v>
      </c>
      <c r="M95" s="8" t="s">
        <v>186</v>
      </c>
      <c r="N95" s="32" t="s">
        <v>58</v>
      </c>
      <c r="O95" s="33">
        <v>0.05</v>
      </c>
      <c r="P95" s="31"/>
      <c r="Q95" s="33">
        <f t="shared" si="35"/>
        <v>0</v>
      </c>
      <c r="R95" s="34">
        <f t="shared" si="36"/>
        <v>0</v>
      </c>
      <c r="S95" s="33" t="s">
        <v>0</v>
      </c>
      <c r="T95" s="33"/>
      <c r="U95" s="2"/>
      <c r="V95" s="2"/>
      <c r="W95" s="2"/>
      <c r="X95" s="2"/>
      <c r="Y95" s="2"/>
      <c r="Z95" s="2"/>
      <c r="AA95" s="2"/>
      <c r="AB95" s="2"/>
      <c r="AC95" s="2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s="3" customFormat="1" ht="21.6" hidden="1" x14ac:dyDescent="0.2">
      <c r="A96" s="4">
        <v>2136</v>
      </c>
      <c r="B96" s="17" t="s">
        <v>2</v>
      </c>
      <c r="C96" s="5" t="s">
        <v>25</v>
      </c>
      <c r="D96" s="1">
        <v>6329</v>
      </c>
      <c r="E96" s="1" t="s">
        <v>36</v>
      </c>
      <c r="F96" s="9" t="s">
        <v>28</v>
      </c>
      <c r="G96" s="17" t="s">
        <v>39</v>
      </c>
      <c r="H96" s="9" t="s">
        <v>27</v>
      </c>
      <c r="I96" s="20" t="s">
        <v>1</v>
      </c>
      <c r="J96" s="21">
        <v>0.3</v>
      </c>
      <c r="K96" s="8" t="s">
        <v>188</v>
      </c>
      <c r="L96" s="43" t="s">
        <v>189</v>
      </c>
      <c r="M96" s="8" t="s">
        <v>190</v>
      </c>
      <c r="N96" s="32" t="s">
        <v>58</v>
      </c>
      <c r="O96" s="33">
        <v>0.05</v>
      </c>
      <c r="P96" s="31"/>
      <c r="Q96" s="33">
        <f t="shared" si="35"/>
        <v>0</v>
      </c>
      <c r="R96" s="34">
        <f t="shared" si="36"/>
        <v>0</v>
      </c>
      <c r="S96" s="33" t="s">
        <v>0</v>
      </c>
      <c r="T96" s="33"/>
      <c r="U96" s="2"/>
      <c r="V96" s="2"/>
      <c r="W96" s="2"/>
      <c r="X96" s="2"/>
      <c r="Y96" s="2"/>
      <c r="Z96" s="2"/>
      <c r="AA96" s="2"/>
      <c r="AB96" s="2"/>
      <c r="AC96" s="2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s="3" customFormat="1" ht="21.6" hidden="1" x14ac:dyDescent="0.2">
      <c r="A97" s="4">
        <v>2137</v>
      </c>
      <c r="B97" s="17" t="s">
        <v>2</v>
      </c>
      <c r="C97" s="5" t="s">
        <v>25</v>
      </c>
      <c r="D97" s="1">
        <v>6329</v>
      </c>
      <c r="E97" s="1" t="s">
        <v>36</v>
      </c>
      <c r="F97" s="9" t="s">
        <v>28</v>
      </c>
      <c r="G97" s="17" t="s">
        <v>39</v>
      </c>
      <c r="H97" s="9" t="s">
        <v>27</v>
      </c>
      <c r="I97" s="20" t="s">
        <v>3</v>
      </c>
      <c r="J97" s="21">
        <v>0.7</v>
      </c>
      <c r="K97" s="8" t="s">
        <v>192</v>
      </c>
      <c r="L97" s="43" t="s">
        <v>193</v>
      </c>
      <c r="M97" s="8" t="s">
        <v>194</v>
      </c>
      <c r="N97" s="35" t="s">
        <v>58</v>
      </c>
      <c r="O97" s="33">
        <v>0.04</v>
      </c>
      <c r="P97" s="35"/>
      <c r="Q97" s="33">
        <f t="shared" si="35"/>
        <v>0</v>
      </c>
      <c r="R97" s="34">
        <f t="shared" si="36"/>
        <v>0</v>
      </c>
      <c r="S97" s="33" t="s">
        <v>0</v>
      </c>
      <c r="T97" s="33"/>
      <c r="U97" s="2"/>
      <c r="V97" s="2"/>
      <c r="W97" s="2"/>
      <c r="X97" s="2"/>
      <c r="Y97" s="2"/>
      <c r="Z97" s="2"/>
      <c r="AA97" s="2"/>
      <c r="AB97" s="2"/>
      <c r="AC97" s="2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s="3" customFormat="1" ht="21.6" hidden="1" x14ac:dyDescent="0.2">
      <c r="A98" s="4">
        <v>2138</v>
      </c>
      <c r="B98" s="17" t="s">
        <v>2</v>
      </c>
      <c r="C98" s="5" t="s">
        <v>25</v>
      </c>
      <c r="D98" s="1">
        <v>6329</v>
      </c>
      <c r="E98" s="1" t="s">
        <v>36</v>
      </c>
      <c r="F98" s="9" t="s">
        <v>28</v>
      </c>
      <c r="G98" s="17" t="s">
        <v>39</v>
      </c>
      <c r="H98" s="9" t="s">
        <v>27</v>
      </c>
      <c r="I98" s="20" t="s">
        <v>3</v>
      </c>
      <c r="J98" s="21">
        <v>0.7</v>
      </c>
      <c r="K98" s="8" t="s">
        <v>196</v>
      </c>
      <c r="L98" s="43" t="s">
        <v>197</v>
      </c>
      <c r="M98" s="8" t="s">
        <v>198</v>
      </c>
      <c r="N98" s="35" t="s">
        <v>58</v>
      </c>
      <c r="O98" s="33">
        <v>0.04</v>
      </c>
      <c r="P98" s="35"/>
      <c r="Q98" s="33"/>
      <c r="R98" s="34"/>
      <c r="S98" s="33" t="s">
        <v>0</v>
      </c>
      <c r="T98" s="33"/>
      <c r="U98" s="2"/>
      <c r="V98" s="2"/>
      <c r="W98" s="2"/>
      <c r="X98" s="2"/>
      <c r="Y98" s="2"/>
      <c r="Z98" s="2"/>
      <c r="AA98" s="2"/>
      <c r="AB98" s="2"/>
      <c r="AC98" s="2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s="3" customFormat="1" ht="21.6" hidden="1" x14ac:dyDescent="0.2">
      <c r="A99" s="4">
        <v>2139</v>
      </c>
      <c r="B99" s="17" t="s">
        <v>2</v>
      </c>
      <c r="C99" s="5" t="s">
        <v>25</v>
      </c>
      <c r="D99" s="1">
        <v>6329</v>
      </c>
      <c r="E99" s="1" t="s">
        <v>36</v>
      </c>
      <c r="F99" s="9" t="s">
        <v>28</v>
      </c>
      <c r="G99" s="17" t="s">
        <v>39</v>
      </c>
      <c r="H99" s="9" t="s">
        <v>27</v>
      </c>
      <c r="I99" s="20" t="s">
        <v>3</v>
      </c>
      <c r="J99" s="21">
        <v>0.7</v>
      </c>
      <c r="K99" s="8" t="s">
        <v>200</v>
      </c>
      <c r="L99" s="43" t="s">
        <v>201</v>
      </c>
      <c r="M99" s="8" t="s">
        <v>202</v>
      </c>
      <c r="N99" s="35" t="s">
        <v>203</v>
      </c>
      <c r="O99" s="33">
        <v>0.1</v>
      </c>
      <c r="P99" s="35"/>
      <c r="Q99" s="33">
        <f t="shared" ref="Q99" si="37">ROUND(IF(OR(N99="",P99=""),0,IF(AND(N99=0,P99=0),1,IF(S99="+",P99/N99,N99/P99))),2)</f>
        <v>0</v>
      </c>
      <c r="R99" s="34">
        <f t="shared" ref="R99" si="38">IF(AND(Q99&gt;=60%,Q99&lt;100%),Q99*((O99*J99)),IF(Q99=100%,((O99*J99)*Q99)*100%,IF(Q99&gt;100%,((J99*O99)*100%)*100%,0)))*100</f>
        <v>0</v>
      </c>
      <c r="S99" s="33" t="s">
        <v>0</v>
      </c>
      <c r="T99" s="33"/>
      <c r="U99" s="2"/>
      <c r="V99" s="2"/>
      <c r="W99" s="2"/>
      <c r="X99" s="2"/>
      <c r="Y99" s="2"/>
      <c r="Z99" s="2"/>
      <c r="AA99" s="2"/>
      <c r="AB99" s="2"/>
      <c r="AC99" s="2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s="3" customFormat="1" ht="21.6" hidden="1" x14ac:dyDescent="0.2">
      <c r="A100" s="4">
        <v>2140</v>
      </c>
      <c r="B100" s="17" t="s">
        <v>2</v>
      </c>
      <c r="C100" s="5" t="s">
        <v>25</v>
      </c>
      <c r="D100" s="1">
        <v>6331</v>
      </c>
      <c r="E100" s="1" t="s">
        <v>30</v>
      </c>
      <c r="F100" s="9" t="s">
        <v>28</v>
      </c>
      <c r="G100" s="17" t="s">
        <v>39</v>
      </c>
      <c r="H100" s="9" t="s">
        <v>27</v>
      </c>
      <c r="I100" s="18" t="s">
        <v>3</v>
      </c>
      <c r="J100" s="19">
        <v>0.7</v>
      </c>
      <c r="K100" s="24" t="s">
        <v>40</v>
      </c>
      <c r="L100" s="22" t="s">
        <v>41</v>
      </c>
      <c r="M100" s="7" t="s">
        <v>66</v>
      </c>
      <c r="N100" s="25" t="s">
        <v>42</v>
      </c>
      <c r="O100" s="19">
        <v>0.15</v>
      </c>
      <c r="P100" s="19"/>
      <c r="Q100" s="19">
        <f t="shared" ref="Q100" si="39">ROUND(IF(OR(N100="",P100=""),0,IF(AND(N100=0,P100=0),1,IF(S100="+",P100/N100,N100/P100))),2)</f>
        <v>0</v>
      </c>
      <c r="R100" s="26">
        <f t="shared" ref="R100:R107" si="40">IF(AND(Q100&gt;=60%,Q100&lt;100%),Q100*((O100*J100)),IF(Q100=100%,((O100*J100)*Q100)*100%,IF(Q100&gt;100%,((J100*O100)*100%)*100%,0)))*100</f>
        <v>0</v>
      </c>
      <c r="S100" s="19" t="s">
        <v>0</v>
      </c>
      <c r="T100" s="27">
        <f>SUM(R100:R109)%</f>
        <v>0</v>
      </c>
      <c r="U100" s="2"/>
      <c r="V100" s="2"/>
      <c r="W100" s="2"/>
      <c r="X100" s="2"/>
      <c r="Y100" s="2"/>
      <c r="Z100" s="2"/>
      <c r="AA100" s="2"/>
      <c r="AB100" s="2"/>
      <c r="AC100" s="2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s="3" customFormat="1" ht="21.6" hidden="1" x14ac:dyDescent="0.2">
      <c r="A101" s="4">
        <v>2141</v>
      </c>
      <c r="B101" s="17" t="s">
        <v>2</v>
      </c>
      <c r="C101" s="5" t="s">
        <v>25</v>
      </c>
      <c r="D101" s="1">
        <v>6331</v>
      </c>
      <c r="E101" s="1" t="s">
        <v>30</v>
      </c>
      <c r="F101" s="9" t="s">
        <v>28</v>
      </c>
      <c r="G101" s="17" t="s">
        <v>39</v>
      </c>
      <c r="H101" s="9" t="s">
        <v>27</v>
      </c>
      <c r="I101" s="18" t="s">
        <v>3</v>
      </c>
      <c r="J101" s="19">
        <v>0.7</v>
      </c>
      <c r="K101" s="24" t="s">
        <v>26</v>
      </c>
      <c r="L101" s="22" t="s">
        <v>43</v>
      </c>
      <c r="M101" s="24" t="s">
        <v>67</v>
      </c>
      <c r="N101" s="25" t="s">
        <v>44</v>
      </c>
      <c r="O101" s="19">
        <v>0.1</v>
      </c>
      <c r="P101" s="28"/>
      <c r="Q101" s="19">
        <f>ROUND(IF(OR(N101="",P101=""),0,IF(AND(N101=0,P101=0),1,IF(S101="+",P101/N101,N101/P101))),2)</f>
        <v>0</v>
      </c>
      <c r="R101" s="26">
        <f t="shared" si="40"/>
        <v>0</v>
      </c>
      <c r="S101" s="19" t="s">
        <v>0</v>
      </c>
      <c r="T101" s="19"/>
      <c r="U101" s="2"/>
      <c r="V101" s="2"/>
      <c r="W101" s="2"/>
      <c r="X101" s="2"/>
      <c r="Y101" s="2"/>
      <c r="Z101" s="2"/>
      <c r="AA101" s="2"/>
      <c r="AB101" s="2"/>
      <c r="AC101" s="2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s="3" customFormat="1" ht="21.6" hidden="1" x14ac:dyDescent="0.2">
      <c r="A102" s="4">
        <v>2142</v>
      </c>
      <c r="B102" s="17" t="s">
        <v>2</v>
      </c>
      <c r="C102" s="5" t="s">
        <v>25</v>
      </c>
      <c r="D102" s="1">
        <v>6331</v>
      </c>
      <c r="E102" s="1" t="s">
        <v>30</v>
      </c>
      <c r="F102" s="9" t="s">
        <v>28</v>
      </c>
      <c r="G102" s="17" t="s">
        <v>39</v>
      </c>
      <c r="H102" s="9" t="s">
        <v>27</v>
      </c>
      <c r="I102" s="18" t="s">
        <v>3</v>
      </c>
      <c r="J102" s="19">
        <v>0.7</v>
      </c>
      <c r="K102" s="24" t="s">
        <v>45</v>
      </c>
      <c r="L102" s="22" t="s">
        <v>46</v>
      </c>
      <c r="M102" s="24" t="s">
        <v>68</v>
      </c>
      <c r="N102" s="29" t="s">
        <v>47</v>
      </c>
      <c r="O102" s="19">
        <v>0.1</v>
      </c>
      <c r="P102" s="28"/>
      <c r="Q102" s="19">
        <f t="shared" ref="Q102:Q107" si="41">ROUND(IF(OR(N102="",P102=""),0,IF(AND(N102=0,P102=0),1,IF(S102="+",P102/N102,N102/P102))),2)</f>
        <v>0</v>
      </c>
      <c r="R102" s="26">
        <f t="shared" si="40"/>
        <v>0</v>
      </c>
      <c r="S102" s="19" t="s">
        <v>4</v>
      </c>
      <c r="T102" s="19"/>
      <c r="U102" s="2"/>
      <c r="V102" s="2"/>
      <c r="W102" s="2"/>
      <c r="X102" s="2"/>
      <c r="Y102" s="2"/>
      <c r="Z102" s="2"/>
      <c r="AA102" s="2"/>
      <c r="AB102" s="2"/>
      <c r="AC102" s="2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s="3" customFormat="1" ht="21.6" hidden="1" x14ac:dyDescent="0.2">
      <c r="A103" s="4">
        <v>2143</v>
      </c>
      <c r="B103" s="17" t="s">
        <v>2</v>
      </c>
      <c r="C103" s="5" t="s">
        <v>25</v>
      </c>
      <c r="D103" s="1">
        <v>6331</v>
      </c>
      <c r="E103" s="1" t="s">
        <v>30</v>
      </c>
      <c r="F103" s="9" t="s">
        <v>28</v>
      </c>
      <c r="G103" s="17" t="s">
        <v>39</v>
      </c>
      <c r="H103" s="9" t="s">
        <v>27</v>
      </c>
      <c r="I103" s="18" t="s">
        <v>3</v>
      </c>
      <c r="J103" s="19">
        <v>0.7</v>
      </c>
      <c r="K103" s="24" t="s">
        <v>48</v>
      </c>
      <c r="L103" s="22" t="s">
        <v>49</v>
      </c>
      <c r="M103" s="24" t="s">
        <v>69</v>
      </c>
      <c r="N103" s="28" t="s">
        <v>50</v>
      </c>
      <c r="O103" s="19">
        <v>0.1</v>
      </c>
      <c r="P103" s="30"/>
      <c r="Q103" s="19">
        <f t="shared" si="41"/>
        <v>0</v>
      </c>
      <c r="R103" s="26">
        <f t="shared" si="40"/>
        <v>0</v>
      </c>
      <c r="S103" s="19" t="s">
        <v>4</v>
      </c>
      <c r="T103" s="19"/>
      <c r="U103" s="2"/>
      <c r="V103" s="2"/>
      <c r="W103" s="2"/>
      <c r="X103" s="2"/>
      <c r="Y103" s="2"/>
      <c r="Z103" s="2"/>
      <c r="AA103" s="2"/>
      <c r="AB103" s="2"/>
      <c r="AC103" s="2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s="3" customFormat="1" ht="21.6" hidden="1" x14ac:dyDescent="0.2">
      <c r="A104" s="4">
        <v>2144</v>
      </c>
      <c r="B104" s="17" t="s">
        <v>2</v>
      </c>
      <c r="C104" s="5" t="s">
        <v>25</v>
      </c>
      <c r="D104" s="1">
        <v>6331</v>
      </c>
      <c r="E104" s="1" t="s">
        <v>30</v>
      </c>
      <c r="F104" s="9" t="s">
        <v>28</v>
      </c>
      <c r="G104" s="17" t="s">
        <v>39</v>
      </c>
      <c r="H104" s="9" t="s">
        <v>27</v>
      </c>
      <c r="I104" s="18" t="s">
        <v>3</v>
      </c>
      <c r="J104" s="19">
        <v>0.7</v>
      </c>
      <c r="K104" s="24" t="s">
        <v>51</v>
      </c>
      <c r="L104" s="22" t="s">
        <v>52</v>
      </c>
      <c r="M104" s="24" t="s">
        <v>70</v>
      </c>
      <c r="N104" s="24" t="s">
        <v>44</v>
      </c>
      <c r="O104" s="19">
        <v>0.1</v>
      </c>
      <c r="P104" s="31"/>
      <c r="Q104" s="19">
        <f t="shared" si="41"/>
        <v>0</v>
      </c>
      <c r="R104" s="26">
        <f t="shared" si="40"/>
        <v>0</v>
      </c>
      <c r="S104" s="19" t="s">
        <v>0</v>
      </c>
      <c r="T104" s="19"/>
      <c r="U104" s="2"/>
      <c r="V104" s="2"/>
      <c r="W104" s="2"/>
      <c r="X104" s="2"/>
      <c r="Y104" s="2"/>
      <c r="Z104" s="2"/>
      <c r="AA104" s="2"/>
      <c r="AB104" s="2"/>
      <c r="AC104" s="2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s="3" customFormat="1" ht="21.6" hidden="1" x14ac:dyDescent="0.2">
      <c r="A105" s="4">
        <v>2145</v>
      </c>
      <c r="B105" s="17" t="s">
        <v>2</v>
      </c>
      <c r="C105" s="5" t="s">
        <v>25</v>
      </c>
      <c r="D105" s="1">
        <v>6331</v>
      </c>
      <c r="E105" s="1" t="s">
        <v>30</v>
      </c>
      <c r="F105" s="9" t="s">
        <v>28</v>
      </c>
      <c r="G105" s="17" t="s">
        <v>39</v>
      </c>
      <c r="H105" s="9" t="s">
        <v>27</v>
      </c>
      <c r="I105" s="20" t="s">
        <v>3</v>
      </c>
      <c r="J105" s="21">
        <v>0.7</v>
      </c>
      <c r="K105" s="20" t="s">
        <v>53</v>
      </c>
      <c r="L105" s="23" t="s">
        <v>54</v>
      </c>
      <c r="M105" s="20" t="s">
        <v>71</v>
      </c>
      <c r="N105" s="32" t="s">
        <v>55</v>
      </c>
      <c r="O105" s="33">
        <v>0.1</v>
      </c>
      <c r="P105" s="31"/>
      <c r="Q105" s="33">
        <f t="shared" si="41"/>
        <v>0</v>
      </c>
      <c r="R105" s="34">
        <f t="shared" si="40"/>
        <v>0</v>
      </c>
      <c r="S105" s="33" t="s">
        <v>4</v>
      </c>
      <c r="T105" s="33"/>
      <c r="U105" s="2"/>
      <c r="V105" s="2"/>
      <c r="W105" s="2"/>
      <c r="X105" s="2"/>
      <c r="Y105" s="2"/>
      <c r="Z105" s="2"/>
      <c r="AA105" s="2"/>
      <c r="AB105" s="2"/>
      <c r="AC105" s="2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s="3" customFormat="1" ht="21.6" hidden="1" x14ac:dyDescent="0.2">
      <c r="A106" s="4">
        <v>2146</v>
      </c>
      <c r="B106" s="17" t="s">
        <v>2</v>
      </c>
      <c r="C106" s="5" t="s">
        <v>25</v>
      </c>
      <c r="D106" s="1">
        <v>6331</v>
      </c>
      <c r="E106" s="1" t="s">
        <v>30</v>
      </c>
      <c r="F106" s="9" t="s">
        <v>28</v>
      </c>
      <c r="G106" s="17" t="s">
        <v>39</v>
      </c>
      <c r="H106" s="9" t="s">
        <v>27</v>
      </c>
      <c r="I106" s="20" t="s">
        <v>1</v>
      </c>
      <c r="J106" s="21">
        <v>0.3</v>
      </c>
      <c r="K106" s="20" t="s">
        <v>56</v>
      </c>
      <c r="L106" s="23" t="s">
        <v>57</v>
      </c>
      <c r="M106" s="20" t="s">
        <v>72</v>
      </c>
      <c r="N106" s="32" t="s">
        <v>58</v>
      </c>
      <c r="O106" s="33">
        <v>0.1</v>
      </c>
      <c r="P106" s="31"/>
      <c r="Q106" s="33">
        <f t="shared" si="41"/>
        <v>0</v>
      </c>
      <c r="R106" s="34">
        <f t="shared" si="40"/>
        <v>0</v>
      </c>
      <c r="S106" s="33" t="s">
        <v>0</v>
      </c>
      <c r="T106" s="33"/>
      <c r="U106" s="2"/>
      <c r="V106" s="2"/>
      <c r="W106" s="2"/>
      <c r="X106" s="2"/>
      <c r="Y106" s="2"/>
      <c r="Z106" s="2"/>
      <c r="AA106" s="2"/>
      <c r="AB106" s="2"/>
      <c r="AC106" s="2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s="3" customFormat="1" ht="21.6" hidden="1" x14ac:dyDescent="0.2">
      <c r="A107" s="4">
        <v>2147</v>
      </c>
      <c r="B107" s="17" t="s">
        <v>2</v>
      </c>
      <c r="C107" s="5" t="s">
        <v>25</v>
      </c>
      <c r="D107" s="1">
        <v>6331</v>
      </c>
      <c r="E107" s="1" t="s">
        <v>30</v>
      </c>
      <c r="F107" s="9" t="s">
        <v>28</v>
      </c>
      <c r="G107" s="17" t="s">
        <v>39</v>
      </c>
      <c r="H107" s="9" t="s">
        <v>27</v>
      </c>
      <c r="I107" s="20" t="s">
        <v>1</v>
      </c>
      <c r="J107" s="21">
        <v>0.3</v>
      </c>
      <c r="K107" s="20" t="s">
        <v>59</v>
      </c>
      <c r="L107" s="23" t="s">
        <v>60</v>
      </c>
      <c r="M107" s="8" t="s">
        <v>73</v>
      </c>
      <c r="N107" s="35" t="s">
        <v>61</v>
      </c>
      <c r="O107" s="33">
        <v>0.05</v>
      </c>
      <c r="P107" s="35"/>
      <c r="Q107" s="33">
        <f t="shared" si="41"/>
        <v>0</v>
      </c>
      <c r="R107" s="34">
        <f t="shared" si="40"/>
        <v>0</v>
      </c>
      <c r="S107" s="33" t="s">
        <v>0</v>
      </c>
      <c r="T107" s="33"/>
      <c r="U107" s="2"/>
      <c r="V107" s="2"/>
      <c r="W107" s="2"/>
      <c r="X107" s="2"/>
      <c r="Y107" s="2"/>
      <c r="Z107" s="2"/>
      <c r="AA107" s="2"/>
      <c r="AB107" s="2"/>
      <c r="AC107" s="2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s="3" customFormat="1" ht="21.6" hidden="1" x14ac:dyDescent="0.2">
      <c r="A108" s="4">
        <v>2148</v>
      </c>
      <c r="B108" s="17" t="s">
        <v>2</v>
      </c>
      <c r="C108" s="5" t="s">
        <v>25</v>
      </c>
      <c r="D108" s="1">
        <v>6331</v>
      </c>
      <c r="E108" s="1" t="s">
        <v>30</v>
      </c>
      <c r="F108" s="9" t="s">
        <v>28</v>
      </c>
      <c r="G108" s="17" t="s">
        <v>39</v>
      </c>
      <c r="H108" s="9" t="s">
        <v>27</v>
      </c>
      <c r="I108" s="20" t="s">
        <v>3</v>
      </c>
      <c r="J108" s="21">
        <v>0.7</v>
      </c>
      <c r="K108" s="20" t="s">
        <v>62</v>
      </c>
      <c r="L108" s="23" t="s">
        <v>63</v>
      </c>
      <c r="M108" s="8" t="s">
        <v>74</v>
      </c>
      <c r="N108" s="35" t="s">
        <v>58</v>
      </c>
      <c r="O108" s="33">
        <v>0.1</v>
      </c>
      <c r="P108" s="35"/>
      <c r="Q108" s="33"/>
      <c r="R108" s="34"/>
      <c r="S108" s="33" t="s">
        <v>0</v>
      </c>
      <c r="T108" s="33"/>
      <c r="U108" s="2"/>
      <c r="V108" s="2"/>
      <c r="W108" s="2"/>
      <c r="X108" s="2"/>
      <c r="Y108" s="2"/>
      <c r="Z108" s="2"/>
      <c r="AA108" s="2"/>
      <c r="AB108" s="2"/>
      <c r="AC108" s="2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s="3" customFormat="1" ht="21.6" hidden="1" x14ac:dyDescent="0.2">
      <c r="A109" s="4">
        <v>2149</v>
      </c>
      <c r="B109" s="17" t="s">
        <v>2</v>
      </c>
      <c r="C109" s="5" t="s">
        <v>25</v>
      </c>
      <c r="D109" s="1">
        <v>6331</v>
      </c>
      <c r="E109" s="1" t="s">
        <v>30</v>
      </c>
      <c r="F109" s="9" t="s">
        <v>28</v>
      </c>
      <c r="G109" s="17" t="s">
        <v>39</v>
      </c>
      <c r="H109" s="9" t="s">
        <v>27</v>
      </c>
      <c r="I109" s="20" t="s">
        <v>1</v>
      </c>
      <c r="J109" s="21">
        <v>0.3</v>
      </c>
      <c r="K109" s="20" t="s">
        <v>64</v>
      </c>
      <c r="L109" s="23" t="s">
        <v>65</v>
      </c>
      <c r="M109" s="20" t="s">
        <v>75</v>
      </c>
      <c r="N109" s="35" t="s">
        <v>42</v>
      </c>
      <c r="O109" s="33">
        <v>0.1</v>
      </c>
      <c r="P109" s="35"/>
      <c r="Q109" s="33">
        <f t="shared" ref="Q109:Q110" si="42">ROUND(IF(OR(N109="",P109=""),0,IF(AND(N109=0,P109=0),1,IF(S109="+",P109/N109,N109/P109))),2)</f>
        <v>0</v>
      </c>
      <c r="R109" s="34">
        <f t="shared" ref="R109:R117" si="43">IF(AND(Q109&gt;=60%,Q109&lt;100%),Q109*((O109*J109)),IF(Q109=100%,((O109*J109)*Q109)*100%,IF(Q109&gt;100%,((J109*O109)*100%)*100%,0)))*100</f>
        <v>0</v>
      </c>
      <c r="S109" s="33" t="s">
        <v>0</v>
      </c>
      <c r="T109" s="33"/>
      <c r="U109" s="2"/>
      <c r="V109" s="2"/>
      <c r="W109" s="2"/>
      <c r="X109" s="2"/>
      <c r="Y109" s="2"/>
      <c r="Z109" s="2"/>
      <c r="AA109" s="2"/>
      <c r="AB109" s="2"/>
      <c r="AC109" s="2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s="3" customFormat="1" ht="21.6" hidden="1" x14ac:dyDescent="0.2">
      <c r="A110" s="4">
        <v>2150</v>
      </c>
      <c r="B110" s="17" t="s">
        <v>2</v>
      </c>
      <c r="C110" s="5" t="s">
        <v>25</v>
      </c>
      <c r="D110" s="1">
        <v>6364</v>
      </c>
      <c r="E110" s="1" t="s">
        <v>37</v>
      </c>
      <c r="F110" s="9" t="s">
        <v>28</v>
      </c>
      <c r="G110" s="17" t="s">
        <v>39</v>
      </c>
      <c r="H110" s="9" t="s">
        <v>27</v>
      </c>
      <c r="I110" s="18" t="s">
        <v>3</v>
      </c>
      <c r="J110" s="19">
        <v>0.7</v>
      </c>
      <c r="K110" s="7" t="s">
        <v>152</v>
      </c>
      <c r="L110" s="42" t="s">
        <v>41</v>
      </c>
      <c r="M110" s="7" t="s">
        <v>153</v>
      </c>
      <c r="N110" s="12" t="s">
        <v>58</v>
      </c>
      <c r="O110" s="19">
        <v>0.1</v>
      </c>
      <c r="P110" s="19"/>
      <c r="Q110" s="19">
        <f t="shared" si="42"/>
        <v>0</v>
      </c>
      <c r="R110" s="26">
        <f t="shared" si="43"/>
        <v>0</v>
      </c>
      <c r="S110" s="19" t="s">
        <v>0</v>
      </c>
      <c r="T110" s="27">
        <f>SUM(R110:R124)%</f>
        <v>0</v>
      </c>
      <c r="U110" s="2"/>
      <c r="V110" s="2"/>
      <c r="W110" s="2"/>
      <c r="X110" s="2"/>
      <c r="Y110" s="2"/>
      <c r="Z110" s="2"/>
      <c r="AA110" s="2"/>
      <c r="AB110" s="2"/>
      <c r="AC110" s="2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s="3" customFormat="1" ht="21.6" hidden="1" x14ac:dyDescent="0.2">
      <c r="A111" s="4">
        <v>2151</v>
      </c>
      <c r="B111" s="17" t="s">
        <v>2</v>
      </c>
      <c r="C111" s="5" t="s">
        <v>25</v>
      </c>
      <c r="D111" s="1">
        <v>6364</v>
      </c>
      <c r="E111" s="1" t="s">
        <v>37</v>
      </c>
      <c r="F111" s="9" t="s">
        <v>28</v>
      </c>
      <c r="G111" s="17" t="s">
        <v>39</v>
      </c>
      <c r="H111" s="9" t="s">
        <v>27</v>
      </c>
      <c r="I111" s="18" t="s">
        <v>3</v>
      </c>
      <c r="J111" s="19">
        <v>0.7</v>
      </c>
      <c r="K111" s="7" t="s">
        <v>155</v>
      </c>
      <c r="L111" s="42" t="s">
        <v>43</v>
      </c>
      <c r="M111" s="7" t="s">
        <v>156</v>
      </c>
      <c r="N111" s="25" t="s">
        <v>42</v>
      </c>
      <c r="O111" s="19">
        <v>0.1</v>
      </c>
      <c r="P111" s="28"/>
      <c r="Q111" s="19">
        <f>ROUND(IF(OR(N111="",P111=""),0,IF(AND(N111=0,P111=0),1,IF(S111="+",P111/N111,N111/P111))),2)</f>
        <v>0</v>
      </c>
      <c r="R111" s="26">
        <f t="shared" si="43"/>
        <v>0</v>
      </c>
      <c r="S111" s="19" t="s">
        <v>0</v>
      </c>
      <c r="T111" s="19"/>
      <c r="U111" s="2"/>
      <c r="V111" s="2"/>
      <c r="W111" s="2"/>
      <c r="X111" s="2"/>
      <c r="Y111" s="2"/>
      <c r="Z111" s="2"/>
      <c r="AA111" s="2"/>
      <c r="AB111" s="2"/>
      <c r="AC111" s="2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s="3" customFormat="1" ht="21.6" hidden="1" x14ac:dyDescent="0.2">
      <c r="A112" s="4">
        <v>2152</v>
      </c>
      <c r="B112" s="17" t="s">
        <v>2</v>
      </c>
      <c r="C112" s="5" t="s">
        <v>25</v>
      </c>
      <c r="D112" s="1">
        <v>6364</v>
      </c>
      <c r="E112" s="1" t="s">
        <v>37</v>
      </c>
      <c r="F112" s="9" t="s">
        <v>28</v>
      </c>
      <c r="G112" s="17" t="s">
        <v>39</v>
      </c>
      <c r="H112" s="9" t="s">
        <v>27</v>
      </c>
      <c r="I112" s="18" t="s">
        <v>3</v>
      </c>
      <c r="J112" s="19">
        <v>0.7</v>
      </c>
      <c r="K112" s="7" t="s">
        <v>158</v>
      </c>
      <c r="L112" s="42" t="s">
        <v>46</v>
      </c>
      <c r="M112" s="7" t="s">
        <v>159</v>
      </c>
      <c r="N112" s="29" t="s">
        <v>160</v>
      </c>
      <c r="O112" s="19">
        <v>7.0000000000000007E-2</v>
      </c>
      <c r="P112" s="28"/>
      <c r="Q112" s="19">
        <f t="shared" ref="Q112:Q117" si="44">ROUND(IF(OR(N112="",P112=""),0,IF(AND(N112=0,P112=0),1,IF(S112="+",P112/N112,N112/P112))),2)</f>
        <v>0</v>
      </c>
      <c r="R112" s="26">
        <f t="shared" si="43"/>
        <v>0</v>
      </c>
      <c r="S112" s="19" t="s">
        <v>4</v>
      </c>
      <c r="T112" s="19"/>
      <c r="U112" s="2"/>
      <c r="V112" s="2"/>
      <c r="W112" s="2"/>
      <c r="X112" s="2"/>
      <c r="Y112" s="2"/>
      <c r="Z112" s="2"/>
      <c r="AA112" s="2"/>
      <c r="AB112" s="2"/>
      <c r="AC112" s="2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s="3" customFormat="1" ht="21.6" hidden="1" x14ac:dyDescent="0.2">
      <c r="A113" s="4">
        <v>2153</v>
      </c>
      <c r="B113" s="17" t="s">
        <v>2</v>
      </c>
      <c r="C113" s="5" t="s">
        <v>25</v>
      </c>
      <c r="D113" s="1">
        <v>6364</v>
      </c>
      <c r="E113" s="1" t="s">
        <v>37</v>
      </c>
      <c r="F113" s="9" t="s">
        <v>28</v>
      </c>
      <c r="G113" s="17" t="s">
        <v>39</v>
      </c>
      <c r="H113" s="9" t="s">
        <v>27</v>
      </c>
      <c r="I113" s="18" t="s">
        <v>3</v>
      </c>
      <c r="J113" s="19">
        <v>0.7</v>
      </c>
      <c r="K113" s="7" t="s">
        <v>162</v>
      </c>
      <c r="L113" s="42" t="s">
        <v>49</v>
      </c>
      <c r="M113" s="7" t="s">
        <v>163</v>
      </c>
      <c r="N113" s="28" t="s">
        <v>50</v>
      </c>
      <c r="O113" s="19">
        <v>0.08</v>
      </c>
      <c r="P113" s="30"/>
      <c r="Q113" s="19">
        <f t="shared" si="44"/>
        <v>0</v>
      </c>
      <c r="R113" s="26">
        <f t="shared" si="43"/>
        <v>0</v>
      </c>
      <c r="S113" s="19" t="s">
        <v>4</v>
      </c>
      <c r="T113" s="19"/>
      <c r="U113" s="2"/>
      <c r="V113" s="2"/>
      <c r="W113" s="2"/>
      <c r="X113" s="2"/>
      <c r="Y113" s="2"/>
      <c r="Z113" s="2"/>
      <c r="AA113" s="2"/>
      <c r="AB113" s="2"/>
      <c r="AC113" s="2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s="3" customFormat="1" ht="21.6" hidden="1" x14ac:dyDescent="0.2">
      <c r="A114" s="4">
        <v>2154</v>
      </c>
      <c r="B114" s="17" t="s">
        <v>2</v>
      </c>
      <c r="C114" s="5" t="s">
        <v>25</v>
      </c>
      <c r="D114" s="1">
        <v>6364</v>
      </c>
      <c r="E114" s="1" t="s">
        <v>37</v>
      </c>
      <c r="F114" s="9" t="s">
        <v>28</v>
      </c>
      <c r="G114" s="17" t="s">
        <v>39</v>
      </c>
      <c r="H114" s="9" t="s">
        <v>27</v>
      </c>
      <c r="I114" s="18" t="s">
        <v>3</v>
      </c>
      <c r="J114" s="19">
        <v>0.7</v>
      </c>
      <c r="K114" s="7" t="s">
        <v>165</v>
      </c>
      <c r="L114" s="42" t="s">
        <v>52</v>
      </c>
      <c r="M114" s="7" t="s">
        <v>166</v>
      </c>
      <c r="N114" s="24" t="s">
        <v>58</v>
      </c>
      <c r="O114" s="19">
        <v>0.06</v>
      </c>
      <c r="P114" s="31"/>
      <c r="Q114" s="19">
        <f t="shared" si="44"/>
        <v>0</v>
      </c>
      <c r="R114" s="26">
        <f t="shared" si="43"/>
        <v>0</v>
      </c>
      <c r="S114" s="19" t="s">
        <v>0</v>
      </c>
      <c r="T114" s="19"/>
      <c r="U114" s="2"/>
      <c r="V114" s="2"/>
      <c r="W114" s="2"/>
      <c r="X114" s="2"/>
      <c r="Y114" s="2"/>
      <c r="Z114" s="2"/>
      <c r="AA114" s="2"/>
      <c r="AB114" s="2"/>
      <c r="AC114" s="2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s="3" customFormat="1" ht="21.6" hidden="1" x14ac:dyDescent="0.2">
      <c r="A115" s="4">
        <v>2154</v>
      </c>
      <c r="B115" s="17" t="s">
        <v>2</v>
      </c>
      <c r="C115" s="5" t="s">
        <v>25</v>
      </c>
      <c r="D115" s="1">
        <v>6364</v>
      </c>
      <c r="E115" s="1" t="s">
        <v>37</v>
      </c>
      <c r="F115" s="9" t="s">
        <v>28</v>
      </c>
      <c r="G115" s="17" t="s">
        <v>39</v>
      </c>
      <c r="H115" s="9" t="s">
        <v>27</v>
      </c>
      <c r="I115" s="20" t="s">
        <v>3</v>
      </c>
      <c r="J115" s="21">
        <v>0.7</v>
      </c>
      <c r="K115" s="8" t="s">
        <v>168</v>
      </c>
      <c r="L115" s="43" t="s">
        <v>54</v>
      </c>
      <c r="M115" s="8" t="s">
        <v>169</v>
      </c>
      <c r="N115" s="32" t="s">
        <v>55</v>
      </c>
      <c r="O115" s="33">
        <v>0.06</v>
      </c>
      <c r="P115" s="31"/>
      <c r="Q115" s="33">
        <f t="shared" si="44"/>
        <v>0</v>
      </c>
      <c r="R115" s="34">
        <f t="shared" si="43"/>
        <v>0</v>
      </c>
      <c r="S115" s="33" t="s">
        <v>4</v>
      </c>
      <c r="T115" s="33"/>
      <c r="U115" s="2"/>
      <c r="V115" s="2"/>
      <c r="W115" s="2"/>
      <c r="X115" s="2"/>
      <c r="Y115" s="2"/>
      <c r="Z115" s="2"/>
      <c r="AA115" s="2"/>
      <c r="AB115" s="2"/>
      <c r="AC115" s="2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s="3" customFormat="1" ht="21.6" hidden="1" x14ac:dyDescent="0.2">
      <c r="A116" s="4">
        <v>2154</v>
      </c>
      <c r="B116" s="17" t="s">
        <v>2</v>
      </c>
      <c r="C116" s="5" t="s">
        <v>25</v>
      </c>
      <c r="D116" s="1">
        <v>6364</v>
      </c>
      <c r="E116" s="1" t="s">
        <v>37</v>
      </c>
      <c r="F116" s="9" t="s">
        <v>28</v>
      </c>
      <c r="G116" s="17" t="s">
        <v>39</v>
      </c>
      <c r="H116" s="9" t="s">
        <v>27</v>
      </c>
      <c r="I116" s="20" t="s">
        <v>1</v>
      </c>
      <c r="J116" s="21">
        <v>0.3</v>
      </c>
      <c r="K116" s="8" t="s">
        <v>171</v>
      </c>
      <c r="L116" s="43" t="s">
        <v>57</v>
      </c>
      <c r="M116" s="8" t="s">
        <v>172</v>
      </c>
      <c r="N116" s="32" t="s">
        <v>173</v>
      </c>
      <c r="O116" s="33">
        <v>0.05</v>
      </c>
      <c r="P116" s="31"/>
      <c r="Q116" s="33">
        <f t="shared" si="44"/>
        <v>0</v>
      </c>
      <c r="R116" s="34">
        <f t="shared" si="43"/>
        <v>0</v>
      </c>
      <c r="S116" s="33" t="s">
        <v>0</v>
      </c>
      <c r="T116" s="33"/>
      <c r="U116" s="2"/>
      <c r="V116" s="2"/>
      <c r="W116" s="2"/>
      <c r="X116" s="2"/>
      <c r="Y116" s="2"/>
      <c r="Z116" s="2"/>
      <c r="AA116" s="2"/>
      <c r="AB116" s="2"/>
      <c r="AC116" s="2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s="3" customFormat="1" ht="21.6" hidden="1" x14ac:dyDescent="0.2">
      <c r="A117" s="4">
        <v>2154</v>
      </c>
      <c r="B117" s="17" t="s">
        <v>2</v>
      </c>
      <c r="C117" s="5" t="s">
        <v>25</v>
      </c>
      <c r="D117" s="1">
        <v>6364</v>
      </c>
      <c r="E117" s="1" t="s">
        <v>37</v>
      </c>
      <c r="F117" s="9" t="s">
        <v>28</v>
      </c>
      <c r="G117" s="17" t="s">
        <v>39</v>
      </c>
      <c r="H117" s="9" t="s">
        <v>27</v>
      </c>
      <c r="I117" s="20" t="s">
        <v>1</v>
      </c>
      <c r="J117" s="21">
        <v>0.3</v>
      </c>
      <c r="K117" s="8" t="s">
        <v>175</v>
      </c>
      <c r="L117" s="43" t="s">
        <v>60</v>
      </c>
      <c r="M117" s="8" t="s">
        <v>176</v>
      </c>
      <c r="N117" s="35" t="s">
        <v>177</v>
      </c>
      <c r="O117" s="33">
        <v>0.05</v>
      </c>
      <c r="P117" s="35"/>
      <c r="Q117" s="33">
        <f t="shared" si="44"/>
        <v>0</v>
      </c>
      <c r="R117" s="34">
        <f t="shared" si="43"/>
        <v>0</v>
      </c>
      <c r="S117" s="33" t="s">
        <v>0</v>
      </c>
      <c r="T117" s="33"/>
      <c r="U117" s="2"/>
      <c r="V117" s="2"/>
      <c r="W117" s="2"/>
      <c r="X117" s="2"/>
      <c r="Y117" s="2"/>
      <c r="Z117" s="2"/>
      <c r="AA117" s="2"/>
      <c r="AB117" s="2"/>
      <c r="AC117" s="2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s="3" customFormat="1" ht="21.6" hidden="1" x14ac:dyDescent="0.2">
      <c r="A118" s="4">
        <v>2154</v>
      </c>
      <c r="B118" s="17" t="s">
        <v>2</v>
      </c>
      <c r="C118" s="5" t="s">
        <v>25</v>
      </c>
      <c r="D118" s="1">
        <v>6364</v>
      </c>
      <c r="E118" s="1" t="s">
        <v>37</v>
      </c>
      <c r="F118" s="9" t="s">
        <v>28</v>
      </c>
      <c r="G118" s="17" t="s">
        <v>39</v>
      </c>
      <c r="H118" s="9" t="s">
        <v>27</v>
      </c>
      <c r="I118" s="20" t="s">
        <v>3</v>
      </c>
      <c r="J118" s="21">
        <v>0.7</v>
      </c>
      <c r="K118" s="8" t="s">
        <v>62</v>
      </c>
      <c r="L118" s="43" t="s">
        <v>63</v>
      </c>
      <c r="M118" s="8" t="s">
        <v>179</v>
      </c>
      <c r="N118" s="35" t="s">
        <v>180</v>
      </c>
      <c r="O118" s="33">
        <v>0.05</v>
      </c>
      <c r="P118" s="35"/>
      <c r="Q118" s="33"/>
      <c r="R118" s="34"/>
      <c r="S118" s="33" t="s">
        <v>4</v>
      </c>
      <c r="T118" s="33"/>
      <c r="U118" s="2"/>
      <c r="V118" s="2"/>
      <c r="W118" s="2"/>
      <c r="X118" s="2"/>
      <c r="Y118" s="2"/>
      <c r="Z118" s="2"/>
      <c r="AA118" s="2"/>
      <c r="AB118" s="2"/>
      <c r="AC118" s="2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s="3" customFormat="1" ht="21.6" hidden="1" x14ac:dyDescent="0.2">
      <c r="A119" s="4">
        <v>2154</v>
      </c>
      <c r="B119" s="17" t="s">
        <v>2</v>
      </c>
      <c r="C119" s="5" t="s">
        <v>25</v>
      </c>
      <c r="D119" s="1">
        <v>6364</v>
      </c>
      <c r="E119" s="1" t="s">
        <v>37</v>
      </c>
      <c r="F119" s="9" t="s">
        <v>28</v>
      </c>
      <c r="G119" s="17" t="s">
        <v>39</v>
      </c>
      <c r="H119" s="9" t="s">
        <v>27</v>
      </c>
      <c r="I119" s="20" t="s">
        <v>1</v>
      </c>
      <c r="J119" s="21">
        <v>0.3</v>
      </c>
      <c r="K119" s="8" t="s">
        <v>64</v>
      </c>
      <c r="L119" s="43" t="s">
        <v>65</v>
      </c>
      <c r="M119" s="8" t="s">
        <v>182</v>
      </c>
      <c r="N119" s="35" t="s">
        <v>58</v>
      </c>
      <c r="O119" s="33">
        <v>0.05</v>
      </c>
      <c r="P119" s="35"/>
      <c r="Q119" s="33">
        <f t="shared" ref="Q119:Q122" si="45">ROUND(IF(OR(N119="",P119=""),0,IF(AND(N119=0,P119=0),1,IF(S119="+",P119/N119,N119/P119))),2)</f>
        <v>0</v>
      </c>
      <c r="R119" s="34">
        <f t="shared" ref="R119:R122" si="46">IF(AND(Q119&gt;=60%,Q119&lt;100%),Q119*((O119*J119)),IF(Q119=100%,((O119*J119)*Q119)*100%,IF(Q119&gt;100%,((J119*O119)*100%)*100%,0)))*100</f>
        <v>0</v>
      </c>
      <c r="S119" s="33" t="s">
        <v>0</v>
      </c>
      <c r="T119" s="33"/>
      <c r="U119" s="2"/>
      <c r="V119" s="2"/>
      <c r="W119" s="2"/>
      <c r="X119" s="2"/>
      <c r="Y119" s="2"/>
      <c r="Z119" s="2"/>
      <c r="AA119" s="2"/>
      <c r="AB119" s="2"/>
      <c r="AC119" s="2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s="3" customFormat="1" ht="21.6" hidden="1" x14ac:dyDescent="0.2">
      <c r="A120" s="4">
        <v>2155</v>
      </c>
      <c r="B120" s="17" t="s">
        <v>2</v>
      </c>
      <c r="C120" s="5" t="s">
        <v>25</v>
      </c>
      <c r="D120" s="1">
        <v>6364</v>
      </c>
      <c r="E120" s="1" t="s">
        <v>37</v>
      </c>
      <c r="F120" s="9" t="s">
        <v>28</v>
      </c>
      <c r="G120" s="17" t="s">
        <v>39</v>
      </c>
      <c r="H120" s="9" t="s">
        <v>27</v>
      </c>
      <c r="I120" s="20" t="s">
        <v>1</v>
      </c>
      <c r="J120" s="21">
        <v>0.3</v>
      </c>
      <c r="K120" s="8" t="s">
        <v>184</v>
      </c>
      <c r="L120" s="43" t="s">
        <v>185</v>
      </c>
      <c r="M120" s="8" t="s">
        <v>186</v>
      </c>
      <c r="N120" s="32" t="s">
        <v>58</v>
      </c>
      <c r="O120" s="33">
        <v>0.05</v>
      </c>
      <c r="P120" s="31"/>
      <c r="Q120" s="33">
        <f t="shared" si="45"/>
        <v>0</v>
      </c>
      <c r="R120" s="34">
        <f t="shared" si="46"/>
        <v>0</v>
      </c>
      <c r="S120" s="33" t="s">
        <v>0</v>
      </c>
      <c r="T120" s="33"/>
      <c r="U120" s="2"/>
      <c r="V120" s="2"/>
      <c r="W120" s="2"/>
      <c r="X120" s="2"/>
      <c r="Y120" s="2"/>
      <c r="Z120" s="2"/>
      <c r="AA120" s="2"/>
      <c r="AB120" s="2"/>
      <c r="AC120" s="2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s="3" customFormat="1" ht="21.6" hidden="1" x14ac:dyDescent="0.2">
      <c r="A121" s="4">
        <v>2156</v>
      </c>
      <c r="B121" s="17" t="s">
        <v>2</v>
      </c>
      <c r="C121" s="5" t="s">
        <v>25</v>
      </c>
      <c r="D121" s="1">
        <v>6364</v>
      </c>
      <c r="E121" s="1" t="s">
        <v>37</v>
      </c>
      <c r="F121" s="9" t="s">
        <v>28</v>
      </c>
      <c r="G121" s="17" t="s">
        <v>39</v>
      </c>
      <c r="H121" s="9" t="s">
        <v>27</v>
      </c>
      <c r="I121" s="20" t="s">
        <v>1</v>
      </c>
      <c r="J121" s="21">
        <v>0.3</v>
      </c>
      <c r="K121" s="8" t="s">
        <v>188</v>
      </c>
      <c r="L121" s="43" t="s">
        <v>189</v>
      </c>
      <c r="M121" s="8" t="s">
        <v>190</v>
      </c>
      <c r="N121" s="32" t="s">
        <v>58</v>
      </c>
      <c r="O121" s="33">
        <v>0.05</v>
      </c>
      <c r="P121" s="31"/>
      <c r="Q121" s="33">
        <f t="shared" si="45"/>
        <v>0</v>
      </c>
      <c r="R121" s="34">
        <f t="shared" si="46"/>
        <v>0</v>
      </c>
      <c r="S121" s="33" t="s">
        <v>0</v>
      </c>
      <c r="T121" s="33"/>
      <c r="U121" s="2"/>
      <c r="V121" s="2"/>
      <c r="W121" s="2"/>
      <c r="X121" s="2"/>
      <c r="Y121" s="2"/>
      <c r="Z121" s="2"/>
      <c r="AA121" s="2"/>
      <c r="AB121" s="2"/>
      <c r="AC121" s="2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s="3" customFormat="1" ht="21.6" hidden="1" x14ac:dyDescent="0.2">
      <c r="A122" s="4">
        <v>2157</v>
      </c>
      <c r="B122" s="17" t="s">
        <v>2</v>
      </c>
      <c r="C122" s="5" t="s">
        <v>25</v>
      </c>
      <c r="D122" s="1">
        <v>6364</v>
      </c>
      <c r="E122" s="1" t="s">
        <v>37</v>
      </c>
      <c r="F122" s="9" t="s">
        <v>28</v>
      </c>
      <c r="G122" s="17" t="s">
        <v>39</v>
      </c>
      <c r="H122" s="9" t="s">
        <v>27</v>
      </c>
      <c r="I122" s="20" t="s">
        <v>3</v>
      </c>
      <c r="J122" s="21">
        <v>0.7</v>
      </c>
      <c r="K122" s="8" t="s">
        <v>192</v>
      </c>
      <c r="L122" s="43" t="s">
        <v>193</v>
      </c>
      <c r="M122" s="8" t="s">
        <v>194</v>
      </c>
      <c r="N122" s="35" t="s">
        <v>58</v>
      </c>
      <c r="O122" s="33">
        <v>0.04</v>
      </c>
      <c r="P122" s="35"/>
      <c r="Q122" s="33">
        <f t="shared" si="45"/>
        <v>0</v>
      </c>
      <c r="R122" s="34">
        <f t="shared" si="46"/>
        <v>0</v>
      </c>
      <c r="S122" s="33" t="s">
        <v>0</v>
      </c>
      <c r="T122" s="33"/>
      <c r="U122" s="2"/>
      <c r="V122" s="2"/>
      <c r="W122" s="2"/>
      <c r="X122" s="2"/>
      <c r="Y122" s="2"/>
      <c r="Z122" s="2"/>
      <c r="AA122" s="2"/>
      <c r="AB122" s="2"/>
      <c r="AC122" s="2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s="3" customFormat="1" ht="21.6" hidden="1" x14ac:dyDescent="0.2">
      <c r="A123" s="4">
        <v>2158</v>
      </c>
      <c r="B123" s="17" t="s">
        <v>2</v>
      </c>
      <c r="C123" s="5" t="s">
        <v>25</v>
      </c>
      <c r="D123" s="1">
        <v>6364</v>
      </c>
      <c r="E123" s="1" t="s">
        <v>37</v>
      </c>
      <c r="F123" s="9" t="s">
        <v>28</v>
      </c>
      <c r="G123" s="17" t="s">
        <v>39</v>
      </c>
      <c r="H123" s="9" t="s">
        <v>27</v>
      </c>
      <c r="I123" s="20" t="s">
        <v>3</v>
      </c>
      <c r="J123" s="21">
        <v>0.7</v>
      </c>
      <c r="K123" s="8" t="s">
        <v>196</v>
      </c>
      <c r="L123" s="43" t="s">
        <v>197</v>
      </c>
      <c r="M123" s="8" t="s">
        <v>198</v>
      </c>
      <c r="N123" s="35" t="s">
        <v>58</v>
      </c>
      <c r="O123" s="33">
        <v>0.04</v>
      </c>
      <c r="P123" s="35"/>
      <c r="Q123" s="33"/>
      <c r="R123" s="34"/>
      <c r="S123" s="33" t="s">
        <v>0</v>
      </c>
      <c r="T123" s="33"/>
      <c r="U123" s="2"/>
      <c r="V123" s="2"/>
      <c r="W123" s="2"/>
      <c r="X123" s="2"/>
      <c r="Y123" s="2"/>
      <c r="Z123" s="2"/>
      <c r="AA123" s="2"/>
      <c r="AB123" s="2"/>
      <c r="AC123" s="2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s="3" customFormat="1" ht="21.6" hidden="1" x14ac:dyDescent="0.2">
      <c r="A124" s="4">
        <v>2159</v>
      </c>
      <c r="B124" s="17" t="s">
        <v>2</v>
      </c>
      <c r="C124" s="5" t="s">
        <v>25</v>
      </c>
      <c r="D124" s="1">
        <v>6364</v>
      </c>
      <c r="E124" s="1" t="s">
        <v>37</v>
      </c>
      <c r="F124" s="9" t="s">
        <v>28</v>
      </c>
      <c r="G124" s="17" t="s">
        <v>39</v>
      </c>
      <c r="H124" s="9" t="s">
        <v>27</v>
      </c>
      <c r="I124" s="20" t="s">
        <v>3</v>
      </c>
      <c r="J124" s="21">
        <v>0.7</v>
      </c>
      <c r="K124" s="8" t="s">
        <v>200</v>
      </c>
      <c r="L124" s="43" t="s">
        <v>201</v>
      </c>
      <c r="M124" s="8" t="s">
        <v>202</v>
      </c>
      <c r="N124" s="35" t="s">
        <v>203</v>
      </c>
      <c r="O124" s="33">
        <v>0.1</v>
      </c>
      <c r="P124" s="35"/>
      <c r="Q124" s="33">
        <f t="shared" ref="Q124" si="47">ROUND(IF(OR(N124="",P124=""),0,IF(AND(N124=0,P124=0),1,IF(S124="+",P124/N124,N124/P124))),2)</f>
        <v>0</v>
      </c>
      <c r="R124" s="34">
        <f t="shared" ref="R124" si="48">IF(AND(Q124&gt;=60%,Q124&lt;100%),Q124*((O124*J124)),IF(Q124=100%,((O124*J124)*Q124)*100%,IF(Q124&gt;100%,((J124*O124)*100%)*100%,0)))*100</f>
        <v>0</v>
      </c>
      <c r="S124" s="33" t="s">
        <v>0</v>
      </c>
      <c r="T124" s="33"/>
      <c r="U124" s="2"/>
      <c r="V124" s="2"/>
      <c r="W124" s="2"/>
      <c r="X124" s="2"/>
      <c r="Y124" s="2"/>
      <c r="Z124" s="2"/>
      <c r="AA124" s="2"/>
      <c r="AB124" s="2"/>
      <c r="AC124" s="2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s="3" customFormat="1" ht="21.6" hidden="1" x14ac:dyDescent="0.2">
      <c r="A125" s="4">
        <v>2160</v>
      </c>
      <c r="B125" s="17" t="s">
        <v>2</v>
      </c>
      <c r="C125" s="5" t="s">
        <v>25</v>
      </c>
      <c r="D125" s="1">
        <v>6373</v>
      </c>
      <c r="E125" s="1" t="s">
        <v>38</v>
      </c>
      <c r="F125" s="9" t="s">
        <v>28</v>
      </c>
      <c r="G125" s="17" t="s">
        <v>39</v>
      </c>
      <c r="H125" s="9" t="s">
        <v>27</v>
      </c>
      <c r="I125" s="18" t="s">
        <v>3</v>
      </c>
      <c r="J125" s="19">
        <v>1</v>
      </c>
      <c r="K125" s="24" t="s">
        <v>80</v>
      </c>
      <c r="L125" s="22" t="s">
        <v>81</v>
      </c>
      <c r="M125" s="7" t="s">
        <v>83</v>
      </c>
      <c r="N125" s="25">
        <v>1</v>
      </c>
      <c r="O125" s="19">
        <v>0.2</v>
      </c>
      <c r="P125" s="19"/>
      <c r="Q125" s="19">
        <f t="shared" ref="Q125" si="49">ROUND(IF(OR(N125="",P125=""),0,IF(AND(N125=0,P125=0),1,IF(S125="+",P125/N125,N125/P125))),2)</f>
        <v>0</v>
      </c>
      <c r="R125" s="26">
        <f t="shared" ref="R125:R131" si="50">IF(AND(Q125&gt;=60%,Q125&lt;100%),Q125*((O125*J125)),IF(Q125=100%,((O125*J125)*Q125)*100%,IF(Q125&gt;100%,((J125*O125)*100%)*100%,0)))*100</f>
        <v>0</v>
      </c>
      <c r="S125" s="19" t="s">
        <v>0</v>
      </c>
      <c r="T125" s="27">
        <f>SUM(R125:R131)%</f>
        <v>0</v>
      </c>
      <c r="U125" s="2"/>
      <c r="V125" s="2"/>
      <c r="W125" s="2"/>
      <c r="X125" s="2"/>
      <c r="Y125" s="2"/>
      <c r="Z125" s="2"/>
      <c r="AA125" s="2"/>
      <c r="AB125" s="2"/>
      <c r="AC125" s="2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s="3" customFormat="1" ht="21.6" hidden="1" x14ac:dyDescent="0.2">
      <c r="A126" s="4">
        <v>2161</v>
      </c>
      <c r="B126" s="17" t="s">
        <v>2</v>
      </c>
      <c r="C126" s="5" t="s">
        <v>25</v>
      </c>
      <c r="D126" s="1">
        <v>6373</v>
      </c>
      <c r="E126" s="1" t="s">
        <v>38</v>
      </c>
      <c r="F126" s="9" t="s">
        <v>28</v>
      </c>
      <c r="G126" s="17" t="s">
        <v>39</v>
      </c>
      <c r="H126" s="9" t="s">
        <v>27</v>
      </c>
      <c r="I126" s="18" t="s">
        <v>3</v>
      </c>
      <c r="J126" s="19">
        <v>1</v>
      </c>
      <c r="K126" s="24" t="s">
        <v>84</v>
      </c>
      <c r="L126" s="22" t="s">
        <v>85</v>
      </c>
      <c r="M126" s="24" t="s">
        <v>88</v>
      </c>
      <c r="N126" s="25" t="s">
        <v>87</v>
      </c>
      <c r="O126" s="19">
        <v>0.2</v>
      </c>
      <c r="P126" s="28"/>
      <c r="Q126" s="19">
        <f>ROUND(IF(OR(N126="",P126=""),0,IF(AND(N126=0,P126=0),1,IF(S126="+",P126/N126,N126/P126))),2)</f>
        <v>0</v>
      </c>
      <c r="R126" s="26">
        <f t="shared" si="50"/>
        <v>0</v>
      </c>
      <c r="S126" s="19" t="s">
        <v>4</v>
      </c>
      <c r="T126" s="19"/>
      <c r="U126" s="2"/>
      <c r="V126" s="2"/>
      <c r="W126" s="2"/>
      <c r="X126" s="2"/>
      <c r="Y126" s="2"/>
      <c r="Z126" s="2"/>
      <c r="AA126" s="2"/>
      <c r="AB126" s="2"/>
      <c r="AC126" s="2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s="3" customFormat="1" ht="21.6" hidden="1" x14ac:dyDescent="0.2">
      <c r="A127" s="4">
        <v>2162</v>
      </c>
      <c r="B127" s="17" t="s">
        <v>2</v>
      </c>
      <c r="C127" s="5" t="s">
        <v>25</v>
      </c>
      <c r="D127" s="1">
        <v>6373</v>
      </c>
      <c r="E127" s="1" t="s">
        <v>38</v>
      </c>
      <c r="F127" s="9" t="s">
        <v>28</v>
      </c>
      <c r="G127" s="17" t="s">
        <v>39</v>
      </c>
      <c r="H127" s="9" t="s">
        <v>27</v>
      </c>
      <c r="I127" s="18" t="s">
        <v>3</v>
      </c>
      <c r="J127" s="19">
        <v>1</v>
      </c>
      <c r="K127" s="24" t="s">
        <v>89</v>
      </c>
      <c r="L127" s="22" t="s">
        <v>90</v>
      </c>
      <c r="M127" s="24" t="s">
        <v>92</v>
      </c>
      <c r="N127" s="29">
        <v>0.95</v>
      </c>
      <c r="O127" s="19">
        <v>0.15</v>
      </c>
      <c r="P127" s="28"/>
      <c r="Q127" s="19">
        <f t="shared" ref="Q127:Q131" si="51">ROUND(IF(OR(N127="",P127=""),0,IF(AND(N127=0,P127=0),1,IF(S127="+",P127/N127,N127/P127))),2)</f>
        <v>0</v>
      </c>
      <c r="R127" s="26">
        <f t="shared" si="50"/>
        <v>0</v>
      </c>
      <c r="S127" s="19" t="s">
        <v>0</v>
      </c>
      <c r="T127" s="19"/>
      <c r="U127" s="2"/>
      <c r="V127" s="2"/>
      <c r="W127" s="2"/>
      <c r="X127" s="2"/>
      <c r="Y127" s="2"/>
      <c r="Z127" s="2"/>
      <c r="AA127" s="2"/>
      <c r="AB127" s="2"/>
      <c r="AC127" s="2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s="3" customFormat="1" ht="21.6" hidden="1" x14ac:dyDescent="0.2">
      <c r="A128" s="4">
        <v>2163</v>
      </c>
      <c r="B128" s="17" t="s">
        <v>2</v>
      </c>
      <c r="C128" s="5" t="s">
        <v>25</v>
      </c>
      <c r="D128" s="1">
        <v>6373</v>
      </c>
      <c r="E128" s="1" t="s">
        <v>38</v>
      </c>
      <c r="F128" s="9" t="s">
        <v>28</v>
      </c>
      <c r="G128" s="17" t="s">
        <v>39</v>
      </c>
      <c r="H128" s="9" t="s">
        <v>27</v>
      </c>
      <c r="I128" s="18" t="s">
        <v>3</v>
      </c>
      <c r="J128" s="19">
        <v>1</v>
      </c>
      <c r="K128" s="24" t="s">
        <v>93</v>
      </c>
      <c r="L128" s="22" t="s">
        <v>94</v>
      </c>
      <c r="M128" s="24" t="s">
        <v>96</v>
      </c>
      <c r="N128" s="28">
        <v>0.98</v>
      </c>
      <c r="O128" s="19">
        <v>0.15</v>
      </c>
      <c r="P128" s="30"/>
      <c r="Q128" s="19">
        <f t="shared" si="51"/>
        <v>0</v>
      </c>
      <c r="R128" s="26">
        <f t="shared" si="50"/>
        <v>0</v>
      </c>
      <c r="S128" s="19" t="s">
        <v>0</v>
      </c>
      <c r="T128" s="19"/>
      <c r="U128" s="2"/>
      <c r="V128" s="2"/>
      <c r="W128" s="2"/>
      <c r="X128" s="2"/>
      <c r="Y128" s="2"/>
      <c r="Z128" s="2"/>
      <c r="AA128" s="2"/>
      <c r="AB128" s="2"/>
      <c r="AC128" s="2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s="3" customFormat="1" ht="21.6" hidden="1" x14ac:dyDescent="0.2">
      <c r="A129" s="4">
        <v>2164</v>
      </c>
      <c r="B129" s="17" t="s">
        <v>2</v>
      </c>
      <c r="C129" s="5" t="s">
        <v>25</v>
      </c>
      <c r="D129" s="1">
        <v>6373</v>
      </c>
      <c r="E129" s="1" t="s">
        <v>38</v>
      </c>
      <c r="F129" s="9" t="s">
        <v>28</v>
      </c>
      <c r="G129" s="17" t="s">
        <v>39</v>
      </c>
      <c r="H129" s="9" t="s">
        <v>27</v>
      </c>
      <c r="I129" s="18" t="s">
        <v>3</v>
      </c>
      <c r="J129" s="19">
        <v>1</v>
      </c>
      <c r="K129" s="24" t="s">
        <v>97</v>
      </c>
      <c r="L129" s="22" t="s">
        <v>98</v>
      </c>
      <c r="M129" s="24" t="s">
        <v>100</v>
      </c>
      <c r="N129" s="24">
        <v>1</v>
      </c>
      <c r="O129" s="19">
        <v>0.15</v>
      </c>
      <c r="P129" s="31"/>
      <c r="Q129" s="19">
        <f t="shared" si="51"/>
        <v>0</v>
      </c>
      <c r="R129" s="26">
        <f t="shared" si="50"/>
        <v>0</v>
      </c>
      <c r="S129" s="19" t="s">
        <v>0</v>
      </c>
      <c r="T129" s="19"/>
      <c r="U129" s="2"/>
      <c r="V129" s="2"/>
      <c r="W129" s="2"/>
      <c r="X129" s="2"/>
      <c r="Y129" s="2"/>
      <c r="Z129" s="2"/>
      <c r="AA129" s="2"/>
      <c r="AB129" s="2"/>
      <c r="AC129" s="2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s="3" customFormat="1" ht="21.6" hidden="1" x14ac:dyDescent="0.2">
      <c r="A130" s="4">
        <v>2165</v>
      </c>
      <c r="B130" s="17" t="s">
        <v>2</v>
      </c>
      <c r="C130" s="5" t="s">
        <v>25</v>
      </c>
      <c r="D130" s="1">
        <v>6373</v>
      </c>
      <c r="E130" s="1" t="s">
        <v>38</v>
      </c>
      <c r="F130" s="9" t="s">
        <v>28</v>
      </c>
      <c r="G130" s="17" t="s">
        <v>39</v>
      </c>
      <c r="H130" s="9" t="s">
        <v>27</v>
      </c>
      <c r="I130" s="20" t="s">
        <v>3</v>
      </c>
      <c r="J130" s="19">
        <v>1</v>
      </c>
      <c r="K130" s="20" t="s">
        <v>101</v>
      </c>
      <c r="L130" s="23" t="s">
        <v>102</v>
      </c>
      <c r="M130" s="20" t="s">
        <v>105</v>
      </c>
      <c r="N130" s="32" t="s">
        <v>104</v>
      </c>
      <c r="O130" s="33">
        <v>0.1</v>
      </c>
      <c r="P130" s="31"/>
      <c r="Q130" s="33">
        <f t="shared" si="51"/>
        <v>0</v>
      </c>
      <c r="R130" s="34">
        <f t="shared" si="50"/>
        <v>0</v>
      </c>
      <c r="S130" s="33" t="s">
        <v>4</v>
      </c>
      <c r="T130" s="33"/>
      <c r="U130" s="2"/>
      <c r="V130" s="2"/>
      <c r="W130" s="2"/>
      <c r="X130" s="2"/>
      <c r="Y130" s="2"/>
      <c r="Z130" s="2"/>
      <c r="AA130" s="2"/>
      <c r="AB130" s="2"/>
      <c r="AC130" s="2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s="3" customFormat="1" ht="21.6" hidden="1" x14ac:dyDescent="0.2">
      <c r="A131" s="4">
        <v>2166</v>
      </c>
      <c r="B131" s="17" t="s">
        <v>2</v>
      </c>
      <c r="C131" s="5" t="s">
        <v>25</v>
      </c>
      <c r="D131" s="1">
        <v>6373</v>
      </c>
      <c r="E131" s="1" t="s">
        <v>38</v>
      </c>
      <c r="F131" s="9" t="s">
        <v>28</v>
      </c>
      <c r="G131" s="17" t="s">
        <v>39</v>
      </c>
      <c r="H131" s="9" t="s">
        <v>27</v>
      </c>
      <c r="I131" s="20" t="s">
        <v>3</v>
      </c>
      <c r="J131" s="19">
        <v>1</v>
      </c>
      <c r="K131" s="20" t="s">
        <v>106</v>
      </c>
      <c r="L131" s="23" t="s">
        <v>107</v>
      </c>
      <c r="M131" s="20" t="s">
        <v>109</v>
      </c>
      <c r="N131" s="32">
        <v>0.99</v>
      </c>
      <c r="O131" s="33">
        <v>0.05</v>
      </c>
      <c r="P131" s="31"/>
      <c r="Q131" s="33">
        <f t="shared" si="51"/>
        <v>0</v>
      </c>
      <c r="R131" s="34">
        <f t="shared" si="50"/>
        <v>0</v>
      </c>
      <c r="S131" s="33" t="s">
        <v>0</v>
      </c>
      <c r="T131" s="33"/>
      <c r="U131" s="2"/>
      <c r="V131" s="2"/>
      <c r="W131" s="2"/>
      <c r="X131" s="2"/>
      <c r="Y131" s="2"/>
      <c r="Z131" s="2"/>
      <c r="AA131" s="2"/>
      <c r="AB131" s="2"/>
      <c r="AC131" s="2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</sheetData>
  <autoFilter ref="A1:T131" xr:uid="{7EF4661B-8CB2-466F-8DBB-EB69CD48EE90}">
    <filterColumn colId="4">
      <filters>
        <filter val="الهام احمدیان"/>
      </filters>
    </filterColumn>
  </autoFilter>
  <phoneticPr fontId="2" type="noConversion"/>
  <conditionalFormatting sqref="I1:I131 K1:M131">
    <cfRule type="cellIs" dxfId="0" priority="2" operator="equal">
      <formula>"maintasks"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ECCE-8F67-48E5-B108-4FBBB9A20B30}">
  <dimension ref="A1:I10"/>
  <sheetViews>
    <sheetView workbookViewId="0">
      <selection activeCell="H2" sqref="H2:H10"/>
    </sheetView>
  </sheetViews>
  <sheetFormatPr defaultRowHeight="14.4" x14ac:dyDescent="0.3"/>
  <cols>
    <col min="1" max="1" width="19.88671875" customWidth="1"/>
    <col min="2" max="2" width="19.21875" customWidth="1"/>
    <col min="3" max="3" width="27.6640625" customWidth="1"/>
    <col min="6" max="6" width="28.88671875" customWidth="1"/>
    <col min="7" max="7" width="15.6640625" customWidth="1"/>
    <col min="8" max="8" width="13.33203125" customWidth="1"/>
  </cols>
  <sheetData>
    <row r="1" spans="1:9" ht="28.8" x14ac:dyDescent="0.3">
      <c r="A1" s="10" t="s">
        <v>14</v>
      </c>
      <c r="B1" s="10" t="s">
        <v>13</v>
      </c>
      <c r="C1" s="10" t="s">
        <v>76</v>
      </c>
      <c r="D1" s="10" t="s">
        <v>11</v>
      </c>
      <c r="E1" s="10" t="s">
        <v>6</v>
      </c>
      <c r="F1" s="10" t="s">
        <v>77</v>
      </c>
      <c r="G1" s="10" t="s">
        <v>78</v>
      </c>
      <c r="H1" s="10" t="s">
        <v>79</v>
      </c>
      <c r="I1" s="10" t="s">
        <v>15</v>
      </c>
    </row>
    <row r="2" spans="1:9" ht="28.8" x14ac:dyDescent="0.3">
      <c r="A2" s="10" t="s">
        <v>110</v>
      </c>
      <c r="B2" s="10" t="s">
        <v>111</v>
      </c>
      <c r="C2" s="10" t="s">
        <v>112</v>
      </c>
      <c r="D2" s="12">
        <v>0.98</v>
      </c>
      <c r="E2" s="10" t="s">
        <v>0</v>
      </c>
      <c r="F2" s="10" t="s">
        <v>113</v>
      </c>
      <c r="G2" s="10" t="s">
        <v>3</v>
      </c>
      <c r="H2" s="12">
        <v>0.15</v>
      </c>
      <c r="I2" s="12">
        <v>0.18</v>
      </c>
    </row>
    <row r="3" spans="1:9" ht="28.8" x14ac:dyDescent="0.3">
      <c r="A3" s="10" t="s">
        <v>114</v>
      </c>
      <c r="B3" s="10" t="s">
        <v>115</v>
      </c>
      <c r="C3" s="10" t="s">
        <v>116</v>
      </c>
      <c r="D3" s="12">
        <v>1</v>
      </c>
      <c r="E3" s="10" t="s">
        <v>0</v>
      </c>
      <c r="F3" s="10" t="s">
        <v>117</v>
      </c>
      <c r="G3" s="10" t="s">
        <v>3</v>
      </c>
      <c r="H3" s="12">
        <v>0.15</v>
      </c>
      <c r="I3" s="12">
        <v>0.18</v>
      </c>
    </row>
    <row r="4" spans="1:9" ht="43.2" x14ac:dyDescent="0.3">
      <c r="A4" s="10" t="s">
        <v>118</v>
      </c>
      <c r="B4" s="10" t="s">
        <v>119</v>
      </c>
      <c r="C4" s="10" t="s">
        <v>120</v>
      </c>
      <c r="D4" s="12">
        <v>1</v>
      </c>
      <c r="E4" s="10" t="s">
        <v>0</v>
      </c>
      <c r="F4" s="10" t="s">
        <v>121</v>
      </c>
      <c r="G4" s="10" t="s">
        <v>3</v>
      </c>
      <c r="H4" s="12">
        <v>0.15</v>
      </c>
      <c r="I4" s="12">
        <v>0.18</v>
      </c>
    </row>
    <row r="5" spans="1:9" ht="43.2" x14ac:dyDescent="0.3">
      <c r="A5" s="10" t="s">
        <v>122</v>
      </c>
      <c r="B5" s="10" t="s">
        <v>123</v>
      </c>
      <c r="C5" s="10" t="s">
        <v>124</v>
      </c>
      <c r="D5" s="12">
        <v>0.99</v>
      </c>
      <c r="E5" s="10" t="s">
        <v>0</v>
      </c>
      <c r="F5" s="10" t="s">
        <v>125</v>
      </c>
      <c r="G5" s="10" t="s">
        <v>3</v>
      </c>
      <c r="H5" s="12">
        <v>0.15</v>
      </c>
      <c r="I5" s="12">
        <v>0.15</v>
      </c>
    </row>
    <row r="6" spans="1:9" ht="43.2" x14ac:dyDescent="0.3">
      <c r="A6" s="10" t="s">
        <v>126</v>
      </c>
      <c r="B6" s="10" t="s">
        <v>127</v>
      </c>
      <c r="C6" s="10" t="s">
        <v>128</v>
      </c>
      <c r="D6" s="12">
        <v>1</v>
      </c>
      <c r="E6" s="10" t="s">
        <v>0</v>
      </c>
      <c r="F6" s="10" t="s">
        <v>129</v>
      </c>
      <c r="G6" s="10" t="s">
        <v>3</v>
      </c>
      <c r="H6" s="12">
        <v>0.12</v>
      </c>
      <c r="I6" s="12">
        <v>0.12</v>
      </c>
    </row>
    <row r="7" spans="1:9" ht="28.8" x14ac:dyDescent="0.3">
      <c r="A7" s="10" t="s">
        <v>130</v>
      </c>
      <c r="B7" s="10" t="s">
        <v>131</v>
      </c>
      <c r="C7" s="10" t="s">
        <v>132</v>
      </c>
      <c r="D7" s="10">
        <v>5</v>
      </c>
      <c r="E7" s="10" t="s">
        <v>0</v>
      </c>
      <c r="F7" s="10" t="s">
        <v>133</v>
      </c>
      <c r="G7" s="10" t="s">
        <v>1</v>
      </c>
      <c r="H7" s="12">
        <v>0.08</v>
      </c>
      <c r="I7" s="12">
        <v>0.08</v>
      </c>
    </row>
    <row r="8" spans="1:9" ht="28.8" x14ac:dyDescent="0.3">
      <c r="A8" s="10" t="s">
        <v>134</v>
      </c>
      <c r="B8" s="10" t="s">
        <v>135</v>
      </c>
      <c r="C8" s="10" t="s">
        <v>136</v>
      </c>
      <c r="D8" s="12">
        <v>1</v>
      </c>
      <c r="E8" s="10" t="s">
        <v>0</v>
      </c>
      <c r="F8" s="10" t="s">
        <v>137</v>
      </c>
      <c r="G8" s="10" t="s">
        <v>1</v>
      </c>
      <c r="H8" s="12">
        <v>0.06</v>
      </c>
      <c r="I8" s="12">
        <v>0.06</v>
      </c>
    </row>
    <row r="9" spans="1:9" ht="43.2" x14ac:dyDescent="0.3">
      <c r="A9" s="10" t="s">
        <v>138</v>
      </c>
      <c r="B9" s="10" t="s">
        <v>139</v>
      </c>
      <c r="C9" s="10" t="s">
        <v>140</v>
      </c>
      <c r="D9" s="12">
        <v>0.99</v>
      </c>
      <c r="E9" s="10" t="s">
        <v>0</v>
      </c>
      <c r="F9" s="10" t="s">
        <v>141</v>
      </c>
      <c r="G9" s="10" t="s">
        <v>3</v>
      </c>
      <c r="H9" s="12">
        <v>0.06</v>
      </c>
      <c r="I9" s="12">
        <v>0.06</v>
      </c>
    </row>
    <row r="10" spans="1:9" ht="43.2" x14ac:dyDescent="0.3">
      <c r="A10" s="10" t="s">
        <v>142</v>
      </c>
      <c r="B10" s="10" t="s">
        <v>143</v>
      </c>
      <c r="C10" s="10" t="s">
        <v>144</v>
      </c>
      <c r="D10" s="12">
        <v>1</v>
      </c>
      <c r="E10" s="10" t="s">
        <v>0</v>
      </c>
      <c r="F10" s="10" t="s">
        <v>145</v>
      </c>
      <c r="G10" s="10" t="s">
        <v>3</v>
      </c>
      <c r="H10" s="12">
        <v>0.08</v>
      </c>
      <c r="I10" s="12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ABD9-DDA1-4D2D-89F1-F73FF782DDBE}">
  <dimension ref="A1:N16"/>
  <sheetViews>
    <sheetView workbookViewId="0">
      <selection activeCell="M3" sqref="M3:N4"/>
    </sheetView>
  </sheetViews>
  <sheetFormatPr defaultRowHeight="14.4" x14ac:dyDescent="0.3"/>
  <cols>
    <col min="1" max="1" width="23.21875" style="13" customWidth="1"/>
    <col min="2" max="2" width="33.6640625" style="13" customWidth="1"/>
    <col min="3" max="3" width="26.33203125" style="13" customWidth="1"/>
    <col min="4" max="4" width="19.33203125" style="13" customWidth="1"/>
    <col min="5" max="5" width="23.109375" style="13" customWidth="1"/>
    <col min="6" max="6" width="28" style="13" customWidth="1"/>
    <col min="7" max="7" width="13.21875" style="13" customWidth="1"/>
    <col min="8" max="8" width="8.88671875" style="13"/>
  </cols>
  <sheetData>
    <row r="1" spans="1:14" ht="28.8" x14ac:dyDescent="0.3">
      <c r="A1" s="11" t="s">
        <v>14</v>
      </c>
      <c r="B1" s="11" t="s">
        <v>13</v>
      </c>
      <c r="C1" s="11" t="s">
        <v>76</v>
      </c>
      <c r="D1" s="11" t="s">
        <v>146</v>
      </c>
      <c r="E1" s="11" t="s">
        <v>147</v>
      </c>
      <c r="F1" s="11" t="s">
        <v>148</v>
      </c>
      <c r="G1" s="11" t="s">
        <v>149</v>
      </c>
      <c r="H1" s="11" t="s">
        <v>150</v>
      </c>
      <c r="I1" s="10" t="s">
        <v>151</v>
      </c>
    </row>
    <row r="2" spans="1:14" ht="43.2" x14ac:dyDescent="0.3">
      <c r="A2" s="10" t="s">
        <v>152</v>
      </c>
      <c r="B2" s="10" t="s">
        <v>41</v>
      </c>
      <c r="C2" s="10" t="s">
        <v>153</v>
      </c>
      <c r="D2" s="10" t="s">
        <v>58</v>
      </c>
      <c r="E2" s="10" t="s">
        <v>0</v>
      </c>
      <c r="F2" s="10" t="s">
        <v>154</v>
      </c>
      <c r="G2" s="12" t="s">
        <v>3</v>
      </c>
      <c r="H2" s="12">
        <v>0.1</v>
      </c>
      <c r="I2" s="12">
        <v>0.3</v>
      </c>
    </row>
    <row r="3" spans="1:14" ht="28.8" x14ac:dyDescent="0.3">
      <c r="A3" s="10" t="s">
        <v>155</v>
      </c>
      <c r="B3" s="10" t="s">
        <v>43</v>
      </c>
      <c r="C3" s="10" t="s">
        <v>156</v>
      </c>
      <c r="D3" s="10" t="s">
        <v>42</v>
      </c>
      <c r="E3" s="10" t="s">
        <v>0</v>
      </c>
      <c r="F3" s="10" t="s">
        <v>157</v>
      </c>
      <c r="G3" s="12" t="s">
        <v>3</v>
      </c>
      <c r="H3" s="12">
        <v>0.1</v>
      </c>
      <c r="I3" s="12">
        <v>0.3</v>
      </c>
      <c r="M3">
        <v>5814</v>
      </c>
      <c r="N3" t="s">
        <v>33</v>
      </c>
    </row>
    <row r="4" spans="1:14" ht="28.8" x14ac:dyDescent="0.3">
      <c r="A4" s="10" t="s">
        <v>158</v>
      </c>
      <c r="B4" s="10" t="s">
        <v>46</v>
      </c>
      <c r="C4" s="10" t="s">
        <v>159</v>
      </c>
      <c r="D4" s="10" t="s">
        <v>160</v>
      </c>
      <c r="E4" s="10" t="s">
        <v>4</v>
      </c>
      <c r="F4" s="10" t="s">
        <v>161</v>
      </c>
      <c r="G4" s="12" t="s">
        <v>3</v>
      </c>
      <c r="H4" s="12">
        <v>7.0000000000000007E-2</v>
      </c>
      <c r="I4" s="12">
        <v>0.3</v>
      </c>
      <c r="M4">
        <v>6329</v>
      </c>
      <c r="N4" t="s">
        <v>36</v>
      </c>
    </row>
    <row r="5" spans="1:14" ht="28.8" x14ac:dyDescent="0.3">
      <c r="A5" s="10" t="s">
        <v>162</v>
      </c>
      <c r="B5" s="10" t="s">
        <v>49</v>
      </c>
      <c r="C5" s="10" t="s">
        <v>163</v>
      </c>
      <c r="D5" s="10" t="s">
        <v>50</v>
      </c>
      <c r="E5" s="10" t="s">
        <v>4</v>
      </c>
      <c r="F5" s="10" t="s">
        <v>164</v>
      </c>
      <c r="G5" s="12" t="s">
        <v>3</v>
      </c>
      <c r="H5" s="12">
        <v>0.08</v>
      </c>
      <c r="I5" s="12">
        <v>0.3</v>
      </c>
    </row>
    <row r="6" spans="1:14" ht="28.8" x14ac:dyDescent="0.3">
      <c r="A6" s="10" t="s">
        <v>165</v>
      </c>
      <c r="B6" s="10" t="s">
        <v>52</v>
      </c>
      <c r="C6" s="10" t="s">
        <v>166</v>
      </c>
      <c r="D6" s="10" t="s">
        <v>58</v>
      </c>
      <c r="E6" s="10" t="s">
        <v>0</v>
      </c>
      <c r="F6" s="10" t="s">
        <v>167</v>
      </c>
      <c r="G6" s="12" t="s">
        <v>3</v>
      </c>
      <c r="H6" s="12">
        <v>0.06</v>
      </c>
      <c r="I6" s="12">
        <v>0.3</v>
      </c>
    </row>
    <row r="7" spans="1:14" ht="28.8" x14ac:dyDescent="0.3">
      <c r="A7" s="10" t="s">
        <v>168</v>
      </c>
      <c r="B7" s="10" t="s">
        <v>54</v>
      </c>
      <c r="C7" s="10" t="s">
        <v>169</v>
      </c>
      <c r="D7" s="10" t="s">
        <v>55</v>
      </c>
      <c r="E7" s="10" t="s">
        <v>4</v>
      </c>
      <c r="F7" s="10" t="s">
        <v>170</v>
      </c>
      <c r="G7" s="12" t="s">
        <v>3</v>
      </c>
      <c r="H7" s="12">
        <v>0.06</v>
      </c>
      <c r="I7" s="12">
        <v>0.3</v>
      </c>
    </row>
    <row r="8" spans="1:14" ht="43.2" x14ac:dyDescent="0.3">
      <c r="A8" s="10" t="s">
        <v>171</v>
      </c>
      <c r="B8" s="10" t="s">
        <v>57</v>
      </c>
      <c r="C8" s="10" t="s">
        <v>172</v>
      </c>
      <c r="D8" s="10" t="s">
        <v>173</v>
      </c>
      <c r="E8" s="10" t="s">
        <v>0</v>
      </c>
      <c r="F8" s="10" t="s">
        <v>174</v>
      </c>
      <c r="G8" s="12" t="s">
        <v>1</v>
      </c>
      <c r="H8" s="12">
        <v>0.05</v>
      </c>
      <c r="I8" s="12">
        <v>0.2</v>
      </c>
    </row>
    <row r="9" spans="1:14" ht="28.8" x14ac:dyDescent="0.3">
      <c r="A9" s="10" t="s">
        <v>175</v>
      </c>
      <c r="B9" s="10" t="s">
        <v>60</v>
      </c>
      <c r="C9" s="10" t="s">
        <v>176</v>
      </c>
      <c r="D9" s="10" t="s">
        <v>177</v>
      </c>
      <c r="E9" s="10" t="s">
        <v>0</v>
      </c>
      <c r="F9" s="10" t="s">
        <v>178</v>
      </c>
      <c r="G9" s="12" t="s">
        <v>1</v>
      </c>
      <c r="H9" s="12">
        <v>0.05</v>
      </c>
      <c r="I9" s="12">
        <v>0.2</v>
      </c>
    </row>
    <row r="10" spans="1:14" ht="28.8" x14ac:dyDescent="0.3">
      <c r="A10" s="10" t="s">
        <v>62</v>
      </c>
      <c r="B10" s="10" t="s">
        <v>63</v>
      </c>
      <c r="C10" s="10" t="s">
        <v>179</v>
      </c>
      <c r="D10" s="10" t="s">
        <v>180</v>
      </c>
      <c r="E10" s="10" t="s">
        <v>4</v>
      </c>
      <c r="F10" s="10" t="s">
        <v>181</v>
      </c>
      <c r="G10" s="12" t="s">
        <v>3</v>
      </c>
      <c r="H10" s="12">
        <v>0.05</v>
      </c>
      <c r="I10" s="12">
        <v>0.3</v>
      </c>
    </row>
    <row r="11" spans="1:14" ht="28.8" x14ac:dyDescent="0.3">
      <c r="A11" s="10" t="s">
        <v>64</v>
      </c>
      <c r="B11" s="10" t="s">
        <v>65</v>
      </c>
      <c r="C11" s="10" t="s">
        <v>182</v>
      </c>
      <c r="D11" s="10" t="s">
        <v>58</v>
      </c>
      <c r="E11" s="10" t="s">
        <v>0</v>
      </c>
      <c r="F11" s="10" t="s">
        <v>183</v>
      </c>
      <c r="G11" s="12" t="s">
        <v>1</v>
      </c>
      <c r="H11" s="12">
        <v>0.05</v>
      </c>
      <c r="I11" s="12">
        <v>0.2</v>
      </c>
    </row>
    <row r="12" spans="1:14" ht="28.8" x14ac:dyDescent="0.3">
      <c r="A12" s="10" t="s">
        <v>184</v>
      </c>
      <c r="B12" s="10" t="s">
        <v>185</v>
      </c>
      <c r="C12" s="10" t="s">
        <v>186</v>
      </c>
      <c r="D12" s="10" t="s">
        <v>58</v>
      </c>
      <c r="E12" s="10" t="s">
        <v>0</v>
      </c>
      <c r="F12" s="10" t="s">
        <v>187</v>
      </c>
      <c r="G12" s="10" t="s">
        <v>1</v>
      </c>
      <c r="H12" s="12">
        <v>0.05</v>
      </c>
      <c r="I12" s="12">
        <v>0.2</v>
      </c>
    </row>
    <row r="13" spans="1:14" ht="28.8" x14ac:dyDescent="0.3">
      <c r="A13" s="10" t="s">
        <v>188</v>
      </c>
      <c r="B13" s="10" t="s">
        <v>189</v>
      </c>
      <c r="C13" s="10" t="s">
        <v>190</v>
      </c>
      <c r="D13" s="10" t="s">
        <v>58</v>
      </c>
      <c r="E13" s="10" t="s">
        <v>0</v>
      </c>
      <c r="F13" s="10" t="s">
        <v>191</v>
      </c>
      <c r="G13" s="10" t="s">
        <v>1</v>
      </c>
      <c r="H13" s="12">
        <v>0.05</v>
      </c>
      <c r="I13" s="12">
        <v>0.2</v>
      </c>
    </row>
    <row r="14" spans="1:14" ht="28.8" x14ac:dyDescent="0.3">
      <c r="A14" s="10" t="s">
        <v>192</v>
      </c>
      <c r="B14" s="10" t="s">
        <v>193</v>
      </c>
      <c r="C14" s="10" t="s">
        <v>194</v>
      </c>
      <c r="D14" s="10" t="s">
        <v>58</v>
      </c>
      <c r="E14" s="10" t="s">
        <v>0</v>
      </c>
      <c r="F14" s="10" t="s">
        <v>195</v>
      </c>
      <c r="G14" s="10" t="s">
        <v>1</v>
      </c>
      <c r="H14" s="12">
        <v>0.04</v>
      </c>
      <c r="I14" s="12">
        <v>0.2</v>
      </c>
    </row>
    <row r="15" spans="1:14" ht="28.8" x14ac:dyDescent="0.3">
      <c r="A15" s="10" t="s">
        <v>196</v>
      </c>
      <c r="B15" s="10" t="s">
        <v>197</v>
      </c>
      <c r="C15" s="10" t="s">
        <v>198</v>
      </c>
      <c r="D15" s="10" t="s">
        <v>58</v>
      </c>
      <c r="E15" s="10" t="s">
        <v>0</v>
      </c>
      <c r="F15" s="10" t="s">
        <v>199</v>
      </c>
      <c r="G15" s="10" t="s">
        <v>1</v>
      </c>
      <c r="H15" s="12">
        <v>0.04</v>
      </c>
      <c r="I15" s="12">
        <v>0.2</v>
      </c>
    </row>
    <row r="16" spans="1:14" ht="43.2" x14ac:dyDescent="0.3">
      <c r="A16" s="10" t="s">
        <v>200</v>
      </c>
      <c r="B16" s="10" t="s">
        <v>201</v>
      </c>
      <c r="C16" s="10" t="s">
        <v>202</v>
      </c>
      <c r="D16" s="10" t="s">
        <v>203</v>
      </c>
      <c r="E16" s="10" t="s">
        <v>0</v>
      </c>
      <c r="F16" s="10" t="s">
        <v>204</v>
      </c>
      <c r="G16" s="10" t="s">
        <v>3</v>
      </c>
      <c r="H16" s="12">
        <v>0.1</v>
      </c>
      <c r="I16" s="12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EC5D-7D0E-4271-9187-CBDFFA069785}">
  <dimension ref="A1:I8"/>
  <sheetViews>
    <sheetView workbookViewId="0">
      <selection activeCell="E2" sqref="E2:E8"/>
    </sheetView>
  </sheetViews>
  <sheetFormatPr defaultRowHeight="14.4" x14ac:dyDescent="0.3"/>
  <cols>
    <col min="1" max="1" width="18.88671875" customWidth="1"/>
    <col min="2" max="2" width="26.5546875" customWidth="1"/>
    <col min="3" max="3" width="27.21875" customWidth="1"/>
    <col min="4" max="4" width="14" customWidth="1"/>
    <col min="6" max="6" width="33.109375" customWidth="1"/>
    <col min="7" max="7" width="16.44140625" customWidth="1"/>
  </cols>
  <sheetData>
    <row r="1" spans="1:9" ht="28.8" x14ac:dyDescent="0.3">
      <c r="A1" s="10" t="s">
        <v>14</v>
      </c>
      <c r="B1" s="10" t="s">
        <v>13</v>
      </c>
      <c r="C1" s="10" t="s">
        <v>76</v>
      </c>
      <c r="D1" s="10" t="s">
        <v>11</v>
      </c>
      <c r="E1" s="10" t="s">
        <v>6</v>
      </c>
      <c r="F1" s="10" t="s">
        <v>77</v>
      </c>
      <c r="G1" s="10" t="s">
        <v>78</v>
      </c>
      <c r="H1" s="10" t="s">
        <v>79</v>
      </c>
      <c r="I1" s="10" t="s">
        <v>15</v>
      </c>
    </row>
    <row r="2" spans="1:9" ht="43.2" x14ac:dyDescent="0.3">
      <c r="A2" s="10" t="s">
        <v>80</v>
      </c>
      <c r="B2" s="10" t="s">
        <v>81</v>
      </c>
      <c r="C2" s="10" t="s">
        <v>82</v>
      </c>
      <c r="D2" s="12">
        <v>1</v>
      </c>
      <c r="E2" s="10" t="s">
        <v>0</v>
      </c>
      <c r="F2" s="10" t="s">
        <v>83</v>
      </c>
      <c r="G2" s="10" t="s">
        <v>3</v>
      </c>
      <c r="H2" s="12">
        <v>0.2</v>
      </c>
      <c r="I2" s="12">
        <v>0.2</v>
      </c>
    </row>
    <row r="3" spans="1:9" ht="43.2" x14ac:dyDescent="0.3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4</v>
      </c>
      <c r="F3" s="10" t="s">
        <v>88</v>
      </c>
      <c r="G3" s="10" t="s">
        <v>3</v>
      </c>
      <c r="H3" s="12">
        <v>0.2</v>
      </c>
      <c r="I3" s="12">
        <v>0.2</v>
      </c>
    </row>
    <row r="4" spans="1:9" ht="43.2" x14ac:dyDescent="0.3">
      <c r="A4" s="10" t="s">
        <v>89</v>
      </c>
      <c r="B4" s="10" t="s">
        <v>90</v>
      </c>
      <c r="C4" s="10" t="s">
        <v>91</v>
      </c>
      <c r="D4" s="12">
        <v>0.95</v>
      </c>
      <c r="E4" s="10" t="s">
        <v>0</v>
      </c>
      <c r="F4" s="10" t="s">
        <v>92</v>
      </c>
      <c r="G4" s="10" t="s">
        <v>3</v>
      </c>
      <c r="H4" s="12">
        <v>0.15</v>
      </c>
      <c r="I4" s="12">
        <v>0.15</v>
      </c>
    </row>
    <row r="5" spans="1:9" ht="28.8" x14ac:dyDescent="0.3">
      <c r="A5" s="10" t="s">
        <v>93</v>
      </c>
      <c r="B5" s="10" t="s">
        <v>94</v>
      </c>
      <c r="C5" s="10" t="s">
        <v>95</v>
      </c>
      <c r="D5" s="12">
        <v>0.98</v>
      </c>
      <c r="E5" s="10" t="s">
        <v>0</v>
      </c>
      <c r="F5" s="10" t="s">
        <v>96</v>
      </c>
      <c r="G5" s="10" t="s">
        <v>3</v>
      </c>
      <c r="H5" s="12">
        <v>0.15</v>
      </c>
      <c r="I5" s="12">
        <v>0.15</v>
      </c>
    </row>
    <row r="6" spans="1:9" ht="43.2" x14ac:dyDescent="0.3">
      <c r="A6" s="10" t="s">
        <v>97</v>
      </c>
      <c r="B6" s="10" t="s">
        <v>98</v>
      </c>
      <c r="C6" s="10" t="s">
        <v>99</v>
      </c>
      <c r="D6" s="12">
        <v>1</v>
      </c>
      <c r="E6" s="10" t="s">
        <v>0</v>
      </c>
      <c r="F6" s="10" t="s">
        <v>100</v>
      </c>
      <c r="G6" s="10" t="s">
        <v>3</v>
      </c>
      <c r="H6" s="12">
        <v>0.15</v>
      </c>
      <c r="I6" s="12">
        <v>0.15</v>
      </c>
    </row>
    <row r="7" spans="1:9" ht="43.2" x14ac:dyDescent="0.3">
      <c r="A7" s="10" t="s">
        <v>101</v>
      </c>
      <c r="B7" s="10" t="s">
        <v>102</v>
      </c>
      <c r="C7" s="10" t="s">
        <v>103</v>
      </c>
      <c r="D7" s="10" t="s">
        <v>104</v>
      </c>
      <c r="E7" s="10" t="s">
        <v>4</v>
      </c>
      <c r="F7" s="10" t="s">
        <v>105</v>
      </c>
      <c r="G7" s="10" t="s">
        <v>3</v>
      </c>
      <c r="H7" s="12">
        <v>0.1</v>
      </c>
      <c r="I7" s="12">
        <v>0.1</v>
      </c>
    </row>
    <row r="8" spans="1:9" ht="43.2" x14ac:dyDescent="0.3">
      <c r="A8" s="10" t="s">
        <v>106</v>
      </c>
      <c r="B8" s="10" t="s">
        <v>107</v>
      </c>
      <c r="C8" s="10" t="s">
        <v>108</v>
      </c>
      <c r="D8" s="12">
        <v>0.99</v>
      </c>
      <c r="E8" s="10" t="s">
        <v>0</v>
      </c>
      <c r="F8" s="10" t="s">
        <v>109</v>
      </c>
      <c r="G8" s="10" t="s">
        <v>3</v>
      </c>
      <c r="H8" s="12">
        <v>0.05</v>
      </c>
      <c r="I8" s="1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واحد برنامه ریزی نت</vt:lpstr>
      <vt:lpstr>نرم افزار</vt:lpstr>
      <vt:lpstr>برنامه ریز</vt:lpstr>
      <vt:lpstr>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Kalantari, Ali Asghar</cp:lastModifiedBy>
  <dcterms:created xsi:type="dcterms:W3CDTF">2025-03-10T06:26:40Z</dcterms:created>
  <dcterms:modified xsi:type="dcterms:W3CDTF">2025-06-25T09:45:44Z</dcterms:modified>
</cp:coreProperties>
</file>