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A66AD9C0-E754-4A8F-8DC5-C2C97D1EB37A}" xr6:coauthVersionLast="47" xr6:coauthVersionMax="47" xr10:uidLastSave="{00000000-0000-0000-0000-000000000000}"/>
  <bookViews>
    <workbookView xWindow="28680" yWindow="-120" windowWidth="29040" windowHeight="15840" xr2:uid="{BD38DE6A-3E43-40C4-9B39-34F45D7F133B}"/>
  </bookViews>
  <sheets>
    <sheet name="روسای فنی" sheetId="3" r:id="rId1"/>
    <sheet name="نت" sheetId="5" r:id="rId2"/>
    <sheet name="طراحی مهندسی" sheetId="4" r:id="rId3"/>
    <sheet name="ماشین آلات" sheetId="6" r:id="rId4"/>
  </sheets>
  <definedNames>
    <definedName name="_xlnm._FilterDatabase" localSheetId="0" hidden="1">'روسای فنی'!$A$1:$T$71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3" l="1"/>
  <c r="R8" i="3" s="1"/>
  <c r="Q10" i="3"/>
  <c r="R10" i="3" s="1"/>
  <c r="Q70" i="3"/>
  <c r="R70" i="3" s="1"/>
  <c r="Q12" i="3" l="1"/>
  <c r="R12" i="3" s="1"/>
  <c r="Q71" i="3"/>
  <c r="R71" i="3" s="1"/>
  <c r="Q69" i="3"/>
  <c r="R69" i="3" s="1"/>
  <c r="Q68" i="3"/>
  <c r="R68" i="3" s="1"/>
  <c r="Q67" i="3"/>
  <c r="R67" i="3" s="1"/>
  <c r="Q66" i="3"/>
  <c r="R66" i="3" s="1"/>
  <c r="Q65" i="3"/>
  <c r="R65" i="3" s="1"/>
  <c r="Q64" i="3"/>
  <c r="R64" i="3" s="1"/>
  <c r="Q63" i="3"/>
  <c r="R63" i="3" s="1"/>
  <c r="Q62" i="3"/>
  <c r="R62" i="3" s="1"/>
  <c r="Q61" i="3"/>
  <c r="R61" i="3" s="1"/>
  <c r="Q60" i="3"/>
  <c r="R60" i="3" s="1"/>
  <c r="Q59" i="3"/>
  <c r="R59" i="3" s="1"/>
  <c r="Q58" i="3"/>
  <c r="R58" i="3" s="1"/>
  <c r="Q57" i="3"/>
  <c r="R57" i="3" s="1"/>
  <c r="Q56" i="3"/>
  <c r="R56" i="3" s="1"/>
  <c r="Q22" i="3"/>
  <c r="R22" i="3" s="1"/>
  <c r="Q21" i="3"/>
  <c r="R21" i="3" s="1"/>
  <c r="Q20" i="3"/>
  <c r="R20" i="3" s="1"/>
  <c r="Q19" i="3"/>
  <c r="R19" i="3" s="1"/>
  <c r="Q18" i="3"/>
  <c r="R18" i="3" s="1"/>
  <c r="Q17" i="3"/>
  <c r="R17" i="3" s="1"/>
  <c r="Q16" i="3"/>
  <c r="R16" i="3" s="1"/>
  <c r="Q15" i="3"/>
  <c r="R15" i="3" s="1"/>
  <c r="Q14" i="3"/>
  <c r="R14" i="3" s="1"/>
  <c r="Q13" i="3"/>
  <c r="R13" i="3" s="1"/>
  <c r="Q11" i="3"/>
  <c r="R11" i="3" s="1"/>
  <c r="Q9" i="3"/>
  <c r="R9" i="3" s="1"/>
  <c r="Q6" i="3"/>
  <c r="R6" i="3" s="1"/>
  <c r="Q3" i="3"/>
  <c r="R3" i="3" s="1"/>
  <c r="Q2" i="3"/>
  <c r="R2" i="3" s="1"/>
  <c r="Q7" i="3"/>
  <c r="R7" i="3" s="1"/>
  <c r="Q5" i="3"/>
  <c r="R5" i="3" s="1"/>
  <c r="Q4" i="3"/>
  <c r="R4" i="3" s="1"/>
  <c r="T63" i="3" l="1"/>
  <c r="T12" i="3"/>
  <c r="T56" i="3"/>
  <c r="T2" i="3"/>
</calcChain>
</file>

<file path=xl/sharedStrings.xml><?xml version="1.0" encoding="utf-8"?>
<sst xmlns="http://schemas.openxmlformats.org/spreadsheetml/2006/main" count="1087" uniqueCount="227">
  <si>
    <t>+</t>
  </si>
  <si>
    <t>Projects</t>
  </si>
  <si>
    <t>تخته فشرده</t>
  </si>
  <si>
    <t>MainTasks</t>
  </si>
  <si>
    <t>-</t>
  </si>
  <si>
    <t>Sum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</si>
  <si>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</si>
  <si>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</si>
  <si>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</si>
  <si>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</si>
  <si>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</si>
  <si>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</si>
  <si>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</si>
  <si>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</si>
  <si>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</si>
  <si>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</si>
  <si>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</si>
  <si>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</si>
  <si>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</si>
  <si>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</si>
  <si>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</si>
  <si>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</si>
  <si>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</si>
  <si>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</si>
  <si>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</si>
  <si>
    <t>Q1</t>
  </si>
  <si>
    <t>مصطفی علیزاده</t>
  </si>
  <si>
    <t>خلیل دیلمی</t>
  </si>
  <si>
    <t>مجتبی هدایت</t>
  </si>
  <si>
    <t>رضا عینلوند</t>
  </si>
  <si>
    <t>رضا زلقی</t>
  </si>
  <si>
    <t>علی اصغر کلانتری</t>
  </si>
  <si>
    <t>5546</t>
  </si>
  <si>
    <t>Repair Completion Rate</t>
  </si>
  <si>
    <t>MTTR Performance</t>
  </si>
  <si>
    <t>PM Compliance Rate</t>
  </si>
  <si>
    <t>MTBF Improvement</t>
  </si>
  <si>
    <t>Breakdown Reduction</t>
  </si>
  <si>
    <t>Rework Rate</t>
  </si>
  <si>
    <t>Spare Parts Utilization</t>
  </si>
  <si>
    <t>Maintenance Cost Reduction</t>
  </si>
  <si>
    <t>رعایت نکات ایمنی در تعمیرات (بدون حادثه یا شبه‌حادثه)</t>
  </si>
  <si>
    <t>Participation Rate</t>
  </si>
  <si>
    <t xml:space="preserve">	تکمیل چک‌لیست‌های تعمیرات و ثبت صحیح گزارشات </t>
  </si>
  <si>
    <t xml:space="preserve">نرخ مشارکت در جلسات و ارائه پیشنهادات بهبود </t>
  </si>
  <si>
    <t xml:space="preserve">	کاهش هزینه‌های نگهداری و تعمیرات </t>
  </si>
  <si>
    <t xml:space="preserve">بهینه‌سازی مصرف قطعات یدکی </t>
  </si>
  <si>
    <t xml:space="preserve">درصد کاهش تعمیرات تکراری (Rework Rate) </t>
  </si>
  <si>
    <t xml:space="preserve">کاهش خرابی‌های اضطراری </t>
  </si>
  <si>
    <t xml:space="preserve">افزایش فاصله بین خرابی‌ها (MTBF) </t>
  </si>
  <si>
    <t xml:space="preserve">درصد اجرای تعمیرات پیشگیرانه (PM Compliance) </t>
  </si>
  <si>
    <t xml:space="preserve">نرخ تکمیل تعمیرات در موعد مقرر </t>
  </si>
  <si>
    <t xml:space="preserve">میانگین زمان تعمیر (MTTR) نسبت به استاندارد </t>
  </si>
  <si>
    <t>Repair Completion Rate=(Number of Repairs Completed on Schedule-PM)/(Total Planned Repairs-PM)*100</t>
  </si>
  <si>
    <t>PM Compliance Rate=Number of PMs Completed/Total Planned PMs*100</t>
  </si>
  <si>
    <t>MTTR Performance=(Current MTTR-Previous Month MTTR)/Previous Month MTTR*100</t>
  </si>
  <si>
    <t>MTBF Improvement=(Current MTBF-Previous Month MTBF)/Previous Month MTBF*100</t>
  </si>
  <si>
    <t>Breakdown Reduction=(Emergency Breakdowns This Month-Emergency Breakdowns Last Month)/Emergency Breakdowns Last Month</t>
  </si>
  <si>
    <t>Rework Rate=Number of Repeat Repairs/(Total Repairs)*100</t>
  </si>
  <si>
    <t>Spare Parts Utilization=Number of Used Spare Parts from Inventory/Total Purchased Spare Parts*100</t>
  </si>
  <si>
    <t>Maintenance Cost Reduction=(Previous Month Maintenance Cost-Current Month Maintenance Cost)/Previous Month Maintenance Cost</t>
  </si>
  <si>
    <t>Participation Rate=Number of Suggestions Given/Total Number of Meetings*100</t>
  </si>
  <si>
    <t>نزولی</t>
  </si>
  <si>
    <t>حداقل 10% کاهش نسبت به ماه گذشته</t>
  </si>
  <si>
    <t>هدف افزایش حداقل 5%</t>
  </si>
  <si>
    <t>رئیس برنامه ریزی نگهداری و تعمیرات</t>
  </si>
  <si>
    <t>هادی کرد</t>
  </si>
  <si>
    <t>فنی و مهندسی</t>
  </si>
  <si>
    <t>رئیس واحد برق و ابزاردقیق</t>
  </si>
  <si>
    <t>5595</t>
  </si>
  <si>
    <t>رئیس واحد مکانیک</t>
  </si>
  <si>
    <t>5217</t>
  </si>
  <si>
    <t>رئیس واحد تاسیسات</t>
  </si>
  <si>
    <t>3073</t>
  </si>
  <si>
    <t>جواد فرج الهی</t>
  </si>
  <si>
    <t>رئیس واحد طراحی مهندسی</t>
  </si>
  <si>
    <t>رئیس واحد مکانیک عمومی</t>
  </si>
  <si>
    <t>3681</t>
  </si>
  <si>
    <t>3527</t>
  </si>
  <si>
    <t>رئیس واحد ماشین آلات</t>
  </si>
  <si>
    <t>#</t>
  </si>
  <si>
    <t>توضیح</t>
  </si>
  <si>
    <t>فرمول</t>
  </si>
  <si>
    <t>Drawing Completion Rate</t>
  </si>
  <si>
    <t>نرخ تکمیل نقشه‌ها در زمان مقرر</t>
  </si>
  <si>
    <t>درصد نقشه‌های طراحی یا اصلاح‌شده که در موعد مقرر تحویل داده شده‌اند</t>
  </si>
  <si>
    <t>≥ 95%</t>
  </si>
  <si>
    <t>2</t>
  </si>
  <si>
    <t>Drawing Accuracy Rate</t>
  </si>
  <si>
    <t>درصد صحت نقشه‌ها</t>
  </si>
  <si>
    <t>درصد نقشه‌هایی که بدون نیاز به اصلاح توسط تولید یا نگهداری تأیید شده‌اند</t>
  </si>
  <si>
    <t>≥ 98%</t>
  </si>
  <si>
    <t>3</t>
  </si>
  <si>
    <t>Design Change Response Time</t>
  </si>
  <si>
    <t>میانگین زمان پاسخ به درخواست تغییرات طراحی</t>
  </si>
  <si>
    <t>میانگین زمان پاسخ‌گویی به تغییرات ارسالی از واحدهای دیگر</t>
  </si>
  <si>
    <t>≤ 3 days</t>
  </si>
  <si>
    <t>4</t>
  </si>
  <si>
    <t>BOM Accuracy</t>
  </si>
  <si>
    <t>دقت در تهیه لیست اقلام (BOM)</t>
  </si>
  <si>
    <t>درصد BOMهایی که بدون خطا تحویل داده شده‌اند</t>
  </si>
  <si>
    <t>5</t>
  </si>
  <si>
    <t>Technical Documentation Update Rate</t>
  </si>
  <si>
    <t>نرخ به‌روزرسانی مستندات فنی</t>
  </si>
  <si>
    <t>درصد به‌روزرسانی‌هایی که طبق برنامه زمان‌بندی‌شده انجام شده‌اند</t>
  </si>
  <si>
    <t>≥ 90%</t>
  </si>
  <si>
    <t>6</t>
  </si>
  <si>
    <t>Project Completion Rate</t>
  </si>
  <si>
    <t>نرخ تکمیل پروژه‌های مهندسی</t>
  </si>
  <si>
    <t>درصد پروژه‌هایی که طبق برنامه تحویل شده‌اند</t>
  </si>
  <si>
    <t>7</t>
  </si>
  <si>
    <t>Interdepartmental Coordination Rate</t>
  </si>
  <si>
    <t>نرخ همکاری با واحدهای دیگر</t>
  </si>
  <si>
    <t>تعداد جلسات یا تعاملات ثبت‌شده با سایر واحدها (PM، تولید، انبار...)</t>
  </si>
  <si>
    <t>≥ 1 per week</t>
  </si>
  <si>
    <t>8</t>
  </si>
  <si>
    <t>Innovation Index</t>
  </si>
  <si>
    <t>شاخص نوآوری</t>
  </si>
  <si>
    <t>تعداد طرح‌ها یا ایده‌های فنی جدید ثبت‌شده یا اجرایی‌شده</t>
  </si>
  <si>
    <t>≥ 2 per quarter</t>
  </si>
  <si>
    <t xml:space="preserve"> (Completed on Time / Total Requested Drawings) * 100</t>
  </si>
  <si>
    <t>(Number of Correct Drawings / Total Drawings) * 100</t>
  </si>
  <si>
    <t>Total Days to Respond / Number of Change Requests</t>
  </si>
  <si>
    <t>(Accurate BOMs / Total BOMs) * 100</t>
  </si>
  <si>
    <t xml:space="preserve"> (Updated Docs / Planned Updates) * 100</t>
  </si>
  <si>
    <t xml:space="preserve"> (Projects Completed on Time / Total Projects) * 100</t>
  </si>
  <si>
    <t>Total Interactions / Number of Weeks</t>
  </si>
  <si>
    <t>Number of Innovations / Quarter</t>
  </si>
  <si>
    <t>دسته‌بندی (obj category)</t>
  </si>
  <si>
    <t>Innovation &amp; Cooperation</t>
  </si>
  <si>
    <t>وزن (KPI weight)</t>
  </si>
  <si>
    <t>دقت در پیش‌بینی نیازهای نگهداری و تعمیرات</t>
  </si>
  <si>
    <t>کاهش تاخیر در اجرای برنامه‌ها</t>
  </si>
  <si>
    <t>مقایسه بودجه تعمیرات با هزینه واقعی</t>
  </si>
  <si>
    <t>کیفیت گزارش‌دهی و ارتباطات داخلی</t>
  </si>
  <si>
    <t>رعایت استانداردهای ایمنی در برنامه‌ریزی تعمیرات</t>
  </si>
  <si>
    <t>Target</t>
  </si>
  <si>
    <t>Type</t>
  </si>
  <si>
    <t>دسته‌بندی</t>
  </si>
  <si>
    <t>نرخ آماده‌به‌کاری ماشین‌آلات</t>
  </si>
  <si>
    <t>درصد اجرای PM ماشین‌آلات</t>
  </si>
  <si>
    <t>Emergency Breakdown Rate</t>
  </si>
  <si>
    <t>نرخ خرابی‌های اضطراری ماشین‌آلات</t>
  </si>
  <si>
    <t>انحراف هزینه از بودجه ماشین‌آلات</t>
  </si>
  <si>
    <t>صحت و کامل بودن مستندات فنی</t>
  </si>
  <si>
    <t>Safety Incident Rate</t>
  </si>
  <si>
    <t>نرخ حوادث ایمنی</t>
  </si>
  <si>
    <t>صفر حادثه</t>
  </si>
  <si>
    <t>بهینه‌سازی مصرف قطعات یدکی</t>
  </si>
  <si>
    <t>KPI Weight</t>
  </si>
  <si>
    <t>Equipment Availability Rate</t>
  </si>
  <si>
    <t>درصد زمانی که ماشین‌آلات در دسترس و قابل بهره‌برداری هستند</t>
  </si>
  <si>
    <t>Availability = Uptime / Total Time * 100</t>
  </si>
  <si>
    <t>Preventive Maintenance Compliance</t>
  </si>
  <si>
    <t>نسبت تعمیرات پیشگیرانه انجام‌شده به کل برنامه‌ریزی‌شده</t>
  </si>
  <si>
    <t>PM Compliance = Completed PMs / Planned PMs * 100</t>
  </si>
  <si>
    <t>نسبت خرابی‌های اضطراری به کل خرابی‌ها</t>
  </si>
  <si>
    <t>≤ 10%</t>
  </si>
  <si>
    <t>Emergency Breakdown Rate = Emergency Failures / Total Failures * 100</t>
  </si>
  <si>
    <t>Maintenance Budget Deviation</t>
  </si>
  <si>
    <t>اختلاف هزینه واقعی نگهداری و تعمیر با بودجه مصوب</t>
  </si>
  <si>
    <t>≤ ±5%</t>
  </si>
  <si>
    <t>Deviation = (Actual Cost - Budgeted Cost) / Budgeted Cost * 100</t>
  </si>
  <si>
    <t>Technical Documentation Accuracy</t>
  </si>
  <si>
    <t>میزان تکمیل و به‌روزرسانی مستندات فنی مطابق استاندارد</t>
  </si>
  <si>
    <t>Documentation Accuracy = Complete Docs / Required Docs * 100</t>
  </si>
  <si>
    <t>تعداد حوادث یا شبه‌حادثه مرتبط با ماشین‌آلات در یک دوره زمانی</t>
  </si>
  <si>
    <t>Incident Rate = Number of Incidents / Period * 100</t>
  </si>
  <si>
    <t>Spare Parts Utilization Optimization</t>
  </si>
  <si>
    <t>درصد استفاده از قطعات موجود در انبار نسبت به خریدهای جدید</t>
  </si>
  <si>
    <t>≥ 70%</t>
  </si>
  <si>
    <t>Utilization = Used from Inventory / Total Purchased * 100</t>
  </si>
  <si>
    <t>Mean Time Between Failures (MTBF)</t>
  </si>
  <si>
    <t>میانگین زمان بین دو خرابی (MTBF)</t>
  </si>
  <si>
    <t>مدت زمان میانگین بین دو خرابی متوالی در ماشین‌آلات</t>
  </si>
  <si>
    <t>روند صعودی ≥ 300h</t>
  </si>
  <si>
    <t>MTBF = Total Uptime / Number of Failures</t>
  </si>
  <si>
    <t>Mean Time To Repair (MTTR)</t>
  </si>
  <si>
    <t>میانگین زمان تعمیر ماشین‌آلات (MTTR)</t>
  </si>
  <si>
    <t>مدت زمان میانگین برای تعمیر ماشین‌آلات بعد از خرابی</t>
  </si>
  <si>
    <t>روند نزولی ≤ 2h</t>
  </si>
  <si>
    <t>MTTR = Total Downtime / Number of Failures</t>
  </si>
  <si>
    <t>Q2</t>
  </si>
  <si>
    <t>3528</t>
  </si>
  <si>
    <t>Q3</t>
  </si>
  <si>
    <t>3529</t>
  </si>
  <si>
    <t>KPI</t>
  </si>
  <si>
    <t>نرخ تکمیل دستورالعمل‌ها</t>
  </si>
  <si>
    <t>Completion Rate of Procedures</t>
  </si>
  <si>
    <t>آرشیو مستندات فنی</t>
  </si>
  <si>
    <t>Technical Documentation Archiving</t>
  </si>
  <si>
    <t>MTTR (Mean Time to Repair)</t>
  </si>
  <si>
    <t>MTBF (Mean Time Between Failures)</t>
  </si>
  <si>
    <t>KPI (فارسی)</t>
  </si>
  <si>
    <t>Obj Weight</t>
  </si>
  <si>
    <t>Maintenance Needs Prediction Accuracy</t>
  </si>
  <si>
    <t>ارزیابی دقت پیش‌بینی نیازهای نگهداری و تعمیرات برای ماشین‌آلات.</t>
  </si>
  <si>
    <t>(تعداد پیش‌بینی‌های صحیح / تعداد کل پیش‌بینی‌ها) * 100</t>
  </si>
  <si>
    <t>Reduction of Program Delays</t>
  </si>
  <si>
    <t>درصد کاهش تاخیر در اجرای برنامه‌های نگهداری و تعمیرات.</t>
  </si>
  <si>
    <t>10% کاهش</t>
  </si>
  <si>
    <t>(تاخیرات واقعی / تاخیرات برنامه‌ریزی شده) * 100</t>
  </si>
  <si>
    <t>Budget vs Actual Repair Costs</t>
  </si>
  <si>
    <t>مقایسه هزینه واقعی تعمیرات با بودجه تعیین شده.</t>
  </si>
  <si>
    <t>(هزینه واقعی / بودجه) * 100</t>
  </si>
  <si>
    <t>Quality of Reporting and Internal Communication</t>
  </si>
  <si>
    <t>ارزیابی دقت و کیفیت گزارش‌های داخلی و ارتباطات.</t>
  </si>
  <si>
    <t>(تعداد گزارشات دقیق / تعداد گزارشات ارسال شده) * 100</t>
  </si>
  <si>
    <t>Compliance with Safety Standards in Planning</t>
  </si>
  <si>
    <t>ارزیابی میزان رعایت استانداردهای ایمنی در هنگام برنامه‌ریزی تعمیرات.</t>
  </si>
  <si>
    <t>(تعداد فعالیت‌های مطابق با استانداردهای ایمنی / تعداد کل فعالیت‌ها) * 100</t>
  </si>
  <si>
    <t>درصد تکمیل دستورالعمل‌های نگهداری و تعمیرات.</t>
  </si>
  <si>
    <t>(تعداد دستورالعمل‌های تکمیل شده / تعداد دستورالعمل‌های پیش‌بینی شده) * 100</t>
  </si>
  <si>
    <t>ارزیابی وضعیت بایگانی مستندات فنی.</t>
  </si>
  <si>
    <t>(تعداد مستندات بایگانی شده به موقع / تعداد کل مستندات) * 100</t>
  </si>
  <si>
    <t>MTTR (میانگین زمان تعمیر)</t>
  </si>
  <si>
    <t>میانگین زمان تعمیر ماشین‌آلات پس از خرابی.</t>
  </si>
  <si>
    <t>کاهش 10%</t>
  </si>
  <si>
    <t>(زمان تعمیرات واقعی / تعداد خرابی‌ها)</t>
  </si>
  <si>
    <t>MTBF (میانگین زمان بین خرابی‌ها)</t>
  </si>
  <si>
    <t>میانگین زمان بین خرابی‌های ماشین‌آلات.</t>
  </si>
  <si>
    <t>افزایش 10%</t>
  </si>
  <si>
    <t>(زمان کل عملیات بدون خرابی / تعداد خرابی‌ها)</t>
  </si>
  <si>
    <t>Completion Rate of Machine Projects</t>
  </si>
  <si>
    <t>(تعداد پروژه‌های تکمیل شده / تعداد کل پروژه‌ها) * 100</t>
  </si>
  <si>
    <t>درصد تکمیل پروژه‌ها در زمان و بودجه پیش‌بینی شده.</t>
  </si>
  <si>
    <t>نرخ تکمیل پروژه‌ها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</si>
</sst>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B Nazanin"/>
      <charset val="178"/>
    </font>
    <font>
      <sz val="8"/>
      <name val="B Nazanin"/>
      <charset val="178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9" fontId="5" fillId="5" borderId="1" xfId="1" applyFont="1" applyFill="1" applyBorder="1" applyAlignment="1">
      <alignment horizontal="center" vertical="center" wrapText="1"/>
    </xf>
    <xf numFmtId="9" fontId="6" fillId="6" borderId="1" xfId="1" applyFont="1" applyFill="1" applyBorder="1" applyAlignment="1">
      <alignment horizontal="center" vertical="center" wrapText="1"/>
    </xf>
    <xf numFmtId="1" fontId="6" fillId="6" borderId="1" xfId="1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9" fontId="8" fillId="3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8" fillId="3" borderId="1" xfId="1" applyNumberFormat="1" applyFont="1" applyFill="1" applyBorder="1" applyAlignment="1">
      <alignment horizontal="center" vertical="center" wrapText="1"/>
    </xf>
    <xf numFmtId="9" fontId="8" fillId="4" borderId="1" xfId="1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10" fontId="7" fillId="3" borderId="0" xfId="0" applyNumberFormat="1" applyFont="1" applyFill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9" fontId="8" fillId="0" borderId="1" xfId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9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1" applyFont="1" applyFill="1" applyBorder="1" applyAlignment="1">
      <alignment horizontal="center" vertical="center" wrapText="1"/>
    </xf>
    <xf numFmtId="9" fontId="7" fillId="3" borderId="1" xfId="1" applyFont="1" applyFill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9" fontId="12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9" fontId="0" fillId="0" borderId="0" xfId="0" applyNumberFormat="1"/>
  </cellXfs>
  <cellStyles count="3">
    <cellStyle name="Normal" xfId="0" builtinId="0"/>
    <cellStyle name="Percent" xfId="1" builtinId="5"/>
    <cellStyle name="Percent 2" xfId="2" xr:uid="{6AE1D523-B7EE-4EA2-9B03-B6EDB101A8FB}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ACD4-275F-4C9A-974B-AFD888C0C24A}">
  <dimension ref="A1:AV71"/>
  <sheetViews>
    <sheetView tabSelected="1" zoomScale="130" zoomScaleNormal="13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N2" sqref="N2:N11"/>
    </sheetView>
  </sheetViews>
  <sheetFormatPr defaultRowHeight="14.4"/>
  <cols>
    <col min="1" max="1" width="6.77734375" customWidth="1"/>
    <col min="2" max="2" width="14.44140625" bestFit="1" customWidth="1"/>
    <col min="3" max="3" width="6.77734375" customWidth="1"/>
    <col min="5" max="5" width="19.77734375" bestFit="1" customWidth="1"/>
    <col min="6" max="6" width="13.5546875" customWidth="1"/>
    <col min="7" max="7" width="12.44140625" customWidth="1"/>
    <col min="8" max="8" width="11.77734375" customWidth="1"/>
    <col min="9" max="9" width="14.77734375" customWidth="1"/>
    <col min="10" max="10" width="9" customWidth="1"/>
    <col min="11" max="11" width="22.77734375" customWidth="1"/>
    <col min="12" max="12" width="42.21875" customWidth="1"/>
    <col min="13" max="13" width="51.77734375" customWidth="1"/>
    <col min="14" max="14" width="14.21875" customWidth="1"/>
    <col min="15" max="15" width="8.88671875" bestFit="1" customWidth="1"/>
    <col min="16" max="16" width="21.44140625" customWidth="1"/>
    <col min="17" max="17" width="17.6640625" bestFit="1" customWidth="1"/>
    <col min="18" max="18" width="13.77734375" bestFit="1" customWidth="1"/>
    <col min="19" max="19" width="3.88671875" bestFit="1" customWidth="1"/>
    <col min="20" max="20" width="7.77734375" customWidth="1"/>
  </cols>
  <sheetData>
    <row r="1" spans="1:48" ht="23.4" customHeight="1">
      <c r="A1" s="4" t="s">
        <v>24</v>
      </c>
      <c r="B1" s="5" t="s">
        <v>23</v>
      </c>
      <c r="C1" s="5" t="s">
        <v>22</v>
      </c>
      <c r="D1" s="4" t="s">
        <v>21</v>
      </c>
      <c r="E1" s="5" t="s">
        <v>20</v>
      </c>
      <c r="F1" s="5" t="s">
        <v>19</v>
      </c>
      <c r="G1" s="5" t="s">
        <v>18</v>
      </c>
      <c r="H1" s="5" t="s">
        <v>17</v>
      </c>
      <c r="I1" s="5" t="s">
        <v>16</v>
      </c>
      <c r="J1" s="6" t="s">
        <v>15</v>
      </c>
      <c r="K1" s="5" t="s">
        <v>14</v>
      </c>
      <c r="L1" s="5" t="s">
        <v>13</v>
      </c>
      <c r="M1" s="5" t="s">
        <v>12</v>
      </c>
      <c r="N1" s="5" t="s">
        <v>11</v>
      </c>
      <c r="O1" s="6" t="s">
        <v>10</v>
      </c>
      <c r="P1" s="5" t="s">
        <v>9</v>
      </c>
      <c r="Q1" s="7" t="s">
        <v>8</v>
      </c>
      <c r="R1" s="8" t="s">
        <v>7</v>
      </c>
      <c r="S1" s="9" t="s">
        <v>6</v>
      </c>
      <c r="T1" s="6" t="s">
        <v>5</v>
      </c>
    </row>
    <row r="2" spans="1:48" s="2" customFormat="1" ht="25.2">
      <c r="A2" s="10">
        <v>2070</v>
      </c>
      <c r="B2" s="11" t="s">
        <v>2</v>
      </c>
      <c r="C2" s="12" t="s">
        <v>25</v>
      </c>
      <c r="D2" s="11" t="s">
        <v>32</v>
      </c>
      <c r="E2" s="32" t="s">
        <v>31</v>
      </c>
      <c r="F2" s="32" t="s">
        <v>65</v>
      </c>
      <c r="G2" s="32" t="s">
        <v>66</v>
      </c>
      <c r="H2" s="32" t="s">
        <v>67</v>
      </c>
      <c r="I2" s="13" t="s">
        <v>3</v>
      </c>
      <c r="J2" s="14">
        <v>0.7</v>
      </c>
      <c r="K2" s="15" t="s">
        <v>195</v>
      </c>
      <c r="L2" s="30" t="s">
        <v>131</v>
      </c>
      <c r="M2" s="15" t="s">
        <v>196</v>
      </c>
      <c r="N2" s="14">
        <v>0.95</v>
      </c>
      <c r="O2" s="14">
        <v>0.1</v>
      </c>
      <c r="P2" s="14"/>
      <c r="Q2" s="14">
        <f>ROUND(IF(OR(N2="",P2=""),0,IF(AND(N2=0,P2=0),1,IF(S2="+",P2/N2,N2/P2))),2)</f>
        <v>0</v>
      </c>
      <c r="R2" s="16">
        <f>IF(AND(Q2&gt;=60%,Q2&lt;100%),Q2*((O2*J2)),IF(Q2=100%,((O2*J2)*Q2)*100%,IF(Q2&gt;100%,((J2*O2)*100%)*100%,0)))*100</f>
        <v>0</v>
      </c>
      <c r="S2" s="14" t="s">
        <v>0</v>
      </c>
      <c r="T2" s="17">
        <f>SUM(R2:R11)%</f>
        <v>0</v>
      </c>
      <c r="U2" s="1"/>
      <c r="V2" s="1"/>
      <c r="W2" s="1"/>
      <c r="X2" s="1"/>
      <c r="Y2" s="1"/>
      <c r="Z2" s="1"/>
      <c r="AA2" s="1"/>
      <c r="AB2" s="1"/>
      <c r="AC2" s="1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s="2" customFormat="1" ht="25.2">
      <c r="A3" s="10">
        <v>2071</v>
      </c>
      <c r="B3" s="11" t="s">
        <v>2</v>
      </c>
      <c r="C3" s="12" t="s">
        <v>25</v>
      </c>
      <c r="D3" s="11" t="s">
        <v>32</v>
      </c>
      <c r="E3" s="32" t="s">
        <v>31</v>
      </c>
      <c r="F3" s="32" t="s">
        <v>65</v>
      </c>
      <c r="G3" s="32" t="s">
        <v>66</v>
      </c>
      <c r="H3" s="32" t="s">
        <v>67</v>
      </c>
      <c r="I3" s="13" t="s">
        <v>3</v>
      </c>
      <c r="J3" s="14">
        <v>0.7</v>
      </c>
      <c r="K3" s="15" t="s">
        <v>198</v>
      </c>
      <c r="L3" s="30" t="s">
        <v>132</v>
      </c>
      <c r="M3" s="15" t="s">
        <v>199</v>
      </c>
      <c r="N3" s="14" t="s">
        <v>200</v>
      </c>
      <c r="O3" s="14">
        <v>0.1</v>
      </c>
      <c r="P3" s="18"/>
      <c r="Q3" s="14">
        <f>ROUND(IF(OR(N3="",P3=""),0,IF(AND(N3=0,P3=0),1,IF(S3="+",P3/N3,N3/P3))),2)</f>
        <v>0</v>
      </c>
      <c r="R3" s="16">
        <f>IF(AND(Q3&gt;=60%,Q3&lt;100%),Q3*((O3*J3)),IF(Q3=100%,((O3*J3)*Q3)*100%,IF(Q3&gt;100%,((J3*O3)*100%)*100%,0)))*100</f>
        <v>0</v>
      </c>
      <c r="S3" s="14" t="s">
        <v>4</v>
      </c>
      <c r="T3" s="14"/>
      <c r="U3" s="1"/>
      <c r="V3" s="1"/>
      <c r="W3" s="1"/>
      <c r="X3" s="1"/>
      <c r="Y3" s="1"/>
      <c r="Z3" s="1"/>
      <c r="AA3" s="1"/>
      <c r="AB3" s="1"/>
      <c r="AC3" s="1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s="2" customFormat="1" ht="25.2">
      <c r="A4" s="10">
        <v>2072</v>
      </c>
      <c r="B4" s="11" t="s">
        <v>2</v>
      </c>
      <c r="C4" s="12" t="s">
        <v>25</v>
      </c>
      <c r="D4" s="11" t="s">
        <v>32</v>
      </c>
      <c r="E4" s="32" t="s">
        <v>31</v>
      </c>
      <c r="F4" s="32" t="s">
        <v>65</v>
      </c>
      <c r="G4" s="32" t="s">
        <v>66</v>
      </c>
      <c r="H4" s="32" t="s">
        <v>67</v>
      </c>
      <c r="I4" s="13" t="s">
        <v>3</v>
      </c>
      <c r="J4" s="14">
        <v>0.7</v>
      </c>
      <c r="K4" s="15" t="s">
        <v>202</v>
      </c>
      <c r="L4" s="30" t="s">
        <v>133</v>
      </c>
      <c r="M4" s="15" t="s">
        <v>203</v>
      </c>
      <c r="N4" s="14">
        <v>1</v>
      </c>
      <c r="O4" s="14">
        <v>0.15</v>
      </c>
      <c r="P4" s="18"/>
      <c r="Q4" s="14">
        <f t="shared" ref="Q4:Q7" si="0">ROUND(IF(OR(N4="",P4=""),0,IF(AND(N4=0,P4=0),1,IF(S4="+",P4/N4,N4/P4))),2)</f>
        <v>0</v>
      </c>
      <c r="R4" s="16">
        <f>IF(AND(Q4&gt;=60%,Q4&lt;100%),Q4*((O4*J4)),IF(Q4=100%,((O4*J4)*Q4)*100%,IF(Q4&gt;100%,((J4*O4)*100%)*100%,0)))*100</f>
        <v>0</v>
      </c>
      <c r="S4" s="14" t="s">
        <v>4</v>
      </c>
      <c r="T4" s="14"/>
      <c r="U4" s="1"/>
      <c r="V4" s="1"/>
      <c r="W4" s="1"/>
      <c r="X4" s="1"/>
      <c r="Y4" s="1"/>
      <c r="Z4" s="1"/>
      <c r="AA4" s="1"/>
      <c r="AB4" s="1"/>
      <c r="AC4" s="1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s="2" customFormat="1" ht="25.2">
      <c r="A5" s="10">
        <v>2073</v>
      </c>
      <c r="B5" s="11" t="s">
        <v>2</v>
      </c>
      <c r="C5" s="12" t="s">
        <v>25</v>
      </c>
      <c r="D5" s="11" t="s">
        <v>32</v>
      </c>
      <c r="E5" s="32" t="s">
        <v>31</v>
      </c>
      <c r="F5" s="32" t="s">
        <v>65</v>
      </c>
      <c r="G5" s="32" t="s">
        <v>66</v>
      </c>
      <c r="H5" s="32" t="s">
        <v>67</v>
      </c>
      <c r="I5" s="13" t="s">
        <v>3</v>
      </c>
      <c r="J5" s="14">
        <v>0.7</v>
      </c>
      <c r="K5" s="15" t="s">
        <v>205</v>
      </c>
      <c r="L5" s="30" t="s">
        <v>134</v>
      </c>
      <c r="M5" s="15" t="s">
        <v>206</v>
      </c>
      <c r="N5" s="14">
        <v>0.95</v>
      </c>
      <c r="O5" s="14">
        <v>0.1</v>
      </c>
      <c r="P5" s="19"/>
      <c r="Q5" s="14">
        <f t="shared" si="0"/>
        <v>0</v>
      </c>
      <c r="R5" s="16">
        <f>IF(AND(Q5&gt;=60%,Q5&lt;100%),Q5*((O5*J5)),IF(Q5=100%,((O5*J5)*Q5)*100%,IF(Q5&gt;100%,((J5*O5)*100%)*100%,0)))*100</f>
        <v>0</v>
      </c>
      <c r="S5" s="14" t="s">
        <v>0</v>
      </c>
      <c r="T5" s="14"/>
      <c r="U5" s="1"/>
      <c r="V5" s="1"/>
      <c r="W5" s="1"/>
      <c r="X5" s="1"/>
      <c r="Y5" s="1"/>
      <c r="Z5" s="1"/>
      <c r="AA5" s="1"/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s="2" customFormat="1" ht="25.2">
      <c r="A6" s="10">
        <v>2074</v>
      </c>
      <c r="B6" s="11" t="s">
        <v>2</v>
      </c>
      <c r="C6" s="12" t="s">
        <v>25</v>
      </c>
      <c r="D6" s="11" t="s">
        <v>32</v>
      </c>
      <c r="E6" s="32" t="s">
        <v>31</v>
      </c>
      <c r="F6" s="32" t="s">
        <v>65</v>
      </c>
      <c r="G6" s="32" t="s">
        <v>66</v>
      </c>
      <c r="H6" s="32" t="s">
        <v>67</v>
      </c>
      <c r="I6" s="13" t="s">
        <v>3</v>
      </c>
      <c r="J6" s="14">
        <v>0.7</v>
      </c>
      <c r="K6" s="15" t="s">
        <v>208</v>
      </c>
      <c r="L6" s="31" t="s">
        <v>135</v>
      </c>
      <c r="M6" s="15" t="s">
        <v>209</v>
      </c>
      <c r="N6" s="28">
        <v>1</v>
      </c>
      <c r="O6" s="14">
        <v>0.1</v>
      </c>
      <c r="P6" s="20"/>
      <c r="Q6" s="14">
        <f>ROUND(IF(OR(N6="",P6=""),0,IF(AND(N6=0,P6=0),1,IF(S6="+",P6/N6,N6/P6))),2)</f>
        <v>0</v>
      </c>
      <c r="R6" s="16">
        <f t="shared" ref="R6:R11" si="1">IF(AND(Q6&gt;=60%,Q6&lt;100%),Q6*((O6*J6)),IF(Q6=100%,((O6*J6)*Q6)*100%,IF(Q6&gt;100%,((J6*O6)*100%)*100%,0)))*100</f>
        <v>0</v>
      </c>
      <c r="S6" s="14" t="s">
        <v>0</v>
      </c>
      <c r="T6" s="14"/>
      <c r="U6" s="1"/>
      <c r="V6" s="1"/>
      <c r="W6" s="1"/>
      <c r="X6" s="1"/>
      <c r="Y6" s="1"/>
      <c r="Z6" s="1"/>
      <c r="AA6" s="1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s="2" customFormat="1" ht="25.2">
      <c r="A7" s="10">
        <v>2075</v>
      </c>
      <c r="B7" s="11" t="s">
        <v>2</v>
      </c>
      <c r="C7" s="12" t="s">
        <v>25</v>
      </c>
      <c r="D7" s="11" t="s">
        <v>32</v>
      </c>
      <c r="E7" s="32" t="s">
        <v>31</v>
      </c>
      <c r="F7" s="32" t="s">
        <v>65</v>
      </c>
      <c r="G7" s="32" t="s">
        <v>66</v>
      </c>
      <c r="H7" s="32" t="s">
        <v>67</v>
      </c>
      <c r="I7" s="13" t="s">
        <v>3</v>
      </c>
      <c r="J7" s="14">
        <v>0.7</v>
      </c>
      <c r="K7" s="21" t="s">
        <v>188</v>
      </c>
      <c r="L7" s="31" t="s">
        <v>187</v>
      </c>
      <c r="M7" s="21" t="s">
        <v>211</v>
      </c>
      <c r="N7" s="22">
        <v>1</v>
      </c>
      <c r="O7" s="24">
        <v>0.1</v>
      </c>
      <c r="P7" s="20"/>
      <c r="Q7" s="24">
        <f t="shared" si="0"/>
        <v>0</v>
      </c>
      <c r="R7" s="25">
        <f t="shared" si="1"/>
        <v>0</v>
      </c>
      <c r="S7" s="24" t="s">
        <v>0</v>
      </c>
      <c r="T7" s="24"/>
      <c r="U7" s="1"/>
      <c r="V7" s="1"/>
      <c r="W7" s="1"/>
      <c r="X7" s="1"/>
      <c r="Y7" s="1"/>
      <c r="Z7" s="1"/>
      <c r="AA7" s="1"/>
      <c r="AB7" s="1"/>
      <c r="AC7" s="1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s="2" customFormat="1" ht="25.2">
      <c r="A8" s="10">
        <v>2076</v>
      </c>
      <c r="B8" s="11" t="s">
        <v>2</v>
      </c>
      <c r="C8" s="12" t="s">
        <v>25</v>
      </c>
      <c r="D8" s="11" t="s">
        <v>32</v>
      </c>
      <c r="E8" s="32" t="s">
        <v>31</v>
      </c>
      <c r="F8" s="32" t="s">
        <v>65</v>
      </c>
      <c r="G8" s="32" t="s">
        <v>66</v>
      </c>
      <c r="H8" s="32" t="s">
        <v>67</v>
      </c>
      <c r="I8" s="21" t="s">
        <v>3</v>
      </c>
      <c r="J8" s="22">
        <v>0.7</v>
      </c>
      <c r="K8" s="21" t="s">
        <v>190</v>
      </c>
      <c r="L8" s="30" t="s">
        <v>189</v>
      </c>
      <c r="M8" s="21" t="s">
        <v>213</v>
      </c>
      <c r="N8" s="22">
        <v>1</v>
      </c>
      <c r="O8" s="24">
        <v>0.1</v>
      </c>
      <c r="P8" s="22"/>
      <c r="Q8" s="24">
        <f t="shared" ref="Q8" si="2">ROUND(IF(OR(N8="",P8=""),0,IF(AND(N8=0,P8=0),1,IF(S8="+",P8/N8,N8/P8))),2)</f>
        <v>0</v>
      </c>
      <c r="R8" s="25">
        <f t="shared" ref="R8" si="3">IF(AND(Q8&gt;=60%,Q8&lt;100%),Q8*((O8*J8)),IF(Q8=100%,((O8*J8)*Q8)*100%,IF(Q8&gt;100%,((J8*O8)*100%)*100%,0)))*100</f>
        <v>0</v>
      </c>
      <c r="S8" s="24" t="s">
        <v>0</v>
      </c>
      <c r="T8" s="24"/>
      <c r="U8" s="1"/>
      <c r="V8" s="1"/>
      <c r="W8" s="1"/>
      <c r="X8" s="1"/>
      <c r="Y8" s="1"/>
      <c r="Z8" s="1"/>
      <c r="AA8" s="1"/>
      <c r="AB8" s="1"/>
      <c r="AC8" s="1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s="2" customFormat="1" ht="25.2">
      <c r="A9" s="10">
        <v>2077</v>
      </c>
      <c r="B9" s="11" t="s">
        <v>2</v>
      </c>
      <c r="C9" s="12" t="s">
        <v>25</v>
      </c>
      <c r="D9" s="11" t="s">
        <v>32</v>
      </c>
      <c r="E9" s="32" t="s">
        <v>31</v>
      </c>
      <c r="F9" s="32" t="s">
        <v>65</v>
      </c>
      <c r="G9" s="32" t="s">
        <v>66</v>
      </c>
      <c r="H9" s="32" t="s">
        <v>67</v>
      </c>
      <c r="I9" s="21" t="s">
        <v>3</v>
      </c>
      <c r="J9" s="22">
        <v>0.7</v>
      </c>
      <c r="K9" s="21" t="s">
        <v>191</v>
      </c>
      <c r="L9" s="31" t="s">
        <v>215</v>
      </c>
      <c r="M9" s="21" t="s">
        <v>216</v>
      </c>
      <c r="N9" s="22" t="s">
        <v>217</v>
      </c>
      <c r="O9" s="24">
        <v>0.1</v>
      </c>
      <c r="P9" s="26"/>
      <c r="Q9" s="24">
        <f>ROUND(IF(OR(N9="",P9=""),0,IF(AND(N9=0,P9=0),1,IF(S9="+",P9/N9,N9/P9))),2)</f>
        <v>0</v>
      </c>
      <c r="R9" s="25">
        <f t="shared" si="1"/>
        <v>0</v>
      </c>
      <c r="S9" s="24" t="s">
        <v>4</v>
      </c>
      <c r="T9" s="24"/>
      <c r="U9" s="1"/>
      <c r="V9" s="1"/>
      <c r="W9" s="1"/>
      <c r="X9" s="1"/>
      <c r="Y9" s="1"/>
      <c r="Z9" s="1"/>
      <c r="AA9" s="1"/>
      <c r="AB9" s="1"/>
      <c r="AC9" s="1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s="2" customFormat="1" ht="25.2">
      <c r="A10" s="10">
        <v>2077</v>
      </c>
      <c r="B10" s="11" t="s">
        <v>2</v>
      </c>
      <c r="C10" s="12" t="s">
        <v>25</v>
      </c>
      <c r="D10" s="11" t="s">
        <v>32</v>
      </c>
      <c r="E10" s="32" t="s">
        <v>31</v>
      </c>
      <c r="F10" s="32" t="s">
        <v>65</v>
      </c>
      <c r="G10" s="32" t="s">
        <v>66</v>
      </c>
      <c r="H10" s="32" t="s">
        <v>67</v>
      </c>
      <c r="I10" s="21" t="s">
        <v>3</v>
      </c>
      <c r="J10" s="22">
        <v>0.7</v>
      </c>
      <c r="K10" s="21" t="s">
        <v>192</v>
      </c>
      <c r="L10" s="31" t="s">
        <v>219</v>
      </c>
      <c r="M10" s="21" t="s">
        <v>220</v>
      </c>
      <c r="N10" s="22" t="s">
        <v>221</v>
      </c>
      <c r="O10" s="24">
        <v>0.1</v>
      </c>
      <c r="P10" s="26"/>
      <c r="Q10" s="24">
        <f>ROUND(IF(OR(N10="",P10=""),0,IF(AND(N10=0,P10=0),1,IF(S10="+",P10/N10,N10/P10))),2)</f>
        <v>0</v>
      </c>
      <c r="R10" s="25">
        <f t="shared" ref="R10" si="4">IF(AND(Q10&gt;=60%,Q10&lt;100%),Q10*((O10*J10)),IF(Q10=100%,((O10*J10)*Q10)*100%,IF(Q10&gt;100%,((J10*O10)*100%)*100%,0)))*100</f>
        <v>0</v>
      </c>
      <c r="S10" s="24" t="s">
        <v>0</v>
      </c>
      <c r="T10" s="24"/>
      <c r="U10" s="1"/>
      <c r="V10" s="1"/>
      <c r="W10" s="1"/>
      <c r="X10" s="1"/>
      <c r="Y10" s="1"/>
      <c r="Z10" s="1"/>
      <c r="AA10" s="1"/>
      <c r="AB10" s="1"/>
      <c r="AC10" s="1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s="2" customFormat="1" ht="25.2">
      <c r="A11" s="10">
        <v>2078</v>
      </c>
      <c r="B11" s="11" t="s">
        <v>2</v>
      </c>
      <c r="C11" s="12" t="s">
        <v>25</v>
      </c>
      <c r="D11" s="11" t="s">
        <v>32</v>
      </c>
      <c r="E11" s="32" t="s">
        <v>31</v>
      </c>
      <c r="F11" s="32" t="s">
        <v>65</v>
      </c>
      <c r="G11" s="32" t="s">
        <v>66</v>
      </c>
      <c r="H11" s="32" t="s">
        <v>67</v>
      </c>
      <c r="I11" s="21" t="s">
        <v>1</v>
      </c>
      <c r="J11" s="14">
        <v>0.3</v>
      </c>
      <c r="K11" s="21" t="s">
        <v>223</v>
      </c>
      <c r="L11" s="31" t="s">
        <v>226</v>
      </c>
      <c r="M11" s="21" t="s">
        <v>225</v>
      </c>
      <c r="N11" s="29">
        <v>1</v>
      </c>
      <c r="O11" s="24">
        <v>0.1</v>
      </c>
      <c r="P11" s="26"/>
      <c r="Q11" s="24">
        <f>ROUND(IF(OR(N11="",P11=""),0,IF(AND(N11=0,P11=0),1,IF(S11="+",P11/N11,N11/P11))),2)</f>
        <v>0</v>
      </c>
      <c r="R11" s="25">
        <f t="shared" si="1"/>
        <v>0</v>
      </c>
      <c r="S11" s="24" t="s">
        <v>0</v>
      </c>
      <c r="T11" s="24"/>
      <c r="U11" s="1"/>
      <c r="V11" s="1"/>
      <c r="W11" s="1"/>
      <c r="X11" s="1"/>
      <c r="Y11" s="1"/>
      <c r="Z11" s="1"/>
      <c r="AA11" s="1"/>
      <c r="AB11" s="1"/>
      <c r="AC11" s="1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s="2" customFormat="1" ht="20.399999999999999">
      <c r="A12" s="10">
        <v>2081</v>
      </c>
      <c r="B12" s="11" t="s">
        <v>2</v>
      </c>
      <c r="C12" s="12" t="s">
        <v>25</v>
      </c>
      <c r="D12" s="11" t="s">
        <v>69</v>
      </c>
      <c r="E12" s="32" t="s">
        <v>26</v>
      </c>
      <c r="F12" s="32" t="s">
        <v>68</v>
      </c>
      <c r="G12" s="32" t="s">
        <v>66</v>
      </c>
      <c r="H12" s="32" t="s">
        <v>67</v>
      </c>
      <c r="I12" s="13" t="s">
        <v>3</v>
      </c>
      <c r="J12" s="14">
        <v>0.7</v>
      </c>
      <c r="K12" s="15" t="s">
        <v>33</v>
      </c>
      <c r="L12" s="30" t="s">
        <v>51</v>
      </c>
      <c r="M12" s="15" t="s">
        <v>53</v>
      </c>
      <c r="N12" s="14">
        <v>0.95</v>
      </c>
      <c r="O12" s="14">
        <v>0.15</v>
      </c>
      <c r="P12" s="14"/>
      <c r="Q12" s="14">
        <f>ROUND(IF(OR(N12="",P12=""),0,IF(AND(N12=0,P12=0),1,IF(S12="+",P12/N12,N12/P12))),2)</f>
        <v>0</v>
      </c>
      <c r="R12" s="16">
        <f>IF(AND(Q12&gt;=60%,Q12&lt;100%),Q12*((O12*J12)),IF(Q12=100%,((O12*J12)*Q12)*100%,IF(Q12&gt;100%,((J12*O12)*100%)*100%,0)))*100</f>
        <v>0</v>
      </c>
      <c r="S12" s="14" t="s">
        <v>0</v>
      </c>
      <c r="T12" s="17">
        <f>SUM(R12:R22)%</f>
        <v>0</v>
      </c>
      <c r="U12" s="1"/>
      <c r="V12" s="1"/>
      <c r="W12" s="1"/>
      <c r="X12" s="1"/>
      <c r="Y12" s="1"/>
      <c r="Z12" s="1"/>
      <c r="AA12" s="1"/>
      <c r="AB12" s="1"/>
      <c r="AC12" s="1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s="2" customFormat="1" ht="20.399999999999999">
      <c r="A13" s="10">
        <v>2082</v>
      </c>
      <c r="B13" s="11" t="s">
        <v>2</v>
      </c>
      <c r="C13" s="12" t="s">
        <v>25</v>
      </c>
      <c r="D13" s="11" t="s">
        <v>69</v>
      </c>
      <c r="E13" s="32" t="s">
        <v>26</v>
      </c>
      <c r="F13" s="32" t="s">
        <v>68</v>
      </c>
      <c r="G13" s="32" t="s">
        <v>66</v>
      </c>
      <c r="H13" s="32" t="s">
        <v>67</v>
      </c>
      <c r="I13" s="13" t="s">
        <v>3</v>
      </c>
      <c r="J13" s="14">
        <v>0.7</v>
      </c>
      <c r="K13" s="15" t="s">
        <v>34</v>
      </c>
      <c r="L13" s="30" t="s">
        <v>52</v>
      </c>
      <c r="M13" s="15" t="s">
        <v>55</v>
      </c>
      <c r="N13" s="14" t="s">
        <v>62</v>
      </c>
      <c r="O13" s="14">
        <v>0.1</v>
      </c>
      <c r="P13" s="18"/>
      <c r="Q13" s="14">
        <f>ROUND(IF(OR(N13="",P13=""),0,IF(AND(N13=0,P13=0),1,IF(S13="+",P13/N13,N13/P13))),2)</f>
        <v>0</v>
      </c>
      <c r="R13" s="16">
        <f>IF(AND(Q13&gt;=60%,Q13&lt;100%),Q13*((O13*J13)),IF(Q13=100%,((O13*J13)*Q13)*100%,IF(Q13&gt;100%,((J13*O13)*100%)*100%,0)))*100</f>
        <v>0</v>
      </c>
      <c r="S13" s="14" t="s">
        <v>4</v>
      </c>
      <c r="T13" s="14"/>
      <c r="U13" s="1"/>
      <c r="V13" s="1"/>
      <c r="W13" s="1"/>
      <c r="X13" s="1"/>
      <c r="Y13" s="1"/>
      <c r="Z13" s="1"/>
      <c r="AA13" s="1"/>
      <c r="AB13" s="1"/>
      <c r="AC13" s="1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s="2" customFormat="1" ht="12.6">
      <c r="A14" s="10">
        <v>2083</v>
      </c>
      <c r="B14" s="11" t="s">
        <v>2</v>
      </c>
      <c r="C14" s="12" t="s">
        <v>25</v>
      </c>
      <c r="D14" s="11" t="s">
        <v>69</v>
      </c>
      <c r="E14" s="32" t="s">
        <v>26</v>
      </c>
      <c r="F14" s="32" t="s">
        <v>68</v>
      </c>
      <c r="G14" s="32" t="s">
        <v>66</v>
      </c>
      <c r="H14" s="32" t="s">
        <v>67</v>
      </c>
      <c r="I14" s="13" t="s">
        <v>3</v>
      </c>
      <c r="J14" s="14">
        <v>0.7</v>
      </c>
      <c r="K14" s="15" t="s">
        <v>35</v>
      </c>
      <c r="L14" s="30" t="s">
        <v>50</v>
      </c>
      <c r="M14" s="15" t="s">
        <v>54</v>
      </c>
      <c r="N14" s="14">
        <v>1</v>
      </c>
      <c r="O14" s="14">
        <v>0.1</v>
      </c>
      <c r="P14" s="18"/>
      <c r="Q14" s="14">
        <f t="shared" ref="Q14:Q15" si="5">ROUND(IF(OR(N14="",P14=""),0,IF(AND(N14=0,P14=0),1,IF(S14="+",P14/N14,N14/P14))),2)</f>
        <v>0</v>
      </c>
      <c r="R14" s="16">
        <f>IF(AND(Q14&gt;=60%,Q14&lt;100%),Q14*((O14*J14)),IF(Q14=100%,((O14*J14)*Q14)*100%,IF(Q14&gt;100%,((J14*O14)*100%)*100%,0)))*100</f>
        <v>0</v>
      </c>
      <c r="S14" s="14" t="s">
        <v>0</v>
      </c>
      <c r="T14" s="14"/>
      <c r="U14" s="1"/>
      <c r="V14" s="1"/>
      <c r="W14" s="1"/>
      <c r="X14" s="1"/>
      <c r="Y14" s="1"/>
      <c r="Z14" s="1"/>
      <c r="AA14" s="1"/>
      <c r="AB14" s="1"/>
      <c r="AC14" s="1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s="2" customFormat="1" ht="20.399999999999999">
      <c r="A15" s="10">
        <v>2084</v>
      </c>
      <c r="B15" s="11" t="s">
        <v>2</v>
      </c>
      <c r="C15" s="12" t="s">
        <v>25</v>
      </c>
      <c r="D15" s="11" t="s">
        <v>69</v>
      </c>
      <c r="E15" s="32" t="s">
        <v>26</v>
      </c>
      <c r="F15" s="32" t="s">
        <v>68</v>
      </c>
      <c r="G15" s="32" t="s">
        <v>66</v>
      </c>
      <c r="H15" s="32" t="s">
        <v>67</v>
      </c>
      <c r="I15" s="13" t="s">
        <v>3</v>
      </c>
      <c r="J15" s="14">
        <v>0.7</v>
      </c>
      <c r="K15" s="15" t="s">
        <v>36</v>
      </c>
      <c r="L15" s="30" t="s">
        <v>49</v>
      </c>
      <c r="M15" s="15" t="s">
        <v>56</v>
      </c>
      <c r="N15" s="14" t="s">
        <v>64</v>
      </c>
      <c r="O15" s="14">
        <v>0.15</v>
      </c>
      <c r="P15" s="19"/>
      <c r="Q15" s="14">
        <f t="shared" si="5"/>
        <v>0</v>
      </c>
      <c r="R15" s="16">
        <f>IF(AND(Q15&gt;=60%,Q15&lt;100%),Q15*((O15*J15)),IF(Q15=100%,((O15*J15)*Q15)*100%,IF(Q15&gt;100%,((J15*O15)*100%)*100%,0)))*100</f>
        <v>0</v>
      </c>
      <c r="S15" s="14" t="s">
        <v>0</v>
      </c>
      <c r="T15" s="14"/>
      <c r="U15" s="1"/>
      <c r="V15" s="1"/>
      <c r="W15" s="1"/>
      <c r="X15" s="1"/>
      <c r="Y15" s="1"/>
      <c r="Z15" s="1"/>
      <c r="AA15" s="1"/>
      <c r="AB15" s="1"/>
      <c r="AC15" s="1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s="2" customFormat="1" ht="20.399999999999999">
      <c r="A16" s="10">
        <v>2085</v>
      </c>
      <c r="B16" s="11" t="s">
        <v>2</v>
      </c>
      <c r="C16" s="12" t="s">
        <v>25</v>
      </c>
      <c r="D16" s="11" t="s">
        <v>69</v>
      </c>
      <c r="E16" s="32" t="s">
        <v>26</v>
      </c>
      <c r="F16" s="32" t="s">
        <v>68</v>
      </c>
      <c r="G16" s="32" t="s">
        <v>66</v>
      </c>
      <c r="H16" s="32" t="s">
        <v>67</v>
      </c>
      <c r="I16" s="13" t="s">
        <v>3</v>
      </c>
      <c r="J16" s="14">
        <v>0.7</v>
      </c>
      <c r="K16" s="15" t="s">
        <v>37</v>
      </c>
      <c r="L16" s="30" t="s">
        <v>48</v>
      </c>
      <c r="M16" s="15" t="s">
        <v>57</v>
      </c>
      <c r="N16" s="28" t="s">
        <v>63</v>
      </c>
      <c r="O16" s="14">
        <v>0.1</v>
      </c>
      <c r="P16" s="20"/>
      <c r="Q16" s="14">
        <f>ROUND(IF(OR(N16="",P16=""),0,IF(AND(N16=0,P16=0),1,IF(S16="+",P16/N16,N16/P16))),2)</f>
        <v>0</v>
      </c>
      <c r="R16" s="16">
        <f t="shared" ref="R16:R22" si="6">IF(AND(Q16&gt;=60%,Q16&lt;100%),Q16*((O16*J16)),IF(Q16=100%,((O16*J16)*Q16)*100%,IF(Q16&gt;100%,((J16*O16)*100%)*100%,0)))*100</f>
        <v>0</v>
      </c>
      <c r="S16" s="14" t="s">
        <v>4</v>
      </c>
      <c r="T16" s="14"/>
      <c r="U16" s="1"/>
      <c r="V16" s="1"/>
      <c r="W16" s="1"/>
      <c r="X16" s="1"/>
      <c r="Y16" s="1"/>
      <c r="Z16" s="1"/>
      <c r="AA16" s="1"/>
      <c r="AB16" s="1"/>
      <c r="AC16" s="1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s="2" customFormat="1" ht="12.6">
      <c r="A17" s="10">
        <v>2086</v>
      </c>
      <c r="B17" s="11" t="s">
        <v>2</v>
      </c>
      <c r="C17" s="12" t="s">
        <v>25</v>
      </c>
      <c r="D17" s="11" t="s">
        <v>69</v>
      </c>
      <c r="E17" s="32" t="s">
        <v>26</v>
      </c>
      <c r="F17" s="32" t="s">
        <v>68</v>
      </c>
      <c r="G17" s="32" t="s">
        <v>66</v>
      </c>
      <c r="H17" s="32" t="s">
        <v>67</v>
      </c>
      <c r="I17" s="13" t="s">
        <v>3</v>
      </c>
      <c r="J17" s="14">
        <v>0.7</v>
      </c>
      <c r="K17" s="21" t="s">
        <v>38</v>
      </c>
      <c r="L17" s="31" t="s">
        <v>47</v>
      </c>
      <c r="M17" s="21" t="s">
        <v>58</v>
      </c>
      <c r="N17" s="22">
        <v>0.05</v>
      </c>
      <c r="O17" s="24">
        <v>0.05</v>
      </c>
      <c r="P17" s="20"/>
      <c r="Q17" s="24">
        <f t="shared" ref="Q17:Q18" si="7">ROUND(IF(OR(N17="",P17=""),0,IF(AND(N17=0,P17=0),1,IF(S17="+",P17/N17,N17/P17))),2)</f>
        <v>0</v>
      </c>
      <c r="R17" s="25">
        <f t="shared" si="6"/>
        <v>0</v>
      </c>
      <c r="S17" s="24" t="s">
        <v>4</v>
      </c>
      <c r="T17" s="24"/>
      <c r="U17" s="1"/>
      <c r="V17" s="1"/>
      <c r="W17" s="1"/>
      <c r="X17" s="1"/>
      <c r="Y17" s="1"/>
      <c r="Z17" s="1"/>
      <c r="AA17" s="1"/>
      <c r="AB17" s="1"/>
      <c r="AC17" s="1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s="2" customFormat="1" ht="20.399999999999999">
      <c r="A18" s="10">
        <v>2087</v>
      </c>
      <c r="B18" s="11" t="s">
        <v>2</v>
      </c>
      <c r="C18" s="12" t="s">
        <v>25</v>
      </c>
      <c r="D18" s="11" t="s">
        <v>69</v>
      </c>
      <c r="E18" s="32" t="s">
        <v>26</v>
      </c>
      <c r="F18" s="32" t="s">
        <v>68</v>
      </c>
      <c r="G18" s="32" t="s">
        <v>66</v>
      </c>
      <c r="H18" s="32" t="s">
        <v>67</v>
      </c>
      <c r="I18" s="21" t="s">
        <v>1</v>
      </c>
      <c r="J18" s="22">
        <v>0.3</v>
      </c>
      <c r="K18" s="21" t="s">
        <v>39</v>
      </c>
      <c r="L18" s="31" t="s">
        <v>46</v>
      </c>
      <c r="M18" s="21" t="s">
        <v>59</v>
      </c>
      <c r="N18" s="22">
        <v>0.7</v>
      </c>
      <c r="O18" s="24">
        <v>0.1</v>
      </c>
      <c r="P18" s="22"/>
      <c r="Q18" s="24">
        <f t="shared" si="7"/>
        <v>0</v>
      </c>
      <c r="R18" s="25">
        <f t="shared" si="6"/>
        <v>0</v>
      </c>
      <c r="S18" s="24" t="s">
        <v>0</v>
      </c>
      <c r="T18" s="24"/>
      <c r="U18" s="1"/>
      <c r="V18" s="1"/>
      <c r="W18" s="1"/>
      <c r="X18" s="1"/>
      <c r="Y18" s="1"/>
      <c r="Z18" s="1"/>
      <c r="AA18" s="1"/>
      <c r="AB18" s="1"/>
      <c r="AC18" s="1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s="2" customFormat="1" ht="20.399999999999999">
      <c r="A19" s="10">
        <v>2088</v>
      </c>
      <c r="B19" s="11" t="s">
        <v>2</v>
      </c>
      <c r="C19" s="12" t="s">
        <v>25</v>
      </c>
      <c r="D19" s="11" t="s">
        <v>69</v>
      </c>
      <c r="E19" s="32" t="s">
        <v>26</v>
      </c>
      <c r="F19" s="32" t="s">
        <v>68</v>
      </c>
      <c r="G19" s="32" t="s">
        <v>66</v>
      </c>
      <c r="H19" s="32" t="s">
        <v>67</v>
      </c>
      <c r="I19" s="21" t="s">
        <v>1</v>
      </c>
      <c r="J19" s="22">
        <v>0.3</v>
      </c>
      <c r="K19" s="21" t="s">
        <v>40</v>
      </c>
      <c r="L19" s="31" t="s">
        <v>45</v>
      </c>
      <c r="M19" s="21" t="s">
        <v>60</v>
      </c>
      <c r="N19" s="22" t="s">
        <v>62</v>
      </c>
      <c r="O19" s="24">
        <v>0.05</v>
      </c>
      <c r="P19" s="26"/>
      <c r="Q19" s="24">
        <f>ROUND(IF(OR(N19="",P19=""),0,IF(AND(N19=0,P19=0),1,IF(S19="+",P19/N19,N19/P19))),2)</f>
        <v>0</v>
      </c>
      <c r="R19" s="25">
        <f t="shared" si="6"/>
        <v>0</v>
      </c>
      <c r="S19" s="24" t="s">
        <v>4</v>
      </c>
      <c r="T19" s="24"/>
      <c r="U19" s="1"/>
      <c r="V19" s="1"/>
      <c r="W19" s="1"/>
      <c r="X19" s="1"/>
      <c r="Y19" s="1"/>
      <c r="Z19" s="1"/>
      <c r="AA19" s="1"/>
      <c r="AB19" s="1"/>
      <c r="AC19" s="1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s="2" customFormat="1" ht="12.6">
      <c r="A20" s="10">
        <v>2089</v>
      </c>
      <c r="B20" s="11" t="s">
        <v>2</v>
      </c>
      <c r="C20" s="12" t="s">
        <v>25</v>
      </c>
      <c r="D20" s="11" t="s">
        <v>69</v>
      </c>
      <c r="E20" s="32" t="s">
        <v>26</v>
      </c>
      <c r="F20" s="32" t="s">
        <v>68</v>
      </c>
      <c r="G20" s="32" t="s">
        <v>66</v>
      </c>
      <c r="H20" s="32" t="s">
        <v>67</v>
      </c>
      <c r="I20" s="21" t="s">
        <v>3</v>
      </c>
      <c r="J20" s="14">
        <v>0.7</v>
      </c>
      <c r="K20" s="21"/>
      <c r="L20" s="31" t="s">
        <v>41</v>
      </c>
      <c r="M20" s="21"/>
      <c r="N20" s="29">
        <v>0</v>
      </c>
      <c r="O20" s="24">
        <v>0.05</v>
      </c>
      <c r="P20" s="26"/>
      <c r="Q20" s="24">
        <f>ROUND(IF(OR(N20="",P20=""),0,IF(AND(N20=0,P20=0),1,IF(S20="+",P20/N20,N20/P20))),2)</f>
        <v>0</v>
      </c>
      <c r="R20" s="25">
        <f t="shared" si="6"/>
        <v>0</v>
      </c>
      <c r="S20" s="24" t="s">
        <v>0</v>
      </c>
      <c r="T20" s="24"/>
      <c r="U20" s="1"/>
      <c r="V20" s="1"/>
      <c r="W20" s="1"/>
      <c r="X20" s="1"/>
      <c r="Y20" s="1"/>
      <c r="Z20" s="1"/>
      <c r="AA20" s="1"/>
      <c r="AB20" s="1"/>
      <c r="AC20" s="1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s="2" customFormat="1" ht="12.6">
      <c r="A21" s="10">
        <v>2090</v>
      </c>
      <c r="B21" s="11" t="s">
        <v>2</v>
      </c>
      <c r="C21" s="12" t="s">
        <v>25</v>
      </c>
      <c r="D21" s="11" t="s">
        <v>69</v>
      </c>
      <c r="E21" s="32" t="s">
        <v>26</v>
      </c>
      <c r="F21" s="32" t="s">
        <v>68</v>
      </c>
      <c r="G21" s="32" t="s">
        <v>66</v>
      </c>
      <c r="H21" s="32" t="s">
        <v>67</v>
      </c>
      <c r="I21" s="21" t="s">
        <v>3</v>
      </c>
      <c r="J21" s="14">
        <v>0.7</v>
      </c>
      <c r="K21" s="21"/>
      <c r="L21" s="31" t="s">
        <v>43</v>
      </c>
      <c r="M21" s="21"/>
      <c r="N21" s="22">
        <v>1</v>
      </c>
      <c r="O21" s="24">
        <v>0.1</v>
      </c>
      <c r="P21" s="26"/>
      <c r="Q21" s="24">
        <f t="shared" ref="Q21:Q22" si="8">ROUND(IF(OR(N21="",P21=""),0,IF(AND(N21=0,P21=0),1,IF(S21="+",P21/N21,N21/P21))),2)</f>
        <v>0</v>
      </c>
      <c r="R21" s="25">
        <f t="shared" si="6"/>
        <v>0</v>
      </c>
      <c r="S21" s="24" t="s">
        <v>0</v>
      </c>
      <c r="T21" s="24"/>
      <c r="U21" s="1"/>
      <c r="V21" s="1"/>
      <c r="W21" s="1"/>
      <c r="X21" s="1"/>
      <c r="Y21" s="1"/>
      <c r="Z21" s="1"/>
      <c r="AA21" s="1"/>
      <c r="AB21" s="1"/>
      <c r="AC21" s="1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s="2" customFormat="1" ht="12.6">
      <c r="A22" s="10">
        <v>2091</v>
      </c>
      <c r="B22" s="11" t="s">
        <v>2</v>
      </c>
      <c r="C22" s="12" t="s">
        <v>25</v>
      </c>
      <c r="D22" s="11" t="s">
        <v>69</v>
      </c>
      <c r="E22" s="32" t="s">
        <v>26</v>
      </c>
      <c r="F22" s="32" t="s">
        <v>68</v>
      </c>
      <c r="G22" s="32" t="s">
        <v>66</v>
      </c>
      <c r="H22" s="32" t="s">
        <v>67</v>
      </c>
      <c r="I22" s="21" t="s">
        <v>1</v>
      </c>
      <c r="J22" s="22">
        <v>0.3</v>
      </c>
      <c r="K22" s="21" t="s">
        <v>42</v>
      </c>
      <c r="L22" s="31" t="s">
        <v>44</v>
      </c>
      <c r="M22" s="21" t="s">
        <v>61</v>
      </c>
      <c r="N22" s="29">
        <v>1</v>
      </c>
      <c r="O22" s="24">
        <v>0.05</v>
      </c>
      <c r="P22" s="23"/>
      <c r="Q22" s="24">
        <f t="shared" si="8"/>
        <v>0</v>
      </c>
      <c r="R22" s="25">
        <f t="shared" si="6"/>
        <v>0</v>
      </c>
      <c r="S22" s="24" t="s">
        <v>0</v>
      </c>
      <c r="T22" s="27"/>
      <c r="U22" s="1"/>
      <c r="V22" s="1"/>
      <c r="W22" s="1"/>
      <c r="X22" s="1"/>
      <c r="Y22" s="1"/>
      <c r="Z22" s="1"/>
      <c r="AA22" s="1"/>
      <c r="AB22" s="1"/>
      <c r="AC22" s="1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s="2" customFormat="1" ht="20.399999999999999">
      <c r="A23" s="10">
        <v>2092</v>
      </c>
      <c r="B23" s="11" t="s">
        <v>2</v>
      </c>
      <c r="C23" s="12" t="s">
        <v>25</v>
      </c>
      <c r="D23" s="11" t="s">
        <v>71</v>
      </c>
      <c r="E23" s="32" t="s">
        <v>27</v>
      </c>
      <c r="F23" s="32" t="s">
        <v>70</v>
      </c>
      <c r="G23" s="32" t="s">
        <v>66</v>
      </c>
      <c r="H23" s="32" t="s">
        <v>67</v>
      </c>
      <c r="I23" s="13" t="s">
        <v>3</v>
      </c>
      <c r="J23" s="14">
        <v>0.7</v>
      </c>
      <c r="K23" s="15" t="s">
        <v>33</v>
      </c>
      <c r="L23" s="30" t="s">
        <v>51</v>
      </c>
      <c r="M23" s="15" t="s">
        <v>53</v>
      </c>
      <c r="N23" s="14">
        <v>0.95</v>
      </c>
      <c r="O23" s="14">
        <v>0.15</v>
      </c>
      <c r="P23" s="14"/>
      <c r="Q23" s="14">
        <v>0</v>
      </c>
      <c r="R23" s="16">
        <v>0</v>
      </c>
      <c r="S23" s="14" t="s">
        <v>0</v>
      </c>
      <c r="T23" s="17">
        <v>0</v>
      </c>
      <c r="U23" s="1"/>
      <c r="V23" s="1"/>
      <c r="W23" s="1"/>
      <c r="X23" s="1"/>
      <c r="Y23" s="1"/>
      <c r="Z23" s="1"/>
      <c r="AA23" s="1"/>
      <c r="AB23" s="1"/>
      <c r="AC23" s="1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s="2" customFormat="1" ht="20.399999999999999">
      <c r="A24" s="10">
        <v>2093</v>
      </c>
      <c r="B24" s="11" t="s">
        <v>2</v>
      </c>
      <c r="C24" s="12" t="s">
        <v>25</v>
      </c>
      <c r="D24" s="11" t="s">
        <v>71</v>
      </c>
      <c r="E24" s="32" t="s">
        <v>27</v>
      </c>
      <c r="F24" s="32" t="s">
        <v>70</v>
      </c>
      <c r="G24" s="32" t="s">
        <v>66</v>
      </c>
      <c r="H24" s="32" t="s">
        <v>67</v>
      </c>
      <c r="I24" s="13" t="s">
        <v>3</v>
      </c>
      <c r="J24" s="14">
        <v>0.7</v>
      </c>
      <c r="K24" s="15" t="s">
        <v>34</v>
      </c>
      <c r="L24" s="30" t="s">
        <v>52</v>
      </c>
      <c r="M24" s="15" t="s">
        <v>55</v>
      </c>
      <c r="N24" s="14" t="s">
        <v>62</v>
      </c>
      <c r="O24" s="14">
        <v>0.1</v>
      </c>
      <c r="P24" s="18"/>
      <c r="Q24" s="14">
        <v>0</v>
      </c>
      <c r="R24" s="16">
        <v>0</v>
      </c>
      <c r="S24" s="14" t="s">
        <v>4</v>
      </c>
      <c r="T24" s="14"/>
      <c r="U24" s="1"/>
      <c r="V24" s="1"/>
      <c r="W24" s="1"/>
      <c r="X24" s="1"/>
      <c r="Y24" s="1"/>
      <c r="Z24" s="1"/>
      <c r="AA24" s="1"/>
      <c r="AB24" s="1"/>
      <c r="AC24" s="1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s="2" customFormat="1" ht="12.6">
      <c r="A25" s="10">
        <v>2094</v>
      </c>
      <c r="B25" s="11" t="s">
        <v>2</v>
      </c>
      <c r="C25" s="12" t="s">
        <v>25</v>
      </c>
      <c r="D25" s="11" t="s">
        <v>71</v>
      </c>
      <c r="E25" s="32" t="s">
        <v>27</v>
      </c>
      <c r="F25" s="32" t="s">
        <v>70</v>
      </c>
      <c r="G25" s="32" t="s">
        <v>66</v>
      </c>
      <c r="H25" s="32" t="s">
        <v>67</v>
      </c>
      <c r="I25" s="13" t="s">
        <v>3</v>
      </c>
      <c r="J25" s="14">
        <v>0.7</v>
      </c>
      <c r="K25" s="15" t="s">
        <v>35</v>
      </c>
      <c r="L25" s="30" t="s">
        <v>50</v>
      </c>
      <c r="M25" s="15" t="s">
        <v>54</v>
      </c>
      <c r="N25" s="14">
        <v>1</v>
      </c>
      <c r="O25" s="14">
        <v>0.1</v>
      </c>
      <c r="P25" s="18"/>
      <c r="Q25" s="14">
        <v>0</v>
      </c>
      <c r="R25" s="16">
        <v>0</v>
      </c>
      <c r="S25" s="14" t="s">
        <v>0</v>
      </c>
      <c r="T25" s="14"/>
      <c r="U25" s="1"/>
      <c r="V25" s="1"/>
      <c r="W25" s="1"/>
      <c r="X25" s="1"/>
      <c r="Y25" s="1"/>
      <c r="Z25" s="1"/>
      <c r="AA25" s="1"/>
      <c r="AB25" s="1"/>
      <c r="AC25" s="1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s="2" customFormat="1" ht="20.399999999999999">
      <c r="A26" s="10">
        <v>2095</v>
      </c>
      <c r="B26" s="11" t="s">
        <v>2</v>
      </c>
      <c r="C26" s="12" t="s">
        <v>25</v>
      </c>
      <c r="D26" s="11" t="s">
        <v>71</v>
      </c>
      <c r="E26" s="32" t="s">
        <v>27</v>
      </c>
      <c r="F26" s="32" t="s">
        <v>70</v>
      </c>
      <c r="G26" s="32" t="s">
        <v>66</v>
      </c>
      <c r="H26" s="32" t="s">
        <v>67</v>
      </c>
      <c r="I26" s="13" t="s">
        <v>3</v>
      </c>
      <c r="J26" s="14">
        <v>0.7</v>
      </c>
      <c r="K26" s="15" t="s">
        <v>36</v>
      </c>
      <c r="L26" s="30" t="s">
        <v>49</v>
      </c>
      <c r="M26" s="15" t="s">
        <v>56</v>
      </c>
      <c r="N26" s="14" t="s">
        <v>64</v>
      </c>
      <c r="O26" s="14">
        <v>0.15</v>
      </c>
      <c r="P26" s="19"/>
      <c r="Q26" s="14">
        <v>0</v>
      </c>
      <c r="R26" s="16">
        <v>0</v>
      </c>
      <c r="S26" s="14" t="s">
        <v>0</v>
      </c>
      <c r="T26" s="14"/>
      <c r="U26" s="1"/>
      <c r="V26" s="1"/>
      <c r="W26" s="1"/>
      <c r="X26" s="1"/>
      <c r="Y26" s="1"/>
      <c r="Z26" s="1"/>
      <c r="AA26" s="1"/>
      <c r="AB26" s="1"/>
      <c r="AC26" s="1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s="2" customFormat="1" ht="20.399999999999999">
      <c r="A27" s="10">
        <v>2096</v>
      </c>
      <c r="B27" s="11" t="s">
        <v>2</v>
      </c>
      <c r="C27" s="12" t="s">
        <v>25</v>
      </c>
      <c r="D27" s="11" t="s">
        <v>71</v>
      </c>
      <c r="E27" s="32" t="s">
        <v>27</v>
      </c>
      <c r="F27" s="32" t="s">
        <v>70</v>
      </c>
      <c r="G27" s="32" t="s">
        <v>66</v>
      </c>
      <c r="H27" s="32" t="s">
        <v>67</v>
      </c>
      <c r="I27" s="13" t="s">
        <v>3</v>
      </c>
      <c r="J27" s="14">
        <v>0.7</v>
      </c>
      <c r="K27" s="15" t="s">
        <v>37</v>
      </c>
      <c r="L27" s="30" t="s">
        <v>48</v>
      </c>
      <c r="M27" s="15" t="s">
        <v>57</v>
      </c>
      <c r="N27" s="28" t="s">
        <v>63</v>
      </c>
      <c r="O27" s="14">
        <v>0.1</v>
      </c>
      <c r="P27" s="20"/>
      <c r="Q27" s="14">
        <v>0</v>
      </c>
      <c r="R27" s="16">
        <v>0</v>
      </c>
      <c r="S27" s="14" t="s">
        <v>4</v>
      </c>
      <c r="T27" s="14"/>
      <c r="U27" s="1"/>
      <c r="V27" s="1"/>
      <c r="W27" s="1"/>
      <c r="X27" s="1"/>
      <c r="Y27" s="1"/>
      <c r="Z27" s="1"/>
      <c r="AA27" s="1"/>
      <c r="AB27" s="1"/>
      <c r="AC27" s="1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s="2" customFormat="1" ht="12.6">
      <c r="A28" s="10">
        <v>2097</v>
      </c>
      <c r="B28" s="11" t="s">
        <v>2</v>
      </c>
      <c r="C28" s="12" t="s">
        <v>25</v>
      </c>
      <c r="D28" s="11" t="s">
        <v>71</v>
      </c>
      <c r="E28" s="32" t="s">
        <v>27</v>
      </c>
      <c r="F28" s="32" t="s">
        <v>70</v>
      </c>
      <c r="G28" s="32" t="s">
        <v>66</v>
      </c>
      <c r="H28" s="32" t="s">
        <v>67</v>
      </c>
      <c r="I28" s="13" t="s">
        <v>3</v>
      </c>
      <c r="J28" s="14">
        <v>0.7</v>
      </c>
      <c r="K28" s="21" t="s">
        <v>38</v>
      </c>
      <c r="L28" s="31" t="s">
        <v>47</v>
      </c>
      <c r="M28" s="21" t="s">
        <v>58</v>
      </c>
      <c r="N28" s="22">
        <v>0.05</v>
      </c>
      <c r="O28" s="24">
        <v>0.05</v>
      </c>
      <c r="P28" s="20"/>
      <c r="Q28" s="24">
        <v>0</v>
      </c>
      <c r="R28" s="25">
        <v>0</v>
      </c>
      <c r="S28" s="24" t="s">
        <v>4</v>
      </c>
      <c r="T28" s="24"/>
      <c r="U28" s="1"/>
      <c r="V28" s="1"/>
      <c r="W28" s="1"/>
      <c r="X28" s="1"/>
      <c r="Y28" s="1"/>
      <c r="Z28" s="1"/>
      <c r="AA28" s="1"/>
      <c r="AB28" s="1"/>
      <c r="AC28" s="1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s="2" customFormat="1" ht="20.399999999999999">
      <c r="A29" s="10">
        <v>2098</v>
      </c>
      <c r="B29" s="11" t="s">
        <v>2</v>
      </c>
      <c r="C29" s="12" t="s">
        <v>25</v>
      </c>
      <c r="D29" s="11" t="s">
        <v>71</v>
      </c>
      <c r="E29" s="32" t="s">
        <v>27</v>
      </c>
      <c r="F29" s="32" t="s">
        <v>70</v>
      </c>
      <c r="G29" s="32" t="s">
        <v>66</v>
      </c>
      <c r="H29" s="32" t="s">
        <v>67</v>
      </c>
      <c r="I29" s="21" t="s">
        <v>1</v>
      </c>
      <c r="J29" s="22">
        <v>0.3</v>
      </c>
      <c r="K29" s="21" t="s">
        <v>39</v>
      </c>
      <c r="L29" s="31" t="s">
        <v>46</v>
      </c>
      <c r="M29" s="21" t="s">
        <v>59</v>
      </c>
      <c r="N29" s="22">
        <v>0.7</v>
      </c>
      <c r="O29" s="24">
        <v>0.1</v>
      </c>
      <c r="P29" s="22"/>
      <c r="Q29" s="24">
        <v>0</v>
      </c>
      <c r="R29" s="25">
        <v>0</v>
      </c>
      <c r="S29" s="24" t="s">
        <v>0</v>
      </c>
      <c r="T29" s="24"/>
      <c r="U29" s="1"/>
      <c r="V29" s="1"/>
      <c r="W29" s="1"/>
      <c r="X29" s="1"/>
      <c r="Y29" s="1"/>
      <c r="Z29" s="1"/>
      <c r="AA29" s="1"/>
      <c r="AB29" s="1"/>
      <c r="AC29" s="1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s="2" customFormat="1" ht="20.399999999999999">
      <c r="A30" s="10">
        <v>2099</v>
      </c>
      <c r="B30" s="11" t="s">
        <v>2</v>
      </c>
      <c r="C30" s="12" t="s">
        <v>25</v>
      </c>
      <c r="D30" s="11" t="s">
        <v>71</v>
      </c>
      <c r="E30" s="32" t="s">
        <v>27</v>
      </c>
      <c r="F30" s="32" t="s">
        <v>70</v>
      </c>
      <c r="G30" s="32" t="s">
        <v>66</v>
      </c>
      <c r="H30" s="32" t="s">
        <v>67</v>
      </c>
      <c r="I30" s="21" t="s">
        <v>1</v>
      </c>
      <c r="J30" s="22">
        <v>0.3</v>
      </c>
      <c r="K30" s="21" t="s">
        <v>40</v>
      </c>
      <c r="L30" s="31" t="s">
        <v>45</v>
      </c>
      <c r="M30" s="21" t="s">
        <v>60</v>
      </c>
      <c r="N30" s="22" t="s">
        <v>62</v>
      </c>
      <c r="O30" s="24">
        <v>0.05</v>
      </c>
      <c r="P30" s="26"/>
      <c r="Q30" s="24">
        <v>0</v>
      </c>
      <c r="R30" s="25">
        <v>0</v>
      </c>
      <c r="S30" s="24" t="s">
        <v>4</v>
      </c>
      <c r="T30" s="24"/>
      <c r="U30" s="1"/>
      <c r="V30" s="1"/>
      <c r="W30" s="1"/>
      <c r="X30" s="1"/>
      <c r="Y30" s="1"/>
      <c r="Z30" s="1"/>
      <c r="AA30" s="1"/>
      <c r="AB30" s="1"/>
      <c r="AC30" s="1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s="2" customFormat="1" ht="12.6">
      <c r="A31" s="10">
        <v>2100</v>
      </c>
      <c r="B31" s="11" t="s">
        <v>2</v>
      </c>
      <c r="C31" s="12" t="s">
        <v>25</v>
      </c>
      <c r="D31" s="11" t="s">
        <v>71</v>
      </c>
      <c r="E31" s="32" t="s">
        <v>27</v>
      </c>
      <c r="F31" s="32" t="s">
        <v>70</v>
      </c>
      <c r="G31" s="32" t="s">
        <v>66</v>
      </c>
      <c r="H31" s="32" t="s">
        <v>67</v>
      </c>
      <c r="I31" s="21" t="s">
        <v>3</v>
      </c>
      <c r="J31" s="14">
        <v>0.7</v>
      </c>
      <c r="K31" s="21"/>
      <c r="L31" s="31" t="s">
        <v>41</v>
      </c>
      <c r="M31" s="21"/>
      <c r="N31" s="29">
        <v>0</v>
      </c>
      <c r="O31" s="24">
        <v>0.05</v>
      </c>
      <c r="P31" s="26"/>
      <c r="Q31" s="24">
        <v>0</v>
      </c>
      <c r="R31" s="25">
        <v>0</v>
      </c>
      <c r="S31" s="24" t="s">
        <v>0</v>
      </c>
      <c r="T31" s="24"/>
      <c r="U31" s="1"/>
      <c r="V31" s="1"/>
      <c r="W31" s="1"/>
      <c r="X31" s="1"/>
      <c r="Y31" s="1"/>
      <c r="Z31" s="1"/>
      <c r="AA31" s="1"/>
      <c r="AB31" s="1"/>
      <c r="AC31" s="1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s="2" customFormat="1" ht="12.6">
      <c r="A32" s="10">
        <v>2101</v>
      </c>
      <c r="B32" s="11" t="s">
        <v>2</v>
      </c>
      <c r="C32" s="12" t="s">
        <v>25</v>
      </c>
      <c r="D32" s="11" t="s">
        <v>71</v>
      </c>
      <c r="E32" s="32" t="s">
        <v>27</v>
      </c>
      <c r="F32" s="32" t="s">
        <v>70</v>
      </c>
      <c r="G32" s="32" t="s">
        <v>66</v>
      </c>
      <c r="H32" s="32" t="s">
        <v>67</v>
      </c>
      <c r="I32" s="21" t="s">
        <v>3</v>
      </c>
      <c r="J32" s="14">
        <v>0.7</v>
      </c>
      <c r="K32" s="21"/>
      <c r="L32" s="31" t="s">
        <v>43</v>
      </c>
      <c r="M32" s="21"/>
      <c r="N32" s="22">
        <v>1</v>
      </c>
      <c r="O32" s="24">
        <v>0.1</v>
      </c>
      <c r="P32" s="26"/>
      <c r="Q32" s="24">
        <v>0</v>
      </c>
      <c r="R32" s="25">
        <v>0</v>
      </c>
      <c r="S32" s="24" t="s">
        <v>0</v>
      </c>
      <c r="T32" s="24"/>
      <c r="U32" s="1"/>
      <c r="V32" s="1"/>
      <c r="W32" s="1"/>
      <c r="X32" s="1"/>
      <c r="Y32" s="1"/>
      <c r="Z32" s="1"/>
      <c r="AA32" s="1"/>
      <c r="AB32" s="1"/>
      <c r="AC32" s="1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s="2" customFormat="1" ht="12.6">
      <c r="A33" s="10">
        <v>2102</v>
      </c>
      <c r="B33" s="11" t="s">
        <v>2</v>
      </c>
      <c r="C33" s="12" t="s">
        <v>25</v>
      </c>
      <c r="D33" s="11" t="s">
        <v>71</v>
      </c>
      <c r="E33" s="32" t="s">
        <v>27</v>
      </c>
      <c r="F33" s="32" t="s">
        <v>70</v>
      </c>
      <c r="G33" s="32" t="s">
        <v>66</v>
      </c>
      <c r="H33" s="32" t="s">
        <v>67</v>
      </c>
      <c r="I33" s="21" t="s">
        <v>1</v>
      </c>
      <c r="J33" s="22">
        <v>0.3</v>
      </c>
      <c r="K33" s="21" t="s">
        <v>42</v>
      </c>
      <c r="L33" s="31" t="s">
        <v>44</v>
      </c>
      <c r="M33" s="21" t="s">
        <v>61</v>
      </c>
      <c r="N33" s="29">
        <v>1</v>
      </c>
      <c r="O33" s="24">
        <v>0.05</v>
      </c>
      <c r="P33" s="23"/>
      <c r="Q33" s="24">
        <v>0</v>
      </c>
      <c r="R33" s="25">
        <v>0</v>
      </c>
      <c r="S33" s="24" t="s">
        <v>0</v>
      </c>
      <c r="T33" s="27"/>
      <c r="U33" s="1"/>
      <c r="V33" s="1"/>
      <c r="W33" s="1"/>
      <c r="X33" s="1"/>
      <c r="Y33" s="1"/>
      <c r="Z33" s="1"/>
      <c r="AA33" s="1"/>
      <c r="AB33" s="1"/>
      <c r="AC33" s="1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s="2" customFormat="1" ht="20.399999999999999">
      <c r="A34" s="10">
        <v>2103</v>
      </c>
      <c r="B34" s="11" t="s">
        <v>2</v>
      </c>
      <c r="C34" s="12" t="s">
        <v>25</v>
      </c>
      <c r="D34" s="11" t="s">
        <v>73</v>
      </c>
      <c r="E34" s="32" t="s">
        <v>28</v>
      </c>
      <c r="F34" s="32" t="s">
        <v>72</v>
      </c>
      <c r="G34" s="32" t="s">
        <v>66</v>
      </c>
      <c r="H34" s="32" t="s">
        <v>67</v>
      </c>
      <c r="I34" s="13" t="s">
        <v>3</v>
      </c>
      <c r="J34" s="14">
        <v>0.7</v>
      </c>
      <c r="K34" s="15" t="s">
        <v>33</v>
      </c>
      <c r="L34" s="30" t="s">
        <v>51</v>
      </c>
      <c r="M34" s="15" t="s">
        <v>53</v>
      </c>
      <c r="N34" s="14">
        <v>0.95</v>
      </c>
      <c r="O34" s="14">
        <v>0.15</v>
      </c>
      <c r="P34" s="14"/>
      <c r="Q34" s="14">
        <v>0</v>
      </c>
      <c r="R34" s="16">
        <v>0</v>
      </c>
      <c r="S34" s="14" t="s">
        <v>0</v>
      </c>
      <c r="T34" s="17">
        <v>0</v>
      </c>
      <c r="U34" s="1"/>
      <c r="V34" s="1"/>
      <c r="W34" s="1"/>
      <c r="X34" s="1"/>
      <c r="Y34" s="1"/>
      <c r="Z34" s="1"/>
      <c r="AA34" s="1"/>
      <c r="AB34" s="1"/>
      <c r="AC34" s="1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s="2" customFormat="1" ht="20.399999999999999">
      <c r="A35" s="10">
        <v>2104</v>
      </c>
      <c r="B35" s="11" t="s">
        <v>2</v>
      </c>
      <c r="C35" s="12" t="s">
        <v>25</v>
      </c>
      <c r="D35" s="11" t="s">
        <v>73</v>
      </c>
      <c r="E35" s="32" t="s">
        <v>28</v>
      </c>
      <c r="F35" s="32" t="s">
        <v>72</v>
      </c>
      <c r="G35" s="32" t="s">
        <v>66</v>
      </c>
      <c r="H35" s="32" t="s">
        <v>67</v>
      </c>
      <c r="I35" s="13" t="s">
        <v>3</v>
      </c>
      <c r="J35" s="14">
        <v>0.7</v>
      </c>
      <c r="K35" s="15" t="s">
        <v>34</v>
      </c>
      <c r="L35" s="30" t="s">
        <v>52</v>
      </c>
      <c r="M35" s="15" t="s">
        <v>55</v>
      </c>
      <c r="N35" s="14" t="s">
        <v>62</v>
      </c>
      <c r="O35" s="14">
        <v>0.1</v>
      </c>
      <c r="P35" s="18"/>
      <c r="Q35" s="14">
        <v>0</v>
      </c>
      <c r="R35" s="16">
        <v>0</v>
      </c>
      <c r="S35" s="14" t="s">
        <v>4</v>
      </c>
      <c r="T35" s="14"/>
      <c r="U35" s="1"/>
      <c r="V35" s="1"/>
      <c r="W35" s="1"/>
      <c r="X35" s="1"/>
      <c r="Y35" s="1"/>
      <c r="Z35" s="1"/>
      <c r="AA35" s="1"/>
      <c r="AB35" s="1"/>
      <c r="AC35" s="1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s="2" customFormat="1" ht="12.6">
      <c r="A36" s="10">
        <v>2105</v>
      </c>
      <c r="B36" s="11" t="s">
        <v>2</v>
      </c>
      <c r="C36" s="12" t="s">
        <v>25</v>
      </c>
      <c r="D36" s="11" t="s">
        <v>73</v>
      </c>
      <c r="E36" s="32" t="s">
        <v>28</v>
      </c>
      <c r="F36" s="32" t="s">
        <v>72</v>
      </c>
      <c r="G36" s="32" t="s">
        <v>66</v>
      </c>
      <c r="H36" s="32" t="s">
        <v>67</v>
      </c>
      <c r="I36" s="13" t="s">
        <v>3</v>
      </c>
      <c r="J36" s="14">
        <v>0.7</v>
      </c>
      <c r="K36" s="15" t="s">
        <v>35</v>
      </c>
      <c r="L36" s="30" t="s">
        <v>50</v>
      </c>
      <c r="M36" s="15" t="s">
        <v>54</v>
      </c>
      <c r="N36" s="14">
        <v>1</v>
      </c>
      <c r="O36" s="14">
        <v>0.1</v>
      </c>
      <c r="P36" s="18"/>
      <c r="Q36" s="14">
        <v>0</v>
      </c>
      <c r="R36" s="16">
        <v>0</v>
      </c>
      <c r="S36" s="14" t="s">
        <v>0</v>
      </c>
      <c r="T36" s="14"/>
      <c r="U36" s="1"/>
      <c r="V36" s="1"/>
      <c r="W36" s="1"/>
      <c r="X36" s="1"/>
      <c r="Y36" s="1"/>
      <c r="Z36" s="1"/>
      <c r="AA36" s="1"/>
      <c r="AB36" s="1"/>
      <c r="AC36" s="1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s="2" customFormat="1" ht="20.399999999999999">
      <c r="A37" s="10">
        <v>2106</v>
      </c>
      <c r="B37" s="11" t="s">
        <v>2</v>
      </c>
      <c r="C37" s="12" t="s">
        <v>25</v>
      </c>
      <c r="D37" s="11" t="s">
        <v>73</v>
      </c>
      <c r="E37" s="32" t="s">
        <v>28</v>
      </c>
      <c r="F37" s="32" t="s">
        <v>72</v>
      </c>
      <c r="G37" s="32" t="s">
        <v>66</v>
      </c>
      <c r="H37" s="32" t="s">
        <v>67</v>
      </c>
      <c r="I37" s="13" t="s">
        <v>3</v>
      </c>
      <c r="J37" s="14">
        <v>0.7</v>
      </c>
      <c r="K37" s="15" t="s">
        <v>36</v>
      </c>
      <c r="L37" s="30" t="s">
        <v>49</v>
      </c>
      <c r="M37" s="15" t="s">
        <v>56</v>
      </c>
      <c r="N37" s="14" t="s">
        <v>64</v>
      </c>
      <c r="O37" s="14">
        <v>0.15</v>
      </c>
      <c r="P37" s="19"/>
      <c r="Q37" s="14">
        <v>0</v>
      </c>
      <c r="R37" s="16">
        <v>0</v>
      </c>
      <c r="S37" s="14" t="s">
        <v>0</v>
      </c>
      <c r="T37" s="14"/>
      <c r="U37" s="1"/>
      <c r="V37" s="1"/>
      <c r="W37" s="1"/>
      <c r="X37" s="1"/>
      <c r="Y37" s="1"/>
      <c r="Z37" s="1"/>
      <c r="AA37" s="1"/>
      <c r="AB37" s="1"/>
      <c r="AC37" s="1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s="2" customFormat="1" ht="20.399999999999999">
      <c r="A38" s="10">
        <v>2107</v>
      </c>
      <c r="B38" s="11" t="s">
        <v>2</v>
      </c>
      <c r="C38" s="12" t="s">
        <v>25</v>
      </c>
      <c r="D38" s="11" t="s">
        <v>73</v>
      </c>
      <c r="E38" s="32" t="s">
        <v>28</v>
      </c>
      <c r="F38" s="32" t="s">
        <v>72</v>
      </c>
      <c r="G38" s="32" t="s">
        <v>66</v>
      </c>
      <c r="H38" s="32" t="s">
        <v>67</v>
      </c>
      <c r="I38" s="13" t="s">
        <v>3</v>
      </c>
      <c r="J38" s="14">
        <v>0.7</v>
      </c>
      <c r="K38" s="15" t="s">
        <v>37</v>
      </c>
      <c r="L38" s="30" t="s">
        <v>48</v>
      </c>
      <c r="M38" s="15" t="s">
        <v>57</v>
      </c>
      <c r="N38" s="28" t="s">
        <v>63</v>
      </c>
      <c r="O38" s="14">
        <v>0.1</v>
      </c>
      <c r="P38" s="20"/>
      <c r="Q38" s="14">
        <v>0</v>
      </c>
      <c r="R38" s="16">
        <v>0</v>
      </c>
      <c r="S38" s="14" t="s">
        <v>4</v>
      </c>
      <c r="T38" s="14"/>
      <c r="U38" s="1"/>
      <c r="V38" s="1"/>
      <c r="W38" s="1"/>
      <c r="X38" s="1"/>
      <c r="Y38" s="1"/>
      <c r="Z38" s="1"/>
      <c r="AA38" s="1"/>
      <c r="AB38" s="1"/>
      <c r="AC38" s="1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s="2" customFormat="1" ht="12.6">
      <c r="A39" s="10">
        <v>2108</v>
      </c>
      <c r="B39" s="11" t="s">
        <v>2</v>
      </c>
      <c r="C39" s="12" t="s">
        <v>25</v>
      </c>
      <c r="D39" s="11" t="s">
        <v>73</v>
      </c>
      <c r="E39" s="32" t="s">
        <v>28</v>
      </c>
      <c r="F39" s="32" t="s">
        <v>72</v>
      </c>
      <c r="G39" s="32" t="s">
        <v>66</v>
      </c>
      <c r="H39" s="32" t="s">
        <v>67</v>
      </c>
      <c r="I39" s="13" t="s">
        <v>3</v>
      </c>
      <c r="J39" s="14">
        <v>0.7</v>
      </c>
      <c r="K39" s="21" t="s">
        <v>38</v>
      </c>
      <c r="L39" s="31" t="s">
        <v>47</v>
      </c>
      <c r="M39" s="21" t="s">
        <v>58</v>
      </c>
      <c r="N39" s="22">
        <v>0.05</v>
      </c>
      <c r="O39" s="24">
        <v>0.05</v>
      </c>
      <c r="P39" s="20"/>
      <c r="Q39" s="24">
        <v>0</v>
      </c>
      <c r="R39" s="25">
        <v>0</v>
      </c>
      <c r="S39" s="24" t="s">
        <v>4</v>
      </c>
      <c r="T39" s="24"/>
      <c r="U39" s="1"/>
      <c r="V39" s="1"/>
      <c r="W39" s="1"/>
      <c r="X39" s="1"/>
      <c r="Y39" s="1"/>
      <c r="Z39" s="1"/>
      <c r="AA39" s="1"/>
      <c r="AB39" s="1"/>
      <c r="AC39" s="1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s="2" customFormat="1" ht="20.399999999999999">
      <c r="A40" s="10">
        <v>2109</v>
      </c>
      <c r="B40" s="11" t="s">
        <v>2</v>
      </c>
      <c r="C40" s="12" t="s">
        <v>25</v>
      </c>
      <c r="D40" s="11" t="s">
        <v>73</v>
      </c>
      <c r="E40" s="32" t="s">
        <v>28</v>
      </c>
      <c r="F40" s="32" t="s">
        <v>72</v>
      </c>
      <c r="G40" s="32" t="s">
        <v>66</v>
      </c>
      <c r="H40" s="32" t="s">
        <v>67</v>
      </c>
      <c r="I40" s="21" t="s">
        <v>1</v>
      </c>
      <c r="J40" s="22">
        <v>0.3</v>
      </c>
      <c r="K40" s="21" t="s">
        <v>39</v>
      </c>
      <c r="L40" s="31" t="s">
        <v>46</v>
      </c>
      <c r="M40" s="21" t="s">
        <v>59</v>
      </c>
      <c r="N40" s="22">
        <v>0.7</v>
      </c>
      <c r="O40" s="24">
        <v>0.1</v>
      </c>
      <c r="P40" s="22"/>
      <c r="Q40" s="24">
        <v>0</v>
      </c>
      <c r="R40" s="25">
        <v>0</v>
      </c>
      <c r="S40" s="24" t="s">
        <v>0</v>
      </c>
      <c r="T40" s="24"/>
      <c r="U40" s="1"/>
      <c r="V40" s="1"/>
      <c r="W40" s="1"/>
      <c r="X40" s="1"/>
      <c r="Y40" s="1"/>
      <c r="Z40" s="1"/>
      <c r="AA40" s="1"/>
      <c r="AB40" s="1"/>
      <c r="AC40" s="1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s="2" customFormat="1" ht="20.399999999999999">
      <c r="A41" s="10">
        <v>2110</v>
      </c>
      <c r="B41" s="11" t="s">
        <v>2</v>
      </c>
      <c r="C41" s="12" t="s">
        <v>25</v>
      </c>
      <c r="D41" s="11" t="s">
        <v>73</v>
      </c>
      <c r="E41" s="32" t="s">
        <v>28</v>
      </c>
      <c r="F41" s="32" t="s">
        <v>72</v>
      </c>
      <c r="G41" s="32" t="s">
        <v>66</v>
      </c>
      <c r="H41" s="32" t="s">
        <v>67</v>
      </c>
      <c r="I41" s="21" t="s">
        <v>1</v>
      </c>
      <c r="J41" s="22">
        <v>0.3</v>
      </c>
      <c r="K41" s="21" t="s">
        <v>40</v>
      </c>
      <c r="L41" s="31" t="s">
        <v>45</v>
      </c>
      <c r="M41" s="21" t="s">
        <v>60</v>
      </c>
      <c r="N41" s="22" t="s">
        <v>62</v>
      </c>
      <c r="O41" s="24">
        <v>0.05</v>
      </c>
      <c r="P41" s="26"/>
      <c r="Q41" s="24">
        <v>0</v>
      </c>
      <c r="R41" s="25">
        <v>0</v>
      </c>
      <c r="S41" s="24" t="s">
        <v>4</v>
      </c>
      <c r="T41" s="24"/>
      <c r="U41" s="1"/>
      <c r="V41" s="1"/>
      <c r="W41" s="1"/>
      <c r="X41" s="1"/>
      <c r="Y41" s="1"/>
      <c r="Z41" s="1"/>
      <c r="AA41" s="1"/>
      <c r="AB41" s="1"/>
      <c r="AC41" s="1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s="2" customFormat="1" ht="12.6">
      <c r="A42" s="10">
        <v>2111</v>
      </c>
      <c r="B42" s="11" t="s">
        <v>2</v>
      </c>
      <c r="C42" s="12" t="s">
        <v>25</v>
      </c>
      <c r="D42" s="11" t="s">
        <v>73</v>
      </c>
      <c r="E42" s="32" t="s">
        <v>28</v>
      </c>
      <c r="F42" s="32" t="s">
        <v>72</v>
      </c>
      <c r="G42" s="32" t="s">
        <v>66</v>
      </c>
      <c r="H42" s="32" t="s">
        <v>67</v>
      </c>
      <c r="I42" s="21" t="s">
        <v>3</v>
      </c>
      <c r="J42" s="14">
        <v>0.7</v>
      </c>
      <c r="K42" s="21"/>
      <c r="L42" s="31" t="s">
        <v>41</v>
      </c>
      <c r="M42" s="21"/>
      <c r="N42" s="29">
        <v>0</v>
      </c>
      <c r="O42" s="24">
        <v>0.05</v>
      </c>
      <c r="P42" s="26"/>
      <c r="Q42" s="24">
        <v>0</v>
      </c>
      <c r="R42" s="25">
        <v>0</v>
      </c>
      <c r="S42" s="24" t="s">
        <v>0</v>
      </c>
      <c r="T42" s="24"/>
      <c r="U42" s="1"/>
      <c r="V42" s="1"/>
      <c r="W42" s="1"/>
      <c r="X42" s="1"/>
      <c r="Y42" s="1"/>
      <c r="Z42" s="1"/>
      <c r="AA42" s="1"/>
      <c r="AB42" s="1"/>
      <c r="AC42" s="1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s="2" customFormat="1" ht="12.6">
      <c r="A43" s="10">
        <v>2112</v>
      </c>
      <c r="B43" s="11" t="s">
        <v>2</v>
      </c>
      <c r="C43" s="12" t="s">
        <v>25</v>
      </c>
      <c r="D43" s="11" t="s">
        <v>73</v>
      </c>
      <c r="E43" s="32" t="s">
        <v>28</v>
      </c>
      <c r="F43" s="32" t="s">
        <v>72</v>
      </c>
      <c r="G43" s="32" t="s">
        <v>66</v>
      </c>
      <c r="H43" s="32" t="s">
        <v>67</v>
      </c>
      <c r="I43" s="21" t="s">
        <v>3</v>
      </c>
      <c r="J43" s="14">
        <v>0.7</v>
      </c>
      <c r="K43" s="21"/>
      <c r="L43" s="31" t="s">
        <v>43</v>
      </c>
      <c r="M43" s="21"/>
      <c r="N43" s="22">
        <v>1</v>
      </c>
      <c r="O43" s="24">
        <v>0.1</v>
      </c>
      <c r="P43" s="26"/>
      <c r="Q43" s="24">
        <v>0</v>
      </c>
      <c r="R43" s="25">
        <v>0</v>
      </c>
      <c r="S43" s="24" t="s">
        <v>0</v>
      </c>
      <c r="T43" s="24"/>
      <c r="U43" s="1"/>
      <c r="V43" s="1"/>
      <c r="W43" s="1"/>
      <c r="X43" s="1"/>
      <c r="Y43" s="1"/>
      <c r="Z43" s="1"/>
      <c r="AA43" s="1"/>
      <c r="AB43" s="1"/>
      <c r="AC43" s="1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s="2" customFormat="1" ht="12.6">
      <c r="A44" s="10">
        <v>2113</v>
      </c>
      <c r="B44" s="11" t="s">
        <v>2</v>
      </c>
      <c r="C44" s="12" t="s">
        <v>25</v>
      </c>
      <c r="D44" s="11" t="s">
        <v>73</v>
      </c>
      <c r="E44" s="32" t="s">
        <v>28</v>
      </c>
      <c r="F44" s="32" t="s">
        <v>72</v>
      </c>
      <c r="G44" s="32" t="s">
        <v>66</v>
      </c>
      <c r="H44" s="32" t="s">
        <v>67</v>
      </c>
      <c r="I44" s="21" t="s">
        <v>1</v>
      </c>
      <c r="J44" s="22">
        <v>0.3</v>
      </c>
      <c r="K44" s="21" t="s">
        <v>42</v>
      </c>
      <c r="L44" s="31" t="s">
        <v>44</v>
      </c>
      <c r="M44" s="21" t="s">
        <v>61</v>
      </c>
      <c r="N44" s="29">
        <v>1</v>
      </c>
      <c r="O44" s="24">
        <v>0.05</v>
      </c>
      <c r="P44" s="23"/>
      <c r="Q44" s="24">
        <v>0</v>
      </c>
      <c r="R44" s="25">
        <v>0</v>
      </c>
      <c r="S44" s="24" t="s">
        <v>0</v>
      </c>
      <c r="T44" s="27"/>
      <c r="U44" s="1"/>
      <c r="V44" s="1"/>
      <c r="W44" s="1"/>
      <c r="X44" s="1"/>
      <c r="Y44" s="1"/>
      <c r="Z44" s="1"/>
      <c r="AA44" s="1"/>
      <c r="AB44" s="1"/>
      <c r="AC44" s="1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s="2" customFormat="1" ht="27" customHeight="1">
      <c r="A45" s="10">
        <v>2114</v>
      </c>
      <c r="B45" s="11" t="s">
        <v>2</v>
      </c>
      <c r="C45" s="12" t="s">
        <v>25</v>
      </c>
      <c r="D45" s="11"/>
      <c r="E45" s="32" t="s">
        <v>29</v>
      </c>
      <c r="F45" s="32" t="s">
        <v>76</v>
      </c>
      <c r="G45" s="32" t="s">
        <v>66</v>
      </c>
      <c r="H45" s="32" t="s">
        <v>67</v>
      </c>
      <c r="I45" s="13" t="s">
        <v>3</v>
      </c>
      <c r="J45" s="14">
        <v>0.7</v>
      </c>
      <c r="K45" s="15" t="s">
        <v>33</v>
      </c>
      <c r="L45" s="30" t="s">
        <v>51</v>
      </c>
      <c r="M45" s="15" t="s">
        <v>53</v>
      </c>
      <c r="N45" s="14">
        <v>0.95</v>
      </c>
      <c r="O45" s="14">
        <v>0.15</v>
      </c>
      <c r="P45" s="14"/>
      <c r="Q45" s="14">
        <v>0</v>
      </c>
      <c r="R45" s="16">
        <v>0</v>
      </c>
      <c r="S45" s="14" t="s">
        <v>0</v>
      </c>
      <c r="T45" s="17">
        <v>0</v>
      </c>
      <c r="U45" s="1"/>
      <c r="V45" s="1"/>
      <c r="W45" s="1"/>
      <c r="X45" s="1"/>
      <c r="Y45" s="1"/>
      <c r="Z45" s="1"/>
      <c r="AA45" s="1"/>
      <c r="AB45" s="1"/>
      <c r="AC45" s="1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s="2" customFormat="1" ht="26.4" customHeight="1">
      <c r="A46" s="10">
        <v>2115</v>
      </c>
      <c r="B46" s="11" t="s">
        <v>2</v>
      </c>
      <c r="C46" s="12" t="s">
        <v>25</v>
      </c>
      <c r="D46" s="11"/>
      <c r="E46" s="32" t="s">
        <v>29</v>
      </c>
      <c r="F46" s="32" t="s">
        <v>76</v>
      </c>
      <c r="G46" s="32" t="s">
        <v>66</v>
      </c>
      <c r="H46" s="32" t="s">
        <v>67</v>
      </c>
      <c r="I46" s="13" t="s">
        <v>3</v>
      </c>
      <c r="J46" s="14">
        <v>0.7</v>
      </c>
      <c r="K46" s="15" t="s">
        <v>34</v>
      </c>
      <c r="L46" s="30" t="s">
        <v>52</v>
      </c>
      <c r="M46" s="15" t="s">
        <v>55</v>
      </c>
      <c r="N46" s="14" t="s">
        <v>62</v>
      </c>
      <c r="O46" s="14">
        <v>0.1</v>
      </c>
      <c r="P46" s="18"/>
      <c r="Q46" s="14">
        <v>0</v>
      </c>
      <c r="R46" s="16">
        <v>0</v>
      </c>
      <c r="S46" s="14" t="s">
        <v>4</v>
      </c>
      <c r="T46" s="14"/>
      <c r="U46" s="1"/>
      <c r="V46" s="1"/>
      <c r="W46" s="1"/>
      <c r="X46" s="1"/>
      <c r="Y46" s="1"/>
      <c r="Z46" s="1"/>
      <c r="AA46" s="1"/>
      <c r="AB46" s="1"/>
      <c r="AC46" s="1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s="2" customFormat="1" ht="26.4" customHeight="1">
      <c r="A47" s="10">
        <v>2116</v>
      </c>
      <c r="B47" s="11" t="s">
        <v>2</v>
      </c>
      <c r="C47" s="12" t="s">
        <v>25</v>
      </c>
      <c r="D47" s="11"/>
      <c r="E47" s="32" t="s">
        <v>29</v>
      </c>
      <c r="F47" s="32" t="s">
        <v>76</v>
      </c>
      <c r="G47" s="32" t="s">
        <v>66</v>
      </c>
      <c r="H47" s="32" t="s">
        <v>67</v>
      </c>
      <c r="I47" s="13" t="s">
        <v>3</v>
      </c>
      <c r="J47" s="14">
        <v>0.7</v>
      </c>
      <c r="K47" s="15" t="s">
        <v>35</v>
      </c>
      <c r="L47" s="30" t="s">
        <v>50</v>
      </c>
      <c r="M47" s="15" t="s">
        <v>54</v>
      </c>
      <c r="N47" s="14">
        <v>1</v>
      </c>
      <c r="O47" s="14">
        <v>0.1</v>
      </c>
      <c r="P47" s="18"/>
      <c r="Q47" s="14">
        <v>0</v>
      </c>
      <c r="R47" s="16">
        <v>0</v>
      </c>
      <c r="S47" s="14" t="s">
        <v>0</v>
      </c>
      <c r="T47" s="14"/>
      <c r="U47" s="1"/>
      <c r="V47" s="1"/>
      <c r="W47" s="1"/>
      <c r="X47" s="1"/>
      <c r="Y47" s="1"/>
      <c r="Z47" s="1"/>
      <c r="AA47" s="1"/>
      <c r="AB47" s="1"/>
      <c r="AC47" s="1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s="2" customFormat="1" ht="26.4" customHeight="1">
      <c r="A48" s="10">
        <v>2117</v>
      </c>
      <c r="B48" s="11" t="s">
        <v>2</v>
      </c>
      <c r="C48" s="12" t="s">
        <v>25</v>
      </c>
      <c r="D48" s="11"/>
      <c r="E48" s="32" t="s">
        <v>29</v>
      </c>
      <c r="F48" s="32" t="s">
        <v>76</v>
      </c>
      <c r="G48" s="32" t="s">
        <v>66</v>
      </c>
      <c r="H48" s="32" t="s">
        <v>67</v>
      </c>
      <c r="I48" s="13" t="s">
        <v>3</v>
      </c>
      <c r="J48" s="14">
        <v>0.7</v>
      </c>
      <c r="K48" s="15" t="s">
        <v>36</v>
      </c>
      <c r="L48" s="30" t="s">
        <v>49</v>
      </c>
      <c r="M48" s="15" t="s">
        <v>56</v>
      </c>
      <c r="N48" s="14" t="s">
        <v>64</v>
      </c>
      <c r="O48" s="14">
        <v>0.15</v>
      </c>
      <c r="P48" s="19"/>
      <c r="Q48" s="14">
        <v>0</v>
      </c>
      <c r="R48" s="16">
        <v>0</v>
      </c>
      <c r="S48" s="14" t="s">
        <v>0</v>
      </c>
      <c r="T48" s="14"/>
      <c r="U48" s="1"/>
      <c r="V48" s="1"/>
      <c r="W48" s="1"/>
      <c r="X48" s="1"/>
      <c r="Y48" s="1"/>
      <c r="Z48" s="1"/>
      <c r="AA48" s="1"/>
      <c r="AB48" s="1"/>
      <c r="AC48" s="1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s="2" customFormat="1" ht="26.4" customHeight="1">
      <c r="A49" s="10">
        <v>2118</v>
      </c>
      <c r="B49" s="11" t="s">
        <v>2</v>
      </c>
      <c r="C49" s="12" t="s">
        <v>25</v>
      </c>
      <c r="D49" s="11"/>
      <c r="E49" s="32" t="s">
        <v>29</v>
      </c>
      <c r="F49" s="32" t="s">
        <v>76</v>
      </c>
      <c r="G49" s="32" t="s">
        <v>66</v>
      </c>
      <c r="H49" s="32" t="s">
        <v>67</v>
      </c>
      <c r="I49" s="13" t="s">
        <v>3</v>
      </c>
      <c r="J49" s="14">
        <v>0.7</v>
      </c>
      <c r="K49" s="15" t="s">
        <v>37</v>
      </c>
      <c r="L49" s="30" t="s">
        <v>48</v>
      </c>
      <c r="M49" s="15" t="s">
        <v>57</v>
      </c>
      <c r="N49" s="28" t="s">
        <v>63</v>
      </c>
      <c r="O49" s="14">
        <v>0.1</v>
      </c>
      <c r="P49" s="20"/>
      <c r="Q49" s="14">
        <v>0</v>
      </c>
      <c r="R49" s="16">
        <v>0</v>
      </c>
      <c r="S49" s="14" t="s">
        <v>4</v>
      </c>
      <c r="T49" s="14"/>
      <c r="U49" s="1"/>
      <c r="V49" s="1"/>
      <c r="W49" s="1"/>
      <c r="X49" s="1"/>
      <c r="Y49" s="1"/>
      <c r="Z49" s="1"/>
      <c r="AA49" s="1"/>
      <c r="AB49" s="1"/>
      <c r="AC49" s="1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s="2" customFormat="1" ht="26.4" customHeight="1">
      <c r="A50" s="10">
        <v>2119</v>
      </c>
      <c r="B50" s="11" t="s">
        <v>2</v>
      </c>
      <c r="C50" s="12" t="s">
        <v>25</v>
      </c>
      <c r="D50" s="11"/>
      <c r="E50" s="32" t="s">
        <v>29</v>
      </c>
      <c r="F50" s="32" t="s">
        <v>76</v>
      </c>
      <c r="G50" s="32" t="s">
        <v>66</v>
      </c>
      <c r="H50" s="32" t="s">
        <v>67</v>
      </c>
      <c r="I50" s="13" t="s">
        <v>3</v>
      </c>
      <c r="J50" s="14">
        <v>0.7</v>
      </c>
      <c r="K50" s="21" t="s">
        <v>38</v>
      </c>
      <c r="L50" s="31" t="s">
        <v>47</v>
      </c>
      <c r="M50" s="21" t="s">
        <v>58</v>
      </c>
      <c r="N50" s="22">
        <v>0.05</v>
      </c>
      <c r="O50" s="24">
        <v>0.05</v>
      </c>
      <c r="P50" s="20"/>
      <c r="Q50" s="24">
        <v>0</v>
      </c>
      <c r="R50" s="25">
        <v>0</v>
      </c>
      <c r="S50" s="24" t="s">
        <v>4</v>
      </c>
      <c r="T50" s="24"/>
      <c r="U50" s="1"/>
      <c r="V50" s="1"/>
      <c r="W50" s="1"/>
      <c r="X50" s="1"/>
      <c r="Y50" s="1"/>
      <c r="Z50" s="1"/>
      <c r="AA50" s="1"/>
      <c r="AB50" s="1"/>
      <c r="AC50" s="1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s="2" customFormat="1" ht="26.4" customHeight="1">
      <c r="A51" s="10">
        <v>2120</v>
      </c>
      <c r="B51" s="11" t="s">
        <v>2</v>
      </c>
      <c r="C51" s="12" t="s">
        <v>25</v>
      </c>
      <c r="D51" s="11"/>
      <c r="E51" s="32" t="s">
        <v>29</v>
      </c>
      <c r="F51" s="32" t="s">
        <v>76</v>
      </c>
      <c r="G51" s="32" t="s">
        <v>66</v>
      </c>
      <c r="H51" s="32" t="s">
        <v>67</v>
      </c>
      <c r="I51" s="21" t="s">
        <v>1</v>
      </c>
      <c r="J51" s="22">
        <v>0.3</v>
      </c>
      <c r="K51" s="21" t="s">
        <v>39</v>
      </c>
      <c r="L51" s="31" t="s">
        <v>46</v>
      </c>
      <c r="M51" s="21" t="s">
        <v>59</v>
      </c>
      <c r="N51" s="22">
        <v>0.7</v>
      </c>
      <c r="O51" s="24">
        <v>0.1</v>
      </c>
      <c r="P51" s="22"/>
      <c r="Q51" s="24">
        <v>0</v>
      </c>
      <c r="R51" s="25">
        <v>0</v>
      </c>
      <c r="S51" s="24" t="s">
        <v>0</v>
      </c>
      <c r="T51" s="24"/>
      <c r="U51" s="1"/>
      <c r="V51" s="1"/>
      <c r="W51" s="1"/>
      <c r="X51" s="1"/>
      <c r="Y51" s="1"/>
      <c r="Z51" s="1"/>
      <c r="AA51" s="1"/>
      <c r="AB51" s="1"/>
      <c r="AC51" s="1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s="2" customFormat="1" ht="26.4" customHeight="1">
      <c r="A52" s="10">
        <v>2121</v>
      </c>
      <c r="B52" s="11" t="s">
        <v>2</v>
      </c>
      <c r="C52" s="12" t="s">
        <v>25</v>
      </c>
      <c r="D52" s="11"/>
      <c r="E52" s="32" t="s">
        <v>29</v>
      </c>
      <c r="F52" s="32" t="s">
        <v>76</v>
      </c>
      <c r="G52" s="32" t="s">
        <v>66</v>
      </c>
      <c r="H52" s="32" t="s">
        <v>67</v>
      </c>
      <c r="I52" s="21" t="s">
        <v>1</v>
      </c>
      <c r="J52" s="22">
        <v>0.3</v>
      </c>
      <c r="K52" s="21" t="s">
        <v>40</v>
      </c>
      <c r="L52" s="31" t="s">
        <v>45</v>
      </c>
      <c r="M52" s="21" t="s">
        <v>60</v>
      </c>
      <c r="N52" s="22" t="s">
        <v>62</v>
      </c>
      <c r="O52" s="24">
        <v>0.05</v>
      </c>
      <c r="P52" s="26"/>
      <c r="Q52" s="24">
        <v>0</v>
      </c>
      <c r="R52" s="25">
        <v>0</v>
      </c>
      <c r="S52" s="24" t="s">
        <v>4</v>
      </c>
      <c r="T52" s="24"/>
      <c r="U52" s="1"/>
      <c r="V52" s="1"/>
      <c r="W52" s="1"/>
      <c r="X52" s="1"/>
      <c r="Y52" s="1"/>
      <c r="Z52" s="1"/>
      <c r="AA52" s="1"/>
      <c r="AB52" s="1"/>
      <c r="AC52" s="1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s="2" customFormat="1" ht="26.4" customHeight="1">
      <c r="A53" s="10">
        <v>2122</v>
      </c>
      <c r="B53" s="11" t="s">
        <v>2</v>
      </c>
      <c r="C53" s="12" t="s">
        <v>25</v>
      </c>
      <c r="D53" s="11"/>
      <c r="E53" s="32" t="s">
        <v>29</v>
      </c>
      <c r="F53" s="32" t="s">
        <v>76</v>
      </c>
      <c r="G53" s="32" t="s">
        <v>66</v>
      </c>
      <c r="H53" s="32" t="s">
        <v>67</v>
      </c>
      <c r="I53" s="21" t="s">
        <v>3</v>
      </c>
      <c r="J53" s="14">
        <v>0.7</v>
      </c>
      <c r="K53" s="21"/>
      <c r="L53" s="31" t="s">
        <v>41</v>
      </c>
      <c r="M53" s="21"/>
      <c r="N53" s="29">
        <v>0</v>
      </c>
      <c r="O53" s="24">
        <v>0.05</v>
      </c>
      <c r="P53" s="26"/>
      <c r="Q53" s="24">
        <v>0</v>
      </c>
      <c r="R53" s="25">
        <v>0</v>
      </c>
      <c r="S53" s="24" t="s">
        <v>0</v>
      </c>
      <c r="T53" s="24"/>
      <c r="U53" s="1"/>
      <c r="V53" s="1"/>
      <c r="W53" s="1"/>
      <c r="X53" s="1"/>
      <c r="Y53" s="1"/>
      <c r="Z53" s="1"/>
      <c r="AA53" s="1"/>
      <c r="AB53" s="1"/>
      <c r="AC53" s="1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s="2" customFormat="1" ht="26.4" customHeight="1">
      <c r="A54" s="10">
        <v>2123</v>
      </c>
      <c r="B54" s="11" t="s">
        <v>2</v>
      </c>
      <c r="C54" s="12" t="s">
        <v>25</v>
      </c>
      <c r="D54" s="11"/>
      <c r="E54" s="32" t="s">
        <v>29</v>
      </c>
      <c r="F54" s="32" t="s">
        <v>76</v>
      </c>
      <c r="G54" s="32" t="s">
        <v>66</v>
      </c>
      <c r="H54" s="32" t="s">
        <v>67</v>
      </c>
      <c r="I54" s="21" t="s">
        <v>3</v>
      </c>
      <c r="J54" s="14">
        <v>0.7</v>
      </c>
      <c r="K54" s="21"/>
      <c r="L54" s="31" t="s">
        <v>43</v>
      </c>
      <c r="M54" s="21"/>
      <c r="N54" s="22">
        <v>1</v>
      </c>
      <c r="O54" s="24">
        <v>0.1</v>
      </c>
      <c r="P54" s="26"/>
      <c r="Q54" s="24">
        <v>0</v>
      </c>
      <c r="R54" s="25">
        <v>0</v>
      </c>
      <c r="S54" s="24" t="s">
        <v>0</v>
      </c>
      <c r="T54" s="24"/>
      <c r="U54" s="1"/>
      <c r="V54" s="1"/>
      <c r="W54" s="1"/>
      <c r="X54" s="1"/>
      <c r="Y54" s="1"/>
      <c r="Z54" s="1"/>
      <c r="AA54" s="1"/>
      <c r="AB54" s="1"/>
      <c r="AC54" s="1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s="2" customFormat="1" ht="26.4" customHeight="1">
      <c r="A55" s="10">
        <v>2124</v>
      </c>
      <c r="B55" s="11" t="s">
        <v>2</v>
      </c>
      <c r="C55" s="12" t="s">
        <v>25</v>
      </c>
      <c r="D55" s="11"/>
      <c r="E55" s="32" t="s">
        <v>29</v>
      </c>
      <c r="F55" s="32" t="s">
        <v>76</v>
      </c>
      <c r="G55" s="32" t="s">
        <v>66</v>
      </c>
      <c r="H55" s="32" t="s">
        <v>67</v>
      </c>
      <c r="I55" s="21" t="s">
        <v>1</v>
      </c>
      <c r="J55" s="22">
        <v>0.3</v>
      </c>
      <c r="K55" s="21" t="s">
        <v>42</v>
      </c>
      <c r="L55" s="31" t="s">
        <v>44</v>
      </c>
      <c r="M55" s="21" t="s">
        <v>61</v>
      </c>
      <c r="N55" s="29">
        <v>1</v>
      </c>
      <c r="O55" s="24">
        <v>0.05</v>
      </c>
      <c r="P55" s="23"/>
      <c r="Q55" s="24">
        <v>0</v>
      </c>
      <c r="R55" s="25">
        <v>0</v>
      </c>
      <c r="S55" s="24" t="s">
        <v>0</v>
      </c>
      <c r="T55" s="27"/>
      <c r="U55" s="1"/>
      <c r="V55" s="1"/>
      <c r="W55" s="1"/>
      <c r="X55" s="1"/>
      <c r="Y55" s="1"/>
      <c r="Z55" s="1"/>
      <c r="AA55" s="1"/>
      <c r="AB55" s="1"/>
      <c r="AC55" s="1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s="2" customFormat="1" ht="26.4" customHeight="1">
      <c r="A56" s="10">
        <v>2125</v>
      </c>
      <c r="B56" s="11" t="s">
        <v>2</v>
      </c>
      <c r="C56" s="12" t="s">
        <v>25</v>
      </c>
      <c r="D56" s="11" t="s">
        <v>77</v>
      </c>
      <c r="E56" s="32" t="s">
        <v>74</v>
      </c>
      <c r="F56" s="32" t="s">
        <v>75</v>
      </c>
      <c r="G56" s="32" t="s">
        <v>66</v>
      </c>
      <c r="H56" s="32" t="s">
        <v>67</v>
      </c>
      <c r="I56" s="13" t="s">
        <v>3</v>
      </c>
      <c r="J56" s="14">
        <v>0.7</v>
      </c>
      <c r="K56" s="15" t="s">
        <v>83</v>
      </c>
      <c r="L56" s="30" t="s">
        <v>84</v>
      </c>
      <c r="M56" s="15" t="s">
        <v>85</v>
      </c>
      <c r="N56" s="14" t="s">
        <v>86</v>
      </c>
      <c r="O56" s="14">
        <v>0.15</v>
      </c>
      <c r="P56" s="14"/>
      <c r="Q56" s="14">
        <f>ROUND(IF(OR(N56="",P56=""),0,IF(AND(N56=0,P56=0),1,IF(S56="+",P56/N56,N56/P56))),2)</f>
        <v>0</v>
      </c>
      <c r="R56" s="16">
        <f>IF(AND(Q56&gt;=60%,Q56&lt;100%),Q56*((O56*J56)),IF(Q56=100%,((O56*J56)*Q56)*100%,IF(Q56&gt;100%,((J56*O56)*100%)*100%,0)))*100</f>
        <v>0</v>
      </c>
      <c r="S56" s="14" t="s">
        <v>0</v>
      </c>
      <c r="T56" s="17">
        <f>SUM(R56:R62)%</f>
        <v>0</v>
      </c>
      <c r="U56" s="1"/>
      <c r="V56" s="1"/>
      <c r="W56" s="1"/>
      <c r="X56" s="1"/>
      <c r="Y56" s="1"/>
      <c r="Z56" s="1"/>
      <c r="AA56" s="1"/>
      <c r="AB56" s="1"/>
      <c r="AC56" s="1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s="2" customFormat="1" ht="26.4" customHeight="1">
      <c r="A57" s="10">
        <v>2126</v>
      </c>
      <c r="B57" s="11" t="s">
        <v>2</v>
      </c>
      <c r="C57" s="12" t="s">
        <v>25</v>
      </c>
      <c r="D57" s="11" t="s">
        <v>77</v>
      </c>
      <c r="E57" s="32" t="s">
        <v>74</v>
      </c>
      <c r="F57" s="32" t="s">
        <v>75</v>
      </c>
      <c r="G57" s="32" t="s">
        <v>66</v>
      </c>
      <c r="H57" s="32" t="s">
        <v>67</v>
      </c>
      <c r="I57" s="13" t="s">
        <v>3</v>
      </c>
      <c r="J57" s="14">
        <v>0.7</v>
      </c>
      <c r="K57" s="15" t="s">
        <v>88</v>
      </c>
      <c r="L57" s="30" t="s">
        <v>89</v>
      </c>
      <c r="M57" s="15" t="s">
        <v>90</v>
      </c>
      <c r="N57" s="14" t="s">
        <v>91</v>
      </c>
      <c r="O57" s="14">
        <v>0.15</v>
      </c>
      <c r="P57" s="18"/>
      <c r="Q57" s="14">
        <f>ROUND(IF(OR(N57="",P57=""),0,IF(AND(N57=0,P57=0),1,IF(S57="+",P57/N57,N57/P57))),2)</f>
        <v>0</v>
      </c>
      <c r="R57" s="16">
        <f>IF(AND(Q57&gt;=60%,Q57&lt;100%),Q57*((O57*J57)),IF(Q57=100%,((O57*J57)*Q57)*100%,IF(Q57&gt;100%,((J57*O57)*100%)*100%,0)))*100</f>
        <v>0</v>
      </c>
      <c r="S57" s="14" t="s">
        <v>0</v>
      </c>
      <c r="T57" s="14"/>
      <c r="U57" s="1"/>
      <c r="V57" s="1"/>
      <c r="W57" s="1"/>
      <c r="X57" s="1"/>
      <c r="Y57" s="1"/>
      <c r="Z57" s="1"/>
      <c r="AA57" s="1"/>
      <c r="AB57" s="1"/>
      <c r="AC57" s="1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s="2" customFormat="1" ht="26.4" customHeight="1">
      <c r="A58" s="10">
        <v>2127</v>
      </c>
      <c r="B58" s="11" t="s">
        <v>2</v>
      </c>
      <c r="C58" s="12" t="s">
        <v>25</v>
      </c>
      <c r="D58" s="11" t="s">
        <v>77</v>
      </c>
      <c r="E58" s="32" t="s">
        <v>74</v>
      </c>
      <c r="F58" s="32" t="s">
        <v>75</v>
      </c>
      <c r="G58" s="32" t="s">
        <v>66</v>
      </c>
      <c r="H58" s="32" t="s">
        <v>67</v>
      </c>
      <c r="I58" s="13" t="s">
        <v>3</v>
      </c>
      <c r="J58" s="14">
        <v>0.7</v>
      </c>
      <c r="K58" s="15" t="s">
        <v>93</v>
      </c>
      <c r="L58" s="30" t="s">
        <v>94</v>
      </c>
      <c r="M58" s="15" t="s">
        <v>95</v>
      </c>
      <c r="N58" s="14" t="s">
        <v>96</v>
      </c>
      <c r="O58" s="14">
        <v>0.1</v>
      </c>
      <c r="P58" s="18"/>
      <c r="Q58" s="14">
        <f t="shared" ref="Q58:Q59" si="9">ROUND(IF(OR(N58="",P58=""),0,IF(AND(N58=0,P58=0),1,IF(S58="+",P58/N58,N58/P58))),2)</f>
        <v>0</v>
      </c>
      <c r="R58" s="16">
        <f>IF(AND(Q58&gt;=60%,Q58&lt;100%),Q58*((O58*J58)),IF(Q58=100%,((O58*J58)*Q58)*100%,IF(Q58&gt;100%,((J58*O58)*100%)*100%,0)))*100</f>
        <v>0</v>
      </c>
      <c r="S58" s="14" t="s">
        <v>4</v>
      </c>
      <c r="T58" s="14"/>
      <c r="U58" s="1"/>
      <c r="V58" s="1"/>
      <c r="W58" s="1"/>
      <c r="X58" s="1"/>
      <c r="Y58" s="1"/>
      <c r="Z58" s="1"/>
      <c r="AA58" s="1"/>
      <c r="AB58" s="1"/>
      <c r="AC58" s="1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s="2" customFormat="1" ht="26.4" customHeight="1">
      <c r="A59" s="10">
        <v>2128</v>
      </c>
      <c r="B59" s="11" t="s">
        <v>2</v>
      </c>
      <c r="C59" s="12" t="s">
        <v>25</v>
      </c>
      <c r="D59" s="11" t="s">
        <v>77</v>
      </c>
      <c r="E59" s="32" t="s">
        <v>74</v>
      </c>
      <c r="F59" s="32" t="s">
        <v>75</v>
      </c>
      <c r="G59" s="32" t="s">
        <v>66</v>
      </c>
      <c r="H59" s="32" t="s">
        <v>67</v>
      </c>
      <c r="I59" s="13" t="s">
        <v>3</v>
      </c>
      <c r="J59" s="14">
        <v>0.7</v>
      </c>
      <c r="K59" s="15" t="s">
        <v>98</v>
      </c>
      <c r="L59" s="30" t="s">
        <v>99</v>
      </c>
      <c r="M59" s="15" t="s">
        <v>100</v>
      </c>
      <c r="N59" s="14" t="s">
        <v>91</v>
      </c>
      <c r="O59" s="14">
        <v>0.1</v>
      </c>
      <c r="P59" s="19"/>
      <c r="Q59" s="14">
        <f t="shared" si="9"/>
        <v>0</v>
      </c>
      <c r="R59" s="16">
        <f>IF(AND(Q59&gt;=60%,Q59&lt;100%),Q59*((O59*J59)),IF(Q59=100%,((O59*J59)*Q59)*100%,IF(Q59&gt;100%,((J59*O59)*100%)*100%,0)))*100</f>
        <v>0</v>
      </c>
      <c r="S59" s="14" t="s">
        <v>0</v>
      </c>
      <c r="T59" s="14"/>
      <c r="U59" s="1"/>
      <c r="V59" s="1"/>
      <c r="W59" s="1"/>
      <c r="X59" s="1"/>
      <c r="Y59" s="1"/>
      <c r="Z59" s="1"/>
      <c r="AA59" s="1"/>
      <c r="AB59" s="1"/>
      <c r="AC59" s="1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s="2" customFormat="1" ht="26.4" customHeight="1">
      <c r="A60" s="10">
        <v>2129</v>
      </c>
      <c r="B60" s="11" t="s">
        <v>2</v>
      </c>
      <c r="C60" s="12" t="s">
        <v>25</v>
      </c>
      <c r="D60" s="11" t="s">
        <v>77</v>
      </c>
      <c r="E60" s="32" t="s">
        <v>74</v>
      </c>
      <c r="F60" s="32" t="s">
        <v>75</v>
      </c>
      <c r="G60" s="32" t="s">
        <v>66</v>
      </c>
      <c r="H60" s="32" t="s">
        <v>67</v>
      </c>
      <c r="I60" s="13" t="s">
        <v>3</v>
      </c>
      <c r="J60" s="14">
        <v>0.7</v>
      </c>
      <c r="K60" s="15" t="s">
        <v>102</v>
      </c>
      <c r="L60" s="30" t="s">
        <v>103</v>
      </c>
      <c r="M60" s="15" t="s">
        <v>104</v>
      </c>
      <c r="N60" s="28" t="s">
        <v>105</v>
      </c>
      <c r="O60" s="14">
        <v>0.1</v>
      </c>
      <c r="P60" s="20"/>
      <c r="Q60" s="14">
        <f>ROUND(IF(OR(N60="",P60=""),0,IF(AND(N60=0,P60=0),1,IF(S60="+",P60/N60,N60/P60))),2)</f>
        <v>0</v>
      </c>
      <c r="R60" s="16">
        <f t="shared" ref="R60:R62" si="10">IF(AND(Q60&gt;=60%,Q60&lt;100%),Q60*((O60*J60)),IF(Q60=100%,((O60*J60)*Q60)*100%,IF(Q60&gt;100%,((J60*O60)*100%)*100%,0)))*100</f>
        <v>0</v>
      </c>
      <c r="S60" s="14" t="s">
        <v>0</v>
      </c>
      <c r="T60" s="14"/>
      <c r="U60" s="1"/>
      <c r="V60" s="1"/>
      <c r="W60" s="1"/>
      <c r="X60" s="1"/>
      <c r="Y60" s="1"/>
      <c r="Z60" s="1"/>
      <c r="AA60" s="1"/>
      <c r="AB60" s="1"/>
      <c r="AC60" s="1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s="2" customFormat="1" ht="26.4" customHeight="1">
      <c r="A61" s="10">
        <v>2130</v>
      </c>
      <c r="B61" s="11" t="s">
        <v>2</v>
      </c>
      <c r="C61" s="12" t="s">
        <v>25</v>
      </c>
      <c r="D61" s="11" t="s">
        <v>77</v>
      </c>
      <c r="E61" s="32" t="s">
        <v>74</v>
      </c>
      <c r="F61" s="32" t="s">
        <v>75</v>
      </c>
      <c r="G61" s="32" t="s">
        <v>66</v>
      </c>
      <c r="H61" s="32" t="s">
        <v>67</v>
      </c>
      <c r="I61" s="13" t="s">
        <v>1</v>
      </c>
      <c r="J61" s="14">
        <v>0.2</v>
      </c>
      <c r="K61" s="21" t="s">
        <v>107</v>
      </c>
      <c r="L61" s="31" t="s">
        <v>108</v>
      </c>
      <c r="M61" s="21" t="s">
        <v>109</v>
      </c>
      <c r="N61" s="22" t="s">
        <v>86</v>
      </c>
      <c r="O61" s="24">
        <v>0.2</v>
      </c>
      <c r="P61" s="20"/>
      <c r="Q61" s="24">
        <f t="shared" ref="Q61" si="11">ROUND(IF(OR(N61="",P61=""),0,IF(AND(N61=0,P61=0),1,IF(S61="+",P61/N61,N61/P61))),2)</f>
        <v>0</v>
      </c>
      <c r="R61" s="25">
        <f t="shared" si="10"/>
        <v>0</v>
      </c>
      <c r="S61" s="24" t="s">
        <v>0</v>
      </c>
      <c r="T61" s="24"/>
      <c r="U61" s="1"/>
      <c r="V61" s="1"/>
      <c r="W61" s="1"/>
      <c r="X61" s="1"/>
      <c r="Y61" s="1"/>
      <c r="Z61" s="1"/>
      <c r="AA61" s="1"/>
      <c r="AB61" s="1"/>
      <c r="AC61" s="1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s="2" customFormat="1" ht="26.4" customHeight="1">
      <c r="A62" s="10">
        <v>2132</v>
      </c>
      <c r="B62" s="11" t="s">
        <v>2</v>
      </c>
      <c r="C62" s="12" t="s">
        <v>25</v>
      </c>
      <c r="D62" s="11" t="s">
        <v>77</v>
      </c>
      <c r="E62" s="32" t="s">
        <v>74</v>
      </c>
      <c r="F62" s="32" t="s">
        <v>75</v>
      </c>
      <c r="G62" s="32" t="s">
        <v>66</v>
      </c>
      <c r="H62" s="32" t="s">
        <v>67</v>
      </c>
      <c r="I62" s="21" t="s">
        <v>129</v>
      </c>
      <c r="J62" s="22">
        <v>0.1</v>
      </c>
      <c r="K62" s="21" t="s">
        <v>116</v>
      </c>
      <c r="L62" s="31" t="s">
        <v>117</v>
      </c>
      <c r="M62" s="21" t="s">
        <v>113</v>
      </c>
      <c r="N62" s="22" t="s">
        <v>119</v>
      </c>
      <c r="O62" s="24">
        <v>0.2</v>
      </c>
      <c r="P62" s="26"/>
      <c r="Q62" s="24">
        <f>ROUND(IF(OR(N62="",P62=""),0,IF(AND(N62=0,P62=0),1,IF(S62="+",P62/N62,N62/P62))),2)</f>
        <v>0</v>
      </c>
      <c r="R62" s="25">
        <f t="shared" si="10"/>
        <v>0</v>
      </c>
      <c r="S62" s="24" t="s">
        <v>0</v>
      </c>
      <c r="T62" s="24"/>
      <c r="U62" s="1"/>
      <c r="V62" s="1"/>
      <c r="W62" s="1"/>
      <c r="X62" s="1"/>
      <c r="Y62" s="1"/>
      <c r="Z62" s="1"/>
      <c r="AA62" s="1"/>
      <c r="AB62" s="1"/>
      <c r="AC62" s="1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s="2" customFormat="1" ht="26.4" customHeight="1">
      <c r="A63" s="10">
        <v>2136</v>
      </c>
      <c r="B63" s="11" t="s">
        <v>2</v>
      </c>
      <c r="C63" s="12" t="s">
        <v>25</v>
      </c>
      <c r="D63" s="11" t="s">
        <v>78</v>
      </c>
      <c r="E63" s="32" t="s">
        <v>30</v>
      </c>
      <c r="F63" s="32" t="s">
        <v>79</v>
      </c>
      <c r="G63" s="32" t="s">
        <v>66</v>
      </c>
      <c r="H63" s="32" t="s">
        <v>67</v>
      </c>
      <c r="I63" s="13" t="s">
        <v>3</v>
      </c>
      <c r="J63" s="14">
        <v>0.7</v>
      </c>
      <c r="K63" s="15" t="s">
        <v>150</v>
      </c>
      <c r="L63" s="30" t="s">
        <v>139</v>
      </c>
      <c r="M63" s="15" t="s">
        <v>151</v>
      </c>
      <c r="N63" s="14" t="s">
        <v>86</v>
      </c>
      <c r="O63" s="14">
        <v>0.15</v>
      </c>
      <c r="P63" s="14"/>
      <c r="Q63" s="14">
        <f>ROUND(IF(OR(N63="",P63=""),0,IF(AND(N63=0,P63=0),1,IF(S63="+",P63/N63,N63/P63))),2)</f>
        <v>0</v>
      </c>
      <c r="R63" s="16">
        <f>IF(AND(Q63&gt;=60%,Q63&lt;100%),Q63*((O63*J63)),IF(Q63=100%,((O63*J63)*Q63)*100%,IF(Q63&gt;100%,((J63*O63)*100%)*100%,0)))*100</f>
        <v>0</v>
      </c>
      <c r="S63" s="14" t="s">
        <v>0</v>
      </c>
      <c r="T63" s="17">
        <f>SUM(R63:R71)%</f>
        <v>0</v>
      </c>
      <c r="U63" s="1"/>
      <c r="V63" s="1"/>
      <c r="W63" s="1"/>
      <c r="X63" s="1"/>
      <c r="Y63" s="1"/>
      <c r="Z63" s="1"/>
      <c r="AA63" s="1"/>
      <c r="AB63" s="1"/>
      <c r="AC63" s="1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s="2" customFormat="1" ht="26.4" customHeight="1">
      <c r="A64" s="10">
        <v>2137</v>
      </c>
      <c r="B64" s="11" t="s">
        <v>2</v>
      </c>
      <c r="C64" s="12" t="s">
        <v>25</v>
      </c>
      <c r="D64" s="11" t="s">
        <v>78</v>
      </c>
      <c r="E64" s="32" t="s">
        <v>30</v>
      </c>
      <c r="F64" s="32" t="s">
        <v>79</v>
      </c>
      <c r="G64" s="32" t="s">
        <v>66</v>
      </c>
      <c r="H64" s="32" t="s">
        <v>67</v>
      </c>
      <c r="I64" s="13" t="s">
        <v>3</v>
      </c>
      <c r="J64" s="14">
        <v>0.7</v>
      </c>
      <c r="K64" s="15" t="s">
        <v>153</v>
      </c>
      <c r="L64" s="30" t="s">
        <v>140</v>
      </c>
      <c r="M64" s="15" t="s">
        <v>154</v>
      </c>
      <c r="N64" s="14">
        <v>1</v>
      </c>
      <c r="O64" s="14">
        <v>0.12</v>
      </c>
      <c r="P64" s="18"/>
      <c r="Q64" s="14">
        <f>ROUND(IF(OR(N64="",P64=""),0,IF(AND(N64=0,P64=0),1,IF(S64="+",P64/N64,N64/P64))),2)</f>
        <v>0</v>
      </c>
      <c r="R64" s="16">
        <f>IF(AND(Q64&gt;=60%,Q64&lt;100%),Q64*((O64*J64)),IF(Q64=100%,((O64*J64)*Q64)*100%,IF(Q64&gt;100%,((J64*O64)*100%)*100%,0)))*100</f>
        <v>0</v>
      </c>
      <c r="S64" s="14" t="s">
        <v>0</v>
      </c>
      <c r="T64" s="14"/>
      <c r="U64" s="1"/>
      <c r="V64" s="1"/>
      <c r="W64" s="1"/>
      <c r="X64" s="1"/>
      <c r="Y64" s="1"/>
      <c r="Z64" s="1"/>
      <c r="AA64" s="1"/>
      <c r="AB64" s="1"/>
      <c r="AC64" s="1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s="2" customFormat="1" ht="26.4" customHeight="1">
      <c r="A65" s="10">
        <v>2138</v>
      </c>
      <c r="B65" s="11" t="s">
        <v>2</v>
      </c>
      <c r="C65" s="12" t="s">
        <v>25</v>
      </c>
      <c r="D65" s="11" t="s">
        <v>78</v>
      </c>
      <c r="E65" s="32" t="s">
        <v>30</v>
      </c>
      <c r="F65" s="32" t="s">
        <v>79</v>
      </c>
      <c r="G65" s="32" t="s">
        <v>66</v>
      </c>
      <c r="H65" s="32" t="s">
        <v>67</v>
      </c>
      <c r="I65" s="13" t="s">
        <v>3</v>
      </c>
      <c r="J65" s="14">
        <v>0.7</v>
      </c>
      <c r="K65" s="15" t="s">
        <v>141</v>
      </c>
      <c r="L65" s="30" t="s">
        <v>142</v>
      </c>
      <c r="M65" s="15" t="s">
        <v>156</v>
      </c>
      <c r="N65" s="14" t="s">
        <v>157</v>
      </c>
      <c r="O65" s="14">
        <v>0.1</v>
      </c>
      <c r="P65" s="18"/>
      <c r="Q65" s="14">
        <f t="shared" ref="Q65:Q66" si="12">ROUND(IF(OR(N65="",P65=""),0,IF(AND(N65=0,P65=0),1,IF(S65="+",P65/N65,N65/P65))),2)</f>
        <v>0</v>
      </c>
      <c r="R65" s="16">
        <f>IF(AND(Q65&gt;=60%,Q65&lt;100%),Q65*((O65*J65)),IF(Q65=100%,((O65*J65)*Q65)*100%,IF(Q65&gt;100%,((J65*O65)*100%)*100%,0)))*100</f>
        <v>0</v>
      </c>
      <c r="S65" s="14" t="s">
        <v>4</v>
      </c>
      <c r="T65" s="14"/>
      <c r="U65" s="1"/>
      <c r="V65" s="1"/>
      <c r="W65" s="1"/>
      <c r="X65" s="1"/>
      <c r="Y65" s="1"/>
      <c r="Z65" s="1"/>
      <c r="AA65" s="1"/>
      <c r="AB65" s="1"/>
      <c r="AC65" s="1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s="2" customFormat="1" ht="26.4" customHeight="1">
      <c r="A66" s="10">
        <v>2139</v>
      </c>
      <c r="B66" s="11" t="s">
        <v>2</v>
      </c>
      <c r="C66" s="12" t="s">
        <v>25</v>
      </c>
      <c r="D66" s="11" t="s">
        <v>78</v>
      </c>
      <c r="E66" s="32" t="s">
        <v>30</v>
      </c>
      <c r="F66" s="32" t="s">
        <v>79</v>
      </c>
      <c r="G66" s="32" t="s">
        <v>66</v>
      </c>
      <c r="H66" s="32" t="s">
        <v>67</v>
      </c>
      <c r="I66" s="13" t="s">
        <v>1</v>
      </c>
      <c r="J66" s="14">
        <v>0.3</v>
      </c>
      <c r="K66" s="15" t="s">
        <v>159</v>
      </c>
      <c r="L66" s="30" t="s">
        <v>143</v>
      </c>
      <c r="M66" s="15" t="s">
        <v>160</v>
      </c>
      <c r="N66" s="14" t="s">
        <v>161</v>
      </c>
      <c r="O66" s="14">
        <v>0.1</v>
      </c>
      <c r="P66" s="19"/>
      <c r="Q66" s="14">
        <f t="shared" si="12"/>
        <v>0</v>
      </c>
      <c r="R66" s="16">
        <f>IF(AND(Q66&gt;=60%,Q66&lt;100%),Q66*((O66*J66)),IF(Q66=100%,((O66*J66)*Q66)*100%,IF(Q66&gt;100%,((J66*O66)*100%)*100%,0)))*100</f>
        <v>0</v>
      </c>
      <c r="S66" s="14" t="s">
        <v>4</v>
      </c>
      <c r="T66" s="14"/>
      <c r="U66" s="1"/>
      <c r="V66" s="1"/>
      <c r="W66" s="1"/>
      <c r="X66" s="1"/>
      <c r="Y66" s="1"/>
      <c r="Z66" s="1"/>
      <c r="AA66" s="1"/>
      <c r="AB66" s="1"/>
      <c r="AC66" s="1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s="2" customFormat="1" ht="26.4" customHeight="1">
      <c r="A67" s="10">
        <v>2140</v>
      </c>
      <c r="B67" s="11" t="s">
        <v>2</v>
      </c>
      <c r="C67" s="12" t="s">
        <v>25</v>
      </c>
      <c r="D67" s="11" t="s">
        <v>78</v>
      </c>
      <c r="E67" s="32" t="s">
        <v>30</v>
      </c>
      <c r="F67" s="32" t="s">
        <v>79</v>
      </c>
      <c r="G67" s="32" t="s">
        <v>66</v>
      </c>
      <c r="H67" s="32" t="s">
        <v>67</v>
      </c>
      <c r="I67" s="13" t="s">
        <v>1</v>
      </c>
      <c r="J67" s="14">
        <v>0.3</v>
      </c>
      <c r="K67" s="15" t="s">
        <v>163</v>
      </c>
      <c r="L67" s="30" t="s">
        <v>144</v>
      </c>
      <c r="M67" s="15" t="s">
        <v>164</v>
      </c>
      <c r="N67" s="28">
        <v>1</v>
      </c>
      <c r="O67" s="14">
        <v>0.1</v>
      </c>
      <c r="P67" s="20"/>
      <c r="Q67" s="14">
        <f>ROUND(IF(OR(N67="",P67=""),0,IF(AND(N67=0,P67=0),1,IF(S67="+",P67/N67,N67/P67))),2)</f>
        <v>0</v>
      </c>
      <c r="R67" s="16">
        <f t="shared" ref="R67:R71" si="13">IF(AND(Q67&gt;=60%,Q67&lt;100%),Q67*((O67*J67)),IF(Q67=100%,((O67*J67)*Q67)*100%,IF(Q67&gt;100%,((J67*O67)*100%)*100%,0)))*100</f>
        <v>0</v>
      </c>
      <c r="S67" s="14" t="s">
        <v>0</v>
      </c>
      <c r="T67" s="14"/>
      <c r="U67" s="1"/>
      <c r="V67" s="1"/>
      <c r="W67" s="1"/>
      <c r="X67" s="1"/>
      <c r="Y67" s="1"/>
      <c r="Z67" s="1"/>
      <c r="AA67" s="1"/>
      <c r="AB67" s="1"/>
      <c r="AC67" s="1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s="2" customFormat="1" ht="26.4" customHeight="1">
      <c r="A68" s="10">
        <v>2141</v>
      </c>
      <c r="B68" s="11" t="s">
        <v>2</v>
      </c>
      <c r="C68" s="12" t="s">
        <v>25</v>
      </c>
      <c r="D68" s="11" t="s">
        <v>78</v>
      </c>
      <c r="E68" s="32" t="s">
        <v>30</v>
      </c>
      <c r="F68" s="32" t="s">
        <v>79</v>
      </c>
      <c r="G68" s="32" t="s">
        <v>66</v>
      </c>
      <c r="H68" s="32" t="s">
        <v>67</v>
      </c>
      <c r="I68" s="13" t="s">
        <v>3</v>
      </c>
      <c r="J68" s="14">
        <v>0.7</v>
      </c>
      <c r="K68" s="21" t="s">
        <v>145</v>
      </c>
      <c r="L68" s="31" t="s">
        <v>146</v>
      </c>
      <c r="M68" s="21" t="s">
        <v>166</v>
      </c>
      <c r="N68" s="22" t="s">
        <v>147</v>
      </c>
      <c r="O68" s="24">
        <v>0.1</v>
      </c>
      <c r="P68" s="20"/>
      <c r="Q68" s="24">
        <f t="shared" ref="Q68:Q69" si="14">ROUND(IF(OR(N68="",P68=""),0,IF(AND(N68=0,P68=0),1,IF(S68="+",P68/N68,N68/P68))),2)</f>
        <v>0</v>
      </c>
      <c r="R68" s="25">
        <f t="shared" si="13"/>
        <v>0</v>
      </c>
      <c r="S68" s="24" t="s">
        <v>4</v>
      </c>
      <c r="T68" s="24"/>
      <c r="U68" s="1"/>
      <c r="V68" s="1"/>
      <c r="W68" s="1"/>
      <c r="X68" s="1"/>
      <c r="Y68" s="1"/>
      <c r="Z68" s="1"/>
      <c r="AA68" s="1"/>
      <c r="AB68" s="1"/>
      <c r="AC68" s="1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s="2" customFormat="1" ht="26.4" customHeight="1">
      <c r="A69" s="10">
        <v>2142</v>
      </c>
      <c r="B69" s="11" t="s">
        <v>2</v>
      </c>
      <c r="C69" s="12" t="s">
        <v>25</v>
      </c>
      <c r="D69" s="11" t="s">
        <v>78</v>
      </c>
      <c r="E69" s="32" t="s">
        <v>30</v>
      </c>
      <c r="F69" s="32" t="s">
        <v>79</v>
      </c>
      <c r="G69" s="32" t="s">
        <v>66</v>
      </c>
      <c r="H69" s="32" t="s">
        <v>67</v>
      </c>
      <c r="I69" s="21" t="s">
        <v>3</v>
      </c>
      <c r="J69" s="22">
        <v>0.7</v>
      </c>
      <c r="K69" s="21" t="s">
        <v>168</v>
      </c>
      <c r="L69" s="31" t="s">
        <v>148</v>
      </c>
      <c r="M69" s="21" t="s">
        <v>169</v>
      </c>
      <c r="N69" s="22" t="s">
        <v>170</v>
      </c>
      <c r="O69" s="24">
        <v>0.1</v>
      </c>
      <c r="P69" s="22"/>
      <c r="Q69" s="24">
        <f t="shared" si="14"/>
        <v>0</v>
      </c>
      <c r="R69" s="25">
        <f t="shared" si="13"/>
        <v>0</v>
      </c>
      <c r="S69" s="24" t="s">
        <v>0</v>
      </c>
      <c r="T69" s="24"/>
      <c r="U69" s="1"/>
      <c r="V69" s="1"/>
      <c r="W69" s="1"/>
      <c r="X69" s="1"/>
      <c r="Y69" s="1"/>
      <c r="Z69" s="1"/>
      <c r="AA69" s="1"/>
      <c r="AB69" s="1"/>
      <c r="AC69" s="1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s="2" customFormat="1" ht="26.4" customHeight="1">
      <c r="A70" s="10">
        <v>2143</v>
      </c>
      <c r="B70" s="11" t="s">
        <v>2</v>
      </c>
      <c r="C70" s="12" t="s">
        <v>182</v>
      </c>
      <c r="D70" s="11" t="s">
        <v>183</v>
      </c>
      <c r="E70" s="32" t="s">
        <v>30</v>
      </c>
      <c r="F70" s="32" t="s">
        <v>79</v>
      </c>
      <c r="G70" s="32" t="s">
        <v>66</v>
      </c>
      <c r="H70" s="32" t="s">
        <v>67</v>
      </c>
      <c r="I70" s="21" t="s">
        <v>3</v>
      </c>
      <c r="J70" s="22">
        <v>0.7</v>
      </c>
      <c r="K70" s="21" t="s">
        <v>172</v>
      </c>
      <c r="L70" s="31" t="s">
        <v>173</v>
      </c>
      <c r="M70" s="21" t="s">
        <v>174</v>
      </c>
      <c r="N70" s="22" t="s">
        <v>175</v>
      </c>
      <c r="O70" s="24">
        <v>0.12</v>
      </c>
      <c r="P70" s="22"/>
      <c r="Q70" s="24">
        <f t="shared" ref="Q70" si="15">ROUND(IF(OR(N70="",P70=""),0,IF(AND(N70=0,P70=0),1,IF(S70="+",P70/N70,N70/P70))),2)</f>
        <v>0</v>
      </c>
      <c r="R70" s="25">
        <f t="shared" ref="R70" si="16">IF(AND(Q70&gt;=60%,Q70&lt;100%),Q70*((O70*J70)),IF(Q70=100%,((O70*J70)*Q70)*100%,IF(Q70&gt;100%,((J70*O70)*100%)*100%,0)))*100</f>
        <v>0</v>
      </c>
      <c r="S70" s="24" t="s">
        <v>0</v>
      </c>
      <c r="T70" s="24"/>
      <c r="U70" s="1"/>
      <c r="V70" s="1"/>
      <c r="W70" s="1"/>
      <c r="X70" s="1"/>
      <c r="Y70" s="1"/>
      <c r="Z70" s="1"/>
      <c r="AA70" s="1"/>
      <c r="AB70" s="1"/>
      <c r="AC70" s="1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s="2" customFormat="1" ht="26.4" customHeight="1">
      <c r="A71" s="10">
        <v>2144</v>
      </c>
      <c r="B71" s="11" t="s">
        <v>2</v>
      </c>
      <c r="C71" s="12" t="s">
        <v>184</v>
      </c>
      <c r="D71" s="11" t="s">
        <v>185</v>
      </c>
      <c r="E71" s="32" t="s">
        <v>30</v>
      </c>
      <c r="F71" s="32" t="s">
        <v>79</v>
      </c>
      <c r="G71" s="32" t="s">
        <v>66</v>
      </c>
      <c r="H71" s="32" t="s">
        <v>67</v>
      </c>
      <c r="I71" s="21" t="s">
        <v>3</v>
      </c>
      <c r="J71" s="22">
        <v>0.7</v>
      </c>
      <c r="K71" s="21" t="s">
        <v>177</v>
      </c>
      <c r="L71" s="31" t="s">
        <v>178</v>
      </c>
      <c r="M71" s="21" t="s">
        <v>179</v>
      </c>
      <c r="N71" s="22" t="s">
        <v>180</v>
      </c>
      <c r="O71" s="24">
        <v>0.11</v>
      </c>
      <c r="P71" s="26"/>
      <c r="Q71" s="24">
        <f>ROUND(IF(OR(N71="",P71=""),0,IF(AND(N71=0,P71=0),1,IF(S71="+",P71/N71,N71/P71))),2)</f>
        <v>0</v>
      </c>
      <c r="R71" s="25">
        <f t="shared" si="13"/>
        <v>0</v>
      </c>
      <c r="S71" s="24" t="s">
        <v>4</v>
      </c>
      <c r="T71" s="24"/>
      <c r="U71" s="1"/>
      <c r="V71" s="1"/>
      <c r="W71" s="1"/>
      <c r="X71" s="1"/>
      <c r="Y71" s="1"/>
      <c r="Z71" s="1"/>
      <c r="AA71" s="1"/>
      <c r="AB71" s="1"/>
      <c r="AC71" s="1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</sheetData>
  <autoFilter ref="A1:T71" xr:uid="{EF69ACD4-275F-4C9A-974B-AFD888C0C24A}"/>
  <phoneticPr fontId="2" type="noConversion"/>
  <conditionalFormatting sqref="K1:M71 I1:I71">
    <cfRule type="cellIs" dxfId="0" priority="1" operator="equal">
      <formula>"maintasks"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7008-BC64-41F9-9FE9-A3A49848B379}">
  <dimension ref="A1:I11"/>
  <sheetViews>
    <sheetView workbookViewId="0">
      <selection activeCell="D2" sqref="D2:D11"/>
    </sheetView>
  </sheetViews>
  <sheetFormatPr defaultRowHeight="14.4"/>
  <cols>
    <col min="1" max="1" width="19.21875" style="33" customWidth="1"/>
    <col min="2" max="2" width="18.21875" style="33" customWidth="1"/>
    <col min="3" max="3" width="25.44140625" style="33" customWidth="1"/>
    <col min="4" max="4" width="22.77734375" style="33" customWidth="1"/>
    <col min="5" max="5" width="8.88671875" style="33"/>
    <col min="6" max="6" width="35.33203125" style="33" customWidth="1"/>
    <col min="7" max="7" width="17.88671875" style="33" customWidth="1"/>
    <col min="8" max="8" width="8.88671875" style="33"/>
  </cols>
  <sheetData>
    <row r="1" spans="1:9" ht="28.8">
      <c r="A1" s="34" t="s">
        <v>186</v>
      </c>
      <c r="B1" s="34" t="s">
        <v>193</v>
      </c>
      <c r="C1" s="34" t="s">
        <v>81</v>
      </c>
      <c r="D1" s="34" t="s">
        <v>136</v>
      </c>
      <c r="E1" s="33" t="s">
        <v>137</v>
      </c>
      <c r="F1" s="33" t="s">
        <v>82</v>
      </c>
      <c r="G1" s="33" t="s">
        <v>138</v>
      </c>
      <c r="H1" s="33" t="s">
        <v>149</v>
      </c>
      <c r="I1" t="s">
        <v>194</v>
      </c>
    </row>
    <row r="2" spans="1:9" ht="43.2">
      <c r="A2" s="34" t="s">
        <v>195</v>
      </c>
      <c r="B2" s="34" t="s">
        <v>131</v>
      </c>
      <c r="C2" s="38" t="s">
        <v>196</v>
      </c>
      <c r="D2" s="39">
        <v>0.95</v>
      </c>
      <c r="E2" s="33" t="s">
        <v>0</v>
      </c>
      <c r="F2" s="38" t="s">
        <v>197</v>
      </c>
      <c r="G2" s="33" t="s">
        <v>3</v>
      </c>
      <c r="H2" s="38">
        <v>0.1</v>
      </c>
      <c r="I2" s="43">
        <v>0.1</v>
      </c>
    </row>
    <row r="3" spans="1:9" ht="28.8">
      <c r="A3" s="33" t="s">
        <v>198</v>
      </c>
      <c r="B3" s="34" t="s">
        <v>132</v>
      </c>
      <c r="C3" s="38" t="s">
        <v>199</v>
      </c>
      <c r="D3" s="39" t="s">
        <v>200</v>
      </c>
      <c r="E3" s="33" t="s">
        <v>4</v>
      </c>
      <c r="F3" s="38" t="s">
        <v>201</v>
      </c>
      <c r="G3" s="33" t="s">
        <v>1</v>
      </c>
      <c r="H3" s="38">
        <v>0.1</v>
      </c>
      <c r="I3" s="43">
        <v>0.08</v>
      </c>
    </row>
    <row r="4" spans="1:9" ht="28.8">
      <c r="A4" s="33" t="s">
        <v>202</v>
      </c>
      <c r="B4" s="34" t="s">
        <v>133</v>
      </c>
      <c r="C4" s="38" t="s">
        <v>203</v>
      </c>
      <c r="D4" s="39">
        <v>1</v>
      </c>
      <c r="E4" s="33" t="s">
        <v>4</v>
      </c>
      <c r="F4" s="38" t="s">
        <v>204</v>
      </c>
      <c r="G4" s="33" t="s">
        <v>3</v>
      </c>
      <c r="H4" s="38">
        <v>0.15</v>
      </c>
      <c r="I4" s="43">
        <v>0.15</v>
      </c>
    </row>
    <row r="5" spans="1:9" ht="43.2">
      <c r="A5" s="34" t="s">
        <v>205</v>
      </c>
      <c r="B5" s="34" t="s">
        <v>134</v>
      </c>
      <c r="C5" s="38" t="s">
        <v>206</v>
      </c>
      <c r="D5" s="39">
        <v>0.95</v>
      </c>
      <c r="E5" s="33" t="s">
        <v>0</v>
      </c>
      <c r="F5" s="38" t="s">
        <v>207</v>
      </c>
      <c r="G5" s="33" t="s">
        <v>3</v>
      </c>
      <c r="H5" s="38">
        <v>0.1</v>
      </c>
      <c r="I5" s="43">
        <v>0.1</v>
      </c>
    </row>
    <row r="6" spans="1:9" ht="43.2">
      <c r="A6" s="33" t="s">
        <v>208</v>
      </c>
      <c r="B6" s="34" t="s">
        <v>135</v>
      </c>
      <c r="C6" s="38" t="s">
        <v>209</v>
      </c>
      <c r="D6" s="39">
        <v>1</v>
      </c>
      <c r="E6" s="33" t="s">
        <v>0</v>
      </c>
      <c r="F6" s="38" t="s">
        <v>210</v>
      </c>
      <c r="G6" s="33" t="s">
        <v>1</v>
      </c>
      <c r="H6" s="38">
        <v>0.1</v>
      </c>
      <c r="I6" s="43">
        <v>0.1</v>
      </c>
    </row>
    <row r="7" spans="1:9" ht="28.8">
      <c r="A7" s="34" t="s">
        <v>188</v>
      </c>
      <c r="B7" s="34" t="s">
        <v>187</v>
      </c>
      <c r="C7" s="38" t="s">
        <v>211</v>
      </c>
      <c r="D7" s="39">
        <v>1</v>
      </c>
      <c r="E7" s="33" t="s">
        <v>0</v>
      </c>
      <c r="F7" s="38" t="s">
        <v>212</v>
      </c>
      <c r="G7" s="33" t="s">
        <v>3</v>
      </c>
      <c r="H7" s="38">
        <v>0.1</v>
      </c>
      <c r="I7" s="43">
        <v>0.08</v>
      </c>
    </row>
    <row r="8" spans="1:9" ht="43.2">
      <c r="A8" s="33" t="s">
        <v>190</v>
      </c>
      <c r="B8" s="34" t="s">
        <v>189</v>
      </c>
      <c r="C8" s="38" t="s">
        <v>213</v>
      </c>
      <c r="D8" s="39">
        <v>1</v>
      </c>
      <c r="E8" s="33" t="s">
        <v>0</v>
      </c>
      <c r="F8" s="38" t="s">
        <v>214</v>
      </c>
      <c r="G8" s="33" t="s">
        <v>3</v>
      </c>
      <c r="H8" s="38">
        <v>0.1</v>
      </c>
      <c r="I8" s="43">
        <v>0.08</v>
      </c>
    </row>
    <row r="9" spans="1:9" ht="28.8">
      <c r="A9" s="34" t="s">
        <v>191</v>
      </c>
      <c r="B9" s="34" t="s">
        <v>215</v>
      </c>
      <c r="C9" s="38" t="s">
        <v>216</v>
      </c>
      <c r="D9" s="39" t="s">
        <v>217</v>
      </c>
      <c r="E9" s="33" t="s">
        <v>4</v>
      </c>
      <c r="F9" s="38" t="s">
        <v>218</v>
      </c>
      <c r="G9" s="33" t="s">
        <v>1</v>
      </c>
      <c r="H9" s="38">
        <v>0.1</v>
      </c>
      <c r="I9" s="43">
        <v>0.1</v>
      </c>
    </row>
    <row r="10" spans="1:9" ht="28.8">
      <c r="A10" s="34" t="s">
        <v>192</v>
      </c>
      <c r="B10" s="34" t="s">
        <v>219</v>
      </c>
      <c r="C10" s="38" t="s">
        <v>220</v>
      </c>
      <c r="D10" s="39" t="s">
        <v>221</v>
      </c>
      <c r="E10" s="33" t="s">
        <v>0</v>
      </c>
      <c r="F10" s="38" t="s">
        <v>222</v>
      </c>
      <c r="G10" s="33" t="s">
        <v>1</v>
      </c>
      <c r="H10" s="38">
        <v>0.1</v>
      </c>
      <c r="I10" s="43">
        <v>0.1</v>
      </c>
    </row>
    <row r="11" spans="1:9" ht="28.8">
      <c r="A11" s="33" t="s">
        <v>223</v>
      </c>
      <c r="B11" s="33" t="s">
        <v>226</v>
      </c>
      <c r="C11" s="33" t="s">
        <v>225</v>
      </c>
      <c r="D11" s="38">
        <v>1</v>
      </c>
      <c r="E11" s="33" t="s">
        <v>0</v>
      </c>
      <c r="F11" s="38" t="s">
        <v>224</v>
      </c>
      <c r="G11" s="33" t="s">
        <v>1</v>
      </c>
      <c r="H11" s="38">
        <v>0.1</v>
      </c>
      <c r="I11" s="4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FE35-885C-4DEB-9EBF-884A33840B5F}">
  <dimension ref="A1:I9"/>
  <sheetViews>
    <sheetView workbookViewId="0">
      <selection activeCell="D2" sqref="D2:D9"/>
    </sheetView>
  </sheetViews>
  <sheetFormatPr defaultRowHeight="14.4"/>
  <cols>
    <col min="2" max="2" width="18.21875" customWidth="1"/>
    <col min="3" max="3" width="19" customWidth="1"/>
    <col min="4" max="4" width="25.44140625" customWidth="1"/>
    <col min="5" max="5" width="15.44140625" customWidth="1"/>
    <col min="7" max="7" width="25.6640625" customWidth="1"/>
    <col min="8" max="8" width="14.33203125" customWidth="1"/>
  </cols>
  <sheetData>
    <row r="1" spans="1:9" ht="28.8">
      <c r="A1" s="34" t="s">
        <v>80</v>
      </c>
      <c r="B1" s="34" t="s">
        <v>14</v>
      </c>
      <c r="C1" s="34" t="s">
        <v>13</v>
      </c>
      <c r="D1" s="34" t="s">
        <v>81</v>
      </c>
      <c r="E1" s="34" t="s">
        <v>11</v>
      </c>
      <c r="F1" s="34" t="s">
        <v>6</v>
      </c>
      <c r="G1" s="34" t="s">
        <v>82</v>
      </c>
      <c r="H1" s="34" t="s">
        <v>128</v>
      </c>
      <c r="I1" s="34" t="s">
        <v>130</v>
      </c>
    </row>
    <row r="2" spans="1:9" ht="43.2">
      <c r="A2" s="35">
        <v>1</v>
      </c>
      <c r="B2" s="35" t="s">
        <v>83</v>
      </c>
      <c r="C2" s="35" t="s">
        <v>84</v>
      </c>
      <c r="D2" s="35" t="s">
        <v>85</v>
      </c>
      <c r="E2" s="35" t="s">
        <v>86</v>
      </c>
      <c r="F2" s="35" t="s">
        <v>0</v>
      </c>
      <c r="G2" s="35" t="s">
        <v>120</v>
      </c>
      <c r="H2" s="35" t="s">
        <v>3</v>
      </c>
      <c r="I2" s="36">
        <v>0.15</v>
      </c>
    </row>
    <row r="3" spans="1:9" ht="43.2">
      <c r="A3" s="35" t="s">
        <v>87</v>
      </c>
      <c r="B3" s="35" t="s">
        <v>88</v>
      </c>
      <c r="C3" s="35" t="s">
        <v>89</v>
      </c>
      <c r="D3" s="35" t="s">
        <v>90</v>
      </c>
      <c r="E3" s="35" t="s">
        <v>91</v>
      </c>
      <c r="F3" s="35" t="s">
        <v>0</v>
      </c>
      <c r="G3" s="35" t="s">
        <v>121</v>
      </c>
      <c r="H3" s="35" t="s">
        <v>3</v>
      </c>
      <c r="I3" s="36">
        <v>0.15</v>
      </c>
    </row>
    <row r="4" spans="1:9" ht="28.8">
      <c r="A4" s="35" t="s">
        <v>92</v>
      </c>
      <c r="B4" s="35" t="s">
        <v>93</v>
      </c>
      <c r="C4" s="35" t="s">
        <v>94</v>
      </c>
      <c r="D4" s="35" t="s">
        <v>95</v>
      </c>
      <c r="E4" s="35" t="s">
        <v>96</v>
      </c>
      <c r="F4" s="35" t="s">
        <v>4</v>
      </c>
      <c r="G4" s="35" t="s">
        <v>122</v>
      </c>
      <c r="H4" s="35" t="s">
        <v>3</v>
      </c>
      <c r="I4" s="36">
        <v>0.1</v>
      </c>
    </row>
    <row r="5" spans="1:9" ht="28.8">
      <c r="A5" s="35" t="s">
        <v>97</v>
      </c>
      <c r="B5" s="35" t="s">
        <v>98</v>
      </c>
      <c r="C5" s="35" t="s">
        <v>99</v>
      </c>
      <c r="D5" s="35" t="s">
        <v>100</v>
      </c>
      <c r="E5" s="35" t="s">
        <v>91</v>
      </c>
      <c r="F5" s="35" t="s">
        <v>0</v>
      </c>
      <c r="G5" s="35" t="s">
        <v>123</v>
      </c>
      <c r="H5" s="35" t="s">
        <v>3</v>
      </c>
      <c r="I5" s="36">
        <v>0.1</v>
      </c>
    </row>
    <row r="6" spans="1:9" ht="43.2">
      <c r="A6" s="35" t="s">
        <v>101</v>
      </c>
      <c r="B6" s="35" t="s">
        <v>102</v>
      </c>
      <c r="C6" s="35" t="s">
        <v>103</v>
      </c>
      <c r="D6" s="35" t="s">
        <v>104</v>
      </c>
      <c r="E6" s="35" t="s">
        <v>105</v>
      </c>
      <c r="F6" s="35" t="s">
        <v>0</v>
      </c>
      <c r="G6" s="35" t="s">
        <v>124</v>
      </c>
      <c r="H6" s="35" t="s">
        <v>3</v>
      </c>
      <c r="I6" s="36">
        <v>0.1</v>
      </c>
    </row>
    <row r="7" spans="1:9" ht="28.8">
      <c r="A7" s="35" t="s">
        <v>106</v>
      </c>
      <c r="B7" s="35" t="s">
        <v>107</v>
      </c>
      <c r="C7" s="35" t="s">
        <v>108</v>
      </c>
      <c r="D7" s="35" t="s">
        <v>109</v>
      </c>
      <c r="E7" s="35" t="s">
        <v>86</v>
      </c>
      <c r="F7" s="35" t="s">
        <v>0</v>
      </c>
      <c r="G7" s="35" t="s">
        <v>125</v>
      </c>
      <c r="H7" s="35" t="s">
        <v>1</v>
      </c>
      <c r="I7" s="36">
        <v>0.25</v>
      </c>
    </row>
    <row r="8" spans="1:9" ht="28.8">
      <c r="A8" s="35" t="s">
        <v>110</v>
      </c>
      <c r="B8" s="35" t="s">
        <v>111</v>
      </c>
      <c r="C8" s="35" t="s">
        <v>112</v>
      </c>
      <c r="D8" s="35" t="s">
        <v>113</v>
      </c>
      <c r="E8" s="35" t="s">
        <v>114</v>
      </c>
      <c r="F8" s="35" t="s">
        <v>0</v>
      </c>
      <c r="G8" s="35" t="s">
        <v>126</v>
      </c>
      <c r="H8" s="35" t="s">
        <v>129</v>
      </c>
      <c r="I8" s="37">
        <v>7.4999999999999997E-2</v>
      </c>
    </row>
    <row r="9" spans="1:9" ht="28.8">
      <c r="A9" s="35" t="s">
        <v>115</v>
      </c>
      <c r="B9" s="35" t="s">
        <v>116</v>
      </c>
      <c r="C9" s="35" t="s">
        <v>117</v>
      </c>
      <c r="D9" s="35" t="s">
        <v>118</v>
      </c>
      <c r="E9" s="35" t="s">
        <v>119</v>
      </c>
      <c r="F9" s="35" t="s">
        <v>0</v>
      </c>
      <c r="G9" s="35" t="s">
        <v>127</v>
      </c>
      <c r="H9" s="35" t="s">
        <v>129</v>
      </c>
      <c r="I9" s="37">
        <v>7.4999999999999997E-2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556C-4EF6-4741-8150-B05718A8F065}">
  <dimension ref="A1:I10"/>
  <sheetViews>
    <sheetView workbookViewId="0">
      <selection activeCell="G2" sqref="G2:G10"/>
    </sheetView>
  </sheetViews>
  <sheetFormatPr defaultRowHeight="14.4"/>
  <cols>
    <col min="1" max="1" width="8.88671875" style="41"/>
    <col min="2" max="2" width="18.21875" style="41" customWidth="1"/>
    <col min="3" max="3" width="19" style="41" customWidth="1"/>
    <col min="4" max="4" width="25.44140625" style="41" customWidth="1"/>
    <col min="5" max="5" width="15.44140625" style="41" customWidth="1"/>
    <col min="6" max="6" width="8.88671875" style="41"/>
    <col min="7" max="7" width="25.6640625" style="41" customWidth="1"/>
    <col min="8" max="8" width="14.33203125" style="41" customWidth="1"/>
    <col min="9" max="9" width="36" style="41" customWidth="1"/>
  </cols>
  <sheetData>
    <row r="1" spans="1:9">
      <c r="A1" s="34" t="s">
        <v>80</v>
      </c>
      <c r="B1" s="34" t="s">
        <v>14</v>
      </c>
      <c r="C1" s="34" t="s">
        <v>13</v>
      </c>
      <c r="D1" s="34" t="s">
        <v>81</v>
      </c>
      <c r="E1" s="34" t="s">
        <v>136</v>
      </c>
      <c r="F1" s="34" t="s">
        <v>137</v>
      </c>
      <c r="G1" s="34" t="s">
        <v>138</v>
      </c>
      <c r="H1" s="34" t="s">
        <v>149</v>
      </c>
      <c r="I1" s="34" t="s">
        <v>82</v>
      </c>
    </row>
    <row r="2" spans="1:9" ht="28.8">
      <c r="A2" s="33">
        <v>1</v>
      </c>
      <c r="B2" s="33" t="s">
        <v>150</v>
      </c>
      <c r="C2" s="33" t="s">
        <v>139</v>
      </c>
      <c r="D2" s="33" t="s">
        <v>151</v>
      </c>
      <c r="E2" s="33" t="s">
        <v>86</v>
      </c>
      <c r="F2" s="33" t="s">
        <v>0</v>
      </c>
      <c r="G2" s="33" t="s">
        <v>3</v>
      </c>
      <c r="H2" s="38">
        <v>0.15</v>
      </c>
      <c r="I2" s="38" t="s">
        <v>152</v>
      </c>
    </row>
    <row r="3" spans="1:9" ht="43.2">
      <c r="A3" s="33" t="s">
        <v>87</v>
      </c>
      <c r="B3" s="33" t="s">
        <v>153</v>
      </c>
      <c r="C3" s="33" t="s">
        <v>140</v>
      </c>
      <c r="D3" s="33" t="s">
        <v>154</v>
      </c>
      <c r="E3" s="38">
        <v>1</v>
      </c>
      <c r="F3" s="33" t="s">
        <v>0</v>
      </c>
      <c r="G3" s="33" t="s">
        <v>3</v>
      </c>
      <c r="H3" s="38">
        <v>0.12</v>
      </c>
      <c r="I3" s="38" t="s">
        <v>155</v>
      </c>
    </row>
    <row r="4" spans="1:9" ht="28.8">
      <c r="A4" s="33" t="s">
        <v>92</v>
      </c>
      <c r="B4" s="33" t="s">
        <v>141</v>
      </c>
      <c r="C4" s="33" t="s">
        <v>142</v>
      </c>
      <c r="D4" s="33" t="s">
        <v>156</v>
      </c>
      <c r="E4" s="33" t="s">
        <v>157</v>
      </c>
      <c r="F4" s="33" t="s">
        <v>4</v>
      </c>
      <c r="G4" s="33" t="s">
        <v>3</v>
      </c>
      <c r="H4" s="38">
        <v>0.1</v>
      </c>
      <c r="I4" s="38" t="s">
        <v>158</v>
      </c>
    </row>
    <row r="5" spans="1:9" ht="28.8">
      <c r="A5" s="33" t="s">
        <v>97</v>
      </c>
      <c r="B5" s="33" t="s">
        <v>159</v>
      </c>
      <c r="C5" s="33" t="s">
        <v>143</v>
      </c>
      <c r="D5" s="33" t="s">
        <v>160</v>
      </c>
      <c r="E5" s="33" t="s">
        <v>161</v>
      </c>
      <c r="F5" s="33" t="s">
        <v>4</v>
      </c>
      <c r="G5" s="33" t="s">
        <v>1</v>
      </c>
      <c r="H5" s="38">
        <v>0.1</v>
      </c>
      <c r="I5" s="38" t="s">
        <v>162</v>
      </c>
    </row>
    <row r="6" spans="1:9" ht="43.2">
      <c r="A6" s="33" t="s">
        <v>101</v>
      </c>
      <c r="B6" s="33" t="s">
        <v>163</v>
      </c>
      <c r="C6" s="33" t="s">
        <v>144</v>
      </c>
      <c r="D6" s="33" t="s">
        <v>164</v>
      </c>
      <c r="E6" s="38">
        <v>1</v>
      </c>
      <c r="F6" s="33" t="s">
        <v>0</v>
      </c>
      <c r="G6" s="33" t="s">
        <v>1</v>
      </c>
      <c r="H6" s="38">
        <v>0.1</v>
      </c>
      <c r="I6" s="38" t="s">
        <v>165</v>
      </c>
    </row>
    <row r="7" spans="1:9" ht="28.8">
      <c r="A7" s="33" t="s">
        <v>106</v>
      </c>
      <c r="B7" s="33" t="s">
        <v>145</v>
      </c>
      <c r="C7" s="33" t="s">
        <v>146</v>
      </c>
      <c r="D7" s="33" t="s">
        <v>166</v>
      </c>
      <c r="E7" s="33" t="s">
        <v>147</v>
      </c>
      <c r="F7" s="33" t="s">
        <v>4</v>
      </c>
      <c r="G7" s="33" t="s">
        <v>3</v>
      </c>
      <c r="H7" s="38">
        <v>0.1</v>
      </c>
      <c r="I7" s="38" t="s">
        <v>167</v>
      </c>
    </row>
    <row r="8" spans="1:9" ht="43.2">
      <c r="A8" s="33" t="s">
        <v>110</v>
      </c>
      <c r="B8" s="33" t="s">
        <v>168</v>
      </c>
      <c r="C8" s="33" t="s">
        <v>148</v>
      </c>
      <c r="D8" s="33" t="s">
        <v>169</v>
      </c>
      <c r="E8" s="33" t="s">
        <v>170</v>
      </c>
      <c r="F8" s="33" t="s">
        <v>0</v>
      </c>
      <c r="G8" s="33" t="s">
        <v>3</v>
      </c>
      <c r="H8" s="38">
        <v>0.1</v>
      </c>
      <c r="I8" s="42" t="s">
        <v>171</v>
      </c>
    </row>
    <row r="9" spans="1:9" ht="43.2">
      <c r="A9" s="33" t="s">
        <v>115</v>
      </c>
      <c r="B9" s="33" t="s">
        <v>172</v>
      </c>
      <c r="C9" s="33" t="s">
        <v>173</v>
      </c>
      <c r="D9" s="33" t="s">
        <v>174</v>
      </c>
      <c r="E9" s="33" t="s">
        <v>175</v>
      </c>
      <c r="F9" s="33" t="s">
        <v>0</v>
      </c>
      <c r="G9" s="33" t="s">
        <v>3</v>
      </c>
      <c r="H9" s="38">
        <v>0.12</v>
      </c>
      <c r="I9" s="42" t="s">
        <v>176</v>
      </c>
    </row>
    <row r="10" spans="1:9" ht="28.8">
      <c r="B10" s="33" t="s">
        <v>177</v>
      </c>
      <c r="C10" s="33" t="s">
        <v>178</v>
      </c>
      <c r="D10" s="33" t="s">
        <v>179</v>
      </c>
      <c r="E10" s="41" t="s">
        <v>180</v>
      </c>
      <c r="F10" s="41" t="s">
        <v>4</v>
      </c>
      <c r="G10" s="41" t="s">
        <v>3</v>
      </c>
      <c r="H10" s="40">
        <v>0.11</v>
      </c>
      <c r="I10" s="4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روسای فنی</vt:lpstr>
      <vt:lpstr>نت</vt:lpstr>
      <vt:lpstr>طراحی مهندسی</vt:lpstr>
      <vt:lpstr>ماشین آلات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2025-03-10T06:26:40Z</dcterms:created>
  <dcterms:modified xsi:type="dcterms:W3CDTF">2025-04-22T07:14:07Z</dcterms:modified>
</cp:coreProperties>
</file>