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ooya\Project\pakchoobfinal-rev15-1\Data\KPI 1404\KPI Q3\"/>
    </mc:Choice>
  </mc:AlternateContent>
  <xr:revisionPtr revIDLastSave="0" documentId="13_ncr:1_{484403F0-06C6-4C48-8158-C0BE33DC6D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NI Q3" sheetId="17" r:id="rId1"/>
    <sheet name="Sheet1" sheetId="18" r:id="rId2"/>
  </sheets>
  <definedNames>
    <definedName name="_xlnm._FilterDatabase" localSheetId="0" hidden="1">'FANI Q3'!$A$1:$T$1258</definedName>
    <definedName name="_xlnm._FilterDatabase" localSheetId="1" hidden="1">Sheet1!$A$1:$T$1258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58" i="18" l="1"/>
  <c r="R1258" i="18" s="1"/>
  <c r="Q1257" i="18"/>
  <c r="R1257" i="18" s="1"/>
  <c r="Q1256" i="18"/>
  <c r="R1256" i="18" s="1"/>
  <c r="Q1255" i="18"/>
  <c r="R1255" i="18" s="1"/>
  <c r="Q1254" i="18"/>
  <c r="R1254" i="18" s="1"/>
  <c r="Q1253" i="18"/>
  <c r="R1253" i="18" s="1"/>
  <c r="Q1252" i="18"/>
  <c r="R1252" i="18" s="1"/>
  <c r="Q1251" i="18"/>
  <c r="R1251" i="18" s="1"/>
  <c r="Q1250" i="18"/>
  <c r="R1250" i="18" s="1"/>
  <c r="Q1249" i="18"/>
  <c r="R1249" i="18" s="1"/>
  <c r="Q1248" i="18"/>
  <c r="R1248" i="18" s="1"/>
  <c r="Q1247" i="18"/>
  <c r="R1247" i="18" s="1"/>
  <c r="Q1246" i="18"/>
  <c r="R1246" i="18" s="1"/>
  <c r="Q1245" i="18"/>
  <c r="R1245" i="18" s="1"/>
  <c r="Q1244" i="18"/>
  <c r="R1244" i="18" s="1"/>
  <c r="Q1243" i="18"/>
  <c r="R1243" i="18" s="1"/>
  <c r="Q1242" i="18"/>
  <c r="R1242" i="18" s="1"/>
  <c r="Q1241" i="18"/>
  <c r="R1241" i="18" s="1"/>
  <c r="Q1240" i="18"/>
  <c r="R1240" i="18" s="1"/>
  <c r="Q1239" i="18"/>
  <c r="R1239" i="18" s="1"/>
  <c r="Q1238" i="18"/>
  <c r="R1238" i="18" s="1"/>
  <c r="Q1237" i="18"/>
  <c r="R1237" i="18" s="1"/>
  <c r="Q1236" i="18"/>
  <c r="R1236" i="18" s="1"/>
  <c r="Q1235" i="18"/>
  <c r="R1235" i="18" s="1"/>
  <c r="Q1234" i="18"/>
  <c r="R1234" i="18" s="1"/>
  <c r="Q1233" i="18"/>
  <c r="R1233" i="18" s="1"/>
  <c r="Q1232" i="18"/>
  <c r="R1232" i="18" s="1"/>
  <c r="Q1231" i="18"/>
  <c r="R1231" i="18" s="1"/>
  <c r="Q1230" i="18"/>
  <c r="R1230" i="18" s="1"/>
  <c r="Q1229" i="18"/>
  <c r="R1229" i="18" s="1"/>
  <c r="Q1228" i="18"/>
  <c r="R1228" i="18" s="1"/>
  <c r="Q1227" i="18"/>
  <c r="R1227" i="18" s="1"/>
  <c r="Q1226" i="18"/>
  <c r="R1226" i="18" s="1"/>
  <c r="Q1225" i="18"/>
  <c r="R1225" i="18" s="1"/>
  <c r="Q1224" i="18"/>
  <c r="R1224" i="18" s="1"/>
  <c r="Q1223" i="18"/>
  <c r="R1223" i="18" s="1"/>
  <c r="Q1222" i="18"/>
  <c r="R1222" i="18" s="1"/>
  <c r="Q1221" i="18"/>
  <c r="R1221" i="18" s="1"/>
  <c r="Q1220" i="18"/>
  <c r="R1220" i="18" s="1"/>
  <c r="Q1219" i="18"/>
  <c r="R1219" i="18" s="1"/>
  <c r="R1218" i="18"/>
  <c r="Q1218" i="18"/>
  <c r="Q1217" i="18"/>
  <c r="R1217" i="18" s="1"/>
  <c r="Q1216" i="18"/>
  <c r="R1216" i="18" s="1"/>
  <c r="Q1215" i="18"/>
  <c r="R1215" i="18" s="1"/>
  <c r="Q1214" i="18"/>
  <c r="R1214" i="18" s="1"/>
  <c r="Q1213" i="18"/>
  <c r="R1213" i="18" s="1"/>
  <c r="Q1212" i="18"/>
  <c r="R1212" i="18" s="1"/>
  <c r="Q1211" i="18"/>
  <c r="R1211" i="18" s="1"/>
  <c r="Q1210" i="18"/>
  <c r="R1210" i="18" s="1"/>
  <c r="Q1209" i="18"/>
  <c r="R1209" i="18" s="1"/>
  <c r="Q1208" i="18"/>
  <c r="R1208" i="18" s="1"/>
  <c r="Q1207" i="18"/>
  <c r="R1207" i="18" s="1"/>
  <c r="Q1206" i="18"/>
  <c r="R1206" i="18" s="1"/>
  <c r="Q1205" i="18"/>
  <c r="R1205" i="18" s="1"/>
  <c r="Q1204" i="18"/>
  <c r="R1204" i="18" s="1"/>
  <c r="R1203" i="18"/>
  <c r="Q1203" i="18"/>
  <c r="Q1202" i="18"/>
  <c r="R1202" i="18" s="1"/>
  <c r="Q1201" i="18"/>
  <c r="R1201" i="18" s="1"/>
  <c r="Q1200" i="18"/>
  <c r="R1200" i="18" s="1"/>
  <c r="Q1199" i="18"/>
  <c r="R1199" i="18" s="1"/>
  <c r="R1198" i="18"/>
  <c r="Q1198" i="18"/>
  <c r="Q1197" i="18"/>
  <c r="R1197" i="18" s="1"/>
  <c r="Q1196" i="18"/>
  <c r="R1196" i="18" s="1"/>
  <c r="Q1195" i="18"/>
  <c r="R1195" i="18" s="1"/>
  <c r="Q1194" i="18"/>
  <c r="R1194" i="18" s="1"/>
  <c r="Q1193" i="18"/>
  <c r="R1193" i="18" s="1"/>
  <c r="Q1192" i="18"/>
  <c r="R1192" i="18" s="1"/>
  <c r="Q1191" i="18"/>
  <c r="R1191" i="18" s="1"/>
  <c r="Q1190" i="18"/>
  <c r="R1190" i="18" s="1"/>
  <c r="Q1189" i="18"/>
  <c r="R1189" i="18" s="1"/>
  <c r="Q1188" i="18"/>
  <c r="R1188" i="18" s="1"/>
  <c r="Q1187" i="18"/>
  <c r="R1187" i="18" s="1"/>
  <c r="Q1186" i="18"/>
  <c r="R1186" i="18" s="1"/>
  <c r="Q1185" i="18"/>
  <c r="R1185" i="18" s="1"/>
  <c r="Q1184" i="18"/>
  <c r="R1184" i="18" s="1"/>
  <c r="Q1183" i="18"/>
  <c r="R1183" i="18" s="1"/>
  <c r="Q1182" i="18"/>
  <c r="R1182" i="18" s="1"/>
  <c r="Q1181" i="18"/>
  <c r="R1181" i="18" s="1"/>
  <c r="Q1180" i="18"/>
  <c r="R1180" i="18" s="1"/>
  <c r="Q1179" i="18"/>
  <c r="R1179" i="18" s="1"/>
  <c r="Q1178" i="18"/>
  <c r="R1178" i="18" s="1"/>
  <c r="Q1177" i="18"/>
  <c r="R1177" i="18" s="1"/>
  <c r="Q1176" i="18"/>
  <c r="R1176" i="18" s="1"/>
  <c r="Q1175" i="18"/>
  <c r="R1175" i="18" s="1"/>
  <c r="Q1174" i="18"/>
  <c r="R1174" i="18" s="1"/>
  <c r="Q1173" i="18"/>
  <c r="R1173" i="18" s="1"/>
  <c r="R1172" i="18"/>
  <c r="Q1172" i="18"/>
  <c r="Q1171" i="18"/>
  <c r="R1171" i="18" s="1"/>
  <c r="Q1170" i="18"/>
  <c r="R1170" i="18" s="1"/>
  <c r="Q1169" i="18"/>
  <c r="R1169" i="18" s="1"/>
  <c r="Q1168" i="18"/>
  <c r="R1168" i="18" s="1"/>
  <c r="Q1167" i="18"/>
  <c r="R1167" i="18" s="1"/>
  <c r="Q1166" i="18"/>
  <c r="R1166" i="18" s="1"/>
  <c r="Q1165" i="18"/>
  <c r="R1165" i="18" s="1"/>
  <c r="Q1164" i="18"/>
  <c r="R1164" i="18" s="1"/>
  <c r="Q1163" i="18"/>
  <c r="R1163" i="18" s="1"/>
  <c r="Q1162" i="18"/>
  <c r="R1162" i="18" s="1"/>
  <c r="Q1161" i="18"/>
  <c r="R1161" i="18" s="1"/>
  <c r="Q1160" i="18"/>
  <c r="R1160" i="18" s="1"/>
  <c r="Q1159" i="18"/>
  <c r="R1159" i="18" s="1"/>
  <c r="Q1158" i="18"/>
  <c r="R1158" i="18" s="1"/>
  <c r="Q1157" i="18"/>
  <c r="R1157" i="18" s="1"/>
  <c r="Q1156" i="18"/>
  <c r="R1156" i="18" s="1"/>
  <c r="Q1155" i="18"/>
  <c r="R1155" i="18" s="1"/>
  <c r="Q1154" i="18"/>
  <c r="R1154" i="18" s="1"/>
  <c r="Q1153" i="18"/>
  <c r="R1153" i="18" s="1"/>
  <c r="Q1152" i="18"/>
  <c r="R1152" i="18" s="1"/>
  <c r="Q1151" i="18"/>
  <c r="R1151" i="18" s="1"/>
  <c r="Q1150" i="18"/>
  <c r="R1150" i="18" s="1"/>
  <c r="Q1149" i="18"/>
  <c r="R1149" i="18" s="1"/>
  <c r="Q1148" i="18"/>
  <c r="R1148" i="18" s="1"/>
  <c r="Q1147" i="18"/>
  <c r="R1147" i="18" s="1"/>
  <c r="Q1146" i="18"/>
  <c r="R1146" i="18" s="1"/>
  <c r="Q1145" i="18"/>
  <c r="R1145" i="18" s="1"/>
  <c r="Q1144" i="18"/>
  <c r="R1144" i="18" s="1"/>
  <c r="Q1143" i="18"/>
  <c r="R1143" i="18" s="1"/>
  <c r="Q1142" i="18"/>
  <c r="R1142" i="18" s="1"/>
  <c r="Q1141" i="18"/>
  <c r="R1141" i="18" s="1"/>
  <c r="Q1140" i="18"/>
  <c r="R1140" i="18" s="1"/>
  <c r="Q1139" i="18"/>
  <c r="R1139" i="18" s="1"/>
  <c r="Q1138" i="18"/>
  <c r="R1138" i="18" s="1"/>
  <c r="Q1137" i="18"/>
  <c r="R1137" i="18" s="1"/>
  <c r="Q1136" i="18"/>
  <c r="R1136" i="18" s="1"/>
  <c r="Q1135" i="18"/>
  <c r="R1135" i="18" s="1"/>
  <c r="Q1134" i="18"/>
  <c r="R1134" i="18" s="1"/>
  <c r="Q1133" i="18"/>
  <c r="R1133" i="18" s="1"/>
  <c r="Q1132" i="18"/>
  <c r="R1132" i="18" s="1"/>
  <c r="Q1131" i="18"/>
  <c r="R1131" i="18" s="1"/>
  <c r="Q1130" i="18"/>
  <c r="R1130" i="18" s="1"/>
  <c r="Q1129" i="18"/>
  <c r="R1129" i="18" s="1"/>
  <c r="Q1128" i="18"/>
  <c r="R1128" i="18" s="1"/>
  <c r="Q1127" i="18"/>
  <c r="R1127" i="18" s="1"/>
  <c r="Q1126" i="18"/>
  <c r="R1126" i="18" s="1"/>
  <c r="Q1125" i="18"/>
  <c r="R1125" i="18" s="1"/>
  <c r="Q1124" i="18"/>
  <c r="R1124" i="18" s="1"/>
  <c r="Q1123" i="18"/>
  <c r="R1123" i="18" s="1"/>
  <c r="Q1122" i="18"/>
  <c r="R1122" i="18" s="1"/>
  <c r="Q1121" i="18"/>
  <c r="R1121" i="18" s="1"/>
  <c r="Q1120" i="18"/>
  <c r="R1120" i="18" s="1"/>
  <c r="Q1119" i="18"/>
  <c r="R1119" i="18" s="1"/>
  <c r="Q1118" i="18"/>
  <c r="R1118" i="18" s="1"/>
  <c r="Q1117" i="18"/>
  <c r="R1117" i="18" s="1"/>
  <c r="Q1116" i="18"/>
  <c r="R1116" i="18" s="1"/>
  <c r="Q1115" i="18"/>
  <c r="R1115" i="18" s="1"/>
  <c r="Q1114" i="18"/>
  <c r="R1114" i="18" s="1"/>
  <c r="Q1113" i="18"/>
  <c r="R1113" i="18" s="1"/>
  <c r="Q1112" i="18"/>
  <c r="R1112" i="18" s="1"/>
  <c r="Q1111" i="18"/>
  <c r="R1111" i="18" s="1"/>
  <c r="Q1110" i="18"/>
  <c r="R1110" i="18" s="1"/>
  <c r="Q1109" i="18"/>
  <c r="R1109" i="18" s="1"/>
  <c r="Q1108" i="18"/>
  <c r="R1108" i="18" s="1"/>
  <c r="Q1107" i="18"/>
  <c r="R1107" i="18" s="1"/>
  <c r="Q1106" i="18"/>
  <c r="R1106" i="18" s="1"/>
  <c r="Q1105" i="18"/>
  <c r="R1105" i="18" s="1"/>
  <c r="Q1104" i="18"/>
  <c r="R1104" i="18" s="1"/>
  <c r="Q1103" i="18"/>
  <c r="R1103" i="18" s="1"/>
  <c r="Q1102" i="18"/>
  <c r="R1102" i="18" s="1"/>
  <c r="Q1101" i="18"/>
  <c r="R1101" i="18" s="1"/>
  <c r="Q1100" i="18"/>
  <c r="R1100" i="18" s="1"/>
  <c r="Q1099" i="18"/>
  <c r="R1099" i="18" s="1"/>
  <c r="Q1098" i="18"/>
  <c r="R1098" i="18" s="1"/>
  <c r="Q1097" i="18"/>
  <c r="R1097" i="18" s="1"/>
  <c r="Q1096" i="18"/>
  <c r="R1096" i="18" s="1"/>
  <c r="Q1095" i="18"/>
  <c r="R1095" i="18" s="1"/>
  <c r="Q1094" i="18"/>
  <c r="R1094" i="18" s="1"/>
  <c r="Q1093" i="18"/>
  <c r="R1093" i="18" s="1"/>
  <c r="Q1092" i="18"/>
  <c r="R1092" i="18" s="1"/>
  <c r="Q1091" i="18"/>
  <c r="R1091" i="18" s="1"/>
  <c r="Q1090" i="18"/>
  <c r="R1090" i="18" s="1"/>
  <c r="Q1089" i="18"/>
  <c r="R1089" i="18" s="1"/>
  <c r="Q1088" i="18"/>
  <c r="R1088" i="18" s="1"/>
  <c r="Q1087" i="18"/>
  <c r="R1087" i="18" s="1"/>
  <c r="Q1086" i="18"/>
  <c r="R1086" i="18" s="1"/>
  <c r="R1085" i="18"/>
  <c r="Q1085" i="18"/>
  <c r="Q1084" i="18"/>
  <c r="R1084" i="18" s="1"/>
  <c r="Q1083" i="18"/>
  <c r="R1083" i="18" s="1"/>
  <c r="Q1082" i="18"/>
  <c r="R1082" i="18" s="1"/>
  <c r="Q1081" i="18"/>
  <c r="R1081" i="18" s="1"/>
  <c r="R1080" i="18"/>
  <c r="Q1080" i="18"/>
  <c r="Q1079" i="18"/>
  <c r="R1079" i="18" s="1"/>
  <c r="Q1078" i="18"/>
  <c r="R1078" i="18" s="1"/>
  <c r="Q1077" i="18"/>
  <c r="R1077" i="18" s="1"/>
  <c r="Q1076" i="18"/>
  <c r="R1076" i="18" s="1"/>
  <c r="Q1075" i="18"/>
  <c r="R1075" i="18" s="1"/>
  <c r="Q1074" i="18"/>
  <c r="R1074" i="18" s="1"/>
  <c r="Q1073" i="18"/>
  <c r="R1073" i="18" s="1"/>
  <c r="Q1072" i="18"/>
  <c r="R1072" i="18" s="1"/>
  <c r="Q1071" i="18"/>
  <c r="R1071" i="18" s="1"/>
  <c r="Q1070" i="18"/>
  <c r="R1070" i="18" s="1"/>
  <c r="Q1069" i="18"/>
  <c r="R1069" i="18" s="1"/>
  <c r="Q1068" i="18"/>
  <c r="R1068" i="18" s="1"/>
  <c r="Q1067" i="18"/>
  <c r="R1067" i="18" s="1"/>
  <c r="Q1066" i="18"/>
  <c r="R1066" i="18" s="1"/>
  <c r="Q1065" i="18"/>
  <c r="R1065" i="18" s="1"/>
  <c r="Q1064" i="18"/>
  <c r="R1064" i="18" s="1"/>
  <c r="Q1063" i="18"/>
  <c r="R1063" i="18" s="1"/>
  <c r="Q1062" i="18"/>
  <c r="R1062" i="18" s="1"/>
  <c r="Q1061" i="18"/>
  <c r="R1061" i="18" s="1"/>
  <c r="Q1060" i="18"/>
  <c r="R1060" i="18" s="1"/>
  <c r="R1059" i="18"/>
  <c r="Q1059" i="18"/>
  <c r="Q1058" i="18"/>
  <c r="R1058" i="18" s="1"/>
  <c r="Q1057" i="18"/>
  <c r="R1057" i="18" s="1"/>
  <c r="Q1056" i="18"/>
  <c r="R1056" i="18" s="1"/>
  <c r="Q1055" i="18"/>
  <c r="R1055" i="18" s="1"/>
  <c r="Q1054" i="18"/>
  <c r="R1054" i="18" s="1"/>
  <c r="Q1053" i="18"/>
  <c r="R1053" i="18" s="1"/>
  <c r="Q1052" i="18"/>
  <c r="R1052" i="18" s="1"/>
  <c r="Q1051" i="18"/>
  <c r="R1051" i="18" s="1"/>
  <c r="Q1050" i="18"/>
  <c r="R1050" i="18" s="1"/>
  <c r="R1049" i="18"/>
  <c r="Q1049" i="18"/>
  <c r="Q1048" i="18"/>
  <c r="R1048" i="18" s="1"/>
  <c r="Q1047" i="18"/>
  <c r="R1047" i="18" s="1"/>
  <c r="Q1046" i="18"/>
  <c r="R1046" i="18" s="1"/>
  <c r="Q1045" i="18"/>
  <c r="R1045" i="18" s="1"/>
  <c r="R1044" i="18"/>
  <c r="Q1044" i="18"/>
  <c r="Q1043" i="18"/>
  <c r="R1043" i="18" s="1"/>
  <c r="Q1042" i="18"/>
  <c r="R1042" i="18" s="1"/>
  <c r="Q1041" i="18"/>
  <c r="R1041" i="18" s="1"/>
  <c r="Q1040" i="18"/>
  <c r="R1040" i="18" s="1"/>
  <c r="Q1039" i="18"/>
  <c r="R1039" i="18" s="1"/>
  <c r="R1038" i="18"/>
  <c r="Q1038" i="18"/>
  <c r="Q1037" i="18"/>
  <c r="R1037" i="18" s="1"/>
  <c r="Q1036" i="18"/>
  <c r="R1036" i="18" s="1"/>
  <c r="Q1035" i="18"/>
  <c r="R1035" i="18" s="1"/>
  <c r="Q1034" i="18"/>
  <c r="R1034" i="18" s="1"/>
  <c r="Q1033" i="18"/>
  <c r="R1033" i="18" s="1"/>
  <c r="Q1032" i="18"/>
  <c r="R1032" i="18" s="1"/>
  <c r="Q1031" i="18"/>
  <c r="R1031" i="18" s="1"/>
  <c r="Q1030" i="18"/>
  <c r="R1030" i="18" s="1"/>
  <c r="Q1029" i="18"/>
  <c r="R1029" i="18" s="1"/>
  <c r="Q1028" i="18"/>
  <c r="R1028" i="18" s="1"/>
  <c r="Q1027" i="18"/>
  <c r="R1027" i="18" s="1"/>
  <c r="Q1026" i="18"/>
  <c r="R1026" i="18" s="1"/>
  <c r="Q1025" i="18"/>
  <c r="R1025" i="18" s="1"/>
  <c r="Q1024" i="18"/>
  <c r="R1024" i="18" s="1"/>
  <c r="Q1023" i="18"/>
  <c r="R1023" i="18" s="1"/>
  <c r="Q1022" i="18"/>
  <c r="R1022" i="18" s="1"/>
  <c r="Q1021" i="18"/>
  <c r="R1021" i="18" s="1"/>
  <c r="Q1020" i="18"/>
  <c r="R1020" i="18" s="1"/>
  <c r="Q1019" i="18"/>
  <c r="R1019" i="18" s="1"/>
  <c r="Q1018" i="18"/>
  <c r="R1018" i="18" s="1"/>
  <c r="Q1017" i="18"/>
  <c r="R1017" i="18" s="1"/>
  <c r="Q1016" i="18"/>
  <c r="R1016" i="18" s="1"/>
  <c r="Q1015" i="18"/>
  <c r="R1015" i="18" s="1"/>
  <c r="Q1014" i="18"/>
  <c r="R1014" i="18" s="1"/>
  <c r="Q1013" i="18"/>
  <c r="R1013" i="18" s="1"/>
  <c r="Q1012" i="18"/>
  <c r="R1012" i="18" s="1"/>
  <c r="Q1011" i="18"/>
  <c r="R1011" i="18" s="1"/>
  <c r="Q1010" i="18"/>
  <c r="R1010" i="18" s="1"/>
  <c r="Q1009" i="18"/>
  <c r="R1009" i="18" s="1"/>
  <c r="Q1008" i="18"/>
  <c r="R1008" i="18" s="1"/>
  <c r="Q1007" i="18"/>
  <c r="R1007" i="18" s="1"/>
  <c r="Q1006" i="18"/>
  <c r="R1006" i="18" s="1"/>
  <c r="Q1005" i="18"/>
  <c r="R1005" i="18" s="1"/>
  <c r="Q1004" i="18"/>
  <c r="R1004" i="18" s="1"/>
  <c r="Q1003" i="18"/>
  <c r="R1003" i="18" s="1"/>
  <c r="Q1002" i="18"/>
  <c r="R1002" i="18" s="1"/>
  <c r="Q1001" i="18"/>
  <c r="R1001" i="18" s="1"/>
  <c r="Q1000" i="18"/>
  <c r="R1000" i="18" s="1"/>
  <c r="Q999" i="18"/>
  <c r="R999" i="18" s="1"/>
  <c r="Q998" i="18"/>
  <c r="R998" i="18" s="1"/>
  <c r="Q997" i="18"/>
  <c r="R997" i="18" s="1"/>
  <c r="Q996" i="18"/>
  <c r="R996" i="18" s="1"/>
  <c r="Q995" i="18"/>
  <c r="R995" i="18" s="1"/>
  <c r="Q994" i="18"/>
  <c r="R994" i="18" s="1"/>
  <c r="Q993" i="18"/>
  <c r="R993" i="18" s="1"/>
  <c r="Q992" i="18"/>
  <c r="R992" i="18" s="1"/>
  <c r="Q991" i="18"/>
  <c r="R991" i="18" s="1"/>
  <c r="Q990" i="18"/>
  <c r="R990" i="18" s="1"/>
  <c r="Q989" i="18"/>
  <c r="R989" i="18" s="1"/>
  <c r="Q988" i="18"/>
  <c r="R988" i="18" s="1"/>
  <c r="Q987" i="18"/>
  <c r="R987" i="18" s="1"/>
  <c r="Q986" i="18"/>
  <c r="R986" i="18" s="1"/>
  <c r="Q985" i="18"/>
  <c r="R985" i="18" s="1"/>
  <c r="Q984" i="18"/>
  <c r="R984" i="18" s="1"/>
  <c r="Q983" i="18"/>
  <c r="R983" i="18" s="1"/>
  <c r="Q982" i="18"/>
  <c r="R982" i="18" s="1"/>
  <c r="Q981" i="18"/>
  <c r="R981" i="18" s="1"/>
  <c r="Q980" i="18"/>
  <c r="R980" i="18" s="1"/>
  <c r="Q979" i="18"/>
  <c r="R979" i="18" s="1"/>
  <c r="Q978" i="18"/>
  <c r="R978" i="18" s="1"/>
  <c r="Q977" i="18"/>
  <c r="R977" i="18" s="1"/>
  <c r="Q976" i="18"/>
  <c r="R976" i="18" s="1"/>
  <c r="Q975" i="18"/>
  <c r="R975" i="18" s="1"/>
  <c r="Q974" i="18"/>
  <c r="R974" i="18" s="1"/>
  <c r="Q973" i="18"/>
  <c r="R973" i="18" s="1"/>
  <c r="Q972" i="18"/>
  <c r="R972" i="18" s="1"/>
  <c r="Q971" i="18"/>
  <c r="R971" i="18" s="1"/>
  <c r="Q970" i="18"/>
  <c r="R970" i="18" s="1"/>
  <c r="Q969" i="18"/>
  <c r="R969" i="18" s="1"/>
  <c r="Q968" i="18"/>
  <c r="R968" i="18" s="1"/>
  <c r="Q967" i="18"/>
  <c r="R967" i="18" s="1"/>
  <c r="Q966" i="18"/>
  <c r="R966" i="18" s="1"/>
  <c r="Q965" i="18"/>
  <c r="R965" i="18" s="1"/>
  <c r="Q964" i="18"/>
  <c r="R964" i="18" s="1"/>
  <c r="Q963" i="18"/>
  <c r="R963" i="18" s="1"/>
  <c r="Q962" i="18"/>
  <c r="R962" i="18" s="1"/>
  <c r="Q961" i="18"/>
  <c r="R961" i="18" s="1"/>
  <c r="Q960" i="18"/>
  <c r="R960" i="18" s="1"/>
  <c r="Q959" i="18"/>
  <c r="R959" i="18" s="1"/>
  <c r="Q958" i="18"/>
  <c r="R958" i="18" s="1"/>
  <c r="Q957" i="18"/>
  <c r="R957" i="18" s="1"/>
  <c r="Q956" i="18"/>
  <c r="R956" i="18" s="1"/>
  <c r="Q955" i="18"/>
  <c r="R955" i="18" s="1"/>
  <c r="Q954" i="18"/>
  <c r="R954" i="18" s="1"/>
  <c r="Q953" i="18"/>
  <c r="R953" i="18" s="1"/>
  <c r="Q952" i="18"/>
  <c r="R952" i="18" s="1"/>
  <c r="Q951" i="18"/>
  <c r="R951" i="18" s="1"/>
  <c r="Q950" i="18"/>
  <c r="R950" i="18" s="1"/>
  <c r="Q949" i="18"/>
  <c r="R949" i="18" s="1"/>
  <c r="Q948" i="18"/>
  <c r="R948" i="18" s="1"/>
  <c r="Q947" i="18"/>
  <c r="R947" i="18" s="1"/>
  <c r="Q946" i="18"/>
  <c r="R946" i="18" s="1"/>
  <c r="Q945" i="18"/>
  <c r="R945" i="18" s="1"/>
  <c r="Q944" i="18"/>
  <c r="R944" i="18" s="1"/>
  <c r="Q943" i="18"/>
  <c r="R943" i="18" s="1"/>
  <c r="Q942" i="18"/>
  <c r="R942" i="18" s="1"/>
  <c r="Q941" i="18"/>
  <c r="R941" i="18" s="1"/>
  <c r="Q940" i="18"/>
  <c r="R940" i="18" s="1"/>
  <c r="Q939" i="18"/>
  <c r="R939" i="18" s="1"/>
  <c r="Q938" i="18"/>
  <c r="R938" i="18" s="1"/>
  <c r="Q937" i="18"/>
  <c r="R937" i="18" s="1"/>
  <c r="Q936" i="18"/>
  <c r="R936" i="18" s="1"/>
  <c r="Q935" i="18"/>
  <c r="R935" i="18" s="1"/>
  <c r="Q934" i="18"/>
  <c r="R934" i="18" s="1"/>
  <c r="Q933" i="18"/>
  <c r="R933" i="18" s="1"/>
  <c r="Q932" i="18"/>
  <c r="R932" i="18" s="1"/>
  <c r="Q931" i="18"/>
  <c r="R931" i="18" s="1"/>
  <c r="Q930" i="18"/>
  <c r="R930" i="18" s="1"/>
  <c r="Q929" i="18"/>
  <c r="R929" i="18" s="1"/>
  <c r="Q928" i="18"/>
  <c r="R928" i="18" s="1"/>
  <c r="Q927" i="18"/>
  <c r="R927" i="18" s="1"/>
  <c r="Q926" i="18"/>
  <c r="R926" i="18" s="1"/>
  <c r="Q925" i="18"/>
  <c r="R925" i="18" s="1"/>
  <c r="Q924" i="18"/>
  <c r="R924" i="18" s="1"/>
  <c r="Q923" i="18"/>
  <c r="R923" i="18" s="1"/>
  <c r="Q922" i="18"/>
  <c r="R922" i="18" s="1"/>
  <c r="Q921" i="18"/>
  <c r="R921" i="18" s="1"/>
  <c r="Q920" i="18"/>
  <c r="R920" i="18" s="1"/>
  <c r="Q919" i="18"/>
  <c r="R919" i="18" s="1"/>
  <c r="Q918" i="18"/>
  <c r="R918" i="18" s="1"/>
  <c r="Q917" i="18"/>
  <c r="R917" i="18" s="1"/>
  <c r="Q916" i="18"/>
  <c r="R916" i="18" s="1"/>
  <c r="Q915" i="18"/>
  <c r="R915" i="18" s="1"/>
  <c r="Q914" i="18"/>
  <c r="R914" i="18" s="1"/>
  <c r="Q913" i="18"/>
  <c r="R913" i="18" s="1"/>
  <c r="Q912" i="18"/>
  <c r="R912" i="18" s="1"/>
  <c r="Q911" i="18"/>
  <c r="R911" i="18" s="1"/>
  <c r="Q910" i="18"/>
  <c r="R910" i="18" s="1"/>
  <c r="Q909" i="18"/>
  <c r="R909" i="18" s="1"/>
  <c r="Q908" i="18"/>
  <c r="R908" i="18" s="1"/>
  <c r="Q907" i="18"/>
  <c r="R907" i="18" s="1"/>
  <c r="Q906" i="18"/>
  <c r="R906" i="18" s="1"/>
  <c r="Q905" i="18"/>
  <c r="R905" i="18" s="1"/>
  <c r="R904" i="18"/>
  <c r="Q904" i="18"/>
  <c r="Q903" i="18"/>
  <c r="R903" i="18" s="1"/>
  <c r="Q902" i="18"/>
  <c r="R902" i="18" s="1"/>
  <c r="Q901" i="18"/>
  <c r="R901" i="18" s="1"/>
  <c r="Q900" i="18"/>
  <c r="R900" i="18" s="1"/>
  <c r="Q899" i="18"/>
  <c r="R899" i="18" s="1"/>
  <c r="Q898" i="18"/>
  <c r="R898" i="18" s="1"/>
  <c r="Q897" i="18"/>
  <c r="R897" i="18" s="1"/>
  <c r="Q896" i="18"/>
  <c r="R896" i="18" s="1"/>
  <c r="Q895" i="18"/>
  <c r="R895" i="18" s="1"/>
  <c r="Q894" i="18"/>
  <c r="R894" i="18" s="1"/>
  <c r="Q893" i="18"/>
  <c r="R893" i="18" s="1"/>
  <c r="Q892" i="18"/>
  <c r="R892" i="18" s="1"/>
  <c r="Q891" i="18"/>
  <c r="R891" i="18" s="1"/>
  <c r="Q890" i="18"/>
  <c r="R890" i="18" s="1"/>
  <c r="Q889" i="18"/>
  <c r="R889" i="18" s="1"/>
  <c r="Q888" i="18"/>
  <c r="R888" i="18" s="1"/>
  <c r="Q887" i="18"/>
  <c r="R887" i="18" s="1"/>
  <c r="Q886" i="18"/>
  <c r="R886" i="18" s="1"/>
  <c r="Q885" i="18"/>
  <c r="R885" i="18" s="1"/>
  <c r="Q884" i="18"/>
  <c r="R884" i="18" s="1"/>
  <c r="Q883" i="18"/>
  <c r="R883" i="18" s="1"/>
  <c r="Q882" i="18"/>
  <c r="R882" i="18" s="1"/>
  <c r="Q881" i="18"/>
  <c r="R881" i="18" s="1"/>
  <c r="Q880" i="18"/>
  <c r="R880" i="18" s="1"/>
  <c r="Q879" i="18"/>
  <c r="R879" i="18" s="1"/>
  <c r="Q878" i="18"/>
  <c r="R878" i="18" s="1"/>
  <c r="R877" i="18"/>
  <c r="Q877" i="18"/>
  <c r="Q876" i="18"/>
  <c r="R876" i="18" s="1"/>
  <c r="Q875" i="18"/>
  <c r="R875" i="18" s="1"/>
  <c r="Q874" i="18"/>
  <c r="R874" i="18" s="1"/>
  <c r="Q873" i="18"/>
  <c r="R873" i="18" s="1"/>
  <c r="Q872" i="18"/>
  <c r="R872" i="18" s="1"/>
  <c r="Q871" i="18"/>
  <c r="R871" i="18" s="1"/>
  <c r="Q870" i="18"/>
  <c r="R870" i="18" s="1"/>
  <c r="Q869" i="18"/>
  <c r="R869" i="18" s="1"/>
  <c r="Q868" i="18"/>
  <c r="R868" i="18" s="1"/>
  <c r="Q867" i="18"/>
  <c r="R867" i="18" s="1"/>
  <c r="Q866" i="18"/>
  <c r="R866" i="18" s="1"/>
  <c r="Q865" i="18"/>
  <c r="R865" i="18" s="1"/>
  <c r="Q864" i="18"/>
  <c r="R864" i="18" s="1"/>
  <c r="Q863" i="18"/>
  <c r="R863" i="18" s="1"/>
  <c r="Q862" i="18"/>
  <c r="R862" i="18" s="1"/>
  <c r="Q861" i="18"/>
  <c r="R861" i="18" s="1"/>
  <c r="Q860" i="18"/>
  <c r="R860" i="18" s="1"/>
  <c r="Q859" i="18"/>
  <c r="R859" i="18" s="1"/>
  <c r="Q858" i="18"/>
  <c r="R858" i="18" s="1"/>
  <c r="Q857" i="18"/>
  <c r="R857" i="18" s="1"/>
  <c r="Q856" i="18"/>
  <c r="R856" i="18" s="1"/>
  <c r="Q855" i="18"/>
  <c r="R855" i="18" s="1"/>
  <c r="Q854" i="18"/>
  <c r="R854" i="18" s="1"/>
  <c r="Q853" i="18"/>
  <c r="R853" i="18" s="1"/>
  <c r="Q852" i="18"/>
  <c r="R852" i="18" s="1"/>
  <c r="Q851" i="18"/>
  <c r="R851" i="18" s="1"/>
  <c r="Q850" i="18"/>
  <c r="R850" i="18" s="1"/>
  <c r="Q849" i="18"/>
  <c r="R849" i="18" s="1"/>
  <c r="Q848" i="18"/>
  <c r="R848" i="18" s="1"/>
  <c r="Q847" i="18"/>
  <c r="R847" i="18" s="1"/>
  <c r="Q846" i="18"/>
  <c r="R846" i="18" s="1"/>
  <c r="Q845" i="18"/>
  <c r="R845" i="18" s="1"/>
  <c r="Q844" i="18"/>
  <c r="R844" i="18" s="1"/>
  <c r="Q843" i="18"/>
  <c r="R843" i="18" s="1"/>
  <c r="Q842" i="18"/>
  <c r="R842" i="18" s="1"/>
  <c r="Q841" i="18"/>
  <c r="R841" i="18" s="1"/>
  <c r="Q840" i="18"/>
  <c r="R840" i="18" s="1"/>
  <c r="Q839" i="18"/>
  <c r="R839" i="18" s="1"/>
  <c r="Q838" i="18"/>
  <c r="R838" i="18" s="1"/>
  <c r="Q837" i="18"/>
  <c r="R837" i="18" s="1"/>
  <c r="Q836" i="18"/>
  <c r="R836" i="18" s="1"/>
  <c r="Q835" i="18"/>
  <c r="R835" i="18" s="1"/>
  <c r="Q834" i="18"/>
  <c r="R834" i="18" s="1"/>
  <c r="Q833" i="18"/>
  <c r="R833" i="18" s="1"/>
  <c r="Q832" i="18"/>
  <c r="R832" i="18" s="1"/>
  <c r="Q831" i="18"/>
  <c r="R831" i="18" s="1"/>
  <c r="Q830" i="18"/>
  <c r="R830" i="18" s="1"/>
  <c r="Q829" i="18"/>
  <c r="R829" i="18" s="1"/>
  <c r="Q828" i="18"/>
  <c r="R828" i="18" s="1"/>
  <c r="Q827" i="18"/>
  <c r="R827" i="18" s="1"/>
  <c r="Q826" i="18"/>
  <c r="R826" i="18" s="1"/>
  <c r="Q825" i="18"/>
  <c r="R825" i="18" s="1"/>
  <c r="Q824" i="18"/>
  <c r="R824" i="18" s="1"/>
  <c r="Q823" i="18"/>
  <c r="R823" i="18" s="1"/>
  <c r="Q822" i="18"/>
  <c r="R822" i="18" s="1"/>
  <c r="Q821" i="18"/>
  <c r="R821" i="18" s="1"/>
  <c r="Q820" i="18"/>
  <c r="R820" i="18" s="1"/>
  <c r="Q819" i="18"/>
  <c r="R819" i="18" s="1"/>
  <c r="Q818" i="18"/>
  <c r="R818" i="18" s="1"/>
  <c r="Q817" i="18"/>
  <c r="R817" i="18" s="1"/>
  <c r="R816" i="18"/>
  <c r="Q816" i="18"/>
  <c r="Q815" i="18"/>
  <c r="R815" i="18" s="1"/>
  <c r="Q814" i="18"/>
  <c r="R814" i="18" s="1"/>
  <c r="Q813" i="18"/>
  <c r="R813" i="18" s="1"/>
  <c r="Q812" i="18"/>
  <c r="R812" i="18" s="1"/>
  <c r="Q811" i="18"/>
  <c r="R811" i="18" s="1"/>
  <c r="Q810" i="18"/>
  <c r="R810" i="18" s="1"/>
  <c r="Q809" i="18"/>
  <c r="R809" i="18" s="1"/>
  <c r="Q808" i="18"/>
  <c r="R808" i="18" s="1"/>
  <c r="Q807" i="18"/>
  <c r="R807" i="18" s="1"/>
  <c r="Q806" i="18"/>
  <c r="R806" i="18" s="1"/>
  <c r="Q805" i="18"/>
  <c r="R805" i="18" s="1"/>
  <c r="Q804" i="18"/>
  <c r="R804" i="18" s="1"/>
  <c r="Q803" i="18"/>
  <c r="R803" i="18" s="1"/>
  <c r="Q802" i="18"/>
  <c r="R802" i="18" s="1"/>
  <c r="Q801" i="18"/>
  <c r="R801" i="18" s="1"/>
  <c r="Q800" i="18"/>
  <c r="R800" i="18" s="1"/>
  <c r="Q799" i="18"/>
  <c r="R799" i="18" s="1"/>
  <c r="Q798" i="18"/>
  <c r="R798" i="18" s="1"/>
  <c r="Q797" i="18"/>
  <c r="R797" i="18" s="1"/>
  <c r="R796" i="18"/>
  <c r="Q796" i="18"/>
  <c r="Q795" i="18"/>
  <c r="R795" i="18" s="1"/>
  <c r="Q794" i="18"/>
  <c r="R794" i="18" s="1"/>
  <c r="Q793" i="18"/>
  <c r="R793" i="18" s="1"/>
  <c r="Q792" i="18"/>
  <c r="R792" i="18" s="1"/>
  <c r="Q791" i="18"/>
  <c r="R791" i="18" s="1"/>
  <c r="Q790" i="18"/>
  <c r="R790" i="18" s="1"/>
  <c r="Q789" i="18"/>
  <c r="R789" i="18" s="1"/>
  <c r="Q788" i="18"/>
  <c r="R788" i="18" s="1"/>
  <c r="Q787" i="18"/>
  <c r="R787" i="18" s="1"/>
  <c r="Q786" i="18"/>
  <c r="R786" i="18" s="1"/>
  <c r="Q785" i="18"/>
  <c r="R785" i="18" s="1"/>
  <c r="Q784" i="18"/>
  <c r="R784" i="18" s="1"/>
  <c r="Q783" i="18"/>
  <c r="R783" i="18" s="1"/>
  <c r="Q782" i="18"/>
  <c r="R782" i="18" s="1"/>
  <c r="Q781" i="18"/>
  <c r="R781" i="18" s="1"/>
  <c r="Q780" i="18"/>
  <c r="R780" i="18" s="1"/>
  <c r="Q779" i="18"/>
  <c r="R779" i="18" s="1"/>
  <c r="Q778" i="18"/>
  <c r="R778" i="18" s="1"/>
  <c r="R777" i="18"/>
  <c r="Q777" i="18"/>
  <c r="Q776" i="18"/>
  <c r="R776" i="18" s="1"/>
  <c r="Q775" i="18"/>
  <c r="R775" i="18" s="1"/>
  <c r="Q774" i="18"/>
  <c r="R774" i="18" s="1"/>
  <c r="Q773" i="18"/>
  <c r="R773" i="18" s="1"/>
  <c r="Q772" i="18"/>
  <c r="R772" i="18" s="1"/>
  <c r="Q771" i="18"/>
  <c r="R771" i="18" s="1"/>
  <c r="Q770" i="18"/>
  <c r="R770" i="18" s="1"/>
  <c r="Q769" i="18"/>
  <c r="R769" i="18" s="1"/>
  <c r="Q768" i="18"/>
  <c r="R768" i="18" s="1"/>
  <c r="Q767" i="18"/>
  <c r="R767" i="18" s="1"/>
  <c r="Q766" i="18"/>
  <c r="R766" i="18" s="1"/>
  <c r="Q765" i="18"/>
  <c r="R765" i="18" s="1"/>
  <c r="Q764" i="18"/>
  <c r="R764" i="18" s="1"/>
  <c r="Q763" i="18"/>
  <c r="R763" i="18" s="1"/>
  <c r="Q762" i="18"/>
  <c r="R762" i="18" s="1"/>
  <c r="Q761" i="18"/>
  <c r="R761" i="18" s="1"/>
  <c r="Q760" i="18"/>
  <c r="R760" i="18" s="1"/>
  <c r="Q759" i="18"/>
  <c r="R759" i="18" s="1"/>
  <c r="Q758" i="18"/>
  <c r="R758" i="18" s="1"/>
  <c r="Q757" i="18"/>
  <c r="R757" i="18" s="1"/>
  <c r="Q756" i="18"/>
  <c r="R756" i="18" s="1"/>
  <c r="Q755" i="18"/>
  <c r="R755" i="18" s="1"/>
  <c r="Q754" i="18"/>
  <c r="R754" i="18" s="1"/>
  <c r="Q753" i="18"/>
  <c r="R753" i="18" s="1"/>
  <c r="Q752" i="18"/>
  <c r="R752" i="18" s="1"/>
  <c r="Q751" i="18"/>
  <c r="R751" i="18" s="1"/>
  <c r="Q750" i="18"/>
  <c r="R750" i="18" s="1"/>
  <c r="Q749" i="18"/>
  <c r="R749" i="18" s="1"/>
  <c r="Q748" i="18"/>
  <c r="R748" i="18" s="1"/>
  <c r="Q747" i="18"/>
  <c r="R747" i="18" s="1"/>
  <c r="Q746" i="18"/>
  <c r="R746" i="18" s="1"/>
  <c r="Q745" i="18"/>
  <c r="R745" i="18" s="1"/>
  <c r="Q744" i="18"/>
  <c r="R744" i="18" s="1"/>
  <c r="Q743" i="18"/>
  <c r="R743" i="18" s="1"/>
  <c r="Q742" i="18"/>
  <c r="R742" i="18" s="1"/>
  <c r="Q741" i="18"/>
  <c r="R741" i="18" s="1"/>
  <c r="Q740" i="18"/>
  <c r="R740" i="18" s="1"/>
  <c r="Q739" i="18"/>
  <c r="R739" i="18" s="1"/>
  <c r="Q738" i="18"/>
  <c r="R738" i="18" s="1"/>
  <c r="Q737" i="18"/>
  <c r="R737" i="18" s="1"/>
  <c r="Q736" i="18"/>
  <c r="R736" i="18" s="1"/>
  <c r="Q735" i="18"/>
  <c r="R735" i="18" s="1"/>
  <c r="Q734" i="18"/>
  <c r="R734" i="18" s="1"/>
  <c r="Q733" i="18"/>
  <c r="R733" i="18" s="1"/>
  <c r="Q732" i="18"/>
  <c r="R732" i="18" s="1"/>
  <c r="Q731" i="18"/>
  <c r="R731" i="18" s="1"/>
  <c r="Q730" i="18"/>
  <c r="R730" i="18" s="1"/>
  <c r="Q729" i="18"/>
  <c r="R729" i="18" s="1"/>
  <c r="Q728" i="18"/>
  <c r="R728" i="18" s="1"/>
  <c r="Q727" i="18"/>
  <c r="R727" i="18" s="1"/>
  <c r="Q726" i="18"/>
  <c r="R726" i="18" s="1"/>
  <c r="Q725" i="18"/>
  <c r="R725" i="18" s="1"/>
  <c r="Q724" i="18"/>
  <c r="R724" i="18" s="1"/>
  <c r="Q723" i="18"/>
  <c r="R723" i="18" s="1"/>
  <c r="Q722" i="18"/>
  <c r="R722" i="18" s="1"/>
  <c r="Q721" i="18"/>
  <c r="R721" i="18" s="1"/>
  <c r="Q720" i="18"/>
  <c r="R720" i="18" s="1"/>
  <c r="R719" i="18"/>
  <c r="Q719" i="18"/>
  <c r="Q718" i="18"/>
  <c r="R718" i="18" s="1"/>
  <c r="Q717" i="18"/>
  <c r="R717" i="18" s="1"/>
  <c r="Q716" i="18"/>
  <c r="R716" i="18" s="1"/>
  <c r="Q715" i="18"/>
  <c r="R715" i="18" s="1"/>
  <c r="Q714" i="18"/>
  <c r="R714" i="18" s="1"/>
  <c r="Q713" i="18"/>
  <c r="R713" i="18" s="1"/>
  <c r="Q712" i="18"/>
  <c r="R712" i="18" s="1"/>
  <c r="Q711" i="18"/>
  <c r="R711" i="18" s="1"/>
  <c r="Q710" i="18"/>
  <c r="R710" i="18" s="1"/>
  <c r="Q709" i="18"/>
  <c r="R709" i="18" s="1"/>
  <c r="Q708" i="18"/>
  <c r="R708" i="18" s="1"/>
  <c r="Q707" i="18"/>
  <c r="R707" i="18" s="1"/>
  <c r="Q706" i="18"/>
  <c r="R706" i="18" s="1"/>
  <c r="Q705" i="18"/>
  <c r="R705" i="18" s="1"/>
  <c r="Q704" i="18"/>
  <c r="R704" i="18" s="1"/>
  <c r="Q703" i="18"/>
  <c r="R703" i="18" s="1"/>
  <c r="Q702" i="18"/>
  <c r="R702" i="18" s="1"/>
  <c r="Q701" i="18"/>
  <c r="R701" i="18" s="1"/>
  <c r="Q700" i="18"/>
  <c r="R700" i="18" s="1"/>
  <c r="Q699" i="18"/>
  <c r="R699" i="18" s="1"/>
  <c r="Q698" i="18"/>
  <c r="R698" i="18" s="1"/>
  <c r="Q697" i="18"/>
  <c r="R697" i="18" s="1"/>
  <c r="Q696" i="18"/>
  <c r="R696" i="18" s="1"/>
  <c r="Q695" i="18"/>
  <c r="R695" i="18" s="1"/>
  <c r="Q694" i="18"/>
  <c r="R694" i="18" s="1"/>
  <c r="Q693" i="18"/>
  <c r="R693" i="18" s="1"/>
  <c r="Q692" i="18"/>
  <c r="R692" i="18" s="1"/>
  <c r="Q691" i="18"/>
  <c r="R691" i="18" s="1"/>
  <c r="Q690" i="18"/>
  <c r="R690" i="18" s="1"/>
  <c r="Q689" i="18"/>
  <c r="R689" i="18" s="1"/>
  <c r="Q688" i="18"/>
  <c r="R688" i="18" s="1"/>
  <c r="Q687" i="18"/>
  <c r="R687" i="18" s="1"/>
  <c r="Q686" i="18"/>
  <c r="R686" i="18" s="1"/>
  <c r="Q685" i="18"/>
  <c r="R685" i="18" s="1"/>
  <c r="Q684" i="18"/>
  <c r="R684" i="18" s="1"/>
  <c r="Q683" i="18"/>
  <c r="R683" i="18" s="1"/>
  <c r="Q682" i="18"/>
  <c r="R682" i="18" s="1"/>
  <c r="Q681" i="18"/>
  <c r="R681" i="18" s="1"/>
  <c r="Q680" i="18"/>
  <c r="R680" i="18" s="1"/>
  <c r="Q679" i="18"/>
  <c r="R679" i="18" s="1"/>
  <c r="Q678" i="18"/>
  <c r="R678" i="18" s="1"/>
  <c r="Q677" i="18"/>
  <c r="R677" i="18" s="1"/>
  <c r="Q676" i="18"/>
  <c r="R676" i="18" s="1"/>
  <c r="Q675" i="18"/>
  <c r="R675" i="18" s="1"/>
  <c r="Q674" i="18"/>
  <c r="R674" i="18" s="1"/>
  <c r="Q673" i="18"/>
  <c r="R673" i="18" s="1"/>
  <c r="Q672" i="18"/>
  <c r="R672" i="18" s="1"/>
  <c r="Q671" i="18"/>
  <c r="R671" i="18" s="1"/>
  <c r="Q670" i="18"/>
  <c r="R670" i="18" s="1"/>
  <c r="Q669" i="18"/>
  <c r="R669" i="18" s="1"/>
  <c r="Q668" i="18"/>
  <c r="R668" i="18" s="1"/>
  <c r="Q667" i="18"/>
  <c r="R667" i="18" s="1"/>
  <c r="Q666" i="18"/>
  <c r="R666" i="18" s="1"/>
  <c r="Q665" i="18"/>
  <c r="R665" i="18" s="1"/>
  <c r="Q664" i="18"/>
  <c r="R664" i="18" s="1"/>
  <c r="Q663" i="18"/>
  <c r="R663" i="18" s="1"/>
  <c r="Q662" i="18"/>
  <c r="R662" i="18" s="1"/>
  <c r="Q661" i="18"/>
  <c r="R661" i="18" s="1"/>
  <c r="Q660" i="18"/>
  <c r="R660" i="18" s="1"/>
  <c r="Q659" i="18"/>
  <c r="R659" i="18" s="1"/>
  <c r="Q658" i="18"/>
  <c r="R658" i="18" s="1"/>
  <c r="Q657" i="18"/>
  <c r="R657" i="18" s="1"/>
  <c r="Q656" i="18"/>
  <c r="R656" i="18" s="1"/>
  <c r="Q655" i="18"/>
  <c r="R655" i="18" s="1"/>
  <c r="Q654" i="18"/>
  <c r="R654" i="18" s="1"/>
  <c r="Q653" i="18"/>
  <c r="R653" i="18" s="1"/>
  <c r="Q652" i="18"/>
  <c r="R652" i="18" s="1"/>
  <c r="Q651" i="18"/>
  <c r="R651" i="18" s="1"/>
  <c r="Q650" i="18"/>
  <c r="R650" i="18" s="1"/>
  <c r="Q649" i="18"/>
  <c r="R649" i="18" s="1"/>
  <c r="Q648" i="18"/>
  <c r="R648" i="18" s="1"/>
  <c r="Q647" i="18"/>
  <c r="R647" i="18" s="1"/>
  <c r="Q646" i="18"/>
  <c r="R646" i="18" s="1"/>
  <c r="Q645" i="18"/>
  <c r="R645" i="18" s="1"/>
  <c r="Q644" i="18"/>
  <c r="R644" i="18" s="1"/>
  <c r="Q643" i="18"/>
  <c r="R643" i="18" s="1"/>
  <c r="Q642" i="18"/>
  <c r="R642" i="18" s="1"/>
  <c r="Q641" i="18"/>
  <c r="R641" i="18" s="1"/>
  <c r="Q640" i="18"/>
  <c r="R640" i="18" s="1"/>
  <c r="Q639" i="18"/>
  <c r="R639" i="18" s="1"/>
  <c r="Q638" i="18"/>
  <c r="R638" i="18" s="1"/>
  <c r="Q637" i="18"/>
  <c r="R637" i="18" s="1"/>
  <c r="Q636" i="18"/>
  <c r="R636" i="18" s="1"/>
  <c r="Q635" i="18"/>
  <c r="R635" i="18" s="1"/>
  <c r="Q634" i="18"/>
  <c r="R634" i="18" s="1"/>
  <c r="Q633" i="18"/>
  <c r="R633" i="18" s="1"/>
  <c r="Q632" i="18"/>
  <c r="R632" i="18" s="1"/>
  <c r="Q631" i="18"/>
  <c r="R631" i="18" s="1"/>
  <c r="Q630" i="18"/>
  <c r="R630" i="18" s="1"/>
  <c r="Q629" i="18"/>
  <c r="R629" i="18" s="1"/>
  <c r="Q628" i="18"/>
  <c r="R628" i="18" s="1"/>
  <c r="Q627" i="18"/>
  <c r="R627" i="18" s="1"/>
  <c r="Q626" i="18"/>
  <c r="R626" i="18" s="1"/>
  <c r="Q625" i="18"/>
  <c r="R625" i="18" s="1"/>
  <c r="Q624" i="18"/>
  <c r="R624" i="18" s="1"/>
  <c r="Q623" i="18"/>
  <c r="R623" i="18" s="1"/>
  <c r="Q622" i="18"/>
  <c r="R622" i="18" s="1"/>
  <c r="Q621" i="18"/>
  <c r="R621" i="18" s="1"/>
  <c r="Q620" i="18"/>
  <c r="R620" i="18" s="1"/>
  <c r="Q619" i="18"/>
  <c r="R619" i="18" s="1"/>
  <c r="Q618" i="18"/>
  <c r="R618" i="18" s="1"/>
  <c r="Q617" i="18"/>
  <c r="R617" i="18" s="1"/>
  <c r="Q616" i="18"/>
  <c r="R616" i="18" s="1"/>
  <c r="Q615" i="18"/>
  <c r="R615" i="18" s="1"/>
  <c r="Q614" i="18"/>
  <c r="R614" i="18" s="1"/>
  <c r="Q613" i="18"/>
  <c r="R613" i="18" s="1"/>
  <c r="Q612" i="18"/>
  <c r="R612" i="18" s="1"/>
  <c r="Q611" i="18"/>
  <c r="R611" i="18" s="1"/>
  <c r="Q610" i="18"/>
  <c r="R610" i="18" s="1"/>
  <c r="Q609" i="18"/>
  <c r="R609" i="18" s="1"/>
  <c r="Q608" i="18"/>
  <c r="R608" i="18" s="1"/>
  <c r="Q607" i="18"/>
  <c r="R607" i="18" s="1"/>
  <c r="Q606" i="18"/>
  <c r="R606" i="18" s="1"/>
  <c r="Q605" i="18"/>
  <c r="R605" i="18" s="1"/>
  <c r="Q604" i="18"/>
  <c r="R604" i="18" s="1"/>
  <c r="Q603" i="18"/>
  <c r="R603" i="18" s="1"/>
  <c r="Q602" i="18"/>
  <c r="R602" i="18" s="1"/>
  <c r="Q601" i="18"/>
  <c r="R601" i="18" s="1"/>
  <c r="Q600" i="18"/>
  <c r="R600" i="18" s="1"/>
  <c r="Q599" i="18"/>
  <c r="R599" i="18" s="1"/>
  <c r="Q598" i="18"/>
  <c r="R598" i="18" s="1"/>
  <c r="Q597" i="18"/>
  <c r="R597" i="18" s="1"/>
  <c r="Q596" i="18"/>
  <c r="R596" i="18" s="1"/>
  <c r="Q595" i="18"/>
  <c r="R595" i="18" s="1"/>
  <c r="Q594" i="18"/>
  <c r="R594" i="18" s="1"/>
  <c r="Q593" i="18"/>
  <c r="R593" i="18" s="1"/>
  <c r="Q592" i="18"/>
  <c r="R592" i="18" s="1"/>
  <c r="Q591" i="18"/>
  <c r="R591" i="18" s="1"/>
  <c r="Q590" i="18"/>
  <c r="R590" i="18" s="1"/>
  <c r="Q589" i="18"/>
  <c r="R589" i="18" s="1"/>
  <c r="Q588" i="18"/>
  <c r="R588" i="18" s="1"/>
  <c r="Q587" i="18"/>
  <c r="R587" i="18" s="1"/>
  <c r="Q586" i="18"/>
  <c r="R586" i="18" s="1"/>
  <c r="Q585" i="18"/>
  <c r="R585" i="18" s="1"/>
  <c r="Q584" i="18"/>
  <c r="R584" i="18" s="1"/>
  <c r="Q583" i="18"/>
  <c r="R583" i="18" s="1"/>
  <c r="Q582" i="18"/>
  <c r="R582" i="18" s="1"/>
  <c r="Q581" i="18"/>
  <c r="R581" i="18" s="1"/>
  <c r="Q580" i="18"/>
  <c r="R580" i="18" s="1"/>
  <c r="Q579" i="18"/>
  <c r="R579" i="18" s="1"/>
  <c r="Q578" i="18"/>
  <c r="R578" i="18" s="1"/>
  <c r="Q577" i="18"/>
  <c r="R577" i="18" s="1"/>
  <c r="Q576" i="18"/>
  <c r="R576" i="18" s="1"/>
  <c r="Q575" i="18"/>
  <c r="R575" i="18" s="1"/>
  <c r="Q574" i="18"/>
  <c r="R574" i="18" s="1"/>
  <c r="Q573" i="18"/>
  <c r="R573" i="18" s="1"/>
  <c r="Q572" i="18"/>
  <c r="R572" i="18" s="1"/>
  <c r="Q571" i="18"/>
  <c r="R571" i="18" s="1"/>
  <c r="Q570" i="18"/>
  <c r="R570" i="18" s="1"/>
  <c r="Q569" i="18"/>
  <c r="R569" i="18" s="1"/>
  <c r="Q568" i="18"/>
  <c r="R568" i="18" s="1"/>
  <c r="Q567" i="18"/>
  <c r="R567" i="18" s="1"/>
  <c r="R566" i="18"/>
  <c r="Q566" i="18"/>
  <c r="R565" i="18"/>
  <c r="Q565" i="18"/>
  <c r="Q564" i="18"/>
  <c r="R564" i="18" s="1"/>
  <c r="Q563" i="18"/>
  <c r="R563" i="18" s="1"/>
  <c r="Q562" i="18"/>
  <c r="R562" i="18" s="1"/>
  <c r="Q561" i="18"/>
  <c r="R561" i="18" s="1"/>
  <c r="Q560" i="18"/>
  <c r="R560" i="18" s="1"/>
  <c r="Q559" i="18"/>
  <c r="R559" i="18" s="1"/>
  <c r="Q558" i="18"/>
  <c r="R558" i="18" s="1"/>
  <c r="Q557" i="18"/>
  <c r="R557" i="18" s="1"/>
  <c r="Q556" i="18"/>
  <c r="R556" i="18" s="1"/>
  <c r="Q555" i="18"/>
  <c r="R555" i="18" s="1"/>
  <c r="Q554" i="18"/>
  <c r="R554" i="18" s="1"/>
  <c r="Q553" i="18"/>
  <c r="R553" i="18" s="1"/>
  <c r="R552" i="18"/>
  <c r="Q552" i="18"/>
  <c r="Q551" i="18"/>
  <c r="R551" i="18" s="1"/>
  <c r="Q550" i="18"/>
  <c r="R550" i="18" s="1"/>
  <c r="Q549" i="18"/>
  <c r="R549" i="18" s="1"/>
  <c r="Q548" i="18"/>
  <c r="R548" i="18" s="1"/>
  <c r="Q547" i="18"/>
  <c r="R547" i="18" s="1"/>
  <c r="Q546" i="18"/>
  <c r="R546" i="18" s="1"/>
  <c r="Q545" i="18"/>
  <c r="R545" i="18" s="1"/>
  <c r="Q544" i="18"/>
  <c r="R544" i="18" s="1"/>
  <c r="Q543" i="18"/>
  <c r="R543" i="18" s="1"/>
  <c r="Q542" i="18"/>
  <c r="R542" i="18" s="1"/>
  <c r="Q541" i="18"/>
  <c r="R541" i="18" s="1"/>
  <c r="Q540" i="18"/>
  <c r="R540" i="18" s="1"/>
  <c r="Q539" i="18"/>
  <c r="R539" i="18" s="1"/>
  <c r="Q538" i="18"/>
  <c r="R538" i="18" s="1"/>
  <c r="Q537" i="18"/>
  <c r="R537" i="18" s="1"/>
  <c r="Q536" i="18"/>
  <c r="R536" i="18" s="1"/>
  <c r="Q535" i="18"/>
  <c r="R535" i="18" s="1"/>
  <c r="Q534" i="18"/>
  <c r="R534" i="18" s="1"/>
  <c r="Q533" i="18"/>
  <c r="R533" i="18" s="1"/>
  <c r="Q532" i="18"/>
  <c r="R532" i="18" s="1"/>
  <c r="Q531" i="18"/>
  <c r="R531" i="18" s="1"/>
  <c r="Q530" i="18"/>
  <c r="R530" i="18" s="1"/>
  <c r="Q529" i="18"/>
  <c r="R529" i="18" s="1"/>
  <c r="Q528" i="18"/>
  <c r="R528" i="18" s="1"/>
  <c r="Q527" i="18"/>
  <c r="R527" i="18" s="1"/>
  <c r="Q526" i="18"/>
  <c r="R526" i="18" s="1"/>
  <c r="Q525" i="18"/>
  <c r="R525" i="18" s="1"/>
  <c r="Q524" i="18"/>
  <c r="R524" i="18" s="1"/>
  <c r="Q523" i="18"/>
  <c r="R523" i="18" s="1"/>
  <c r="Q522" i="18"/>
  <c r="R522" i="18" s="1"/>
  <c r="Q521" i="18"/>
  <c r="R521" i="18" s="1"/>
  <c r="Q520" i="18"/>
  <c r="R520" i="18" s="1"/>
  <c r="Q519" i="18"/>
  <c r="R519" i="18" s="1"/>
  <c r="Q518" i="18"/>
  <c r="R518" i="18" s="1"/>
  <c r="Q517" i="18"/>
  <c r="R517" i="18" s="1"/>
  <c r="Q516" i="18"/>
  <c r="R516" i="18" s="1"/>
  <c r="Q515" i="18"/>
  <c r="R515" i="18" s="1"/>
  <c r="Q514" i="18"/>
  <c r="R514" i="18" s="1"/>
  <c r="Q513" i="18"/>
  <c r="R513" i="18" s="1"/>
  <c r="Q512" i="18"/>
  <c r="R512" i="18" s="1"/>
  <c r="Q511" i="18"/>
  <c r="R511" i="18" s="1"/>
  <c r="Q510" i="18"/>
  <c r="R510" i="18" s="1"/>
  <c r="Q509" i="18"/>
  <c r="R509" i="18" s="1"/>
  <c r="Q508" i="18"/>
  <c r="R508" i="18" s="1"/>
  <c r="Q507" i="18"/>
  <c r="R507" i="18" s="1"/>
  <c r="Q506" i="18"/>
  <c r="R506" i="18" s="1"/>
  <c r="Q505" i="18"/>
  <c r="R505" i="18" s="1"/>
  <c r="Q504" i="18"/>
  <c r="R504" i="18" s="1"/>
  <c r="Q503" i="18"/>
  <c r="R503" i="18" s="1"/>
  <c r="Q502" i="18"/>
  <c r="R502" i="18" s="1"/>
  <c r="Q501" i="18"/>
  <c r="R501" i="18" s="1"/>
  <c r="Q500" i="18"/>
  <c r="R500" i="18" s="1"/>
  <c r="Q499" i="18"/>
  <c r="R499" i="18" s="1"/>
  <c r="Q498" i="18"/>
  <c r="R498" i="18" s="1"/>
  <c r="Q497" i="18"/>
  <c r="R497" i="18" s="1"/>
  <c r="Q496" i="18"/>
  <c r="R496" i="18" s="1"/>
  <c r="Q495" i="18"/>
  <c r="R495" i="18" s="1"/>
  <c r="Q494" i="18"/>
  <c r="R494" i="18" s="1"/>
  <c r="Q493" i="18"/>
  <c r="R493" i="18" s="1"/>
  <c r="Q492" i="18"/>
  <c r="R492" i="18" s="1"/>
  <c r="Q491" i="18"/>
  <c r="R491" i="18" s="1"/>
  <c r="Q490" i="18"/>
  <c r="R490" i="18" s="1"/>
  <c r="Q489" i="18"/>
  <c r="R489" i="18" s="1"/>
  <c r="Q488" i="18"/>
  <c r="R488" i="18" s="1"/>
  <c r="Q487" i="18"/>
  <c r="R487" i="18" s="1"/>
  <c r="Q486" i="18"/>
  <c r="R486" i="18" s="1"/>
  <c r="Q485" i="18"/>
  <c r="R485" i="18" s="1"/>
  <c r="Q484" i="18"/>
  <c r="R484" i="18" s="1"/>
  <c r="Q483" i="18"/>
  <c r="R483" i="18" s="1"/>
  <c r="Q482" i="18"/>
  <c r="R482" i="18" s="1"/>
  <c r="Q481" i="18"/>
  <c r="R481" i="18" s="1"/>
  <c r="Q480" i="18"/>
  <c r="R480" i="18" s="1"/>
  <c r="Q479" i="18"/>
  <c r="R479" i="18" s="1"/>
  <c r="Q478" i="18"/>
  <c r="R478" i="18" s="1"/>
  <c r="Q477" i="18"/>
  <c r="R477" i="18" s="1"/>
  <c r="Q476" i="18"/>
  <c r="R476" i="18" s="1"/>
  <c r="Q475" i="18"/>
  <c r="R475" i="18" s="1"/>
  <c r="Q474" i="18"/>
  <c r="R474" i="18" s="1"/>
  <c r="Q473" i="18"/>
  <c r="R473" i="18" s="1"/>
  <c r="Q472" i="18"/>
  <c r="R472" i="18" s="1"/>
  <c r="Q471" i="18"/>
  <c r="R471" i="18" s="1"/>
  <c r="Q470" i="18"/>
  <c r="R470" i="18" s="1"/>
  <c r="Q469" i="18"/>
  <c r="R469" i="18" s="1"/>
  <c r="Q468" i="18"/>
  <c r="R468" i="18" s="1"/>
  <c r="Q467" i="18"/>
  <c r="R467" i="18" s="1"/>
  <c r="Q466" i="18"/>
  <c r="R466" i="18" s="1"/>
  <c r="Q465" i="18"/>
  <c r="R465" i="18" s="1"/>
  <c r="Q464" i="18"/>
  <c r="R464" i="18" s="1"/>
  <c r="Q463" i="18"/>
  <c r="R463" i="18" s="1"/>
  <c r="Q462" i="18"/>
  <c r="R462" i="18" s="1"/>
  <c r="Q461" i="18"/>
  <c r="R461" i="18" s="1"/>
  <c r="Q460" i="18"/>
  <c r="R460" i="18" s="1"/>
  <c r="Q459" i="18"/>
  <c r="R459" i="18" s="1"/>
  <c r="Q458" i="18"/>
  <c r="R458" i="18" s="1"/>
  <c r="Q457" i="18"/>
  <c r="R457" i="18" s="1"/>
  <c r="Q456" i="18"/>
  <c r="R456" i="18" s="1"/>
  <c r="Q455" i="18"/>
  <c r="R455" i="18" s="1"/>
  <c r="Q454" i="18"/>
  <c r="R454" i="18" s="1"/>
  <c r="Q453" i="18"/>
  <c r="R453" i="18" s="1"/>
  <c r="Q452" i="18"/>
  <c r="R452" i="18" s="1"/>
  <c r="Q451" i="18"/>
  <c r="R451" i="18" s="1"/>
  <c r="Q450" i="18"/>
  <c r="R450" i="18" s="1"/>
  <c r="Q449" i="18"/>
  <c r="R449" i="18" s="1"/>
  <c r="Q448" i="18"/>
  <c r="R448" i="18" s="1"/>
  <c r="Q447" i="18"/>
  <c r="R447" i="18" s="1"/>
  <c r="Q446" i="18"/>
  <c r="R446" i="18" s="1"/>
  <c r="Q445" i="18"/>
  <c r="R445" i="18" s="1"/>
  <c r="Q444" i="18"/>
  <c r="R444" i="18" s="1"/>
  <c r="Q443" i="18"/>
  <c r="R443" i="18" s="1"/>
  <c r="Q442" i="18"/>
  <c r="R442" i="18" s="1"/>
  <c r="Q441" i="18"/>
  <c r="R441" i="18" s="1"/>
  <c r="Q440" i="18"/>
  <c r="R440" i="18" s="1"/>
  <c r="Q439" i="18"/>
  <c r="R439" i="18" s="1"/>
  <c r="Q438" i="18"/>
  <c r="R438" i="18" s="1"/>
  <c r="Q437" i="18"/>
  <c r="R437" i="18" s="1"/>
  <c r="Q436" i="18"/>
  <c r="R436" i="18" s="1"/>
  <c r="Q435" i="18"/>
  <c r="R435" i="18" s="1"/>
  <c r="Q434" i="18"/>
  <c r="R434" i="18" s="1"/>
  <c r="Q433" i="18"/>
  <c r="R433" i="18" s="1"/>
  <c r="Q432" i="18"/>
  <c r="R432" i="18" s="1"/>
  <c r="Q431" i="18"/>
  <c r="R431" i="18" s="1"/>
  <c r="Q430" i="18"/>
  <c r="R430" i="18" s="1"/>
  <c r="Q429" i="18"/>
  <c r="R429" i="18" s="1"/>
  <c r="Q428" i="18"/>
  <c r="R428" i="18" s="1"/>
  <c r="Q427" i="18"/>
  <c r="R427" i="18" s="1"/>
  <c r="Q426" i="18"/>
  <c r="R426" i="18" s="1"/>
  <c r="Q425" i="18"/>
  <c r="R425" i="18" s="1"/>
  <c r="Q424" i="18"/>
  <c r="R424" i="18" s="1"/>
  <c r="Q423" i="18"/>
  <c r="R423" i="18" s="1"/>
  <c r="Q422" i="18"/>
  <c r="R422" i="18" s="1"/>
  <c r="Q421" i="18"/>
  <c r="R421" i="18" s="1"/>
  <c r="Q420" i="18"/>
  <c r="R420" i="18" s="1"/>
  <c r="Q419" i="18"/>
  <c r="R419" i="18" s="1"/>
  <c r="Q418" i="18"/>
  <c r="R418" i="18" s="1"/>
  <c r="Q417" i="18"/>
  <c r="R417" i="18" s="1"/>
  <c r="Q416" i="18"/>
  <c r="R416" i="18" s="1"/>
  <c r="Q415" i="18"/>
  <c r="R415" i="18" s="1"/>
  <c r="Q414" i="18"/>
  <c r="R414" i="18" s="1"/>
  <c r="Q413" i="18"/>
  <c r="R413" i="18" s="1"/>
  <c r="Q412" i="18"/>
  <c r="R412" i="18" s="1"/>
  <c r="Q411" i="18"/>
  <c r="R411" i="18" s="1"/>
  <c r="Q410" i="18"/>
  <c r="R410" i="18" s="1"/>
  <c r="Q409" i="18"/>
  <c r="R409" i="18" s="1"/>
  <c r="Q408" i="18"/>
  <c r="R408" i="18" s="1"/>
  <c r="Q407" i="18"/>
  <c r="R407" i="18" s="1"/>
  <c r="Q406" i="18"/>
  <c r="R406" i="18" s="1"/>
  <c r="Q405" i="18"/>
  <c r="R405" i="18" s="1"/>
  <c r="Q404" i="18"/>
  <c r="R404" i="18" s="1"/>
  <c r="Q403" i="18"/>
  <c r="R403" i="18" s="1"/>
  <c r="Q402" i="18"/>
  <c r="R402" i="18" s="1"/>
  <c r="Q401" i="18"/>
  <c r="R401" i="18" s="1"/>
  <c r="Q400" i="18"/>
  <c r="R400" i="18" s="1"/>
  <c r="Q399" i="18"/>
  <c r="R399" i="18" s="1"/>
  <c r="Q398" i="18"/>
  <c r="R398" i="18" s="1"/>
  <c r="Q397" i="18"/>
  <c r="R397" i="18" s="1"/>
  <c r="Q396" i="18"/>
  <c r="R396" i="18" s="1"/>
  <c r="Q395" i="18"/>
  <c r="R395" i="18" s="1"/>
  <c r="Q394" i="18"/>
  <c r="R394" i="18" s="1"/>
  <c r="Q393" i="18"/>
  <c r="R393" i="18" s="1"/>
  <c r="Q392" i="18"/>
  <c r="R392" i="18" s="1"/>
  <c r="Q391" i="18"/>
  <c r="R391" i="18" s="1"/>
  <c r="Q390" i="18"/>
  <c r="R390" i="18" s="1"/>
  <c r="Q389" i="18"/>
  <c r="R389" i="18" s="1"/>
  <c r="Q388" i="18"/>
  <c r="R388" i="18" s="1"/>
  <c r="Q387" i="18"/>
  <c r="R387" i="18" s="1"/>
  <c r="Q386" i="18"/>
  <c r="R386" i="18" s="1"/>
  <c r="Q385" i="18"/>
  <c r="R385" i="18" s="1"/>
  <c r="Q384" i="18"/>
  <c r="R384" i="18" s="1"/>
  <c r="Q383" i="18"/>
  <c r="R383" i="18" s="1"/>
  <c r="Q382" i="18"/>
  <c r="R382" i="18" s="1"/>
  <c r="Q381" i="18"/>
  <c r="R381" i="18" s="1"/>
  <c r="Q380" i="18"/>
  <c r="R380" i="18" s="1"/>
  <c r="Q379" i="18"/>
  <c r="R379" i="18" s="1"/>
  <c r="Q378" i="18"/>
  <c r="R378" i="18" s="1"/>
  <c r="Q377" i="18"/>
  <c r="R377" i="18" s="1"/>
  <c r="Q376" i="18"/>
  <c r="R376" i="18" s="1"/>
  <c r="Q375" i="18"/>
  <c r="R375" i="18" s="1"/>
  <c r="Q374" i="18"/>
  <c r="R374" i="18" s="1"/>
  <c r="R373" i="18"/>
  <c r="Q373" i="18"/>
  <c r="Q372" i="18"/>
  <c r="R372" i="18" s="1"/>
  <c r="Q371" i="18"/>
  <c r="R371" i="18" s="1"/>
  <c r="Q370" i="18"/>
  <c r="R370" i="18" s="1"/>
  <c r="Q369" i="18"/>
  <c r="R369" i="18" s="1"/>
  <c r="Q368" i="18"/>
  <c r="R368" i="18" s="1"/>
  <c r="Q367" i="18"/>
  <c r="R367" i="18" s="1"/>
  <c r="Q366" i="18"/>
  <c r="R366" i="18" s="1"/>
  <c r="Q365" i="18"/>
  <c r="R365" i="18" s="1"/>
  <c r="Q364" i="18"/>
  <c r="R364" i="18" s="1"/>
  <c r="Q363" i="18"/>
  <c r="R363" i="18" s="1"/>
  <c r="Q362" i="18"/>
  <c r="R362" i="18" s="1"/>
  <c r="Q361" i="18"/>
  <c r="R361" i="18" s="1"/>
  <c r="Q360" i="18"/>
  <c r="R360" i="18" s="1"/>
  <c r="Q359" i="18"/>
  <c r="R359" i="18" s="1"/>
  <c r="Q358" i="18"/>
  <c r="R358" i="18" s="1"/>
  <c r="Q357" i="18"/>
  <c r="R357" i="18" s="1"/>
  <c r="Q356" i="18"/>
  <c r="R356" i="18" s="1"/>
  <c r="Q355" i="18"/>
  <c r="R355" i="18" s="1"/>
  <c r="Q354" i="18"/>
  <c r="R354" i="18" s="1"/>
  <c r="Q353" i="18"/>
  <c r="R353" i="18" s="1"/>
  <c r="Q352" i="18"/>
  <c r="R352" i="18" s="1"/>
  <c r="Q351" i="18"/>
  <c r="R351" i="18" s="1"/>
  <c r="Q350" i="18"/>
  <c r="R350" i="18" s="1"/>
  <c r="Q349" i="18"/>
  <c r="R349" i="18" s="1"/>
  <c r="R348" i="18"/>
  <c r="Q348" i="18"/>
  <c r="Q347" i="18"/>
  <c r="R347" i="18" s="1"/>
  <c r="Q346" i="18"/>
  <c r="R346" i="18" s="1"/>
  <c r="Q345" i="18"/>
  <c r="R345" i="18" s="1"/>
  <c r="Q344" i="18"/>
  <c r="R344" i="18" s="1"/>
  <c r="Q343" i="18"/>
  <c r="R343" i="18" s="1"/>
  <c r="Q342" i="18"/>
  <c r="R342" i="18" s="1"/>
  <c r="Q341" i="18"/>
  <c r="R341" i="18" s="1"/>
  <c r="Q340" i="18"/>
  <c r="R340" i="18" s="1"/>
  <c r="Q339" i="18"/>
  <c r="R339" i="18" s="1"/>
  <c r="Q338" i="18"/>
  <c r="R338" i="18" s="1"/>
  <c r="Q337" i="18"/>
  <c r="R337" i="18" s="1"/>
  <c r="Q336" i="18"/>
  <c r="R336" i="18" s="1"/>
  <c r="Q335" i="18"/>
  <c r="R335" i="18" s="1"/>
  <c r="Q334" i="18"/>
  <c r="R334" i="18" s="1"/>
  <c r="Q333" i="18"/>
  <c r="R333" i="18" s="1"/>
  <c r="Q332" i="18"/>
  <c r="R332" i="18" s="1"/>
  <c r="Q331" i="18"/>
  <c r="R331" i="18" s="1"/>
  <c r="Q330" i="18"/>
  <c r="R330" i="18" s="1"/>
  <c r="Q329" i="18"/>
  <c r="R329" i="18" s="1"/>
  <c r="Q328" i="18"/>
  <c r="R328" i="18" s="1"/>
  <c r="Q327" i="18"/>
  <c r="R327" i="18" s="1"/>
  <c r="Q326" i="18"/>
  <c r="R326" i="18" s="1"/>
  <c r="Q325" i="18"/>
  <c r="R325" i="18" s="1"/>
  <c r="Q324" i="18"/>
  <c r="R324" i="18" s="1"/>
  <c r="Q323" i="18"/>
  <c r="R323" i="18" s="1"/>
  <c r="Q322" i="18"/>
  <c r="R322" i="18" s="1"/>
  <c r="Q321" i="18"/>
  <c r="R321" i="18" s="1"/>
  <c r="Q320" i="18"/>
  <c r="R320" i="18" s="1"/>
  <c r="Q319" i="18"/>
  <c r="R319" i="18" s="1"/>
  <c r="Q318" i="18"/>
  <c r="R318" i="18" s="1"/>
  <c r="Q317" i="18"/>
  <c r="R317" i="18" s="1"/>
  <c r="Q316" i="18"/>
  <c r="R316" i="18" s="1"/>
  <c r="Q315" i="18"/>
  <c r="R315" i="18" s="1"/>
  <c r="Q314" i="18"/>
  <c r="R314" i="18" s="1"/>
  <c r="Q313" i="18"/>
  <c r="R313" i="18" s="1"/>
  <c r="Q312" i="18"/>
  <c r="R312" i="18" s="1"/>
  <c r="Q311" i="18"/>
  <c r="R311" i="18" s="1"/>
  <c r="Q310" i="18"/>
  <c r="R310" i="18" s="1"/>
  <c r="Q309" i="18"/>
  <c r="R309" i="18" s="1"/>
  <c r="Q308" i="18"/>
  <c r="R308" i="18" s="1"/>
  <c r="Q307" i="18"/>
  <c r="R307" i="18" s="1"/>
  <c r="Q306" i="18"/>
  <c r="R306" i="18" s="1"/>
  <c r="Q305" i="18"/>
  <c r="R305" i="18" s="1"/>
  <c r="Q304" i="18"/>
  <c r="R304" i="18" s="1"/>
  <c r="Q303" i="18"/>
  <c r="R303" i="18" s="1"/>
  <c r="Q302" i="18"/>
  <c r="R302" i="18" s="1"/>
  <c r="Q301" i="18"/>
  <c r="R301" i="18" s="1"/>
  <c r="Q300" i="18"/>
  <c r="R300" i="18" s="1"/>
  <c r="Q299" i="18"/>
  <c r="R299" i="18" s="1"/>
  <c r="Q298" i="18"/>
  <c r="R298" i="18" s="1"/>
  <c r="R297" i="18"/>
  <c r="Q297" i="18"/>
  <c r="Q296" i="18"/>
  <c r="R296" i="18" s="1"/>
  <c r="Q295" i="18"/>
  <c r="R295" i="18" s="1"/>
  <c r="Q294" i="18"/>
  <c r="R294" i="18" s="1"/>
  <c r="Q293" i="18"/>
  <c r="R293" i="18" s="1"/>
  <c r="Q292" i="18"/>
  <c r="R292" i="18" s="1"/>
  <c r="Q291" i="18"/>
  <c r="R291" i="18" s="1"/>
  <c r="Q290" i="18"/>
  <c r="R290" i="18" s="1"/>
  <c r="Q289" i="18"/>
  <c r="R289" i="18" s="1"/>
  <c r="Q288" i="18"/>
  <c r="R288" i="18" s="1"/>
  <c r="Q287" i="18"/>
  <c r="R287" i="18" s="1"/>
  <c r="Q286" i="18"/>
  <c r="R286" i="18" s="1"/>
  <c r="Q285" i="18"/>
  <c r="R285" i="18" s="1"/>
  <c r="Q284" i="18"/>
  <c r="R284" i="18" s="1"/>
  <c r="Q283" i="18"/>
  <c r="R283" i="18" s="1"/>
  <c r="R282" i="18"/>
  <c r="Q282" i="18"/>
  <c r="Q281" i="18"/>
  <c r="R281" i="18" s="1"/>
  <c r="Q280" i="18"/>
  <c r="R280" i="18" s="1"/>
  <c r="Q279" i="18"/>
  <c r="R279" i="18" s="1"/>
  <c r="Q278" i="18"/>
  <c r="R278" i="18" s="1"/>
  <c r="Q277" i="18"/>
  <c r="R277" i="18" s="1"/>
  <c r="Q276" i="18"/>
  <c r="R276" i="18" s="1"/>
  <c r="Q275" i="18"/>
  <c r="R275" i="18" s="1"/>
  <c r="Q274" i="18"/>
  <c r="R274" i="18" s="1"/>
  <c r="Q273" i="18"/>
  <c r="R273" i="18" s="1"/>
  <c r="Q272" i="18"/>
  <c r="R272" i="18" s="1"/>
  <c r="Q271" i="18"/>
  <c r="R271" i="18" s="1"/>
  <c r="Q270" i="18"/>
  <c r="R270" i="18" s="1"/>
  <c r="Q269" i="18"/>
  <c r="R269" i="18" s="1"/>
  <c r="Q268" i="18"/>
  <c r="R268" i="18" s="1"/>
  <c r="Q267" i="18"/>
  <c r="R267" i="18" s="1"/>
  <c r="Q266" i="18"/>
  <c r="R266" i="18" s="1"/>
  <c r="Q265" i="18"/>
  <c r="R265" i="18" s="1"/>
  <c r="Q264" i="18"/>
  <c r="R264" i="18" s="1"/>
  <c r="Q263" i="18"/>
  <c r="R263" i="18" s="1"/>
  <c r="Q262" i="18"/>
  <c r="R262" i="18" s="1"/>
  <c r="Q261" i="18"/>
  <c r="R261" i="18" s="1"/>
  <c r="Q260" i="18"/>
  <c r="R260" i="18" s="1"/>
  <c r="Q259" i="18"/>
  <c r="R259" i="18" s="1"/>
  <c r="Q258" i="18"/>
  <c r="R258" i="18" s="1"/>
  <c r="Q257" i="18"/>
  <c r="R257" i="18" s="1"/>
  <c r="Q256" i="18"/>
  <c r="R256" i="18" s="1"/>
  <c r="Q255" i="18"/>
  <c r="R255" i="18" s="1"/>
  <c r="Q254" i="18"/>
  <c r="R254" i="18" s="1"/>
  <c r="Q253" i="18"/>
  <c r="R253" i="18" s="1"/>
  <c r="Q252" i="18"/>
  <c r="R252" i="18" s="1"/>
  <c r="Q251" i="18"/>
  <c r="R251" i="18" s="1"/>
  <c r="Q250" i="18"/>
  <c r="R250" i="18" s="1"/>
  <c r="Q249" i="18"/>
  <c r="R249" i="18" s="1"/>
  <c r="Q248" i="18"/>
  <c r="R248" i="18" s="1"/>
  <c r="Q247" i="18"/>
  <c r="R247" i="18" s="1"/>
  <c r="Q246" i="18"/>
  <c r="R246" i="18" s="1"/>
  <c r="Q245" i="18"/>
  <c r="R245" i="18" s="1"/>
  <c r="Q244" i="18"/>
  <c r="R244" i="18" s="1"/>
  <c r="Q243" i="18"/>
  <c r="R243" i="18" s="1"/>
  <c r="Q242" i="18"/>
  <c r="R242" i="18" s="1"/>
  <c r="Q241" i="18"/>
  <c r="R241" i="18" s="1"/>
  <c r="Q240" i="18"/>
  <c r="R240" i="18" s="1"/>
  <c r="Q239" i="18"/>
  <c r="R239" i="18" s="1"/>
  <c r="Q238" i="18"/>
  <c r="R238" i="18" s="1"/>
  <c r="Q237" i="18"/>
  <c r="R237" i="18" s="1"/>
  <c r="Q236" i="18"/>
  <c r="R236" i="18" s="1"/>
  <c r="Q235" i="18"/>
  <c r="R235" i="18" s="1"/>
  <c r="Q234" i="18"/>
  <c r="R234" i="18" s="1"/>
  <c r="Q233" i="18"/>
  <c r="R233" i="18" s="1"/>
  <c r="Q232" i="18"/>
  <c r="R232" i="18" s="1"/>
  <c r="Q231" i="18"/>
  <c r="R231" i="18" s="1"/>
  <c r="Q230" i="18"/>
  <c r="R230" i="18" s="1"/>
  <c r="Q229" i="18"/>
  <c r="R229" i="18" s="1"/>
  <c r="Q228" i="18"/>
  <c r="R228" i="18" s="1"/>
  <c r="Q227" i="18"/>
  <c r="R227" i="18" s="1"/>
  <c r="Q226" i="18"/>
  <c r="R226" i="18" s="1"/>
  <c r="Q225" i="18"/>
  <c r="R225" i="18" s="1"/>
  <c r="Q224" i="18"/>
  <c r="R224" i="18" s="1"/>
  <c r="Q223" i="18"/>
  <c r="R223" i="18" s="1"/>
  <c r="Q222" i="18"/>
  <c r="R222" i="18" s="1"/>
  <c r="Q221" i="18"/>
  <c r="R221" i="18" s="1"/>
  <c r="Q220" i="18"/>
  <c r="R220" i="18" s="1"/>
  <c r="Q219" i="18"/>
  <c r="R219" i="18" s="1"/>
  <c r="Q218" i="18"/>
  <c r="R218" i="18" s="1"/>
  <c r="Q217" i="18"/>
  <c r="R217" i="18" s="1"/>
  <c r="Q216" i="18"/>
  <c r="R216" i="18" s="1"/>
  <c r="Q215" i="18"/>
  <c r="R215" i="18" s="1"/>
  <c r="Q214" i="18"/>
  <c r="R214" i="18" s="1"/>
  <c r="Q213" i="18"/>
  <c r="R213" i="18" s="1"/>
  <c r="Q212" i="18"/>
  <c r="R212" i="18" s="1"/>
  <c r="Q211" i="18"/>
  <c r="R211" i="18" s="1"/>
  <c r="Q210" i="18"/>
  <c r="R210" i="18" s="1"/>
  <c r="Q209" i="18"/>
  <c r="R209" i="18" s="1"/>
  <c r="Q208" i="18"/>
  <c r="R208" i="18" s="1"/>
  <c r="Q207" i="18"/>
  <c r="R207" i="18" s="1"/>
  <c r="Q206" i="18"/>
  <c r="R206" i="18" s="1"/>
  <c r="Q205" i="18"/>
  <c r="R205" i="18" s="1"/>
  <c r="Q204" i="18"/>
  <c r="R204" i="18" s="1"/>
  <c r="Q203" i="18"/>
  <c r="R203" i="18" s="1"/>
  <c r="Q202" i="18"/>
  <c r="R202" i="18" s="1"/>
  <c r="Q201" i="18"/>
  <c r="R201" i="18" s="1"/>
  <c r="Q200" i="18"/>
  <c r="R200" i="18" s="1"/>
  <c r="Q199" i="18"/>
  <c r="R199" i="18" s="1"/>
  <c r="Q198" i="18"/>
  <c r="R198" i="18" s="1"/>
  <c r="Q197" i="18"/>
  <c r="R197" i="18" s="1"/>
  <c r="Q196" i="18"/>
  <c r="R196" i="18" s="1"/>
  <c r="Q195" i="18"/>
  <c r="R195" i="18" s="1"/>
  <c r="Q194" i="18"/>
  <c r="R194" i="18" s="1"/>
  <c r="Q193" i="18"/>
  <c r="R193" i="18" s="1"/>
  <c r="Q192" i="18"/>
  <c r="R192" i="18" s="1"/>
  <c r="Q191" i="18"/>
  <c r="R191" i="18" s="1"/>
  <c r="Q190" i="18"/>
  <c r="R190" i="18" s="1"/>
  <c r="Q189" i="18"/>
  <c r="R189" i="18" s="1"/>
  <c r="Q188" i="18"/>
  <c r="R188" i="18" s="1"/>
  <c r="Q187" i="18"/>
  <c r="R187" i="18" s="1"/>
  <c r="Q186" i="18"/>
  <c r="R186" i="18" s="1"/>
  <c r="Q185" i="18"/>
  <c r="R185" i="18" s="1"/>
  <c r="Q184" i="18"/>
  <c r="R184" i="18" s="1"/>
  <c r="Q183" i="18"/>
  <c r="R183" i="18" s="1"/>
  <c r="Q182" i="18"/>
  <c r="R182" i="18" s="1"/>
  <c r="Q181" i="18"/>
  <c r="R181" i="18" s="1"/>
  <c r="Q180" i="18"/>
  <c r="R180" i="18" s="1"/>
  <c r="Q179" i="18"/>
  <c r="R179" i="18" s="1"/>
  <c r="Q178" i="18"/>
  <c r="R178" i="18" s="1"/>
  <c r="Q177" i="18"/>
  <c r="R177" i="18" s="1"/>
  <c r="Q176" i="18"/>
  <c r="R176" i="18" s="1"/>
  <c r="Q175" i="18"/>
  <c r="R175" i="18" s="1"/>
  <c r="Q174" i="18"/>
  <c r="R174" i="18" s="1"/>
  <c r="Q173" i="18"/>
  <c r="R173" i="18" s="1"/>
  <c r="Q172" i="18"/>
  <c r="R172" i="18" s="1"/>
  <c r="Q171" i="18"/>
  <c r="R171" i="18" s="1"/>
  <c r="Q170" i="18"/>
  <c r="R170" i="18" s="1"/>
  <c r="Q169" i="18"/>
  <c r="R169" i="18" s="1"/>
  <c r="Q168" i="18"/>
  <c r="R168" i="18" s="1"/>
  <c r="Q167" i="18"/>
  <c r="R167" i="18" s="1"/>
  <c r="R166" i="18"/>
  <c r="Q166" i="18"/>
  <c r="Q165" i="18"/>
  <c r="R165" i="18" s="1"/>
  <c r="Q164" i="18"/>
  <c r="R164" i="18" s="1"/>
  <c r="Q163" i="18"/>
  <c r="R163" i="18" s="1"/>
  <c r="Q162" i="18"/>
  <c r="R162" i="18" s="1"/>
  <c r="Q161" i="18"/>
  <c r="R161" i="18" s="1"/>
  <c r="Q160" i="18"/>
  <c r="R160" i="18" s="1"/>
  <c r="R159" i="18"/>
  <c r="Q159" i="18"/>
  <c r="Q158" i="18"/>
  <c r="R158" i="18" s="1"/>
  <c r="Q157" i="18"/>
  <c r="R157" i="18" s="1"/>
  <c r="Q156" i="18"/>
  <c r="R156" i="18" s="1"/>
  <c r="Q155" i="18"/>
  <c r="R155" i="18" s="1"/>
  <c r="Q154" i="18"/>
  <c r="R154" i="18" s="1"/>
  <c r="Q153" i="18"/>
  <c r="R153" i="18" s="1"/>
  <c r="Q152" i="18"/>
  <c r="R152" i="18" s="1"/>
  <c r="Q151" i="18"/>
  <c r="R151" i="18" s="1"/>
  <c r="Q150" i="18"/>
  <c r="R150" i="18" s="1"/>
  <c r="Q149" i="18"/>
  <c r="R149" i="18" s="1"/>
  <c r="Q148" i="18"/>
  <c r="R148" i="18" s="1"/>
  <c r="R147" i="18"/>
  <c r="Q147" i="18"/>
  <c r="Q146" i="18"/>
  <c r="R146" i="18" s="1"/>
  <c r="Q145" i="18"/>
  <c r="R145" i="18" s="1"/>
  <c r="Q144" i="18"/>
  <c r="R144" i="18" s="1"/>
  <c r="Q143" i="18"/>
  <c r="R143" i="18" s="1"/>
  <c r="Q142" i="18"/>
  <c r="R142" i="18" s="1"/>
  <c r="Q141" i="18"/>
  <c r="R141" i="18" s="1"/>
  <c r="R140" i="18"/>
  <c r="Q140" i="18"/>
  <c r="Q139" i="18"/>
  <c r="R139" i="18" s="1"/>
  <c r="Q138" i="18"/>
  <c r="R138" i="18" s="1"/>
  <c r="Q137" i="18"/>
  <c r="R137" i="18" s="1"/>
  <c r="Q136" i="18"/>
  <c r="R136" i="18" s="1"/>
  <c r="Q135" i="18"/>
  <c r="R135" i="18" s="1"/>
  <c r="Q134" i="18"/>
  <c r="R134" i="18" s="1"/>
  <c r="Q133" i="18"/>
  <c r="R133" i="18" s="1"/>
  <c r="Q132" i="18"/>
  <c r="R132" i="18" s="1"/>
  <c r="Q131" i="18"/>
  <c r="R131" i="18" s="1"/>
  <c r="Q130" i="18"/>
  <c r="R130" i="18" s="1"/>
  <c r="Q129" i="18"/>
  <c r="R129" i="18" s="1"/>
  <c r="Q128" i="18"/>
  <c r="R128" i="18" s="1"/>
  <c r="Q127" i="18"/>
  <c r="R127" i="18" s="1"/>
  <c r="Q126" i="18"/>
  <c r="R126" i="18" s="1"/>
  <c r="Q125" i="18"/>
  <c r="R125" i="18" s="1"/>
  <c r="Q124" i="18"/>
  <c r="R124" i="18" s="1"/>
  <c r="Q123" i="18"/>
  <c r="R123" i="18" s="1"/>
  <c r="Q122" i="18"/>
  <c r="R122" i="18" s="1"/>
  <c r="Q121" i="18"/>
  <c r="R121" i="18" s="1"/>
  <c r="Q120" i="18"/>
  <c r="R120" i="18" s="1"/>
  <c r="Q119" i="18"/>
  <c r="R119" i="18" s="1"/>
  <c r="Q118" i="18"/>
  <c r="R118" i="18" s="1"/>
  <c r="Q117" i="18"/>
  <c r="R117" i="18" s="1"/>
  <c r="Q116" i="18"/>
  <c r="R116" i="18" s="1"/>
  <c r="Q115" i="18"/>
  <c r="R115" i="18" s="1"/>
  <c r="Q114" i="18"/>
  <c r="R114" i="18" s="1"/>
  <c r="Q113" i="18"/>
  <c r="R113" i="18" s="1"/>
  <c r="Q112" i="18"/>
  <c r="R112" i="18" s="1"/>
  <c r="Q111" i="18"/>
  <c r="R111" i="18" s="1"/>
  <c r="Q110" i="18"/>
  <c r="R110" i="18" s="1"/>
  <c r="Q109" i="18"/>
  <c r="R109" i="18" s="1"/>
  <c r="Q108" i="18"/>
  <c r="R108" i="18" s="1"/>
  <c r="Q107" i="18"/>
  <c r="R107" i="18" s="1"/>
  <c r="Q106" i="18"/>
  <c r="R106" i="18" s="1"/>
  <c r="Q105" i="18"/>
  <c r="R105" i="18" s="1"/>
  <c r="Q104" i="18"/>
  <c r="R104" i="18" s="1"/>
  <c r="Q103" i="18"/>
  <c r="R103" i="18" s="1"/>
  <c r="Q102" i="18"/>
  <c r="R102" i="18" s="1"/>
  <c r="Q101" i="18"/>
  <c r="R101" i="18" s="1"/>
  <c r="Q100" i="18"/>
  <c r="R100" i="18" s="1"/>
  <c r="Q99" i="18"/>
  <c r="R99" i="18" s="1"/>
  <c r="Q98" i="18"/>
  <c r="R98" i="18" s="1"/>
  <c r="Q97" i="18"/>
  <c r="R97" i="18" s="1"/>
  <c r="Q96" i="18"/>
  <c r="R96" i="18" s="1"/>
  <c r="Q95" i="18"/>
  <c r="R95" i="18" s="1"/>
  <c r="Q94" i="18"/>
  <c r="R94" i="18" s="1"/>
  <c r="Q93" i="18"/>
  <c r="R93" i="18" s="1"/>
  <c r="Q92" i="18"/>
  <c r="R92" i="18" s="1"/>
  <c r="Q91" i="18"/>
  <c r="R91" i="18" s="1"/>
  <c r="Q90" i="18"/>
  <c r="R90" i="18" s="1"/>
  <c r="Q89" i="18"/>
  <c r="R89" i="18" s="1"/>
  <c r="Q88" i="18"/>
  <c r="R88" i="18" s="1"/>
  <c r="Q87" i="18"/>
  <c r="R87" i="18" s="1"/>
  <c r="Q86" i="18"/>
  <c r="R86" i="18" s="1"/>
  <c r="Q85" i="18"/>
  <c r="R85" i="18" s="1"/>
  <c r="Q84" i="18"/>
  <c r="R84" i="18" s="1"/>
  <c r="Q83" i="18"/>
  <c r="R83" i="18" s="1"/>
  <c r="Q82" i="18"/>
  <c r="R82" i="18" s="1"/>
  <c r="Q81" i="18"/>
  <c r="R81" i="18" s="1"/>
  <c r="Q80" i="18"/>
  <c r="R80" i="18" s="1"/>
  <c r="Q79" i="18"/>
  <c r="R79" i="18" s="1"/>
  <c r="Q78" i="18"/>
  <c r="R78" i="18" s="1"/>
  <c r="Q77" i="18"/>
  <c r="R77" i="18" s="1"/>
  <c r="Q76" i="18"/>
  <c r="R76" i="18" s="1"/>
  <c r="Q75" i="18"/>
  <c r="R75" i="18" s="1"/>
  <c r="Q74" i="18"/>
  <c r="R74" i="18" s="1"/>
  <c r="Q73" i="18"/>
  <c r="R73" i="18" s="1"/>
  <c r="Q72" i="18"/>
  <c r="R72" i="18" s="1"/>
  <c r="Q71" i="18"/>
  <c r="R71" i="18" s="1"/>
  <c r="Q70" i="18"/>
  <c r="R70" i="18" s="1"/>
  <c r="Q69" i="18"/>
  <c r="R69" i="18" s="1"/>
  <c r="Q68" i="18"/>
  <c r="R68" i="18" s="1"/>
  <c r="R67" i="18"/>
  <c r="Q67" i="18"/>
  <c r="Q66" i="18"/>
  <c r="R66" i="18" s="1"/>
  <c r="Q65" i="18"/>
  <c r="R65" i="18" s="1"/>
  <c r="Q64" i="18"/>
  <c r="R64" i="18" s="1"/>
  <c r="Q63" i="18"/>
  <c r="R63" i="18" s="1"/>
  <c r="Q62" i="18"/>
  <c r="R62" i="18" s="1"/>
  <c r="Q61" i="18"/>
  <c r="R61" i="18" s="1"/>
  <c r="Q60" i="18"/>
  <c r="R60" i="18" s="1"/>
  <c r="Q59" i="18"/>
  <c r="R59" i="18" s="1"/>
  <c r="Q58" i="18"/>
  <c r="R58" i="18" s="1"/>
  <c r="Q57" i="18"/>
  <c r="R57" i="18" s="1"/>
  <c r="Q56" i="18"/>
  <c r="R56" i="18" s="1"/>
  <c r="Q55" i="18"/>
  <c r="R55" i="18" s="1"/>
  <c r="Q54" i="18"/>
  <c r="R54" i="18" s="1"/>
  <c r="Q53" i="18"/>
  <c r="R53" i="18" s="1"/>
  <c r="Q52" i="18"/>
  <c r="R52" i="18" s="1"/>
  <c r="Q51" i="18"/>
  <c r="R51" i="18" s="1"/>
  <c r="Q50" i="18"/>
  <c r="R50" i="18" s="1"/>
  <c r="Q49" i="18"/>
  <c r="R49" i="18" s="1"/>
  <c r="Q48" i="18"/>
  <c r="R48" i="18" s="1"/>
  <c r="Q47" i="18"/>
  <c r="R47" i="18" s="1"/>
  <c r="Q46" i="18"/>
  <c r="R46" i="18" s="1"/>
  <c r="Q45" i="18"/>
  <c r="R45" i="18" s="1"/>
  <c r="R44" i="18"/>
  <c r="Q44" i="18"/>
  <c r="Q43" i="18"/>
  <c r="R43" i="18" s="1"/>
  <c r="Q42" i="18"/>
  <c r="R42" i="18" s="1"/>
  <c r="Q41" i="18"/>
  <c r="R41" i="18" s="1"/>
  <c r="Q40" i="18"/>
  <c r="R40" i="18" s="1"/>
  <c r="Q39" i="18"/>
  <c r="R39" i="18" s="1"/>
  <c r="Q38" i="18"/>
  <c r="R38" i="18" s="1"/>
  <c r="Q37" i="18"/>
  <c r="R37" i="18" s="1"/>
  <c r="Q36" i="18"/>
  <c r="R36" i="18" s="1"/>
  <c r="Q35" i="18"/>
  <c r="R35" i="18" s="1"/>
  <c r="Q34" i="18"/>
  <c r="R34" i="18" s="1"/>
  <c r="Q33" i="18"/>
  <c r="R33" i="18" s="1"/>
  <c r="Q32" i="18"/>
  <c r="R32" i="18" s="1"/>
  <c r="Q31" i="18"/>
  <c r="R31" i="18" s="1"/>
  <c r="Q30" i="18"/>
  <c r="R30" i="18" s="1"/>
  <c r="Q29" i="18"/>
  <c r="R29" i="18" s="1"/>
  <c r="Q28" i="18"/>
  <c r="R28" i="18" s="1"/>
  <c r="Q27" i="18"/>
  <c r="R27" i="18" s="1"/>
  <c r="Q26" i="18"/>
  <c r="R26" i="18" s="1"/>
  <c r="Q25" i="18"/>
  <c r="R25" i="18" s="1"/>
  <c r="Q24" i="18"/>
  <c r="R24" i="18" s="1"/>
  <c r="R23" i="18"/>
  <c r="Q23" i="18"/>
  <c r="Q22" i="18"/>
  <c r="R22" i="18" s="1"/>
  <c r="Q21" i="18"/>
  <c r="R21" i="18" s="1"/>
  <c r="Q20" i="18"/>
  <c r="R20" i="18" s="1"/>
  <c r="Q19" i="18"/>
  <c r="R19" i="18" s="1"/>
  <c r="Q18" i="18"/>
  <c r="R18" i="18" s="1"/>
  <c r="Q17" i="18"/>
  <c r="R17" i="18" s="1"/>
  <c r="Q16" i="18"/>
  <c r="R16" i="18" s="1"/>
  <c r="Q15" i="18"/>
  <c r="R15" i="18" s="1"/>
  <c r="Q14" i="18"/>
  <c r="R14" i="18" s="1"/>
  <c r="Q13" i="18"/>
  <c r="R13" i="18" s="1"/>
  <c r="Q12" i="18"/>
  <c r="R12" i="18" s="1"/>
  <c r="Q11" i="18"/>
  <c r="R11" i="18" s="1"/>
  <c r="Q10" i="18"/>
  <c r="R10" i="18" s="1"/>
  <c r="Q9" i="18"/>
  <c r="R9" i="18" s="1"/>
  <c r="Q8" i="18"/>
  <c r="R8" i="18" s="1"/>
  <c r="Q7" i="18"/>
  <c r="R7" i="18" s="1"/>
  <c r="Q6" i="18"/>
  <c r="R6" i="18" s="1"/>
  <c r="Q5" i="18"/>
  <c r="R5" i="18" s="1"/>
  <c r="Q4" i="18"/>
  <c r="R4" i="18" s="1"/>
  <c r="Q3" i="18"/>
  <c r="R3" i="18" s="1"/>
  <c r="Q2" i="18"/>
  <c r="R2" i="18" s="1"/>
  <c r="Q123" i="17"/>
  <c r="R123" i="17" s="1"/>
  <c r="Q17" i="17"/>
  <c r="R17" i="17" s="1"/>
  <c r="Q8" i="17"/>
  <c r="R8" i="17" s="1"/>
  <c r="Q9" i="17"/>
  <c r="R9" i="17" s="1"/>
  <c r="Q10" i="17"/>
  <c r="R10" i="17" s="1"/>
  <c r="Q11" i="17"/>
  <c r="R11" i="17" s="1"/>
  <c r="Q12" i="17"/>
  <c r="R12" i="17" s="1"/>
  <c r="Q13" i="17"/>
  <c r="R13" i="17" s="1"/>
  <c r="Q14" i="17"/>
  <c r="R14" i="17" s="1"/>
  <c r="Q15" i="17"/>
  <c r="R15" i="17" s="1"/>
  <c r="Q16" i="17"/>
  <c r="R16" i="17" s="1"/>
  <c r="Q110" i="17"/>
  <c r="R110" i="17" s="1"/>
  <c r="Q111" i="17"/>
  <c r="R111" i="17" s="1"/>
  <c r="Q112" i="17"/>
  <c r="R112" i="17" s="1"/>
  <c r="Q85" i="17"/>
  <c r="R85" i="17" s="1"/>
  <c r="Q84" i="17"/>
  <c r="R84" i="17" s="1"/>
  <c r="Q29" i="17"/>
  <c r="R29" i="17" s="1"/>
  <c r="Q28" i="17"/>
  <c r="R28" i="17" s="1"/>
  <c r="T587" i="18" l="1"/>
  <c r="T1136" i="18"/>
  <c r="T453" i="18"/>
  <c r="T635" i="18"/>
  <c r="T1074" i="18"/>
  <c r="T1101" i="18"/>
  <c r="T509" i="18"/>
  <c r="T205" i="18"/>
  <c r="T1235" i="18"/>
  <c r="T333" i="18"/>
  <c r="T341" i="18"/>
  <c r="T699" i="18"/>
  <c r="T1211" i="18"/>
  <c r="T187" i="18"/>
  <c r="T277" i="18"/>
  <c r="T557" i="18"/>
  <c r="T763" i="18"/>
  <c r="T939" i="18"/>
  <c r="T32" i="18"/>
  <c r="T349" i="18"/>
  <c r="T397" i="18"/>
  <c r="T365" i="18"/>
  <c r="T429" i="18"/>
  <c r="T603" i="18"/>
  <c r="T611" i="18"/>
  <c r="T827" i="18"/>
  <c r="T979" i="18"/>
  <c r="T683" i="18"/>
  <c r="T493" i="18"/>
  <c r="T675" i="18"/>
  <c r="T787" i="18"/>
  <c r="T931" i="18"/>
  <c r="T1157" i="18"/>
  <c r="T325" i="18"/>
  <c r="T1048" i="18"/>
  <c r="T1080" i="18"/>
  <c r="T1115" i="18"/>
  <c r="T525" i="18"/>
  <c r="T859" i="18"/>
  <c r="T915" i="18"/>
  <c r="T955" i="18"/>
  <c r="T1019" i="18"/>
  <c r="T301" i="18"/>
  <c r="T381" i="18"/>
  <c r="T573" i="18"/>
  <c r="T667" i="18"/>
  <c r="T779" i="18"/>
  <c r="T811" i="18"/>
  <c r="T843" i="18"/>
  <c r="T1178" i="18"/>
  <c r="T1184" i="18"/>
  <c r="T1190" i="18"/>
  <c r="T1229" i="18"/>
  <c r="T223" i="18"/>
  <c r="T715" i="18"/>
  <c r="T723" i="18"/>
  <c r="T731" i="18"/>
  <c r="T739" i="18"/>
  <c r="T795" i="18"/>
  <c r="T851" i="18"/>
  <c r="T445" i="18"/>
  <c r="T1034" i="18"/>
  <c r="T1122" i="18"/>
  <c r="T1143" i="18"/>
  <c r="T269" i="18"/>
  <c r="T461" i="18"/>
  <c r="T1055" i="18"/>
  <c r="T54" i="18"/>
  <c r="T144" i="18"/>
  <c r="T169" i="18"/>
  <c r="T293" i="18"/>
  <c r="T89" i="18"/>
  <c r="T135" i="18"/>
  <c r="T261" i="18"/>
  <c r="T389" i="18"/>
  <c r="T405" i="18"/>
  <c r="T153" i="18"/>
  <c r="T229" i="18"/>
  <c r="T75" i="18"/>
  <c r="T100" i="18"/>
  <c r="T317" i="18"/>
  <c r="T43" i="18"/>
  <c r="T517" i="18"/>
  <c r="T64" i="18"/>
  <c r="T114" i="18"/>
  <c r="T160" i="18"/>
  <c r="T125" i="18"/>
  <c r="T178" i="18"/>
  <c r="T196" i="18"/>
  <c r="T2" i="18"/>
  <c r="T18" i="18"/>
  <c r="T214" i="18"/>
  <c r="T237" i="18"/>
  <c r="T253" i="18"/>
  <c r="T245" i="18"/>
  <c r="T501" i="18"/>
  <c r="T549" i="18"/>
  <c r="T619" i="18"/>
  <c r="T659" i="18"/>
  <c r="T891" i="18"/>
  <c r="T421" i="18"/>
  <c r="T477" i="18"/>
  <c r="T469" i="18"/>
  <c r="T565" i="18"/>
  <c r="T803" i="18"/>
  <c r="T541" i="18"/>
  <c r="T580" i="18"/>
  <c r="T627" i="18"/>
  <c r="T691" i="18"/>
  <c r="T867" i="18"/>
  <c r="T373" i="18"/>
  <c r="T309" i="18"/>
  <c r="T437" i="18"/>
  <c r="T485" i="18"/>
  <c r="T357" i="18"/>
  <c r="T413" i="18"/>
  <c r="T533" i="18"/>
  <c r="T595" i="18"/>
  <c r="T643" i="18"/>
  <c r="T651" i="18"/>
  <c r="T285" i="18"/>
  <c r="T747" i="18"/>
  <c r="T755" i="18"/>
  <c r="T819" i="18"/>
  <c r="T923" i="18"/>
  <c r="T883" i="18"/>
  <c r="T971" i="18"/>
  <c r="T1217" i="18"/>
  <c r="T1241" i="18"/>
  <c r="T1247" i="18"/>
  <c r="T1253" i="18"/>
  <c r="T899" i="18"/>
  <c r="T987" i="18"/>
  <c r="T1003" i="18"/>
  <c r="T1164" i="18"/>
  <c r="T771" i="18"/>
  <c r="T1197" i="18"/>
  <c r="T1223" i="18"/>
  <c r="T947" i="18"/>
  <c r="T1041" i="18"/>
  <c r="T1062" i="18"/>
  <c r="T1087" i="18"/>
  <c r="T1108" i="18"/>
  <c r="T1129" i="18"/>
  <c r="T1150" i="18"/>
  <c r="T875" i="18"/>
  <c r="T963" i="18"/>
  <c r="T1026" i="18"/>
  <c r="T1068" i="18"/>
  <c r="T1171" i="18"/>
  <c r="T707" i="18"/>
  <c r="T835" i="18"/>
  <c r="T907" i="18"/>
  <c r="T995" i="18"/>
  <c r="T1011" i="18"/>
  <c r="T1094" i="18"/>
  <c r="T1204" i="18"/>
  <c r="Q129" i="17"/>
  <c r="R129" i="17" s="1"/>
  <c r="Q128" i="17"/>
  <c r="R128" i="17" s="1"/>
  <c r="Q127" i="17"/>
  <c r="R127" i="17" s="1"/>
  <c r="Q126" i="17"/>
  <c r="R126" i="17" s="1"/>
  <c r="Q125" i="17"/>
  <c r="R125" i="17" s="1"/>
  <c r="Q203" i="17" l="1"/>
  <c r="R203" i="17" s="1"/>
  <c r="Q412" i="17"/>
  <c r="R412" i="17" s="1"/>
  <c r="Q411" i="17"/>
  <c r="R411" i="17" s="1"/>
  <c r="Q410" i="17"/>
  <c r="R410" i="17" s="1"/>
  <c r="Q409" i="17"/>
  <c r="R409" i="17" s="1"/>
  <c r="Q408" i="17"/>
  <c r="R408" i="17" s="1"/>
  <c r="Q407" i="17"/>
  <c r="R407" i="17" s="1"/>
  <c r="Q406" i="17"/>
  <c r="R406" i="17" s="1"/>
  <c r="Q405" i="17"/>
  <c r="R405" i="17" s="1"/>
  <c r="Q1258" i="17"/>
  <c r="R1258" i="17" s="1"/>
  <c r="Q1257" i="17"/>
  <c r="R1257" i="17" s="1"/>
  <c r="Q1256" i="17"/>
  <c r="R1256" i="17" s="1"/>
  <c r="Q1255" i="17"/>
  <c r="R1255" i="17" s="1"/>
  <c r="Q1254" i="17"/>
  <c r="R1254" i="17" s="1"/>
  <c r="Q1253" i="17"/>
  <c r="R1253" i="17" s="1"/>
  <c r="Q1252" i="17"/>
  <c r="R1252" i="17" s="1"/>
  <c r="Q1251" i="17"/>
  <c r="R1251" i="17" s="1"/>
  <c r="Q1250" i="17"/>
  <c r="R1250" i="17" s="1"/>
  <c r="Q1249" i="17"/>
  <c r="R1249" i="17" s="1"/>
  <c r="Q1248" i="17"/>
  <c r="R1248" i="17" s="1"/>
  <c r="Q1247" i="17"/>
  <c r="R1247" i="17" s="1"/>
  <c r="Q1246" i="17"/>
  <c r="R1246" i="17" s="1"/>
  <c r="Q1245" i="17"/>
  <c r="R1245" i="17" s="1"/>
  <c r="Q1244" i="17"/>
  <c r="R1244" i="17" s="1"/>
  <c r="Q1243" i="17"/>
  <c r="R1243" i="17" s="1"/>
  <c r="Q1242" i="17"/>
  <c r="R1242" i="17" s="1"/>
  <c r="Q1241" i="17"/>
  <c r="R1241" i="17" s="1"/>
  <c r="Q1240" i="17"/>
  <c r="R1240" i="17" s="1"/>
  <c r="Q1239" i="17"/>
  <c r="R1239" i="17" s="1"/>
  <c r="Q1238" i="17"/>
  <c r="R1238" i="17" s="1"/>
  <c r="Q1237" i="17"/>
  <c r="R1237" i="17" s="1"/>
  <c r="Q1236" i="17"/>
  <c r="R1236" i="17" s="1"/>
  <c r="Q1235" i="17"/>
  <c r="R1235" i="17" s="1"/>
  <c r="Q1234" i="17"/>
  <c r="R1234" i="17" s="1"/>
  <c r="Q1233" i="17"/>
  <c r="R1233" i="17" s="1"/>
  <c r="Q1232" i="17"/>
  <c r="R1232" i="17" s="1"/>
  <c r="Q1231" i="17"/>
  <c r="R1231" i="17" s="1"/>
  <c r="Q1230" i="17"/>
  <c r="R1230" i="17" s="1"/>
  <c r="Q1229" i="17"/>
  <c r="R1229" i="17" s="1"/>
  <c r="Q1228" i="17"/>
  <c r="R1228" i="17" s="1"/>
  <c r="Q1227" i="17"/>
  <c r="R1227" i="17" s="1"/>
  <c r="Q1226" i="17"/>
  <c r="R1226" i="17" s="1"/>
  <c r="Q1225" i="17"/>
  <c r="R1225" i="17" s="1"/>
  <c r="Q1224" i="17"/>
  <c r="R1224" i="17" s="1"/>
  <c r="Q1223" i="17"/>
  <c r="R1223" i="17" s="1"/>
  <c r="Q1222" i="17"/>
  <c r="R1222" i="17" s="1"/>
  <c r="Q1221" i="17"/>
  <c r="R1221" i="17" s="1"/>
  <c r="Q1220" i="17"/>
  <c r="R1220" i="17" s="1"/>
  <c r="Q1219" i="17"/>
  <c r="R1219" i="17" s="1"/>
  <c r="Q1218" i="17"/>
  <c r="R1218" i="17" s="1"/>
  <c r="Q1217" i="17"/>
  <c r="R1217" i="17" s="1"/>
  <c r="Q1216" i="17"/>
  <c r="R1216" i="17" s="1"/>
  <c r="Q1215" i="17"/>
  <c r="R1215" i="17" s="1"/>
  <c r="Q1214" i="17"/>
  <c r="R1214" i="17" s="1"/>
  <c r="Q1213" i="17"/>
  <c r="R1213" i="17" s="1"/>
  <c r="Q1212" i="17"/>
  <c r="R1212" i="17" s="1"/>
  <c r="Q1211" i="17"/>
  <c r="R1211" i="17" s="1"/>
  <c r="Q1210" i="17"/>
  <c r="R1210" i="17" s="1"/>
  <c r="Q1209" i="17"/>
  <c r="R1209" i="17" s="1"/>
  <c r="Q1208" i="17"/>
  <c r="R1208" i="17" s="1"/>
  <c r="Q1207" i="17"/>
  <c r="R1207" i="17" s="1"/>
  <c r="Q1206" i="17"/>
  <c r="R1206" i="17" s="1"/>
  <c r="Q1205" i="17"/>
  <c r="R1205" i="17" s="1"/>
  <c r="Q1204" i="17"/>
  <c r="R1204" i="17" s="1"/>
  <c r="Q1203" i="17"/>
  <c r="R1203" i="17" s="1"/>
  <c r="Q1202" i="17"/>
  <c r="R1202" i="17" s="1"/>
  <c r="Q1201" i="17"/>
  <c r="R1201" i="17" s="1"/>
  <c r="Q1200" i="17"/>
  <c r="R1200" i="17" s="1"/>
  <c r="Q1199" i="17"/>
  <c r="R1199" i="17" s="1"/>
  <c r="Q1198" i="17"/>
  <c r="R1198" i="17" s="1"/>
  <c r="Q1197" i="17"/>
  <c r="R1197" i="17" s="1"/>
  <c r="Q1196" i="17"/>
  <c r="R1196" i="17" s="1"/>
  <c r="Q1195" i="17"/>
  <c r="R1195" i="17" s="1"/>
  <c r="Q1194" i="17"/>
  <c r="R1194" i="17" s="1"/>
  <c r="Q1193" i="17"/>
  <c r="R1193" i="17" s="1"/>
  <c r="Q1192" i="17"/>
  <c r="R1192" i="17" s="1"/>
  <c r="Q1191" i="17"/>
  <c r="R1191" i="17" s="1"/>
  <c r="Q1190" i="17"/>
  <c r="R1190" i="17" s="1"/>
  <c r="Q1189" i="17"/>
  <c r="R1189" i="17" s="1"/>
  <c r="Q1188" i="17"/>
  <c r="R1188" i="17" s="1"/>
  <c r="Q1187" i="17"/>
  <c r="R1187" i="17" s="1"/>
  <c r="Q1186" i="17"/>
  <c r="R1186" i="17" s="1"/>
  <c r="Q1185" i="17"/>
  <c r="R1185" i="17" s="1"/>
  <c r="Q1184" i="17"/>
  <c r="R1184" i="17" s="1"/>
  <c r="Q1183" i="17"/>
  <c r="R1183" i="17" s="1"/>
  <c r="Q1182" i="17"/>
  <c r="R1182" i="17" s="1"/>
  <c r="Q1181" i="17"/>
  <c r="R1181" i="17" s="1"/>
  <c r="Q1180" i="17"/>
  <c r="R1180" i="17" s="1"/>
  <c r="Q1179" i="17"/>
  <c r="R1179" i="17" s="1"/>
  <c r="Q1178" i="17"/>
  <c r="R1178" i="17" s="1"/>
  <c r="Q1177" i="17"/>
  <c r="R1177" i="17" s="1"/>
  <c r="Q1176" i="17"/>
  <c r="R1176" i="17" s="1"/>
  <c r="Q1175" i="17"/>
  <c r="R1175" i="17" s="1"/>
  <c r="Q1174" i="17"/>
  <c r="R1174" i="17" s="1"/>
  <c r="Q1173" i="17"/>
  <c r="R1173" i="17" s="1"/>
  <c r="Q1172" i="17"/>
  <c r="R1172" i="17" s="1"/>
  <c r="Q1171" i="17"/>
  <c r="R1171" i="17" s="1"/>
  <c r="Q1170" i="17"/>
  <c r="R1170" i="17" s="1"/>
  <c r="Q1169" i="17"/>
  <c r="R1169" i="17" s="1"/>
  <c r="Q1168" i="17"/>
  <c r="R1168" i="17" s="1"/>
  <c r="Q1167" i="17"/>
  <c r="R1167" i="17" s="1"/>
  <c r="Q1166" i="17"/>
  <c r="R1166" i="17" s="1"/>
  <c r="Q1165" i="17"/>
  <c r="R1165" i="17" s="1"/>
  <c r="Q1164" i="17"/>
  <c r="R1164" i="17" s="1"/>
  <c r="Q1163" i="17"/>
  <c r="R1163" i="17" s="1"/>
  <c r="Q1162" i="17"/>
  <c r="R1162" i="17" s="1"/>
  <c r="Q1161" i="17"/>
  <c r="R1161" i="17" s="1"/>
  <c r="Q1160" i="17"/>
  <c r="R1160" i="17" s="1"/>
  <c r="Q1159" i="17"/>
  <c r="R1159" i="17" s="1"/>
  <c r="Q1158" i="17"/>
  <c r="R1158" i="17" s="1"/>
  <c r="Q1157" i="17"/>
  <c r="R1157" i="17" s="1"/>
  <c r="Q1156" i="17"/>
  <c r="R1156" i="17" s="1"/>
  <c r="Q1155" i="17"/>
  <c r="R1155" i="17" s="1"/>
  <c r="Q1154" i="17"/>
  <c r="R1154" i="17" s="1"/>
  <c r="Q1153" i="17"/>
  <c r="R1153" i="17" s="1"/>
  <c r="Q1152" i="17"/>
  <c r="R1152" i="17" s="1"/>
  <c r="Q1151" i="17"/>
  <c r="R1151" i="17" s="1"/>
  <c r="Q1150" i="17"/>
  <c r="R1150" i="17" s="1"/>
  <c r="Q1149" i="17"/>
  <c r="R1149" i="17" s="1"/>
  <c r="Q1148" i="17"/>
  <c r="R1148" i="17" s="1"/>
  <c r="Q1147" i="17"/>
  <c r="R1147" i="17" s="1"/>
  <c r="Q1146" i="17"/>
  <c r="R1146" i="17" s="1"/>
  <c r="Q1145" i="17"/>
  <c r="R1145" i="17" s="1"/>
  <c r="Q1144" i="17"/>
  <c r="R1144" i="17" s="1"/>
  <c r="Q1143" i="17"/>
  <c r="R1143" i="17" s="1"/>
  <c r="Q1142" i="17"/>
  <c r="R1142" i="17" s="1"/>
  <c r="Q1141" i="17"/>
  <c r="R1141" i="17" s="1"/>
  <c r="Q1140" i="17"/>
  <c r="R1140" i="17" s="1"/>
  <c r="Q1139" i="17"/>
  <c r="R1139" i="17" s="1"/>
  <c r="Q1138" i="17"/>
  <c r="R1138" i="17" s="1"/>
  <c r="Q1137" i="17"/>
  <c r="R1137" i="17" s="1"/>
  <c r="Q1136" i="17"/>
  <c r="R1136" i="17" s="1"/>
  <c r="Q1135" i="17"/>
  <c r="R1135" i="17" s="1"/>
  <c r="Q1134" i="17"/>
  <c r="R1134" i="17" s="1"/>
  <c r="Q1133" i="17"/>
  <c r="R1133" i="17" s="1"/>
  <c r="Q1132" i="17"/>
  <c r="R1132" i="17" s="1"/>
  <c r="Q1131" i="17"/>
  <c r="R1131" i="17" s="1"/>
  <c r="Q1130" i="17"/>
  <c r="R1130" i="17" s="1"/>
  <c r="Q1129" i="17"/>
  <c r="R1129" i="17" s="1"/>
  <c r="Q1128" i="17"/>
  <c r="R1128" i="17" s="1"/>
  <c r="Q1127" i="17"/>
  <c r="R1127" i="17" s="1"/>
  <c r="Q1126" i="17"/>
  <c r="R1126" i="17" s="1"/>
  <c r="Q1125" i="17"/>
  <c r="R1125" i="17" s="1"/>
  <c r="Q1124" i="17"/>
  <c r="R1124" i="17" s="1"/>
  <c r="Q1123" i="17"/>
  <c r="R1123" i="17" s="1"/>
  <c r="Q1122" i="17"/>
  <c r="R1122" i="17" s="1"/>
  <c r="Q1121" i="17"/>
  <c r="R1121" i="17" s="1"/>
  <c r="Q1120" i="17"/>
  <c r="R1120" i="17" s="1"/>
  <c r="Q1119" i="17"/>
  <c r="R1119" i="17" s="1"/>
  <c r="Q1118" i="17"/>
  <c r="R1118" i="17" s="1"/>
  <c r="Q1117" i="17"/>
  <c r="R1117" i="17" s="1"/>
  <c r="Q1116" i="17"/>
  <c r="R1116" i="17" s="1"/>
  <c r="Q1115" i="17"/>
  <c r="R1115" i="17" s="1"/>
  <c r="Q1114" i="17"/>
  <c r="R1114" i="17" s="1"/>
  <c r="Q1113" i="17"/>
  <c r="R1113" i="17" s="1"/>
  <c r="Q1112" i="17"/>
  <c r="R1112" i="17" s="1"/>
  <c r="Q1111" i="17"/>
  <c r="R1111" i="17" s="1"/>
  <c r="Q1110" i="17"/>
  <c r="R1110" i="17" s="1"/>
  <c r="Q1109" i="17"/>
  <c r="R1109" i="17" s="1"/>
  <c r="Q1108" i="17"/>
  <c r="R1108" i="17" s="1"/>
  <c r="Q1107" i="17"/>
  <c r="R1107" i="17" s="1"/>
  <c r="Q1106" i="17"/>
  <c r="R1106" i="17" s="1"/>
  <c r="Q1105" i="17"/>
  <c r="R1105" i="17" s="1"/>
  <c r="Q1104" i="17"/>
  <c r="R1104" i="17" s="1"/>
  <c r="Q1103" i="17"/>
  <c r="R1103" i="17" s="1"/>
  <c r="Q1102" i="17"/>
  <c r="R1102" i="17" s="1"/>
  <c r="Q1101" i="17"/>
  <c r="R1101" i="17" s="1"/>
  <c r="Q1100" i="17"/>
  <c r="R1100" i="17" s="1"/>
  <c r="Q1099" i="17"/>
  <c r="R1099" i="17" s="1"/>
  <c r="Q1098" i="17"/>
  <c r="R1098" i="17" s="1"/>
  <c r="Q1097" i="17"/>
  <c r="R1097" i="17" s="1"/>
  <c r="Q1096" i="17"/>
  <c r="R1096" i="17" s="1"/>
  <c r="Q1095" i="17"/>
  <c r="R1095" i="17" s="1"/>
  <c r="Q1094" i="17"/>
  <c r="R1094" i="17" s="1"/>
  <c r="Q1093" i="17"/>
  <c r="R1093" i="17" s="1"/>
  <c r="Q1092" i="17"/>
  <c r="R1092" i="17" s="1"/>
  <c r="Q1091" i="17"/>
  <c r="R1091" i="17" s="1"/>
  <c r="Q1090" i="17"/>
  <c r="R1090" i="17" s="1"/>
  <c r="Q1089" i="17"/>
  <c r="R1089" i="17" s="1"/>
  <c r="Q1088" i="17"/>
  <c r="R1088" i="17" s="1"/>
  <c r="Q1087" i="17"/>
  <c r="R1087" i="17" s="1"/>
  <c r="Q1086" i="17"/>
  <c r="R1086" i="17" s="1"/>
  <c r="Q1085" i="17"/>
  <c r="R1085" i="17" s="1"/>
  <c r="Q1084" i="17"/>
  <c r="R1084" i="17" s="1"/>
  <c r="Q1083" i="17"/>
  <c r="R1083" i="17" s="1"/>
  <c r="Q1082" i="17"/>
  <c r="R1082" i="17" s="1"/>
  <c r="Q1081" i="17"/>
  <c r="R1081" i="17" s="1"/>
  <c r="Q1080" i="17"/>
  <c r="R1080" i="17" s="1"/>
  <c r="Q1079" i="17"/>
  <c r="R1079" i="17" s="1"/>
  <c r="Q1078" i="17"/>
  <c r="R1078" i="17" s="1"/>
  <c r="Q1077" i="17"/>
  <c r="R1077" i="17" s="1"/>
  <c r="Q1076" i="17"/>
  <c r="R1076" i="17" s="1"/>
  <c r="Q1075" i="17"/>
  <c r="R1075" i="17" s="1"/>
  <c r="Q1074" i="17"/>
  <c r="R1074" i="17" s="1"/>
  <c r="Q1073" i="17"/>
  <c r="R1073" i="17" s="1"/>
  <c r="Q1072" i="17"/>
  <c r="R1072" i="17" s="1"/>
  <c r="Q1071" i="17"/>
  <c r="R1071" i="17" s="1"/>
  <c r="Q1070" i="17"/>
  <c r="R1070" i="17" s="1"/>
  <c r="Q1069" i="17"/>
  <c r="R1069" i="17" s="1"/>
  <c r="Q1068" i="17"/>
  <c r="R1068" i="17" s="1"/>
  <c r="Q1067" i="17"/>
  <c r="R1067" i="17" s="1"/>
  <c r="Q1066" i="17"/>
  <c r="R1066" i="17" s="1"/>
  <c r="Q1065" i="17"/>
  <c r="R1065" i="17" s="1"/>
  <c r="Q1064" i="17"/>
  <c r="R1064" i="17" s="1"/>
  <c r="Q1063" i="17"/>
  <c r="R1063" i="17" s="1"/>
  <c r="Q1062" i="17"/>
  <c r="R1062" i="17" s="1"/>
  <c r="Q1061" i="17"/>
  <c r="R1061" i="17" s="1"/>
  <c r="Q1060" i="17"/>
  <c r="R1060" i="17" s="1"/>
  <c r="Q1059" i="17"/>
  <c r="R1059" i="17" s="1"/>
  <c r="Q1058" i="17"/>
  <c r="R1058" i="17" s="1"/>
  <c r="Q1057" i="17"/>
  <c r="R1057" i="17" s="1"/>
  <c r="Q1056" i="17"/>
  <c r="R1056" i="17" s="1"/>
  <c r="Q1055" i="17"/>
  <c r="R1055" i="17" s="1"/>
  <c r="Q1054" i="17"/>
  <c r="R1054" i="17" s="1"/>
  <c r="Q1053" i="17"/>
  <c r="R1053" i="17" s="1"/>
  <c r="Q1052" i="17"/>
  <c r="R1052" i="17" s="1"/>
  <c r="Q1051" i="17"/>
  <c r="R1051" i="17" s="1"/>
  <c r="Q1050" i="17"/>
  <c r="R1050" i="17" s="1"/>
  <c r="Q1049" i="17"/>
  <c r="R1049" i="17" s="1"/>
  <c r="Q1048" i="17"/>
  <c r="R1048" i="17" s="1"/>
  <c r="Q1047" i="17"/>
  <c r="R1047" i="17" s="1"/>
  <c r="Q1046" i="17"/>
  <c r="R1046" i="17" s="1"/>
  <c r="Q1045" i="17"/>
  <c r="R1045" i="17" s="1"/>
  <c r="Q1044" i="17"/>
  <c r="R1044" i="17" s="1"/>
  <c r="Q1043" i="17"/>
  <c r="R1043" i="17" s="1"/>
  <c r="Q1042" i="17"/>
  <c r="R1042" i="17" s="1"/>
  <c r="Q1041" i="17"/>
  <c r="R1041" i="17" s="1"/>
  <c r="Q1040" i="17"/>
  <c r="R1040" i="17" s="1"/>
  <c r="Q1039" i="17"/>
  <c r="R1039" i="17" s="1"/>
  <c r="Q1038" i="17"/>
  <c r="R1038" i="17" s="1"/>
  <c r="Q1037" i="17"/>
  <c r="R1037" i="17" s="1"/>
  <c r="Q1036" i="17"/>
  <c r="R1036" i="17" s="1"/>
  <c r="Q1035" i="17"/>
  <c r="R1035" i="17" s="1"/>
  <c r="Q1034" i="17"/>
  <c r="R1034" i="17" s="1"/>
  <c r="Q1033" i="17"/>
  <c r="R1033" i="17" s="1"/>
  <c r="Q1032" i="17"/>
  <c r="R1032" i="17" s="1"/>
  <c r="Q1031" i="17"/>
  <c r="R1031" i="17" s="1"/>
  <c r="Q1030" i="17"/>
  <c r="R1030" i="17" s="1"/>
  <c r="Q1029" i="17"/>
  <c r="R1029" i="17" s="1"/>
  <c r="Q1028" i="17"/>
  <c r="R1028" i="17" s="1"/>
  <c r="Q1027" i="17"/>
  <c r="R1027" i="17" s="1"/>
  <c r="Q1026" i="17"/>
  <c r="R1026" i="17" s="1"/>
  <c r="Q1025" i="17"/>
  <c r="R1025" i="17" s="1"/>
  <c r="Q1024" i="17"/>
  <c r="R1024" i="17" s="1"/>
  <c r="Q1023" i="17"/>
  <c r="R1023" i="17" s="1"/>
  <c r="Q1022" i="17"/>
  <c r="R1022" i="17" s="1"/>
  <c r="Q1021" i="17"/>
  <c r="R1021" i="17" s="1"/>
  <c r="Q1020" i="17"/>
  <c r="R1020" i="17" s="1"/>
  <c r="Q1019" i="17"/>
  <c r="R1019" i="17" s="1"/>
  <c r="Q1018" i="17"/>
  <c r="R1018" i="17" s="1"/>
  <c r="Q1017" i="17"/>
  <c r="R1017" i="17" s="1"/>
  <c r="Q1016" i="17"/>
  <c r="R1016" i="17" s="1"/>
  <c r="Q1015" i="17"/>
  <c r="R1015" i="17" s="1"/>
  <c r="Q1014" i="17"/>
  <c r="R1014" i="17" s="1"/>
  <c r="Q1013" i="17"/>
  <c r="R1013" i="17" s="1"/>
  <c r="Q1012" i="17"/>
  <c r="R1012" i="17" s="1"/>
  <c r="Q1011" i="17"/>
  <c r="R1011" i="17" s="1"/>
  <c r="Q1010" i="17"/>
  <c r="R1010" i="17" s="1"/>
  <c r="Q1009" i="17"/>
  <c r="R1009" i="17" s="1"/>
  <c r="Q1008" i="17"/>
  <c r="R1008" i="17" s="1"/>
  <c r="Q1007" i="17"/>
  <c r="R1007" i="17" s="1"/>
  <c r="Q1006" i="17"/>
  <c r="R1006" i="17" s="1"/>
  <c r="Q1005" i="17"/>
  <c r="R1005" i="17" s="1"/>
  <c r="Q1004" i="17"/>
  <c r="R1004" i="17" s="1"/>
  <c r="Q1003" i="17"/>
  <c r="R1003" i="17" s="1"/>
  <c r="Q1002" i="17"/>
  <c r="R1002" i="17" s="1"/>
  <c r="Q1001" i="17"/>
  <c r="R1001" i="17" s="1"/>
  <c r="Q1000" i="17"/>
  <c r="R1000" i="17" s="1"/>
  <c r="Q999" i="17"/>
  <c r="R999" i="17" s="1"/>
  <c r="Q998" i="17"/>
  <c r="R998" i="17" s="1"/>
  <c r="Q997" i="17"/>
  <c r="R997" i="17" s="1"/>
  <c r="Q996" i="17"/>
  <c r="R996" i="17" s="1"/>
  <c r="Q995" i="17"/>
  <c r="R995" i="17" s="1"/>
  <c r="Q994" i="17"/>
  <c r="R994" i="17" s="1"/>
  <c r="Q993" i="17"/>
  <c r="R993" i="17" s="1"/>
  <c r="Q992" i="17"/>
  <c r="R992" i="17" s="1"/>
  <c r="Q991" i="17"/>
  <c r="R991" i="17" s="1"/>
  <c r="Q990" i="17"/>
  <c r="R990" i="17" s="1"/>
  <c r="Q989" i="17"/>
  <c r="R989" i="17" s="1"/>
  <c r="Q988" i="17"/>
  <c r="R988" i="17" s="1"/>
  <c r="Q987" i="17"/>
  <c r="R987" i="17" s="1"/>
  <c r="Q986" i="17"/>
  <c r="R986" i="17" s="1"/>
  <c r="Q985" i="17"/>
  <c r="R985" i="17" s="1"/>
  <c r="Q984" i="17"/>
  <c r="R984" i="17" s="1"/>
  <c r="Q983" i="17"/>
  <c r="R983" i="17" s="1"/>
  <c r="Q982" i="17"/>
  <c r="R982" i="17" s="1"/>
  <c r="Q981" i="17"/>
  <c r="R981" i="17" s="1"/>
  <c r="Q980" i="17"/>
  <c r="R980" i="17" s="1"/>
  <c r="Q979" i="17"/>
  <c r="R979" i="17" s="1"/>
  <c r="Q978" i="17"/>
  <c r="R978" i="17" s="1"/>
  <c r="Q977" i="17"/>
  <c r="R977" i="17" s="1"/>
  <c r="Q976" i="17"/>
  <c r="R976" i="17" s="1"/>
  <c r="Q975" i="17"/>
  <c r="R975" i="17" s="1"/>
  <c r="Q974" i="17"/>
  <c r="R974" i="17" s="1"/>
  <c r="Q973" i="17"/>
  <c r="R973" i="17" s="1"/>
  <c r="Q972" i="17"/>
  <c r="R972" i="17" s="1"/>
  <c r="Q971" i="17"/>
  <c r="R971" i="17" s="1"/>
  <c r="Q970" i="17"/>
  <c r="R970" i="17" s="1"/>
  <c r="Q969" i="17"/>
  <c r="R969" i="17" s="1"/>
  <c r="Q968" i="17"/>
  <c r="R968" i="17" s="1"/>
  <c r="Q967" i="17"/>
  <c r="R967" i="17" s="1"/>
  <c r="Q966" i="17"/>
  <c r="R966" i="17" s="1"/>
  <c r="Q965" i="17"/>
  <c r="R965" i="17" s="1"/>
  <c r="Q964" i="17"/>
  <c r="R964" i="17" s="1"/>
  <c r="Q963" i="17"/>
  <c r="R963" i="17" s="1"/>
  <c r="Q962" i="17"/>
  <c r="R962" i="17" s="1"/>
  <c r="Q961" i="17"/>
  <c r="R961" i="17" s="1"/>
  <c r="Q960" i="17"/>
  <c r="R960" i="17" s="1"/>
  <c r="Q959" i="17"/>
  <c r="R959" i="17" s="1"/>
  <c r="Q958" i="17"/>
  <c r="R958" i="17" s="1"/>
  <c r="Q957" i="17"/>
  <c r="R957" i="17" s="1"/>
  <c r="Q956" i="17"/>
  <c r="R956" i="17" s="1"/>
  <c r="Q955" i="17"/>
  <c r="R955" i="17" s="1"/>
  <c r="Q954" i="17"/>
  <c r="R954" i="17" s="1"/>
  <c r="Q953" i="17"/>
  <c r="R953" i="17" s="1"/>
  <c r="Q952" i="17"/>
  <c r="R952" i="17" s="1"/>
  <c r="Q951" i="17"/>
  <c r="R951" i="17" s="1"/>
  <c r="Q950" i="17"/>
  <c r="R950" i="17" s="1"/>
  <c r="Q949" i="17"/>
  <c r="R949" i="17" s="1"/>
  <c r="Q948" i="17"/>
  <c r="R948" i="17" s="1"/>
  <c r="Q947" i="17"/>
  <c r="R947" i="17" s="1"/>
  <c r="Q946" i="17"/>
  <c r="R946" i="17" s="1"/>
  <c r="Q945" i="17"/>
  <c r="R945" i="17" s="1"/>
  <c r="Q944" i="17"/>
  <c r="R944" i="17" s="1"/>
  <c r="Q943" i="17"/>
  <c r="R943" i="17" s="1"/>
  <c r="Q942" i="17"/>
  <c r="R942" i="17" s="1"/>
  <c r="Q941" i="17"/>
  <c r="R941" i="17" s="1"/>
  <c r="Q940" i="17"/>
  <c r="R940" i="17" s="1"/>
  <c r="Q939" i="17"/>
  <c r="R939" i="17" s="1"/>
  <c r="Q938" i="17"/>
  <c r="R938" i="17" s="1"/>
  <c r="Q937" i="17"/>
  <c r="R937" i="17" s="1"/>
  <c r="Q936" i="17"/>
  <c r="R936" i="17" s="1"/>
  <c r="Q935" i="17"/>
  <c r="R935" i="17" s="1"/>
  <c r="Q934" i="17"/>
  <c r="R934" i="17" s="1"/>
  <c r="Q933" i="17"/>
  <c r="R933" i="17" s="1"/>
  <c r="Q932" i="17"/>
  <c r="R932" i="17" s="1"/>
  <c r="Q931" i="17"/>
  <c r="R931" i="17" s="1"/>
  <c r="Q930" i="17"/>
  <c r="R930" i="17" s="1"/>
  <c r="Q929" i="17"/>
  <c r="R929" i="17" s="1"/>
  <c r="Q928" i="17"/>
  <c r="R928" i="17" s="1"/>
  <c r="Q927" i="17"/>
  <c r="R927" i="17" s="1"/>
  <c r="Q926" i="17"/>
  <c r="R926" i="17" s="1"/>
  <c r="Q925" i="17"/>
  <c r="R925" i="17" s="1"/>
  <c r="Q924" i="17"/>
  <c r="R924" i="17" s="1"/>
  <c r="Q923" i="17"/>
  <c r="R923" i="17" s="1"/>
  <c r="Q922" i="17"/>
  <c r="R922" i="17" s="1"/>
  <c r="Q921" i="17"/>
  <c r="R921" i="17" s="1"/>
  <c r="Q920" i="17"/>
  <c r="R920" i="17" s="1"/>
  <c r="Q919" i="17"/>
  <c r="R919" i="17" s="1"/>
  <c r="Q918" i="17"/>
  <c r="R918" i="17" s="1"/>
  <c r="Q917" i="17"/>
  <c r="R917" i="17" s="1"/>
  <c r="Q916" i="17"/>
  <c r="R916" i="17" s="1"/>
  <c r="Q915" i="17"/>
  <c r="R915" i="17" s="1"/>
  <c r="Q914" i="17"/>
  <c r="R914" i="17" s="1"/>
  <c r="Q913" i="17"/>
  <c r="R913" i="17" s="1"/>
  <c r="Q912" i="17"/>
  <c r="R912" i="17" s="1"/>
  <c r="Q911" i="17"/>
  <c r="R911" i="17" s="1"/>
  <c r="Q910" i="17"/>
  <c r="R910" i="17" s="1"/>
  <c r="Q909" i="17"/>
  <c r="R909" i="17" s="1"/>
  <c r="Q908" i="17"/>
  <c r="R908" i="17" s="1"/>
  <c r="Q907" i="17"/>
  <c r="R907" i="17" s="1"/>
  <c r="Q906" i="17"/>
  <c r="R906" i="17" s="1"/>
  <c r="Q905" i="17"/>
  <c r="R905" i="17" s="1"/>
  <c r="Q904" i="17"/>
  <c r="R904" i="17" s="1"/>
  <c r="Q903" i="17"/>
  <c r="R903" i="17" s="1"/>
  <c r="Q902" i="17"/>
  <c r="R902" i="17" s="1"/>
  <c r="Q901" i="17"/>
  <c r="R901" i="17" s="1"/>
  <c r="Q900" i="17"/>
  <c r="R900" i="17" s="1"/>
  <c r="Q899" i="17"/>
  <c r="R899" i="17" s="1"/>
  <c r="Q898" i="17"/>
  <c r="R898" i="17" s="1"/>
  <c r="Q897" i="17"/>
  <c r="R897" i="17" s="1"/>
  <c r="Q896" i="17"/>
  <c r="R896" i="17" s="1"/>
  <c r="Q895" i="17"/>
  <c r="R895" i="17" s="1"/>
  <c r="Q894" i="17"/>
  <c r="R894" i="17" s="1"/>
  <c r="Q893" i="17"/>
  <c r="R893" i="17" s="1"/>
  <c r="Q892" i="17"/>
  <c r="R892" i="17" s="1"/>
  <c r="Q891" i="17"/>
  <c r="R891" i="17" s="1"/>
  <c r="Q890" i="17"/>
  <c r="R890" i="17" s="1"/>
  <c r="Q889" i="17"/>
  <c r="R889" i="17" s="1"/>
  <c r="Q888" i="17"/>
  <c r="R888" i="17" s="1"/>
  <c r="Q887" i="17"/>
  <c r="R887" i="17" s="1"/>
  <c r="Q886" i="17"/>
  <c r="R886" i="17" s="1"/>
  <c r="Q885" i="17"/>
  <c r="R885" i="17" s="1"/>
  <c r="Q884" i="17"/>
  <c r="R884" i="17" s="1"/>
  <c r="Q883" i="17"/>
  <c r="R883" i="17" s="1"/>
  <c r="Q882" i="17"/>
  <c r="R882" i="17" s="1"/>
  <c r="Q881" i="17"/>
  <c r="R881" i="17" s="1"/>
  <c r="Q880" i="17"/>
  <c r="R880" i="17" s="1"/>
  <c r="Q879" i="17"/>
  <c r="R879" i="17" s="1"/>
  <c r="Q878" i="17"/>
  <c r="R878" i="17" s="1"/>
  <c r="Q877" i="17"/>
  <c r="R877" i="17" s="1"/>
  <c r="Q876" i="17"/>
  <c r="R876" i="17" s="1"/>
  <c r="Q875" i="17"/>
  <c r="R875" i="17" s="1"/>
  <c r="Q874" i="17"/>
  <c r="R874" i="17" s="1"/>
  <c r="Q873" i="17"/>
  <c r="R873" i="17" s="1"/>
  <c r="Q872" i="17"/>
  <c r="R872" i="17" s="1"/>
  <c r="Q871" i="17"/>
  <c r="R871" i="17" s="1"/>
  <c r="Q870" i="17"/>
  <c r="R870" i="17" s="1"/>
  <c r="Q869" i="17"/>
  <c r="R869" i="17" s="1"/>
  <c r="Q868" i="17"/>
  <c r="R868" i="17" s="1"/>
  <c r="Q867" i="17"/>
  <c r="R867" i="17" s="1"/>
  <c r="Q866" i="17"/>
  <c r="R866" i="17" s="1"/>
  <c r="Q865" i="17"/>
  <c r="R865" i="17" s="1"/>
  <c r="Q864" i="17"/>
  <c r="R864" i="17" s="1"/>
  <c r="Q863" i="17"/>
  <c r="R863" i="17" s="1"/>
  <c r="Q862" i="17"/>
  <c r="R862" i="17" s="1"/>
  <c r="Q861" i="17"/>
  <c r="R861" i="17" s="1"/>
  <c r="Q860" i="17"/>
  <c r="R860" i="17" s="1"/>
  <c r="Q859" i="17"/>
  <c r="R859" i="17" s="1"/>
  <c r="Q858" i="17"/>
  <c r="R858" i="17" s="1"/>
  <c r="Q857" i="17"/>
  <c r="R857" i="17" s="1"/>
  <c r="Q856" i="17"/>
  <c r="R856" i="17" s="1"/>
  <c r="Q855" i="17"/>
  <c r="R855" i="17" s="1"/>
  <c r="Q854" i="17"/>
  <c r="R854" i="17" s="1"/>
  <c r="Q853" i="17"/>
  <c r="R853" i="17" s="1"/>
  <c r="Q852" i="17"/>
  <c r="R852" i="17" s="1"/>
  <c r="Q851" i="17"/>
  <c r="R851" i="17" s="1"/>
  <c r="Q850" i="17"/>
  <c r="R850" i="17" s="1"/>
  <c r="Q849" i="17"/>
  <c r="R849" i="17" s="1"/>
  <c r="Q848" i="17"/>
  <c r="R848" i="17" s="1"/>
  <c r="Q847" i="17"/>
  <c r="R847" i="17" s="1"/>
  <c r="Q846" i="17"/>
  <c r="R846" i="17" s="1"/>
  <c r="Q845" i="17"/>
  <c r="R845" i="17" s="1"/>
  <c r="Q844" i="17"/>
  <c r="R844" i="17" s="1"/>
  <c r="Q843" i="17"/>
  <c r="R843" i="17" s="1"/>
  <c r="Q842" i="17"/>
  <c r="R842" i="17" s="1"/>
  <c r="Q841" i="17"/>
  <c r="R841" i="17" s="1"/>
  <c r="Q840" i="17"/>
  <c r="R840" i="17" s="1"/>
  <c r="Q839" i="17"/>
  <c r="R839" i="17" s="1"/>
  <c r="Q838" i="17"/>
  <c r="R838" i="17" s="1"/>
  <c r="Q837" i="17"/>
  <c r="R837" i="17" s="1"/>
  <c r="Q836" i="17"/>
  <c r="R836" i="17" s="1"/>
  <c r="Q835" i="17"/>
  <c r="R835" i="17" s="1"/>
  <c r="Q834" i="17"/>
  <c r="R834" i="17" s="1"/>
  <c r="Q833" i="17"/>
  <c r="R833" i="17" s="1"/>
  <c r="Q832" i="17"/>
  <c r="R832" i="17" s="1"/>
  <c r="Q831" i="17"/>
  <c r="R831" i="17" s="1"/>
  <c r="Q830" i="17"/>
  <c r="R830" i="17" s="1"/>
  <c r="Q829" i="17"/>
  <c r="R829" i="17" s="1"/>
  <c r="Q828" i="17"/>
  <c r="R828" i="17" s="1"/>
  <c r="Q827" i="17"/>
  <c r="R827" i="17" s="1"/>
  <c r="Q826" i="17"/>
  <c r="R826" i="17" s="1"/>
  <c r="Q825" i="17"/>
  <c r="R825" i="17" s="1"/>
  <c r="Q824" i="17"/>
  <c r="R824" i="17" s="1"/>
  <c r="Q823" i="17"/>
  <c r="R823" i="17" s="1"/>
  <c r="Q822" i="17"/>
  <c r="R822" i="17" s="1"/>
  <c r="Q821" i="17"/>
  <c r="R821" i="17" s="1"/>
  <c r="Q820" i="17"/>
  <c r="R820" i="17" s="1"/>
  <c r="Q819" i="17"/>
  <c r="R819" i="17" s="1"/>
  <c r="Q818" i="17"/>
  <c r="R818" i="17" s="1"/>
  <c r="Q817" i="17"/>
  <c r="R817" i="17" s="1"/>
  <c r="Q816" i="17"/>
  <c r="R816" i="17" s="1"/>
  <c r="Q815" i="17"/>
  <c r="R815" i="17" s="1"/>
  <c r="Q814" i="17"/>
  <c r="R814" i="17" s="1"/>
  <c r="Q813" i="17"/>
  <c r="R813" i="17" s="1"/>
  <c r="Q812" i="17"/>
  <c r="R812" i="17" s="1"/>
  <c r="Q811" i="17"/>
  <c r="R811" i="17" s="1"/>
  <c r="Q810" i="17"/>
  <c r="R810" i="17" s="1"/>
  <c r="Q809" i="17"/>
  <c r="R809" i="17" s="1"/>
  <c r="Q808" i="17"/>
  <c r="R808" i="17" s="1"/>
  <c r="Q807" i="17"/>
  <c r="R807" i="17" s="1"/>
  <c r="Q806" i="17"/>
  <c r="R806" i="17" s="1"/>
  <c r="Q805" i="17"/>
  <c r="R805" i="17" s="1"/>
  <c r="Q804" i="17"/>
  <c r="R804" i="17" s="1"/>
  <c r="Q803" i="17"/>
  <c r="R803" i="17" s="1"/>
  <c r="Q802" i="17"/>
  <c r="R802" i="17" s="1"/>
  <c r="Q801" i="17"/>
  <c r="R801" i="17" s="1"/>
  <c r="Q800" i="17"/>
  <c r="R800" i="17" s="1"/>
  <c r="Q799" i="17"/>
  <c r="R799" i="17" s="1"/>
  <c r="Q798" i="17"/>
  <c r="R798" i="17" s="1"/>
  <c r="Q797" i="17"/>
  <c r="R797" i="17" s="1"/>
  <c r="Q796" i="17"/>
  <c r="R796" i="17" s="1"/>
  <c r="Q795" i="17"/>
  <c r="R795" i="17" s="1"/>
  <c r="Q794" i="17"/>
  <c r="R794" i="17" s="1"/>
  <c r="Q793" i="17"/>
  <c r="R793" i="17" s="1"/>
  <c r="Q792" i="17"/>
  <c r="R792" i="17" s="1"/>
  <c r="Q791" i="17"/>
  <c r="R791" i="17" s="1"/>
  <c r="Q790" i="17"/>
  <c r="R790" i="17" s="1"/>
  <c r="Q789" i="17"/>
  <c r="R789" i="17" s="1"/>
  <c r="Q788" i="17"/>
  <c r="R788" i="17" s="1"/>
  <c r="Q787" i="17"/>
  <c r="R787" i="17" s="1"/>
  <c r="Q786" i="17"/>
  <c r="R786" i="17" s="1"/>
  <c r="Q785" i="17"/>
  <c r="R785" i="17" s="1"/>
  <c r="Q784" i="17"/>
  <c r="R784" i="17" s="1"/>
  <c r="Q783" i="17"/>
  <c r="R783" i="17" s="1"/>
  <c r="Q782" i="17"/>
  <c r="R782" i="17" s="1"/>
  <c r="Q781" i="17"/>
  <c r="R781" i="17" s="1"/>
  <c r="Q780" i="17"/>
  <c r="R780" i="17" s="1"/>
  <c r="Q779" i="17"/>
  <c r="R779" i="17" s="1"/>
  <c r="Q778" i="17"/>
  <c r="R778" i="17" s="1"/>
  <c r="Q777" i="17"/>
  <c r="R777" i="17" s="1"/>
  <c r="Q776" i="17"/>
  <c r="R776" i="17" s="1"/>
  <c r="Q775" i="17"/>
  <c r="R775" i="17" s="1"/>
  <c r="Q774" i="17"/>
  <c r="R774" i="17" s="1"/>
  <c r="Q773" i="17"/>
  <c r="R773" i="17" s="1"/>
  <c r="Q772" i="17"/>
  <c r="R772" i="17" s="1"/>
  <c r="Q771" i="17"/>
  <c r="R771" i="17" s="1"/>
  <c r="Q770" i="17"/>
  <c r="R770" i="17" s="1"/>
  <c r="Q769" i="17"/>
  <c r="R769" i="17" s="1"/>
  <c r="Q768" i="17"/>
  <c r="R768" i="17" s="1"/>
  <c r="Q767" i="17"/>
  <c r="R767" i="17" s="1"/>
  <c r="Q766" i="17"/>
  <c r="R766" i="17" s="1"/>
  <c r="Q765" i="17"/>
  <c r="R765" i="17" s="1"/>
  <c r="Q764" i="17"/>
  <c r="R764" i="17" s="1"/>
  <c r="Q763" i="17"/>
  <c r="R763" i="17" s="1"/>
  <c r="Q762" i="17"/>
  <c r="R762" i="17" s="1"/>
  <c r="Q761" i="17"/>
  <c r="R761" i="17" s="1"/>
  <c r="Q760" i="17"/>
  <c r="R760" i="17" s="1"/>
  <c r="Q759" i="17"/>
  <c r="R759" i="17" s="1"/>
  <c r="Q758" i="17"/>
  <c r="R758" i="17" s="1"/>
  <c r="Q757" i="17"/>
  <c r="R757" i="17" s="1"/>
  <c r="Q756" i="17"/>
  <c r="R756" i="17" s="1"/>
  <c r="Q755" i="17"/>
  <c r="R755" i="17" s="1"/>
  <c r="Q754" i="17"/>
  <c r="R754" i="17" s="1"/>
  <c r="Q753" i="17"/>
  <c r="R753" i="17" s="1"/>
  <c r="Q752" i="17"/>
  <c r="R752" i="17" s="1"/>
  <c r="Q751" i="17"/>
  <c r="R751" i="17" s="1"/>
  <c r="Q750" i="17"/>
  <c r="R750" i="17" s="1"/>
  <c r="Q749" i="17"/>
  <c r="R749" i="17" s="1"/>
  <c r="Q748" i="17"/>
  <c r="R748" i="17" s="1"/>
  <c r="Q747" i="17"/>
  <c r="R747" i="17" s="1"/>
  <c r="Q746" i="17"/>
  <c r="R746" i="17" s="1"/>
  <c r="Q745" i="17"/>
  <c r="R745" i="17" s="1"/>
  <c r="Q744" i="17"/>
  <c r="R744" i="17" s="1"/>
  <c r="Q743" i="17"/>
  <c r="R743" i="17" s="1"/>
  <c r="Q742" i="17"/>
  <c r="R742" i="17" s="1"/>
  <c r="Q741" i="17"/>
  <c r="R741" i="17" s="1"/>
  <c r="Q740" i="17"/>
  <c r="R740" i="17" s="1"/>
  <c r="Q739" i="17"/>
  <c r="R739" i="17" s="1"/>
  <c r="Q738" i="17"/>
  <c r="R738" i="17" s="1"/>
  <c r="Q737" i="17"/>
  <c r="R737" i="17" s="1"/>
  <c r="Q736" i="17"/>
  <c r="R736" i="17" s="1"/>
  <c r="Q735" i="17"/>
  <c r="R735" i="17" s="1"/>
  <c r="Q734" i="17"/>
  <c r="R734" i="17" s="1"/>
  <c r="Q733" i="17"/>
  <c r="R733" i="17" s="1"/>
  <c r="Q732" i="17"/>
  <c r="R732" i="17" s="1"/>
  <c r="Q731" i="17"/>
  <c r="R731" i="17" s="1"/>
  <c r="Q730" i="17"/>
  <c r="R730" i="17" s="1"/>
  <c r="Q729" i="17"/>
  <c r="R729" i="17" s="1"/>
  <c r="Q728" i="17"/>
  <c r="R728" i="17" s="1"/>
  <c r="Q727" i="17"/>
  <c r="R727" i="17" s="1"/>
  <c r="Q726" i="17"/>
  <c r="R726" i="17" s="1"/>
  <c r="Q725" i="17"/>
  <c r="R725" i="17" s="1"/>
  <c r="Q724" i="17"/>
  <c r="R724" i="17" s="1"/>
  <c r="Q723" i="17"/>
  <c r="R723" i="17" s="1"/>
  <c r="Q722" i="17"/>
  <c r="R722" i="17" s="1"/>
  <c r="Q721" i="17"/>
  <c r="R721" i="17" s="1"/>
  <c r="Q720" i="17"/>
  <c r="R720" i="17" s="1"/>
  <c r="Q719" i="17"/>
  <c r="R719" i="17" s="1"/>
  <c r="Q718" i="17"/>
  <c r="R718" i="17" s="1"/>
  <c r="Q717" i="17"/>
  <c r="R717" i="17" s="1"/>
  <c r="Q716" i="17"/>
  <c r="R716" i="17" s="1"/>
  <c r="Q715" i="17"/>
  <c r="R715" i="17" s="1"/>
  <c r="Q714" i="17"/>
  <c r="R714" i="17" s="1"/>
  <c r="Q713" i="17"/>
  <c r="R713" i="17" s="1"/>
  <c r="Q712" i="17"/>
  <c r="R712" i="17" s="1"/>
  <c r="Q711" i="17"/>
  <c r="R711" i="17" s="1"/>
  <c r="Q710" i="17"/>
  <c r="R710" i="17" s="1"/>
  <c r="Q709" i="17"/>
  <c r="R709" i="17" s="1"/>
  <c r="Q708" i="17"/>
  <c r="R708" i="17" s="1"/>
  <c r="Q707" i="17"/>
  <c r="R707" i="17" s="1"/>
  <c r="Q706" i="17"/>
  <c r="R706" i="17" s="1"/>
  <c r="Q705" i="17"/>
  <c r="R705" i="17" s="1"/>
  <c r="Q704" i="17"/>
  <c r="R704" i="17" s="1"/>
  <c r="Q703" i="17"/>
  <c r="R703" i="17" s="1"/>
  <c r="Q702" i="17"/>
  <c r="R702" i="17" s="1"/>
  <c r="Q701" i="17"/>
  <c r="R701" i="17" s="1"/>
  <c r="Q700" i="17"/>
  <c r="R700" i="17" s="1"/>
  <c r="Q699" i="17"/>
  <c r="R699" i="17" s="1"/>
  <c r="Q698" i="17"/>
  <c r="R698" i="17" s="1"/>
  <c r="Q697" i="17"/>
  <c r="R697" i="17" s="1"/>
  <c r="Q696" i="17"/>
  <c r="R696" i="17" s="1"/>
  <c r="Q695" i="17"/>
  <c r="R695" i="17" s="1"/>
  <c r="Q694" i="17"/>
  <c r="R694" i="17" s="1"/>
  <c r="Q693" i="17"/>
  <c r="R693" i="17" s="1"/>
  <c r="Q692" i="17"/>
  <c r="R692" i="17" s="1"/>
  <c r="Q691" i="17"/>
  <c r="R691" i="17" s="1"/>
  <c r="Q690" i="17"/>
  <c r="R690" i="17" s="1"/>
  <c r="Q689" i="17"/>
  <c r="R689" i="17" s="1"/>
  <c r="Q688" i="17"/>
  <c r="R688" i="17" s="1"/>
  <c r="Q687" i="17"/>
  <c r="R687" i="17" s="1"/>
  <c r="Q686" i="17"/>
  <c r="R686" i="17" s="1"/>
  <c r="Q685" i="17"/>
  <c r="R685" i="17" s="1"/>
  <c r="Q684" i="17"/>
  <c r="R684" i="17" s="1"/>
  <c r="Q683" i="17"/>
  <c r="R683" i="17" s="1"/>
  <c r="Q682" i="17"/>
  <c r="R682" i="17" s="1"/>
  <c r="Q681" i="17"/>
  <c r="R681" i="17" s="1"/>
  <c r="Q680" i="17"/>
  <c r="R680" i="17" s="1"/>
  <c r="Q679" i="17"/>
  <c r="R679" i="17" s="1"/>
  <c r="Q678" i="17"/>
  <c r="R678" i="17" s="1"/>
  <c r="Q677" i="17"/>
  <c r="R677" i="17" s="1"/>
  <c r="Q676" i="17"/>
  <c r="R676" i="17" s="1"/>
  <c r="Q675" i="17"/>
  <c r="R675" i="17" s="1"/>
  <c r="Q674" i="17"/>
  <c r="R674" i="17" s="1"/>
  <c r="Q673" i="17"/>
  <c r="R673" i="17" s="1"/>
  <c r="Q672" i="17"/>
  <c r="R672" i="17" s="1"/>
  <c r="Q671" i="17"/>
  <c r="R671" i="17" s="1"/>
  <c r="Q670" i="17"/>
  <c r="R670" i="17" s="1"/>
  <c r="Q669" i="17"/>
  <c r="R669" i="17" s="1"/>
  <c r="Q668" i="17"/>
  <c r="R668" i="17" s="1"/>
  <c r="Q667" i="17"/>
  <c r="R667" i="17" s="1"/>
  <c r="Q666" i="17"/>
  <c r="R666" i="17" s="1"/>
  <c r="Q665" i="17"/>
  <c r="R665" i="17" s="1"/>
  <c r="Q664" i="17"/>
  <c r="R664" i="17" s="1"/>
  <c r="Q663" i="17"/>
  <c r="R663" i="17" s="1"/>
  <c r="Q662" i="17"/>
  <c r="R662" i="17" s="1"/>
  <c r="Q661" i="17"/>
  <c r="R661" i="17" s="1"/>
  <c r="Q660" i="17"/>
  <c r="R660" i="17" s="1"/>
  <c r="Q659" i="17"/>
  <c r="R659" i="17" s="1"/>
  <c r="Q658" i="17"/>
  <c r="R658" i="17" s="1"/>
  <c r="Q657" i="17"/>
  <c r="R657" i="17" s="1"/>
  <c r="Q656" i="17"/>
  <c r="R656" i="17" s="1"/>
  <c r="Q655" i="17"/>
  <c r="R655" i="17" s="1"/>
  <c r="Q654" i="17"/>
  <c r="R654" i="17" s="1"/>
  <c r="Q653" i="17"/>
  <c r="R653" i="17" s="1"/>
  <c r="Q652" i="17"/>
  <c r="R652" i="17" s="1"/>
  <c r="Q651" i="17"/>
  <c r="R651" i="17" s="1"/>
  <c r="Q650" i="17"/>
  <c r="R650" i="17" s="1"/>
  <c r="Q649" i="17"/>
  <c r="R649" i="17" s="1"/>
  <c r="Q648" i="17"/>
  <c r="R648" i="17" s="1"/>
  <c r="Q647" i="17"/>
  <c r="R647" i="17" s="1"/>
  <c r="Q646" i="17"/>
  <c r="R646" i="17" s="1"/>
  <c r="Q645" i="17"/>
  <c r="R645" i="17" s="1"/>
  <c r="Q644" i="17"/>
  <c r="R644" i="17" s="1"/>
  <c r="Q643" i="17"/>
  <c r="R643" i="17" s="1"/>
  <c r="Q642" i="17"/>
  <c r="R642" i="17" s="1"/>
  <c r="Q641" i="17"/>
  <c r="R641" i="17" s="1"/>
  <c r="Q640" i="17"/>
  <c r="R640" i="17" s="1"/>
  <c r="Q639" i="17"/>
  <c r="R639" i="17" s="1"/>
  <c r="Q638" i="17"/>
  <c r="R638" i="17" s="1"/>
  <c r="Q637" i="17"/>
  <c r="R637" i="17" s="1"/>
  <c r="Q636" i="17"/>
  <c r="R636" i="17" s="1"/>
  <c r="Q635" i="17"/>
  <c r="R635" i="17" s="1"/>
  <c r="Q634" i="17"/>
  <c r="R634" i="17" s="1"/>
  <c r="Q633" i="17"/>
  <c r="R633" i="17" s="1"/>
  <c r="Q632" i="17"/>
  <c r="R632" i="17" s="1"/>
  <c r="Q631" i="17"/>
  <c r="R631" i="17" s="1"/>
  <c r="Q630" i="17"/>
  <c r="R630" i="17" s="1"/>
  <c r="Q629" i="17"/>
  <c r="R629" i="17" s="1"/>
  <c r="Q628" i="17"/>
  <c r="R628" i="17" s="1"/>
  <c r="Q627" i="17"/>
  <c r="R627" i="17" s="1"/>
  <c r="Q626" i="17"/>
  <c r="R626" i="17" s="1"/>
  <c r="Q625" i="17"/>
  <c r="R625" i="17" s="1"/>
  <c r="Q624" i="17"/>
  <c r="R624" i="17" s="1"/>
  <c r="Q623" i="17"/>
  <c r="R623" i="17" s="1"/>
  <c r="Q622" i="17"/>
  <c r="R622" i="17" s="1"/>
  <c r="Q621" i="17"/>
  <c r="R621" i="17" s="1"/>
  <c r="Q620" i="17"/>
  <c r="R620" i="17" s="1"/>
  <c r="Q619" i="17"/>
  <c r="R619" i="17" s="1"/>
  <c r="Q618" i="17"/>
  <c r="R618" i="17" s="1"/>
  <c r="Q617" i="17"/>
  <c r="R617" i="17" s="1"/>
  <c r="Q616" i="17"/>
  <c r="R616" i="17" s="1"/>
  <c r="Q615" i="17"/>
  <c r="R615" i="17" s="1"/>
  <c r="Q614" i="17"/>
  <c r="R614" i="17" s="1"/>
  <c r="Q613" i="17"/>
  <c r="R613" i="17" s="1"/>
  <c r="Q612" i="17"/>
  <c r="R612" i="17" s="1"/>
  <c r="Q611" i="17"/>
  <c r="R611" i="17" s="1"/>
  <c r="Q610" i="17"/>
  <c r="R610" i="17" s="1"/>
  <c r="Q609" i="17"/>
  <c r="R609" i="17" s="1"/>
  <c r="Q608" i="17"/>
  <c r="R608" i="17" s="1"/>
  <c r="Q607" i="17"/>
  <c r="R607" i="17" s="1"/>
  <c r="Q606" i="17"/>
  <c r="R606" i="17" s="1"/>
  <c r="Q605" i="17"/>
  <c r="R605" i="17" s="1"/>
  <c r="Q604" i="17"/>
  <c r="R604" i="17" s="1"/>
  <c r="Q603" i="17"/>
  <c r="R603" i="17" s="1"/>
  <c r="Q602" i="17"/>
  <c r="R602" i="17" s="1"/>
  <c r="Q601" i="17"/>
  <c r="R601" i="17" s="1"/>
  <c r="Q600" i="17"/>
  <c r="R600" i="17" s="1"/>
  <c r="Q599" i="17"/>
  <c r="R599" i="17" s="1"/>
  <c r="Q598" i="17"/>
  <c r="R598" i="17" s="1"/>
  <c r="Q597" i="17"/>
  <c r="R597" i="17" s="1"/>
  <c r="Q596" i="17"/>
  <c r="R596" i="17" s="1"/>
  <c r="Q595" i="17"/>
  <c r="R595" i="17" s="1"/>
  <c r="Q594" i="17"/>
  <c r="R594" i="17" s="1"/>
  <c r="Q593" i="17"/>
  <c r="R593" i="17" s="1"/>
  <c r="Q592" i="17"/>
  <c r="R592" i="17" s="1"/>
  <c r="Q591" i="17"/>
  <c r="R591" i="17" s="1"/>
  <c r="Q590" i="17"/>
  <c r="R590" i="17" s="1"/>
  <c r="Q589" i="17"/>
  <c r="R589" i="17" s="1"/>
  <c r="Q588" i="17"/>
  <c r="R588" i="17" s="1"/>
  <c r="Q587" i="17"/>
  <c r="R587" i="17" s="1"/>
  <c r="Q586" i="17"/>
  <c r="R586" i="17" s="1"/>
  <c r="Q585" i="17"/>
  <c r="R585" i="17" s="1"/>
  <c r="Q584" i="17"/>
  <c r="R584" i="17" s="1"/>
  <c r="Q583" i="17"/>
  <c r="R583" i="17" s="1"/>
  <c r="Q582" i="17"/>
  <c r="R582" i="17" s="1"/>
  <c r="Q581" i="17"/>
  <c r="R581" i="17" s="1"/>
  <c r="Q580" i="17"/>
  <c r="R580" i="17" s="1"/>
  <c r="Q579" i="17"/>
  <c r="R579" i="17" s="1"/>
  <c r="Q578" i="17"/>
  <c r="R578" i="17" s="1"/>
  <c r="Q577" i="17"/>
  <c r="R577" i="17" s="1"/>
  <c r="Q576" i="17"/>
  <c r="R576" i="17" s="1"/>
  <c r="Q575" i="17"/>
  <c r="R575" i="17" s="1"/>
  <c r="Q574" i="17"/>
  <c r="R574" i="17" s="1"/>
  <c r="Q573" i="17"/>
  <c r="R573" i="17" s="1"/>
  <c r="Q572" i="17"/>
  <c r="R572" i="17" s="1"/>
  <c r="Q571" i="17"/>
  <c r="R571" i="17" s="1"/>
  <c r="Q570" i="17"/>
  <c r="R570" i="17" s="1"/>
  <c r="Q569" i="17"/>
  <c r="R569" i="17" s="1"/>
  <c r="Q568" i="17"/>
  <c r="R568" i="17" s="1"/>
  <c r="Q567" i="17"/>
  <c r="R567" i="17" s="1"/>
  <c r="Q566" i="17"/>
  <c r="R566" i="17" s="1"/>
  <c r="Q565" i="17"/>
  <c r="R565" i="17" s="1"/>
  <c r="Q564" i="17"/>
  <c r="R564" i="17" s="1"/>
  <c r="Q563" i="17"/>
  <c r="R563" i="17" s="1"/>
  <c r="Q562" i="17"/>
  <c r="R562" i="17" s="1"/>
  <c r="Q561" i="17"/>
  <c r="R561" i="17" s="1"/>
  <c r="Q560" i="17"/>
  <c r="R560" i="17" s="1"/>
  <c r="Q559" i="17"/>
  <c r="R559" i="17" s="1"/>
  <c r="Q558" i="17"/>
  <c r="R558" i="17" s="1"/>
  <c r="Q557" i="17"/>
  <c r="R557" i="17" s="1"/>
  <c r="Q556" i="17"/>
  <c r="R556" i="17" s="1"/>
  <c r="Q555" i="17"/>
  <c r="R555" i="17" s="1"/>
  <c r="Q554" i="17"/>
  <c r="R554" i="17" s="1"/>
  <c r="Q553" i="17"/>
  <c r="R553" i="17" s="1"/>
  <c r="Q552" i="17"/>
  <c r="R552" i="17" s="1"/>
  <c r="Q551" i="17"/>
  <c r="R551" i="17" s="1"/>
  <c r="Q550" i="17"/>
  <c r="R550" i="17" s="1"/>
  <c r="Q549" i="17"/>
  <c r="R549" i="17" s="1"/>
  <c r="Q548" i="17"/>
  <c r="R548" i="17" s="1"/>
  <c r="Q547" i="17"/>
  <c r="R547" i="17" s="1"/>
  <c r="Q546" i="17"/>
  <c r="R546" i="17" s="1"/>
  <c r="Q545" i="17"/>
  <c r="R545" i="17" s="1"/>
  <c r="Q544" i="17"/>
  <c r="R544" i="17" s="1"/>
  <c r="Q543" i="17"/>
  <c r="R543" i="17" s="1"/>
  <c r="Q542" i="17"/>
  <c r="R542" i="17" s="1"/>
  <c r="Q541" i="17"/>
  <c r="R541" i="17" s="1"/>
  <c r="Q540" i="17"/>
  <c r="R540" i="17" s="1"/>
  <c r="Q539" i="17"/>
  <c r="R539" i="17" s="1"/>
  <c r="Q538" i="17"/>
  <c r="R538" i="17" s="1"/>
  <c r="Q537" i="17"/>
  <c r="R537" i="17" s="1"/>
  <c r="Q536" i="17"/>
  <c r="R536" i="17" s="1"/>
  <c r="Q535" i="17"/>
  <c r="R535" i="17" s="1"/>
  <c r="Q534" i="17"/>
  <c r="R534" i="17" s="1"/>
  <c r="Q533" i="17"/>
  <c r="R533" i="17" s="1"/>
  <c r="Q532" i="17"/>
  <c r="R532" i="17" s="1"/>
  <c r="Q531" i="17"/>
  <c r="R531" i="17" s="1"/>
  <c r="Q530" i="17"/>
  <c r="R530" i="17" s="1"/>
  <c r="Q529" i="17"/>
  <c r="R529" i="17" s="1"/>
  <c r="Q528" i="17"/>
  <c r="R528" i="17" s="1"/>
  <c r="Q527" i="17"/>
  <c r="R527" i="17" s="1"/>
  <c r="Q526" i="17"/>
  <c r="R526" i="17" s="1"/>
  <c r="Q525" i="17"/>
  <c r="R525" i="17" s="1"/>
  <c r="Q524" i="17"/>
  <c r="R524" i="17" s="1"/>
  <c r="Q523" i="17"/>
  <c r="R523" i="17" s="1"/>
  <c r="Q522" i="17"/>
  <c r="R522" i="17" s="1"/>
  <c r="Q521" i="17"/>
  <c r="R521" i="17" s="1"/>
  <c r="Q520" i="17"/>
  <c r="R520" i="17" s="1"/>
  <c r="Q519" i="17"/>
  <c r="R519" i="17" s="1"/>
  <c r="Q518" i="17"/>
  <c r="R518" i="17" s="1"/>
  <c r="Q517" i="17"/>
  <c r="R517" i="17" s="1"/>
  <c r="Q516" i="17"/>
  <c r="R516" i="17" s="1"/>
  <c r="Q515" i="17"/>
  <c r="R515" i="17" s="1"/>
  <c r="Q514" i="17"/>
  <c r="R514" i="17" s="1"/>
  <c r="Q513" i="17"/>
  <c r="R513" i="17" s="1"/>
  <c r="Q512" i="17"/>
  <c r="R512" i="17" s="1"/>
  <c r="Q511" i="17"/>
  <c r="R511" i="17" s="1"/>
  <c r="Q510" i="17"/>
  <c r="R510" i="17" s="1"/>
  <c r="Q509" i="17"/>
  <c r="R509" i="17" s="1"/>
  <c r="Q508" i="17"/>
  <c r="R508" i="17" s="1"/>
  <c r="Q507" i="17"/>
  <c r="R507" i="17" s="1"/>
  <c r="Q506" i="17"/>
  <c r="R506" i="17" s="1"/>
  <c r="Q505" i="17"/>
  <c r="R505" i="17" s="1"/>
  <c r="Q504" i="17"/>
  <c r="R504" i="17" s="1"/>
  <c r="Q503" i="17"/>
  <c r="R503" i="17" s="1"/>
  <c r="Q502" i="17"/>
  <c r="R502" i="17" s="1"/>
  <c r="Q501" i="17"/>
  <c r="R501" i="17" s="1"/>
  <c r="Q500" i="17"/>
  <c r="R500" i="17" s="1"/>
  <c r="Q499" i="17"/>
  <c r="R499" i="17" s="1"/>
  <c r="Q498" i="17"/>
  <c r="R498" i="17" s="1"/>
  <c r="Q497" i="17"/>
  <c r="R497" i="17" s="1"/>
  <c r="Q496" i="17"/>
  <c r="R496" i="17" s="1"/>
  <c r="Q495" i="17"/>
  <c r="R495" i="17" s="1"/>
  <c r="Q494" i="17"/>
  <c r="R494" i="17" s="1"/>
  <c r="Q493" i="17"/>
  <c r="R493" i="17" s="1"/>
  <c r="Q492" i="17"/>
  <c r="R492" i="17" s="1"/>
  <c r="Q491" i="17"/>
  <c r="R491" i="17" s="1"/>
  <c r="Q490" i="17"/>
  <c r="R490" i="17" s="1"/>
  <c r="Q489" i="17"/>
  <c r="R489" i="17" s="1"/>
  <c r="Q488" i="17"/>
  <c r="R488" i="17" s="1"/>
  <c r="Q487" i="17"/>
  <c r="R487" i="17" s="1"/>
  <c r="Q486" i="17"/>
  <c r="R486" i="17" s="1"/>
  <c r="Q485" i="17"/>
  <c r="R485" i="17" s="1"/>
  <c r="Q484" i="17"/>
  <c r="R484" i="17" s="1"/>
  <c r="Q483" i="17"/>
  <c r="R483" i="17" s="1"/>
  <c r="Q482" i="17"/>
  <c r="R482" i="17" s="1"/>
  <c r="Q481" i="17"/>
  <c r="R481" i="17" s="1"/>
  <c r="Q480" i="17"/>
  <c r="R480" i="17" s="1"/>
  <c r="Q479" i="17"/>
  <c r="R479" i="17" s="1"/>
  <c r="Q478" i="17"/>
  <c r="R478" i="17" s="1"/>
  <c r="Q477" i="17"/>
  <c r="R477" i="17" s="1"/>
  <c r="Q476" i="17"/>
  <c r="R476" i="17" s="1"/>
  <c r="Q475" i="17"/>
  <c r="R475" i="17" s="1"/>
  <c r="Q474" i="17"/>
  <c r="R474" i="17" s="1"/>
  <c r="Q473" i="17"/>
  <c r="R473" i="17" s="1"/>
  <c r="Q472" i="17"/>
  <c r="R472" i="17" s="1"/>
  <c r="Q471" i="17"/>
  <c r="R471" i="17" s="1"/>
  <c r="Q470" i="17"/>
  <c r="R470" i="17" s="1"/>
  <c r="Q469" i="17"/>
  <c r="R469" i="17" s="1"/>
  <c r="Q468" i="17"/>
  <c r="R468" i="17" s="1"/>
  <c r="Q467" i="17"/>
  <c r="R467" i="17" s="1"/>
  <c r="Q466" i="17"/>
  <c r="R466" i="17" s="1"/>
  <c r="Q465" i="17"/>
  <c r="R465" i="17" s="1"/>
  <c r="Q464" i="17"/>
  <c r="R464" i="17" s="1"/>
  <c r="Q463" i="17"/>
  <c r="R463" i="17" s="1"/>
  <c r="Q462" i="17"/>
  <c r="R462" i="17" s="1"/>
  <c r="Q461" i="17"/>
  <c r="R461" i="17" s="1"/>
  <c r="Q460" i="17"/>
  <c r="R460" i="17" s="1"/>
  <c r="Q459" i="17"/>
  <c r="R459" i="17" s="1"/>
  <c r="Q458" i="17"/>
  <c r="R458" i="17" s="1"/>
  <c r="Q457" i="17"/>
  <c r="R457" i="17" s="1"/>
  <c r="Q456" i="17"/>
  <c r="R456" i="17" s="1"/>
  <c r="Q455" i="17"/>
  <c r="R455" i="17" s="1"/>
  <c r="Q454" i="17"/>
  <c r="R454" i="17" s="1"/>
  <c r="Q453" i="17"/>
  <c r="R453" i="17" s="1"/>
  <c r="Q452" i="17"/>
  <c r="R452" i="17" s="1"/>
  <c r="Q451" i="17"/>
  <c r="R451" i="17" s="1"/>
  <c r="Q450" i="17"/>
  <c r="R450" i="17" s="1"/>
  <c r="Q449" i="17"/>
  <c r="R449" i="17" s="1"/>
  <c r="Q448" i="17"/>
  <c r="R448" i="17" s="1"/>
  <c r="Q447" i="17"/>
  <c r="R447" i="17" s="1"/>
  <c r="Q446" i="17"/>
  <c r="R446" i="17" s="1"/>
  <c r="Q445" i="17"/>
  <c r="R445" i="17" s="1"/>
  <c r="Q444" i="17"/>
  <c r="R444" i="17" s="1"/>
  <c r="Q443" i="17"/>
  <c r="R443" i="17" s="1"/>
  <c r="Q442" i="17"/>
  <c r="R442" i="17" s="1"/>
  <c r="Q441" i="17"/>
  <c r="R441" i="17" s="1"/>
  <c r="Q440" i="17"/>
  <c r="R440" i="17" s="1"/>
  <c r="Q439" i="17"/>
  <c r="R439" i="17" s="1"/>
  <c r="Q438" i="17"/>
  <c r="R438" i="17" s="1"/>
  <c r="Q437" i="17"/>
  <c r="R437" i="17" s="1"/>
  <c r="Q436" i="17"/>
  <c r="R436" i="17" s="1"/>
  <c r="Q435" i="17"/>
  <c r="R435" i="17" s="1"/>
  <c r="Q434" i="17"/>
  <c r="R434" i="17" s="1"/>
  <c r="Q433" i="17"/>
  <c r="R433" i="17" s="1"/>
  <c r="Q432" i="17"/>
  <c r="R432" i="17" s="1"/>
  <c r="Q431" i="17"/>
  <c r="R431" i="17" s="1"/>
  <c r="Q430" i="17"/>
  <c r="R430" i="17" s="1"/>
  <c r="Q429" i="17"/>
  <c r="R429" i="17" s="1"/>
  <c r="Q428" i="17"/>
  <c r="R428" i="17" s="1"/>
  <c r="Q427" i="17"/>
  <c r="R427" i="17" s="1"/>
  <c r="Q426" i="17"/>
  <c r="R426" i="17" s="1"/>
  <c r="Q425" i="17"/>
  <c r="R425" i="17" s="1"/>
  <c r="Q424" i="17"/>
  <c r="R424" i="17" s="1"/>
  <c r="Q423" i="17"/>
  <c r="R423" i="17" s="1"/>
  <c r="Q422" i="17"/>
  <c r="R422" i="17" s="1"/>
  <c r="Q421" i="17"/>
  <c r="R421" i="17" s="1"/>
  <c r="Q420" i="17"/>
  <c r="R420" i="17" s="1"/>
  <c r="Q419" i="17"/>
  <c r="R419" i="17" s="1"/>
  <c r="Q418" i="17"/>
  <c r="R418" i="17" s="1"/>
  <c r="Q417" i="17"/>
  <c r="R417" i="17" s="1"/>
  <c r="Q416" i="17"/>
  <c r="R416" i="17" s="1"/>
  <c r="Q415" i="17"/>
  <c r="R415" i="17" s="1"/>
  <c r="Q414" i="17"/>
  <c r="R414" i="17" s="1"/>
  <c r="Q413" i="17"/>
  <c r="R413" i="17" s="1"/>
  <c r="Q404" i="17"/>
  <c r="R404" i="17" s="1"/>
  <c r="Q403" i="17"/>
  <c r="R403" i="17" s="1"/>
  <c r="Q402" i="17"/>
  <c r="R402" i="17" s="1"/>
  <c r="Q401" i="17"/>
  <c r="R401" i="17" s="1"/>
  <c r="Q400" i="17"/>
  <c r="R400" i="17" s="1"/>
  <c r="Q399" i="17"/>
  <c r="R399" i="17" s="1"/>
  <c r="Q398" i="17"/>
  <c r="R398" i="17" s="1"/>
  <c r="Q397" i="17"/>
  <c r="R397" i="17" s="1"/>
  <c r="Q396" i="17"/>
  <c r="R396" i="17" s="1"/>
  <c r="Q395" i="17"/>
  <c r="R395" i="17" s="1"/>
  <c r="Q394" i="17"/>
  <c r="R394" i="17" s="1"/>
  <c r="Q393" i="17"/>
  <c r="R393" i="17" s="1"/>
  <c r="Q392" i="17"/>
  <c r="R392" i="17" s="1"/>
  <c r="Q391" i="17"/>
  <c r="R391" i="17" s="1"/>
  <c r="Q390" i="17"/>
  <c r="R390" i="17" s="1"/>
  <c r="Q389" i="17"/>
  <c r="R389" i="17" s="1"/>
  <c r="Q388" i="17"/>
  <c r="R388" i="17" s="1"/>
  <c r="Q387" i="17"/>
  <c r="R387" i="17" s="1"/>
  <c r="Q386" i="17"/>
  <c r="R386" i="17" s="1"/>
  <c r="Q385" i="17"/>
  <c r="R385" i="17" s="1"/>
  <c r="Q384" i="17"/>
  <c r="R384" i="17" s="1"/>
  <c r="Q383" i="17"/>
  <c r="R383" i="17" s="1"/>
  <c r="Q382" i="17"/>
  <c r="R382" i="17" s="1"/>
  <c r="Q381" i="17"/>
  <c r="R381" i="17" s="1"/>
  <c r="Q380" i="17"/>
  <c r="R380" i="17" s="1"/>
  <c r="Q379" i="17"/>
  <c r="R379" i="17" s="1"/>
  <c r="Q378" i="17"/>
  <c r="R378" i="17" s="1"/>
  <c r="Q377" i="17"/>
  <c r="R377" i="17" s="1"/>
  <c r="Q376" i="17"/>
  <c r="R376" i="17" s="1"/>
  <c r="Q375" i="17"/>
  <c r="R375" i="17" s="1"/>
  <c r="Q374" i="17"/>
  <c r="R374" i="17" s="1"/>
  <c r="Q373" i="17"/>
  <c r="R373" i="17" s="1"/>
  <c r="Q372" i="17"/>
  <c r="R372" i="17" s="1"/>
  <c r="Q371" i="17"/>
  <c r="R371" i="17" s="1"/>
  <c r="Q370" i="17"/>
  <c r="R370" i="17" s="1"/>
  <c r="Q369" i="17"/>
  <c r="R369" i="17" s="1"/>
  <c r="Q368" i="17"/>
  <c r="R368" i="17" s="1"/>
  <c r="Q367" i="17"/>
  <c r="R367" i="17" s="1"/>
  <c r="Q366" i="17"/>
  <c r="R366" i="17" s="1"/>
  <c r="Q365" i="17"/>
  <c r="R365" i="17" s="1"/>
  <c r="Q364" i="17"/>
  <c r="R364" i="17" s="1"/>
  <c r="Q363" i="17"/>
  <c r="R363" i="17" s="1"/>
  <c r="Q362" i="17"/>
  <c r="R362" i="17" s="1"/>
  <c r="Q361" i="17"/>
  <c r="R361" i="17" s="1"/>
  <c r="Q360" i="17"/>
  <c r="R360" i="17" s="1"/>
  <c r="Q359" i="17"/>
  <c r="R359" i="17" s="1"/>
  <c r="Q358" i="17"/>
  <c r="R358" i="17" s="1"/>
  <c r="Q357" i="17"/>
  <c r="R357" i="17" s="1"/>
  <c r="Q356" i="17"/>
  <c r="R356" i="17" s="1"/>
  <c r="Q355" i="17"/>
  <c r="R355" i="17" s="1"/>
  <c r="Q354" i="17"/>
  <c r="R354" i="17" s="1"/>
  <c r="Q353" i="17"/>
  <c r="R353" i="17" s="1"/>
  <c r="Q352" i="17"/>
  <c r="R352" i="17" s="1"/>
  <c r="Q351" i="17"/>
  <c r="R351" i="17" s="1"/>
  <c r="Q350" i="17"/>
  <c r="R350" i="17" s="1"/>
  <c r="Q349" i="17"/>
  <c r="R349" i="17" s="1"/>
  <c r="Q348" i="17"/>
  <c r="R348" i="17" s="1"/>
  <c r="Q347" i="17"/>
  <c r="R347" i="17" s="1"/>
  <c r="Q346" i="17"/>
  <c r="R346" i="17" s="1"/>
  <c r="Q345" i="17"/>
  <c r="R345" i="17" s="1"/>
  <c r="Q344" i="17"/>
  <c r="R344" i="17" s="1"/>
  <c r="Q343" i="17"/>
  <c r="R343" i="17" s="1"/>
  <c r="Q342" i="17"/>
  <c r="R342" i="17" s="1"/>
  <c r="Q341" i="17"/>
  <c r="R341" i="17" s="1"/>
  <c r="Q340" i="17"/>
  <c r="R340" i="17" s="1"/>
  <c r="Q339" i="17"/>
  <c r="R339" i="17" s="1"/>
  <c r="Q338" i="17"/>
  <c r="R338" i="17" s="1"/>
  <c r="Q337" i="17"/>
  <c r="R337" i="17" s="1"/>
  <c r="Q336" i="17"/>
  <c r="R336" i="17" s="1"/>
  <c r="Q335" i="17"/>
  <c r="R335" i="17" s="1"/>
  <c r="Q334" i="17"/>
  <c r="R334" i="17" s="1"/>
  <c r="Q333" i="17"/>
  <c r="R333" i="17" s="1"/>
  <c r="Q332" i="17"/>
  <c r="R332" i="17" s="1"/>
  <c r="Q331" i="17"/>
  <c r="R331" i="17" s="1"/>
  <c r="Q330" i="17"/>
  <c r="R330" i="17" s="1"/>
  <c r="Q329" i="17"/>
  <c r="R329" i="17" s="1"/>
  <c r="Q328" i="17"/>
  <c r="R328" i="17" s="1"/>
  <c r="Q327" i="17"/>
  <c r="R327" i="17" s="1"/>
  <c r="Q326" i="17"/>
  <c r="R326" i="17" s="1"/>
  <c r="Q325" i="17"/>
  <c r="R325" i="17" s="1"/>
  <c r="Q324" i="17"/>
  <c r="R324" i="17" s="1"/>
  <c r="Q323" i="17"/>
  <c r="R323" i="17" s="1"/>
  <c r="Q322" i="17"/>
  <c r="R322" i="17" s="1"/>
  <c r="Q321" i="17"/>
  <c r="R321" i="17" s="1"/>
  <c r="Q320" i="17"/>
  <c r="R320" i="17" s="1"/>
  <c r="Q319" i="17"/>
  <c r="R319" i="17" s="1"/>
  <c r="Q318" i="17"/>
  <c r="R318" i="17" s="1"/>
  <c r="Q317" i="17"/>
  <c r="R317" i="17" s="1"/>
  <c r="Q316" i="17"/>
  <c r="R316" i="17" s="1"/>
  <c r="Q315" i="17"/>
  <c r="R315" i="17" s="1"/>
  <c r="Q314" i="17"/>
  <c r="R314" i="17" s="1"/>
  <c r="Q313" i="17"/>
  <c r="R313" i="17" s="1"/>
  <c r="Q312" i="17"/>
  <c r="R312" i="17" s="1"/>
  <c r="Q311" i="17"/>
  <c r="R311" i="17" s="1"/>
  <c r="Q310" i="17"/>
  <c r="R310" i="17" s="1"/>
  <c r="Q309" i="17"/>
  <c r="R309" i="17" s="1"/>
  <c r="Q308" i="17"/>
  <c r="R308" i="17" s="1"/>
  <c r="Q307" i="17"/>
  <c r="R307" i="17" s="1"/>
  <c r="Q306" i="17"/>
  <c r="R306" i="17" s="1"/>
  <c r="Q305" i="17"/>
  <c r="R305" i="17" s="1"/>
  <c r="Q304" i="17"/>
  <c r="R304" i="17" s="1"/>
  <c r="Q303" i="17"/>
  <c r="R303" i="17" s="1"/>
  <c r="Q302" i="17"/>
  <c r="R302" i="17" s="1"/>
  <c r="Q301" i="17"/>
  <c r="R301" i="17" s="1"/>
  <c r="Q300" i="17"/>
  <c r="R300" i="17" s="1"/>
  <c r="Q299" i="17"/>
  <c r="R299" i="17" s="1"/>
  <c r="Q298" i="17"/>
  <c r="R298" i="17" s="1"/>
  <c r="Q297" i="17"/>
  <c r="R297" i="17" s="1"/>
  <c r="Q296" i="17"/>
  <c r="R296" i="17" s="1"/>
  <c r="Q295" i="17"/>
  <c r="R295" i="17" s="1"/>
  <c r="Q294" i="17"/>
  <c r="R294" i="17" s="1"/>
  <c r="Q293" i="17"/>
  <c r="R293" i="17" s="1"/>
  <c r="Q292" i="17"/>
  <c r="R292" i="17" s="1"/>
  <c r="Q291" i="17"/>
  <c r="R291" i="17" s="1"/>
  <c r="Q290" i="17"/>
  <c r="R290" i="17" s="1"/>
  <c r="Q289" i="17"/>
  <c r="R289" i="17" s="1"/>
  <c r="Q288" i="17"/>
  <c r="R288" i="17" s="1"/>
  <c r="Q287" i="17"/>
  <c r="R287" i="17" s="1"/>
  <c r="Q286" i="17"/>
  <c r="R286" i="17" s="1"/>
  <c r="Q285" i="17"/>
  <c r="R285" i="17" s="1"/>
  <c r="Q284" i="17"/>
  <c r="R284" i="17" s="1"/>
  <c r="Q283" i="17"/>
  <c r="R283" i="17" s="1"/>
  <c r="Q282" i="17"/>
  <c r="R282" i="17" s="1"/>
  <c r="Q281" i="17"/>
  <c r="R281" i="17" s="1"/>
  <c r="Q280" i="17"/>
  <c r="R280" i="17" s="1"/>
  <c r="Q279" i="17"/>
  <c r="R279" i="17" s="1"/>
  <c r="Q278" i="17"/>
  <c r="R278" i="17" s="1"/>
  <c r="Q277" i="17"/>
  <c r="R277" i="17" s="1"/>
  <c r="Q276" i="17"/>
  <c r="R276" i="17" s="1"/>
  <c r="Q275" i="17"/>
  <c r="R275" i="17" s="1"/>
  <c r="Q274" i="17"/>
  <c r="R274" i="17" s="1"/>
  <c r="Q273" i="17"/>
  <c r="R273" i="17" s="1"/>
  <c r="Q272" i="17"/>
  <c r="R272" i="17" s="1"/>
  <c r="Q271" i="17"/>
  <c r="R271" i="17" s="1"/>
  <c r="Q270" i="17"/>
  <c r="R270" i="17" s="1"/>
  <c r="Q269" i="17"/>
  <c r="R269" i="17" s="1"/>
  <c r="Q268" i="17"/>
  <c r="R268" i="17" s="1"/>
  <c r="Q267" i="17"/>
  <c r="R267" i="17" s="1"/>
  <c r="Q266" i="17"/>
  <c r="R266" i="17" s="1"/>
  <c r="Q265" i="17"/>
  <c r="R265" i="17" s="1"/>
  <c r="Q264" i="17"/>
  <c r="R264" i="17" s="1"/>
  <c r="Q263" i="17"/>
  <c r="R263" i="17" s="1"/>
  <c r="Q262" i="17"/>
  <c r="R262" i="17" s="1"/>
  <c r="Q261" i="17"/>
  <c r="R261" i="17" s="1"/>
  <c r="Q260" i="17"/>
  <c r="R260" i="17" s="1"/>
  <c r="Q259" i="17"/>
  <c r="R259" i="17" s="1"/>
  <c r="Q258" i="17"/>
  <c r="R258" i="17" s="1"/>
  <c r="Q257" i="17"/>
  <c r="R257" i="17" s="1"/>
  <c r="Q256" i="17"/>
  <c r="R256" i="17" s="1"/>
  <c r="Q255" i="17"/>
  <c r="R255" i="17" s="1"/>
  <c r="Q254" i="17"/>
  <c r="R254" i="17" s="1"/>
  <c r="Q253" i="17"/>
  <c r="R253" i="17" s="1"/>
  <c r="Q252" i="17"/>
  <c r="R252" i="17" s="1"/>
  <c r="Q251" i="17"/>
  <c r="R251" i="17" s="1"/>
  <c r="Q250" i="17"/>
  <c r="R250" i="17" s="1"/>
  <c r="Q249" i="17"/>
  <c r="R249" i="17" s="1"/>
  <c r="Q248" i="17"/>
  <c r="R248" i="17" s="1"/>
  <c r="Q247" i="17"/>
  <c r="R247" i="17" s="1"/>
  <c r="Q246" i="17"/>
  <c r="R246" i="17" s="1"/>
  <c r="Q245" i="17"/>
  <c r="R245" i="17" s="1"/>
  <c r="Q244" i="17"/>
  <c r="R244" i="17" s="1"/>
  <c r="Q243" i="17"/>
  <c r="R243" i="17" s="1"/>
  <c r="Q242" i="17"/>
  <c r="R242" i="17" s="1"/>
  <c r="Q241" i="17"/>
  <c r="R241" i="17" s="1"/>
  <c r="Q240" i="17"/>
  <c r="R240" i="17" s="1"/>
  <c r="Q239" i="17"/>
  <c r="R239" i="17" s="1"/>
  <c r="Q238" i="17"/>
  <c r="R238" i="17" s="1"/>
  <c r="Q237" i="17"/>
  <c r="R237" i="17" s="1"/>
  <c r="Q236" i="17"/>
  <c r="R236" i="17" s="1"/>
  <c r="Q235" i="17"/>
  <c r="R235" i="17" s="1"/>
  <c r="Q234" i="17"/>
  <c r="R234" i="17" s="1"/>
  <c r="Q233" i="17"/>
  <c r="R233" i="17" s="1"/>
  <c r="Q232" i="17"/>
  <c r="R232" i="17" s="1"/>
  <c r="Q231" i="17"/>
  <c r="R231" i="17" s="1"/>
  <c r="Q230" i="17"/>
  <c r="R230" i="17" s="1"/>
  <c r="Q229" i="17"/>
  <c r="R229" i="17" s="1"/>
  <c r="Q228" i="17"/>
  <c r="R228" i="17" s="1"/>
  <c r="Q227" i="17"/>
  <c r="R227" i="17" s="1"/>
  <c r="Q226" i="17"/>
  <c r="R226" i="17" s="1"/>
  <c r="Q225" i="17"/>
  <c r="R225" i="17" s="1"/>
  <c r="Q224" i="17"/>
  <c r="R224" i="17" s="1"/>
  <c r="Q223" i="17"/>
  <c r="R223" i="17" s="1"/>
  <c r="Q222" i="17"/>
  <c r="R222" i="17" s="1"/>
  <c r="Q221" i="17"/>
  <c r="R221" i="17" s="1"/>
  <c r="Q220" i="17"/>
  <c r="R220" i="17" s="1"/>
  <c r="Q219" i="17"/>
  <c r="R219" i="17" s="1"/>
  <c r="Q218" i="17"/>
  <c r="R218" i="17" s="1"/>
  <c r="Q217" i="17"/>
  <c r="R217" i="17" s="1"/>
  <c r="Q216" i="17"/>
  <c r="R216" i="17" s="1"/>
  <c r="Q215" i="17"/>
  <c r="R215" i="17" s="1"/>
  <c r="Q214" i="17"/>
  <c r="R214" i="17" s="1"/>
  <c r="Q213" i="17"/>
  <c r="R213" i="17" s="1"/>
  <c r="Q212" i="17"/>
  <c r="R212" i="17" s="1"/>
  <c r="Q211" i="17"/>
  <c r="R211" i="17" s="1"/>
  <c r="Q210" i="17"/>
  <c r="R210" i="17" s="1"/>
  <c r="Q209" i="17"/>
  <c r="R209" i="17" s="1"/>
  <c r="Q208" i="17"/>
  <c r="R208" i="17" s="1"/>
  <c r="Q207" i="17"/>
  <c r="R207" i="17" s="1"/>
  <c r="Q206" i="17"/>
  <c r="R206" i="17" s="1"/>
  <c r="Q205" i="17"/>
  <c r="R205" i="17" s="1"/>
  <c r="Q204" i="17"/>
  <c r="R204" i="17" s="1"/>
  <c r="Q202" i="17"/>
  <c r="R202" i="17" s="1"/>
  <c r="Q201" i="17"/>
  <c r="R201" i="17" s="1"/>
  <c r="Q200" i="17"/>
  <c r="R200" i="17" s="1"/>
  <c r="Q199" i="17"/>
  <c r="R199" i="17" s="1"/>
  <c r="Q198" i="17"/>
  <c r="R198" i="17" s="1"/>
  <c r="Q197" i="17"/>
  <c r="R197" i="17" s="1"/>
  <c r="Q196" i="17"/>
  <c r="R196" i="17" s="1"/>
  <c r="Q195" i="17"/>
  <c r="R195" i="17" s="1"/>
  <c r="Q194" i="17"/>
  <c r="R194" i="17" s="1"/>
  <c r="Q193" i="17"/>
  <c r="R193" i="17" s="1"/>
  <c r="Q192" i="17"/>
  <c r="R192" i="17" s="1"/>
  <c r="Q191" i="17"/>
  <c r="R191" i="17" s="1"/>
  <c r="Q190" i="17"/>
  <c r="R190" i="17" s="1"/>
  <c r="Q189" i="17"/>
  <c r="R189" i="17" s="1"/>
  <c r="Q188" i="17"/>
  <c r="R188" i="17" s="1"/>
  <c r="Q187" i="17"/>
  <c r="R187" i="17" s="1"/>
  <c r="Q186" i="17"/>
  <c r="R186" i="17" s="1"/>
  <c r="Q185" i="17"/>
  <c r="R185" i="17" s="1"/>
  <c r="Q184" i="17"/>
  <c r="R184" i="17" s="1"/>
  <c r="Q183" i="17"/>
  <c r="R183" i="17" s="1"/>
  <c r="Q182" i="17"/>
  <c r="R182" i="17" s="1"/>
  <c r="Q181" i="17"/>
  <c r="R181" i="17" s="1"/>
  <c r="Q180" i="17"/>
  <c r="R180" i="17" s="1"/>
  <c r="Q179" i="17"/>
  <c r="R179" i="17" s="1"/>
  <c r="Q178" i="17"/>
  <c r="R178" i="17" s="1"/>
  <c r="Q177" i="17"/>
  <c r="R177" i="17" s="1"/>
  <c r="Q176" i="17"/>
  <c r="R176" i="17" s="1"/>
  <c r="Q175" i="17"/>
  <c r="R175" i="17" s="1"/>
  <c r="Q174" i="17"/>
  <c r="R174" i="17" s="1"/>
  <c r="Q173" i="17"/>
  <c r="R173" i="17" s="1"/>
  <c r="Q172" i="17"/>
  <c r="R172" i="17" s="1"/>
  <c r="Q171" i="17"/>
  <c r="R171" i="17" s="1"/>
  <c r="Q170" i="17"/>
  <c r="R170" i="17" s="1"/>
  <c r="Q169" i="17"/>
  <c r="R169" i="17" s="1"/>
  <c r="Q168" i="17"/>
  <c r="R168" i="17" s="1"/>
  <c r="Q167" i="17"/>
  <c r="R167" i="17" s="1"/>
  <c r="Q166" i="17"/>
  <c r="R166" i="17" s="1"/>
  <c r="Q165" i="17"/>
  <c r="R165" i="17" s="1"/>
  <c r="Q164" i="17"/>
  <c r="R164" i="17" s="1"/>
  <c r="Q163" i="17"/>
  <c r="R163" i="17" s="1"/>
  <c r="Q162" i="17"/>
  <c r="R162" i="17" s="1"/>
  <c r="Q161" i="17"/>
  <c r="R161" i="17" s="1"/>
  <c r="Q160" i="17"/>
  <c r="R160" i="17" s="1"/>
  <c r="Q159" i="17"/>
  <c r="R159" i="17" s="1"/>
  <c r="Q158" i="17"/>
  <c r="R158" i="17" s="1"/>
  <c r="Q157" i="17"/>
  <c r="R157" i="17" s="1"/>
  <c r="Q156" i="17"/>
  <c r="R156" i="17" s="1"/>
  <c r="Q155" i="17"/>
  <c r="R155" i="17" s="1"/>
  <c r="Q154" i="17"/>
  <c r="R154" i="17" s="1"/>
  <c r="Q153" i="17"/>
  <c r="R153" i="17" s="1"/>
  <c r="Q152" i="17"/>
  <c r="R152" i="17" s="1"/>
  <c r="Q151" i="17"/>
  <c r="R151" i="17" s="1"/>
  <c r="Q150" i="17"/>
  <c r="R150" i="17" s="1"/>
  <c r="Q149" i="17"/>
  <c r="R149" i="17" s="1"/>
  <c r="Q148" i="17"/>
  <c r="R148" i="17" s="1"/>
  <c r="Q147" i="17"/>
  <c r="R147" i="17" s="1"/>
  <c r="Q146" i="17"/>
  <c r="R146" i="17" s="1"/>
  <c r="Q145" i="17"/>
  <c r="R145" i="17" s="1"/>
  <c r="Q144" i="17"/>
  <c r="R144" i="17" s="1"/>
  <c r="Q143" i="17"/>
  <c r="R143" i="17" s="1"/>
  <c r="Q142" i="17"/>
  <c r="R142" i="17" s="1"/>
  <c r="Q141" i="17"/>
  <c r="R141" i="17" s="1"/>
  <c r="Q140" i="17"/>
  <c r="R140" i="17" s="1"/>
  <c r="Q139" i="17"/>
  <c r="R139" i="17" s="1"/>
  <c r="Q138" i="17"/>
  <c r="R138" i="17" s="1"/>
  <c r="Q137" i="17"/>
  <c r="R137" i="17" s="1"/>
  <c r="Q136" i="17"/>
  <c r="R136" i="17" s="1"/>
  <c r="Q135" i="17"/>
  <c r="R135" i="17" s="1"/>
  <c r="Q134" i="17"/>
  <c r="R134" i="17" s="1"/>
  <c r="Q133" i="17"/>
  <c r="R133" i="17" s="1"/>
  <c r="Q132" i="17"/>
  <c r="R132" i="17" s="1"/>
  <c r="Q131" i="17"/>
  <c r="R131" i="17" s="1"/>
  <c r="Q130" i="17"/>
  <c r="R130" i="17" s="1"/>
  <c r="Q124" i="17"/>
  <c r="R124" i="17" s="1"/>
  <c r="Q122" i="17"/>
  <c r="R122" i="17" s="1"/>
  <c r="Q121" i="17"/>
  <c r="R121" i="17" s="1"/>
  <c r="Q120" i="17"/>
  <c r="R120" i="17" s="1"/>
  <c r="Q119" i="17"/>
  <c r="R119" i="17" s="1"/>
  <c r="Q118" i="17"/>
  <c r="R118" i="17" s="1"/>
  <c r="Q117" i="17"/>
  <c r="R117" i="17" s="1"/>
  <c r="Q116" i="17"/>
  <c r="R116" i="17" s="1"/>
  <c r="Q115" i="17"/>
  <c r="R115" i="17" s="1"/>
  <c r="Q114" i="17"/>
  <c r="R114" i="17" s="1"/>
  <c r="Q113" i="17"/>
  <c r="R113" i="17" s="1"/>
  <c r="Q109" i="17"/>
  <c r="R109" i="17" s="1"/>
  <c r="Q108" i="17"/>
  <c r="R108" i="17" s="1"/>
  <c r="Q107" i="17"/>
  <c r="R107" i="17" s="1"/>
  <c r="Q106" i="17"/>
  <c r="R106" i="17" s="1"/>
  <c r="Q105" i="17"/>
  <c r="R105" i="17" s="1"/>
  <c r="Q104" i="17"/>
  <c r="R104" i="17" s="1"/>
  <c r="Q103" i="17"/>
  <c r="R103" i="17" s="1"/>
  <c r="Q102" i="17"/>
  <c r="R102" i="17" s="1"/>
  <c r="Q101" i="17"/>
  <c r="R101" i="17" s="1"/>
  <c r="Q100" i="17"/>
  <c r="R100" i="17" s="1"/>
  <c r="Q99" i="17"/>
  <c r="R99" i="17" s="1"/>
  <c r="Q98" i="17"/>
  <c r="R98" i="17" s="1"/>
  <c r="Q97" i="17"/>
  <c r="R97" i="17" s="1"/>
  <c r="Q96" i="17"/>
  <c r="R96" i="17" s="1"/>
  <c r="Q95" i="17"/>
  <c r="R95" i="17" s="1"/>
  <c r="Q94" i="17"/>
  <c r="R94" i="17" s="1"/>
  <c r="Q93" i="17"/>
  <c r="R93" i="17" s="1"/>
  <c r="Q92" i="17"/>
  <c r="R92" i="17" s="1"/>
  <c r="Q91" i="17"/>
  <c r="R91" i="17" s="1"/>
  <c r="Q90" i="17"/>
  <c r="R90" i="17" s="1"/>
  <c r="Q89" i="17"/>
  <c r="R89" i="17" s="1"/>
  <c r="Q88" i="17"/>
  <c r="R88" i="17" s="1"/>
  <c r="Q87" i="17"/>
  <c r="R87" i="17" s="1"/>
  <c r="Q86" i="17"/>
  <c r="R86" i="17" s="1"/>
  <c r="Q83" i="17"/>
  <c r="R83" i="17" s="1"/>
  <c r="Q82" i="17"/>
  <c r="R82" i="17" s="1"/>
  <c r="Q81" i="17"/>
  <c r="R81" i="17" s="1"/>
  <c r="Q80" i="17"/>
  <c r="R80" i="17" s="1"/>
  <c r="Q79" i="17"/>
  <c r="R79" i="17" s="1"/>
  <c r="Q78" i="17"/>
  <c r="R78" i="17" s="1"/>
  <c r="Q77" i="17"/>
  <c r="R77" i="17" s="1"/>
  <c r="Q76" i="17"/>
  <c r="R76" i="17" s="1"/>
  <c r="Q75" i="17"/>
  <c r="R75" i="17" s="1"/>
  <c r="Q74" i="17"/>
  <c r="R74" i="17" s="1"/>
  <c r="Q73" i="17"/>
  <c r="R73" i="17" s="1"/>
  <c r="Q72" i="17"/>
  <c r="R72" i="17" s="1"/>
  <c r="Q71" i="17"/>
  <c r="R71" i="17" s="1"/>
  <c r="Q70" i="17"/>
  <c r="R70" i="17" s="1"/>
  <c r="Q69" i="17"/>
  <c r="R69" i="17" s="1"/>
  <c r="Q68" i="17"/>
  <c r="R68" i="17" s="1"/>
  <c r="Q67" i="17"/>
  <c r="R67" i="17" s="1"/>
  <c r="Q66" i="17"/>
  <c r="R66" i="17" s="1"/>
  <c r="Q65" i="17"/>
  <c r="R65" i="17" s="1"/>
  <c r="Q64" i="17"/>
  <c r="R64" i="17" s="1"/>
  <c r="Q63" i="17"/>
  <c r="R63" i="17" s="1"/>
  <c r="Q62" i="17"/>
  <c r="R62" i="17" s="1"/>
  <c r="Q61" i="17"/>
  <c r="R61" i="17" s="1"/>
  <c r="Q60" i="17"/>
  <c r="R60" i="17" s="1"/>
  <c r="Q59" i="17"/>
  <c r="R59" i="17" s="1"/>
  <c r="Q58" i="17"/>
  <c r="R58" i="17" s="1"/>
  <c r="Q57" i="17"/>
  <c r="R57" i="17" s="1"/>
  <c r="Q56" i="17"/>
  <c r="R56" i="17" s="1"/>
  <c r="Q55" i="17"/>
  <c r="R55" i="17" s="1"/>
  <c r="Q54" i="17"/>
  <c r="R54" i="17" s="1"/>
  <c r="Q53" i="17"/>
  <c r="R53" i="17" s="1"/>
  <c r="Q52" i="17"/>
  <c r="R52" i="17" s="1"/>
  <c r="Q51" i="17"/>
  <c r="R51" i="17" s="1"/>
  <c r="Q50" i="17"/>
  <c r="R50" i="17" s="1"/>
  <c r="Q49" i="17"/>
  <c r="R49" i="17" s="1"/>
  <c r="Q48" i="17"/>
  <c r="R48" i="17" s="1"/>
  <c r="Q47" i="17"/>
  <c r="R47" i="17" s="1"/>
  <c r="Q46" i="17"/>
  <c r="R46" i="17" s="1"/>
  <c r="Q45" i="17"/>
  <c r="R45" i="17" s="1"/>
  <c r="Q44" i="17"/>
  <c r="R44" i="17" s="1"/>
  <c r="Q43" i="17"/>
  <c r="R43" i="17" s="1"/>
  <c r="Q42" i="17"/>
  <c r="R42" i="17" s="1"/>
  <c r="Q41" i="17"/>
  <c r="R41" i="17" s="1"/>
  <c r="Q40" i="17"/>
  <c r="R40" i="17" s="1"/>
  <c r="Q39" i="17"/>
  <c r="R39" i="17" s="1"/>
  <c r="Q38" i="17"/>
  <c r="R38" i="17" s="1"/>
  <c r="Q37" i="17"/>
  <c r="R37" i="17" s="1"/>
  <c r="Q36" i="17"/>
  <c r="R36" i="17" s="1"/>
  <c r="Q35" i="17"/>
  <c r="R35" i="17" s="1"/>
  <c r="Q34" i="17"/>
  <c r="R34" i="17" s="1"/>
  <c r="Q33" i="17"/>
  <c r="R33" i="17" s="1"/>
  <c r="Q32" i="17"/>
  <c r="R32" i="17" s="1"/>
  <c r="Q31" i="17"/>
  <c r="R31" i="17" s="1"/>
  <c r="Q30" i="17"/>
  <c r="R30" i="17" s="1"/>
  <c r="Q27" i="17"/>
  <c r="R27" i="17" s="1"/>
  <c r="Q26" i="17"/>
  <c r="R26" i="17" s="1"/>
  <c r="Q25" i="17"/>
  <c r="R25" i="17" s="1"/>
  <c r="Q24" i="17"/>
  <c r="R24" i="17" s="1"/>
  <c r="Q23" i="17"/>
  <c r="R23" i="17" s="1"/>
  <c r="Q22" i="17"/>
  <c r="R22" i="17" s="1"/>
  <c r="Q21" i="17"/>
  <c r="R21" i="17" s="1"/>
  <c r="Q20" i="17"/>
  <c r="R20" i="17" s="1"/>
  <c r="Q19" i="17"/>
  <c r="R19" i="17" s="1"/>
  <c r="Q18" i="17"/>
  <c r="R18" i="17" s="1"/>
  <c r="Q7" i="17"/>
  <c r="R7" i="17" s="1"/>
  <c r="Q6" i="17"/>
  <c r="R6" i="17" s="1"/>
  <c r="Q5" i="17"/>
  <c r="R5" i="17" s="1"/>
  <c r="Q4" i="17"/>
  <c r="R4" i="17" s="1"/>
  <c r="Q3" i="17"/>
  <c r="R3" i="17" s="1"/>
  <c r="Q2" i="17"/>
  <c r="R2" i="17" s="1"/>
  <c r="T114" i="17" l="1"/>
  <c r="T2" i="17"/>
  <c r="T643" i="17"/>
  <c r="T509" i="17"/>
  <c r="T125" i="17"/>
  <c r="T153" i="17"/>
  <c r="T405" i="17"/>
  <c r="T819" i="17"/>
  <c r="T883" i="17"/>
  <c r="T963" i="17"/>
  <c r="T1108" i="17"/>
  <c r="T1087" i="17"/>
  <c r="T1011" i="17"/>
  <c r="T947" i="17"/>
  <c r="T1164" i="17"/>
  <c r="T18" i="17"/>
  <c r="T899" i="17"/>
  <c r="T835" i="17"/>
  <c r="T285" i="17"/>
  <c r="T541" i="17"/>
  <c r="T32" i="17"/>
  <c r="T100" i="17"/>
  <c r="T245" i="17"/>
  <c r="T349" i="17"/>
  <c r="T421" i="17"/>
  <c r="T755" i="17"/>
  <c r="T763" i="17"/>
  <c r="T333" i="17"/>
  <c r="T739" i="17"/>
  <c r="T979" i="17"/>
  <c r="T389" i="17"/>
  <c r="T461" i="17"/>
  <c r="T477" i="17"/>
  <c r="T627" i="17"/>
  <c r="T691" i="17"/>
  <c r="T707" i="17"/>
  <c r="T205" i="17"/>
  <c r="T261" i="17"/>
  <c r="T485" i="17"/>
  <c r="T651" i="17"/>
  <c r="T675" i="17"/>
  <c r="T787" i="17"/>
  <c r="T1204" i="17"/>
  <c r="T1178" i="17"/>
  <c r="T1197" i="17"/>
  <c r="T325" i="17"/>
  <c r="T429" i="17"/>
  <c r="T549" i="17"/>
  <c r="T1217" i="17"/>
  <c r="T341" i="17"/>
  <c r="T533" i="17"/>
  <c r="T1034" i="17"/>
  <c r="T1094" i="17"/>
  <c r="T1150" i="17"/>
  <c r="T1229" i="17"/>
  <c r="T269" i="17"/>
  <c r="T317" i="17"/>
  <c r="T397" i="17"/>
  <c r="T955" i="17"/>
  <c r="T971" i="17"/>
  <c r="T987" i="17"/>
  <c r="T1003" i="17"/>
  <c r="T1041" i="17"/>
  <c r="T1026" i="17"/>
  <c r="T64" i="17"/>
  <c r="T169" i="17"/>
  <c r="T413" i="17"/>
  <c r="T469" i="17"/>
  <c r="T135" i="17"/>
  <c r="T89" i="17"/>
  <c r="T144" i="17"/>
  <c r="T277" i="17"/>
  <c r="T160" i="17"/>
  <c r="T187" i="17"/>
  <c r="T196" i="17"/>
  <c r="T253" i="17"/>
  <c r="T178" i="17"/>
  <c r="T43" i="17"/>
  <c r="T54" i="17"/>
  <c r="T223" i="17"/>
  <c r="T493" i="17"/>
  <c r="T75" i="17"/>
  <c r="T229" i="17"/>
  <c r="T301" i="17"/>
  <c r="T501" i="17"/>
  <c r="T595" i="17"/>
  <c r="T771" i="17"/>
  <c r="T635" i="17"/>
  <c r="T659" i="17"/>
  <c r="T214" i="17"/>
  <c r="T453" i="17"/>
  <c r="T293" i="17"/>
  <c r="T309" i="17"/>
  <c r="T373" i="17"/>
  <c r="T381" i="17"/>
  <c r="T517" i="17"/>
  <c r="T525" i="17"/>
  <c r="T573" i="17"/>
  <c r="T699" i="17"/>
  <c r="T445" i="17"/>
  <c r="T580" i="17"/>
  <c r="T619" i="17"/>
  <c r="T715" i="17"/>
  <c r="T731" i="17"/>
  <c r="T237" i="17"/>
  <c r="T365" i="17"/>
  <c r="T557" i="17"/>
  <c r="T603" i="17"/>
  <c r="T683" i="17"/>
  <c r="T747" i="17"/>
  <c r="T437" i="17"/>
  <c r="T667" i="17"/>
  <c r="T357" i="17"/>
  <c r="T565" i="17"/>
  <c r="T587" i="17"/>
  <c r="T611" i="17"/>
  <c r="T779" i="17"/>
  <c r="T843" i="17"/>
  <c r="T915" i="17"/>
  <c r="T1019" i="17"/>
  <c r="T795" i="17"/>
  <c r="T1055" i="17"/>
  <c r="T1171" i="17"/>
  <c r="T811" i="17"/>
  <c r="T851" i="17"/>
  <c r="T931" i="17"/>
  <c r="T1068" i="17"/>
  <c r="T1122" i="17"/>
  <c r="T1143" i="17"/>
  <c r="T723" i="17"/>
  <c r="T859" i="17"/>
  <c r="T995" i="17"/>
  <c r="T1062" i="17"/>
  <c r="T1080" i="17"/>
  <c r="T1115" i="17"/>
  <c r="T1190" i="17"/>
  <c r="T1211" i="17"/>
  <c r="T1241" i="17"/>
  <c r="T1253" i="17"/>
  <c r="T803" i="17"/>
  <c r="T875" i="17"/>
  <c r="T1074" i="17"/>
  <c r="T1184" i="17"/>
  <c r="T1223" i="17"/>
  <c r="T827" i="17"/>
  <c r="T891" i="17"/>
  <c r="T1101" i="17"/>
  <c r="T1136" i="17"/>
  <c r="T1157" i="17"/>
  <c r="T1235" i="17"/>
  <c r="T1247" i="17"/>
  <c r="T867" i="17"/>
  <c r="T907" i="17"/>
  <c r="T923" i="17"/>
  <c r="T939" i="17"/>
  <c r="T1048" i="17"/>
  <c r="T1129" i="17"/>
</calcChain>
</file>

<file path=xl/sharedStrings.xml><?xml version="1.0" encoding="utf-8"?>
<sst xmlns="http://schemas.openxmlformats.org/spreadsheetml/2006/main" count="28336" uniqueCount="565">
  <si>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</si>
  <si>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</si>
  <si>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</si>
  <si>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</si>
  <si>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</si>
  <si>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</si>
  <si>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</si>
  <si>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</si>
  <si>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</si>
  <si>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</si>
  <si>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</si>
  <si>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</si>
  <si>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</si>
  <si>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</si>
  <si>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</si>
  <si>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</si>
  <si>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</si>
  <si>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</si>
  <si>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</si>
  <si>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</si>
  <si>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تخته فشرده</t>
  </si>
  <si>
    <t>فنی و مهندسی</t>
  </si>
  <si>
    <t>MainTasks</t>
  </si>
  <si>
    <t>+</t>
  </si>
  <si>
    <t>-</t>
  </si>
  <si>
    <t>نرخ تکمیل دستورالعمل‌ها</t>
  </si>
  <si>
    <t>Projects</t>
  </si>
  <si>
    <t>نرخ تکمیل پروژه‌ها</t>
  </si>
  <si>
    <t>مصطفی علیزاده</t>
  </si>
  <si>
    <t>خلیل دیلمی</t>
  </si>
  <si>
    <t>مجتبی هدایت</t>
  </si>
  <si>
    <t>رضا عینلوند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</si>
  <si>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</si>
  <si>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</si>
  <si>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</si>
  <si>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</si>
  <si>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</si>
  <si>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</si>
  <si>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</si>
  <si>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</si>
  <si>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</si>
  <si>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</si>
  <si>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</si>
  <si>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</si>
  <si>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</si>
  <si>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</si>
  <si>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</si>
  <si>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Project Completion Rate</t>
  </si>
  <si>
    <t>نرخ تکمیل پروژه‌های مهندسی</t>
  </si>
  <si>
    <t>درصد پروژه‌هایی که طبق برنامه تحویل شده‌اند</t>
  </si>
  <si>
    <t>رضا زلقی</t>
  </si>
  <si>
    <t>Emergency Breakdown Rate</t>
  </si>
  <si>
    <t>سارا کرم سراجی</t>
  </si>
  <si>
    <t xml:space="preserve">علی اصغر کلانتری </t>
  </si>
  <si>
    <t>Maintenance Schedule Adherence</t>
  </si>
  <si>
    <t>درصد تحقق برنامه زمان‌بندی‌شده تعمیرات</t>
  </si>
  <si>
    <t>درصد انجام تعمیرات طبق برنامه زمان‌بندی‌شده</t>
  </si>
  <si>
    <t>Preventive Maintenance Execution Rate</t>
  </si>
  <si>
    <t>درصد اجرای PM</t>
  </si>
  <si>
    <t>میزان اجرای برنامه‌های PM نسبت به برنامه‌های تعریف‌شده</t>
  </si>
  <si>
    <t>Asset Data Update Rate</t>
  </si>
  <si>
    <t>درصد به‌روزرسانی اطلاعات تجهیزات</t>
  </si>
  <si>
    <t>نسبت به‌روزرسانی اطلاعات تجهیزات نسبت به تعداد کل تجهیزات تحت نظارت</t>
  </si>
  <si>
    <t>Participation &amp; Suggestions</t>
  </si>
  <si>
    <t>مشارکت در جلسات و پیشنهادات</t>
  </si>
  <si>
    <t>مشارکت در جلسات کاری و ارائه پیشنهاد برای بهبود فرآیندها</t>
  </si>
  <si>
    <t>Asset Coding &amp; Documentation Coverage</t>
  </si>
  <si>
    <t>پوشش کدگذاری و مستندسازی تجهیزات</t>
  </si>
  <si>
    <t>درصد تجهیزاتی که دارای کد، مشخصات، و مستندات کامل هستند</t>
  </si>
  <si>
    <t>SOP Completion Rate</t>
  </si>
  <si>
    <t>تعداد دستورالعمل‌های تدوین‌شده نسبت به تعداد برنامه‌ریزی‌شده</t>
  </si>
  <si>
    <t>میزان پیشرفت و اتمام پروژه‌های تعریف‌شده در بازه زمانی مشخص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</si>
  <si>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</si>
  <si>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</si>
  <si>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</si>
  <si>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آیدا آبسالان</t>
  </si>
  <si>
    <t>Report Accuracy</t>
  </si>
  <si>
    <t>دقت گزارشات</t>
  </si>
  <si>
    <t>(Number of Accurate Reports / Total Reports) * 100</t>
  </si>
  <si>
    <t>Timeliness of Report Submission</t>
  </si>
  <si>
    <t>موقعیت زمانی ارسال گزارشات</t>
  </si>
  <si>
    <t>(Number of Reports Submitted on Time / Total Reports) * 100</t>
  </si>
  <si>
    <t>Documentation and Procedure Completion</t>
  </si>
  <si>
    <t>تکمیل مستندات و دستورالعمل‌ها</t>
  </si>
  <si>
    <t>(Number of Procedures Completed / Total Procedures) * 100</t>
  </si>
  <si>
    <t>KPI Calculation Accuracy</t>
  </si>
  <si>
    <t>دقت محاسبه شاخص‌ها</t>
  </si>
  <si>
    <t>(Number of Accurate KPI Calculations / Total KPI Calculations) * 100</t>
  </si>
  <si>
    <t>Document Archiving Compliance</t>
  </si>
  <si>
    <t>رعایت اصول بایگانی مستندات</t>
  </si>
  <si>
    <t>(Number of Documents Archived Correctly / Total Documents) * 100</t>
  </si>
  <si>
    <t>Process Improvement Suggestions</t>
  </si>
  <si>
    <t>پیشنهادات بهبود فرآیند</t>
  </si>
  <si>
    <t>Number of Suggestions</t>
  </si>
  <si>
    <t>SAP Data Entry Accuracy</t>
  </si>
  <si>
    <t>دقت وارد کردن داده‌ها در SAP</t>
  </si>
  <si>
    <t>(Number of Correct SAP Entries / Total SAP Entries) * 100</t>
  </si>
  <si>
    <t>الهام احمدیان</t>
  </si>
  <si>
    <t>پگاه محمودی کوهی</t>
  </si>
  <si>
    <t>نیلوفر جباری نژاد</t>
  </si>
  <si>
    <t>سامان تکریمی</t>
  </si>
  <si>
    <t>علی رضا آل کثیر</t>
  </si>
  <si>
    <t>پویا پایور</t>
  </si>
  <si>
    <t>امین حمید نژاد</t>
  </si>
  <si>
    <t>رضا دیناروندی پور</t>
  </si>
  <si>
    <t>Monitoring Coverage</t>
  </si>
  <si>
    <t>پوشش پایش وضعیت تجهیزات</t>
  </si>
  <si>
    <t>(Number of Equipment Under Monitoring / Total Equipment) * 100</t>
  </si>
  <si>
    <t>Failure Detection Time</t>
  </si>
  <si>
    <t>زمان شناسایی خرابی‌ها</t>
  </si>
  <si>
    <t>Average Time to Detect Failure</t>
  </si>
  <si>
    <t>Preventive Maintenance Alerts</t>
  </si>
  <si>
    <t>هشدارهای پیشگیرانه به موقع</t>
  </si>
  <si>
    <t>(Number of Preventive Alerts Issued on Time / Total Preventive Alerts) * 100</t>
  </si>
  <si>
    <t>Accuracy of Monitoring</t>
  </si>
  <si>
    <t>دقت پایش وضعیت</t>
  </si>
  <si>
    <t>(Correctly Detected Conditions / Total Detected Conditions) * 100</t>
  </si>
  <si>
    <t>Condition-based Maintenance Initiation</t>
  </si>
  <si>
    <t>False Alarm Rate</t>
  </si>
  <si>
    <t>نرخ هشدارهای کاذب</t>
  </si>
  <si>
    <t>(Number of False Alarms / Total Alarms Issued) * 100</t>
  </si>
  <si>
    <t>3320</t>
  </si>
  <si>
    <t>مجتبی کرد</t>
  </si>
  <si>
    <t>تکنسین</t>
  </si>
  <si>
    <t>PM Execution Rate</t>
  </si>
  <si>
    <t>درصد اجرای تعمیرات پیشگیرانه</t>
  </si>
  <si>
    <t>درصد اجرای PM طبق برنامه زمان‌بندی</t>
  </si>
  <si>
    <t>نرخ خرابی‌های اضطراری</t>
  </si>
  <si>
    <t>درصد خرابی‌های اضطراری نسبت به کل خرابی‌ها</t>
  </si>
  <si>
    <t>Spare Parts Responsibility</t>
  </si>
  <si>
    <t>دقت در مصرف قطعات یدکی</t>
  </si>
  <si>
    <t>مصرف درست، گزارش‌دهی دقیق و بهینه‌سازی مصرف قطعات</t>
  </si>
  <si>
    <t>Safety Compliance</t>
  </si>
  <si>
    <t>رعایت نکات ایمنی</t>
  </si>
  <si>
    <t>نداشتن حادثه یا شبه‌حادثه در مدت ارزیابی</t>
  </si>
  <si>
    <t>Report Quality</t>
  </si>
  <si>
    <t>کیفیت گزارش‌نویسی</t>
  </si>
  <si>
    <t>وضوح، دقت، و جامعیت گزارش تعمیرات</t>
  </si>
  <si>
    <t>Participation in Projects</t>
  </si>
  <si>
    <t>مشارکت در پروژه‌های بهبود</t>
  </si>
  <si>
    <t>همکاری در پروژه‌های ارتقاء عملکرد یا کاهش خرابی</t>
  </si>
  <si>
    <t>سید رضا فاضلی اصل</t>
  </si>
  <si>
    <t>جلیل ثانی زاده</t>
  </si>
  <si>
    <t>سرشیفت</t>
  </si>
  <si>
    <t>میلاد سرخه</t>
  </si>
  <si>
    <t>کارشناس</t>
  </si>
  <si>
    <t>Inspection Execution Rate</t>
  </si>
  <si>
    <t>نرخ اجرای بازدیدهای دوره‌ای</t>
  </si>
  <si>
    <t>درصد بازدیدهای انجام‌شده نسبت به برنامه‌ریزی‌شده</t>
  </si>
  <si>
    <t>Switchgear Maintenance Accuracy</t>
  </si>
  <si>
    <t>دقت در نگهداری تجهیزات فشارقوی</t>
  </si>
  <si>
    <t>صحت عملکرد تجهیزات بعد از تعمیرات یا سرویس</t>
  </si>
  <si>
    <t>Emergency Downtime Rate</t>
  </si>
  <si>
    <t>نرخ قطعی اضطراری پست برق</t>
  </si>
  <si>
    <t>درصد خاموشی‌های اضطراری نسبت به کل زمان در دسترس</t>
  </si>
  <si>
    <t>Relay Testing Completion Rate</t>
  </si>
  <si>
    <t>نرخ تکمیل تست‌های رله و حفاظت</t>
  </si>
  <si>
    <t>درصد تست‌های رله‌های حفاظتی که طبق برنامه انجام شده‌اند</t>
  </si>
  <si>
    <t>PM Implementation Rate</t>
  </si>
  <si>
    <t>نسبت اجرای PM به برنامه‌ریزی‌های صورت‌گرفته</t>
  </si>
  <si>
    <t>Incident Reporting Accuracy</t>
  </si>
  <si>
    <t>دقت گزارش‌دهی وقایع</t>
  </si>
  <si>
    <t>صحت، کامل بودن و ارسال به‌موقع گزارشات وقایع مهم و حوادث احتمالی</t>
  </si>
  <si>
    <t>Safety Compliance in HV Works</t>
  </si>
  <si>
    <t>رعایت ایمنی در کارهای فشارقوی</t>
  </si>
  <si>
    <t>رعایت دقیق الزامات ایمنی در محیط‌های پست و تجهیزات فشارقوی</t>
  </si>
  <si>
    <t>Participation in Preventive Planning</t>
  </si>
  <si>
    <t>مشارکت در برنامه‌ریزی پیشگیرانه</t>
  </si>
  <si>
    <t>همکاری فعال در تهیه یا به‌روزرسانی برنامه‌های PM تجهیزات پست</t>
  </si>
  <si>
    <t>رضا زبیدی</t>
  </si>
  <si>
    <t>سید حسن فاضلی مطلق</t>
  </si>
  <si>
    <t>میلاد تیموری نیا</t>
  </si>
  <si>
    <t>محمد ذات محمد علی</t>
  </si>
  <si>
    <t>سعید داردان</t>
  </si>
  <si>
    <t>سرپرست</t>
  </si>
  <si>
    <t>صادق عرفانیان</t>
  </si>
  <si>
    <t>علی زمانی کیا</t>
  </si>
  <si>
    <t>صادق سرخه</t>
  </si>
  <si>
    <t>اکبر پاپی</t>
  </si>
  <si>
    <t>شعاع سعیدی</t>
  </si>
  <si>
    <t>علی علی زاده</t>
  </si>
  <si>
    <t>هادی کاوندی</t>
  </si>
  <si>
    <t>علی معلا</t>
  </si>
  <si>
    <t>عباس صفرپور</t>
  </si>
  <si>
    <t>5087</t>
  </si>
  <si>
    <t>محمد آویش</t>
  </si>
  <si>
    <t>محمد سعدی</t>
  </si>
  <si>
    <t>رامین رفعت پناه</t>
  </si>
  <si>
    <t>جواد منصوری</t>
  </si>
  <si>
    <t>علی خنیفر</t>
  </si>
  <si>
    <t>عیسی یعقوبی معین</t>
  </si>
  <si>
    <t>میثم اسد</t>
  </si>
  <si>
    <t>سجاد نیسی</t>
  </si>
  <si>
    <t>جاسم الهایی</t>
  </si>
  <si>
    <t>علی حاج بابایی</t>
  </si>
  <si>
    <t>علی کرم اله کعب</t>
  </si>
  <si>
    <t>سعید باقری کاکش</t>
  </si>
  <si>
    <t>رضا عطیه شنگری</t>
  </si>
  <si>
    <t>عظیم حمید</t>
  </si>
  <si>
    <t>رضا آیتی نیا</t>
  </si>
  <si>
    <t>جواد فرج اللهی</t>
  </si>
  <si>
    <t>3651</t>
  </si>
  <si>
    <t>یعقوب بدوی</t>
  </si>
  <si>
    <t>مجتبی یزدیان</t>
  </si>
  <si>
    <t>سرپرست موقت تراشکاری</t>
  </si>
  <si>
    <t xml:space="preserve">نرخ تکمیل کارهای انجام شده به درخواست های تعمیراتی </t>
  </si>
  <si>
    <t>نرخ تکمیل کارهای انجام شده به فرم های PM</t>
  </si>
  <si>
    <t>تعداد تخلفات ایمنی و حوادث</t>
  </si>
  <si>
    <t>احمد سرخه</t>
  </si>
  <si>
    <t>سرپرست فلزکاری</t>
  </si>
  <si>
    <t>مجید آل کثیر</t>
  </si>
  <si>
    <t>مسئول رنگ و سند بلاست</t>
  </si>
  <si>
    <t>مسعود  اورشم</t>
  </si>
  <si>
    <t>سید سعید هاشمی نیا</t>
  </si>
  <si>
    <t>فني و مهندسي-ماشین آلات</t>
  </si>
  <si>
    <t>Work Order Completion Rate</t>
  </si>
  <si>
    <t>نرخ تکمیل دستور کار</t>
  </si>
  <si>
    <t>درصد دستورکارهایی که طبق زمان‌بندی و با کیفیت انجام شده‌اند</t>
  </si>
  <si>
    <t>Repair Quality Score</t>
  </si>
  <si>
    <t>کیفیت تعمیرات</t>
  </si>
  <si>
    <t>ارزیابی کیفیت تعمیرات براساس دفعات برگشت و رضایت سرپرست</t>
  </si>
  <si>
    <t>Reporting Accuracy</t>
  </si>
  <si>
    <t>دقت گزارش‌نویسی</t>
  </si>
  <si>
    <t>دقت در گزارش‌دهی تعمیرات، ثبت قطعات، زمان اجرا و شفافیت توضیحات</t>
  </si>
  <si>
    <t>Downtime Response Time</t>
  </si>
  <si>
    <t>زمان واکنش به خرابی</t>
  </si>
  <si>
    <t>مدت زمانی که از اعلام خرابی تا شروع اقدام فنی می‌گذرد</t>
  </si>
  <si>
    <t>رعایت دستورالعمل‌های ایمنی حین تعمیرات</t>
  </si>
  <si>
    <t>Preventive Task Participation</t>
  </si>
  <si>
    <t>مشارکت در PM</t>
  </si>
  <si>
    <t>حضور و همکاری در اجرای برنامه‌های تعمیرات پیشگیرانه</t>
  </si>
  <si>
    <t>سید مسعود پالیزیان</t>
  </si>
  <si>
    <t>مهراب مهرآرا</t>
  </si>
  <si>
    <t>یزدان منصوری نیا</t>
  </si>
  <si>
    <t>سید محمدرضا فاضلی اصل</t>
  </si>
  <si>
    <t>مهدی عبدالخانی</t>
  </si>
  <si>
    <t>علی کیان فر</t>
  </si>
  <si>
    <t>3071</t>
  </si>
  <si>
    <t>عبداله بیلاوی</t>
  </si>
  <si>
    <t>5265</t>
  </si>
  <si>
    <t>کریم امیری اصل</t>
  </si>
  <si>
    <t>5266</t>
  </si>
  <si>
    <t>مسعود بابادی</t>
  </si>
  <si>
    <t>5288</t>
  </si>
  <si>
    <t>محمد شوشتری زاده</t>
  </si>
  <si>
    <t>5948</t>
  </si>
  <si>
    <t>دانیال خوراهه</t>
  </si>
  <si>
    <t>6128</t>
  </si>
  <si>
    <t>رحیم معتمدیان</t>
  </si>
  <si>
    <t>6129</t>
  </si>
  <si>
    <t>حسین محمد باقری</t>
  </si>
  <si>
    <t>6449</t>
  </si>
  <si>
    <t>جاسم آل کثیری</t>
  </si>
  <si>
    <t>6455</t>
  </si>
  <si>
    <t>سعید دریکوندی</t>
  </si>
  <si>
    <t>6485</t>
  </si>
  <si>
    <t>علی رضا دیناروند</t>
  </si>
  <si>
    <t>درصد صحت کارهای انجام شده</t>
  </si>
  <si>
    <t>رسول آل کثیر</t>
  </si>
  <si>
    <t>قدرت پنهانی</t>
  </si>
  <si>
    <t>امیر نورعلی زاده</t>
  </si>
  <si>
    <t>حسن جاویدان</t>
  </si>
  <si>
    <t>محمد جدیدی فیاض</t>
  </si>
  <si>
    <t>مسئول</t>
  </si>
  <si>
    <t>تعمیرکار</t>
  </si>
  <si>
    <t>حبیب ذبیح</t>
  </si>
  <si>
    <t>سعید شریف</t>
  </si>
  <si>
    <t>Q2</t>
  </si>
  <si>
    <t>محمد فرج اله چعب</t>
  </si>
  <si>
    <t>رضا عرفانیان</t>
  </si>
  <si>
    <t>ابراهیم بطل</t>
  </si>
  <si>
    <t>تراشکار</t>
  </si>
  <si>
    <t>مهدی رحیمی</t>
  </si>
  <si>
    <t>صادق مسحنه</t>
  </si>
  <si>
    <t>فلزکار</t>
  </si>
  <si>
    <t>کورش بنیادی</t>
  </si>
  <si>
    <t>مهدی آل کثیر</t>
  </si>
  <si>
    <t>منصور احمدی</t>
  </si>
  <si>
    <t>محسن اورامه</t>
  </si>
  <si>
    <t>مسلم رشیدی کوچکی</t>
  </si>
  <si>
    <t>مصطفی عبدلی بیاتیانی</t>
  </si>
  <si>
    <t>سجاد فضلی</t>
  </si>
  <si>
    <t>مهدی چنانی</t>
  </si>
  <si>
    <t>قاسم صادقی فرد</t>
  </si>
  <si>
    <t>رنگ کار</t>
  </si>
  <si>
    <t>علی هنری صرامی</t>
  </si>
  <si>
    <t>محمد رضا پناهی</t>
  </si>
  <si>
    <t>علی حمید</t>
  </si>
  <si>
    <t>6563</t>
  </si>
  <si>
    <t>یوسف بهمن</t>
  </si>
  <si>
    <t>6532</t>
  </si>
  <si>
    <t>صادق آل کثیر</t>
  </si>
  <si>
    <t>6549</t>
  </si>
  <si>
    <t>صادق بدویان</t>
  </si>
  <si>
    <t>6551</t>
  </si>
  <si>
    <t>نرخ کیفیت سیم‌پیچی</t>
  </si>
  <si>
    <t>Winding Quality Rate</t>
  </si>
  <si>
    <t>Winding Quality Rate = (Number of Accepted Windings / Total Windings Produced) ×100</t>
  </si>
  <si>
    <t>نرخ تحویل به‌موقع به واحدهای بعدی</t>
  </si>
  <si>
    <t>On-Time Delivery Rate</t>
  </si>
  <si>
    <t>OTD = (Number of Deliveries Made on Time / Total Deliveries) × 100</t>
  </si>
  <si>
    <t xml:space="preserve"> میانگین زمان سیم‌پیچی هر موتور</t>
  </si>
  <si>
    <t>Average Winding Time per Motor</t>
  </si>
  <si>
    <t>Total Time Spent on Winding / Number of Motors Wound</t>
  </si>
  <si>
    <t>فني و مهندسي-تاسیسات عمومی</t>
  </si>
  <si>
    <t>Accuracy Rate of Completed Tasks</t>
  </si>
  <si>
    <t>Accuracy Rate (%) = 100 × (1 - (Number of Returned Tasks / Total Number of Tasks))</t>
  </si>
  <si>
    <t>Preventive Maintenance Completion Rate</t>
  </si>
  <si>
    <t>Spare Parts Utilization Accuracy</t>
  </si>
  <si>
    <t>Number of Safety Violations and Incidents</t>
  </si>
  <si>
    <t>Maintenance Report Quality (MRQ)</t>
  </si>
  <si>
    <t>مهدی زاده حسین</t>
  </si>
  <si>
    <t>مسعود نوحه گری</t>
  </si>
  <si>
    <t>علی معتمدی فر</t>
  </si>
  <si>
    <t>فرشید رضایی</t>
  </si>
  <si>
    <t>محسن جانعلی زاده</t>
  </si>
  <si>
    <t>ماجد چنانه</t>
  </si>
  <si>
    <t>سجاد وکیلی</t>
  </si>
  <si>
    <t>مهدی مرادیان</t>
  </si>
  <si>
    <t>کریم چنانی کشاورز</t>
  </si>
  <si>
    <t>امین نامداری هرموشی</t>
  </si>
  <si>
    <t>محمد خانی پور</t>
  </si>
  <si>
    <t>رضا شهبازی</t>
  </si>
  <si>
    <t>مهرداد نجارزاده</t>
  </si>
  <si>
    <t>محمد نامداری</t>
  </si>
  <si>
    <t>امیر اعظمی</t>
  </si>
  <si>
    <t>محمدرضا شیرآلی نژاد</t>
  </si>
  <si>
    <t>صالح فلاح</t>
  </si>
  <si>
    <t>وحید عوض زاده</t>
  </si>
  <si>
    <t>کیانوش خلیل زاده</t>
  </si>
  <si>
    <t>حامد اعتمادی فر</t>
  </si>
  <si>
    <t>صادق صالحی عبدالخانی</t>
  </si>
  <si>
    <t>امید کرم سراجی</t>
  </si>
  <si>
    <t>عباس حیدری زاده</t>
  </si>
  <si>
    <t>هادی زمانی زاده</t>
  </si>
  <si>
    <t>مصطفی پورعسگری</t>
  </si>
  <si>
    <t>امین عامری</t>
  </si>
  <si>
    <t>علی ساتکین</t>
  </si>
  <si>
    <t>عادل جمالی</t>
  </si>
  <si>
    <t>امیرعباس فرشادی</t>
  </si>
  <si>
    <t>محمد راشدی</t>
  </si>
  <si>
    <t>حمید رئوفی اصل</t>
  </si>
  <si>
    <t>5332</t>
  </si>
  <si>
    <t>سعید ایستان</t>
  </si>
  <si>
    <t>5444</t>
  </si>
  <si>
    <t>قاسم منجزی</t>
  </si>
  <si>
    <t>5887</t>
  </si>
  <si>
    <t>اسماعیل بدیلی</t>
  </si>
  <si>
    <t>3835</t>
  </si>
  <si>
    <t>میثم دیناروند</t>
  </si>
  <si>
    <t>6069</t>
  </si>
  <si>
    <t>آرش مکوندی</t>
  </si>
  <si>
    <t>6095</t>
  </si>
  <si>
    <t>عبدالرضا عبدالخانی</t>
  </si>
  <si>
    <t>6407</t>
  </si>
  <si>
    <t>رضا جهانگیری فرد</t>
  </si>
  <si>
    <t>6559</t>
  </si>
  <si>
    <t>رشید حیدری آل کثیر</t>
  </si>
  <si>
    <t>6103</t>
  </si>
  <si>
    <t>عادل محمدی فر</t>
  </si>
  <si>
    <t>6247</t>
  </si>
  <si>
    <t>حسین حمزاویان</t>
  </si>
  <si>
    <t>6301</t>
  </si>
  <si>
    <t>مسلم طالبی</t>
  </si>
  <si>
    <t>6531</t>
  </si>
  <si>
    <t>علی مسحنه</t>
  </si>
  <si>
    <t>6545</t>
  </si>
  <si>
    <t>مهران الماسی فر</t>
  </si>
  <si>
    <t>هادی کرد</t>
  </si>
  <si>
    <t>3064</t>
  </si>
  <si>
    <t>3073</t>
  </si>
  <si>
    <t>مدیر فنی و مهندسی</t>
  </si>
  <si>
    <t>Machine Availability time for production should be &gt; 91% of total time in a month (Part of OEE)</t>
  </si>
  <si>
    <t>Availability = Run Time / Planned Production Time
که در آن:
Run Time = Planned Production Time − Stop Time
Planned Production Time = Shift Length − Planned Maintenance − No Materials − No Production Plan − Power Outage − Public Holiday − Breaks</t>
  </si>
  <si>
    <t>Completion Rate of Plant Maintenance Job</t>
  </si>
  <si>
    <t>(Total number of completed activities in maintenance / Total number of activities required in maintenance)*100</t>
  </si>
  <si>
    <t>Maintenance Cost as per budget or within YTD Average cost including current month</t>
  </si>
  <si>
    <t>Maintenance Cost Reduction=((Previous Month Maintenance Cost-Current Month Maintenance Cost))/(Previous Month Maintenance Cost)*100</t>
  </si>
  <si>
    <t>Safety - Accident service rate, Target Zero Manhour Loss</t>
  </si>
  <si>
    <t>Accident Sick Leave Rate (%) = ((Number of Employees on Safety-related Sick Leave / Total Employees) × 100)-100</t>
  </si>
  <si>
    <t>Spare Parts Utilization (%) = (Number of Used Spare Parts from Inventory) / (Total Purchased Spare Parts) × 100</t>
  </si>
  <si>
    <t>Number of recurring downtime &lt; 5 % of total down time</t>
  </si>
  <si>
    <t>Rework Rate=(Number of Repeat Repairs)/(Total Repairs)*100</t>
  </si>
  <si>
    <t>5595</t>
  </si>
  <si>
    <t>رئیس</t>
  </si>
  <si>
    <t>فنی و مهندسی-برق و ابزاردقیق فاز 1</t>
  </si>
  <si>
    <t>فنی و مهندسی-برق و ابزاردقیق فاز 2</t>
  </si>
  <si>
    <t>Maintenance Cost Reduction</t>
  </si>
  <si>
    <t>کاهش هزینه ‌های نگهداری و تعمیرات</t>
  </si>
  <si>
    <t>ایمنی - نرخ حادثه، هدف صفر خسارت ساعت‌های کاری</t>
  </si>
  <si>
    <t>Number of Recurring Downtime &lt; 5% of Total Downtime</t>
  </si>
  <si>
    <t>تعداد توقف‌های مکرر کمتر از 5% از کل توقف‌ها</t>
  </si>
  <si>
    <t>Breakdown Reduction</t>
  </si>
  <si>
    <t xml:space="preserve">کاهش خرابی‌های اضطراری </t>
  </si>
  <si>
    <t>Breakdown Reduction (%) = 
((Breakdowns in Previous Quarter – Breakdowns in Current Quarter) / Breakdowns in Previous Quarter) × 100</t>
  </si>
  <si>
    <t>Maintenance Report Quality-MRQ</t>
  </si>
  <si>
    <t xml:space="preserve">کیفیت گزارش‌های نگهداری و تعمیرات </t>
  </si>
  <si>
    <t>MRQ=Number of reports meeting quality standards/Total number of maintenance reports</t>
  </si>
  <si>
    <t>Participation Rate</t>
  </si>
  <si>
    <t xml:space="preserve">نرخ مشارکت در جلسات و ارائه پیشنهادات بهبود </t>
  </si>
  <si>
    <t>Participation Rate=Number of Suggestions Given/Total Number of Meetings*100</t>
  </si>
  <si>
    <t>Production Line Management Dashboard (Automation)</t>
  </si>
  <si>
    <t>داشبورد مدیریت خطوط تولید(اتوماسیون)</t>
  </si>
  <si>
    <t>Installation Project of the Main Building Transformer</t>
  </si>
  <si>
    <t xml:space="preserve">پروژه نصب ترانس ساختمان مرکزی </t>
  </si>
  <si>
    <t>تغییر برنامه رزین از INTACH به TIA</t>
  </si>
  <si>
    <t>Completion Rate of Planned Maintenance Job (PM) - Beginning of month</t>
  </si>
  <si>
    <t>نسبت تکمیل کارهای نگهداری برنامه‌ریزی‌شده (PM) - آغاز ماه</t>
  </si>
  <si>
    <t>(Total number of completed activities in planned maintenance / Total number of activities required in planned maintenance)*100</t>
  </si>
  <si>
    <t>Timely Completion of Ad-Hoc Maintenance Tasks (unplanned) - During the month</t>
  </si>
  <si>
    <t>تکمیل به‌موقع وظایف موردی (برنامه ریزی نشده) - در طول ماه</t>
  </si>
  <si>
    <t>(Total number of completed activities in unplanned maintenance / Total number of activities required in unplanned maintenance)*100</t>
  </si>
  <si>
    <t>Spare Parts Utilization</t>
  </si>
  <si>
    <t>بهینه‌سازی مصرف قطعات یدکی</t>
  </si>
  <si>
    <t>3803</t>
  </si>
  <si>
    <t>صادق ظهیری</t>
  </si>
  <si>
    <t>رئیس موقت</t>
  </si>
  <si>
    <t>فنی و مهندسی-تاسیسات فاز 1</t>
  </si>
  <si>
    <t>فنی و مهندسی-تاسیسات فاز 2</t>
  </si>
  <si>
    <t>Central Cooling System for Production Halls– Phase 1</t>
  </si>
  <si>
    <t>سرمایش مرکزی سالن های تولید فاز 1</t>
  </si>
  <si>
    <t>3652</t>
  </si>
  <si>
    <t>فنی و مهندسی-مکانیک فاز 1</t>
  </si>
  <si>
    <t>5217</t>
  </si>
  <si>
    <t>Commissioning of Vacuum Reserve System for the Melamine Production Line</t>
  </si>
  <si>
    <t>Improvement of Melamine Cutter System</t>
  </si>
  <si>
    <t>تعویض رولیک های هایگلاس</t>
  </si>
  <si>
    <t>5927</t>
  </si>
  <si>
    <t>5394</t>
  </si>
  <si>
    <t>فنی و مهندسی-مکانیک عمومی</t>
  </si>
  <si>
    <t>علی اصغر کلانتری للری</t>
  </si>
  <si>
    <t>5546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</si>
  <si>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</si>
  <si>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</si>
  <si>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</si>
  <si>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</si>
  <si>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</si>
  <si>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</si>
  <si>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</si>
  <si>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</si>
  <si>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</si>
  <si>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</si>
  <si>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</si>
  <si>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</si>
  <si>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</si>
  <si>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</si>
  <si>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Completion Rate of Procedures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</si>
  <si>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</si>
  <si>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</si>
  <si>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</si>
  <si>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</si>
  <si>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>Implementation of SAP Software According to the SAP Team's Planning</t>
  </si>
  <si>
    <t>اجرای نرم افزار SAP مطابق برنامه ریزی تیم SAP</t>
  </si>
  <si>
    <t>Implementation of ISO 9001 Based on Consultant Recommendations</t>
  </si>
  <si>
    <t>اجرای ISO9001  مطابق نظر مشاور</t>
  </si>
  <si>
    <t>جواد فرج الهی</t>
  </si>
  <si>
    <t>3686</t>
  </si>
  <si>
    <t>3527</t>
  </si>
  <si>
    <t>Equipment Availability Rate</t>
  </si>
  <si>
    <t>نرخ آماده‌به‌کاری ماشین‌آلات</t>
  </si>
  <si>
    <t>درصد زمانی که ماشین‌آلات در دسترس و قابل بهره‌برداری هستند</t>
  </si>
  <si>
    <t>Preventive Maintenance Compliance</t>
  </si>
  <si>
    <t>Maintenance Budget Deviation</t>
  </si>
  <si>
    <t>انحراف هزینه از بودجه ماشین‌آلات</t>
  </si>
  <si>
    <t>اختلاف هزینه واقعی نگهداری و تعمیر با بودجه مصوب</t>
  </si>
  <si>
    <t xml:space="preserve"> کیفیت گزارش‌های نگهداری و تعمیرات</t>
  </si>
  <si>
    <t>Safety Incident Rate</t>
  </si>
  <si>
    <t>نرخ حوادث ایمنی</t>
  </si>
  <si>
    <t>فنی و مهندسی-طراحی مهندسی</t>
  </si>
  <si>
    <t>فنی و مهندسی-مکانیک فاز 2</t>
  </si>
  <si>
    <t>فنی و مهندسی-ماشین آلات</t>
  </si>
  <si>
    <t>زمان در دسترس بودن ماشین برای تولید باید بیش از ۹۱% کل زمان در ماه باشد (بخشی از OEE)</t>
  </si>
  <si>
    <t>نرخ تکمیل شدن کارهای تعمیرات و نگهداری کارخانه</t>
  </si>
  <si>
    <t>هزینه نگهداری و تعمیرات مطابق با بودجه یا در محدوده میانگین هزینه سال تا به امروز (YTD) شامل ماه جاری</t>
  </si>
  <si>
    <t>ایمنی - نرخ خدمات حوادث، هدف، از دست دادن صفر نفر-ساعت (Zero Manhour Loss)</t>
  </si>
  <si>
    <t>تعداد خرابی‌های تکرارشونده کمتر از ۵% کل زمان از کار افتادگی</t>
  </si>
  <si>
    <t>Spare Parts Utilization Optimization</t>
  </si>
  <si>
    <t>Replacement of High-Gloss Rollers</t>
  </si>
  <si>
    <t>Resin Program Change from INTACH to TIA</t>
  </si>
  <si>
    <t>Trasmec - Extra Power Unit</t>
  </si>
  <si>
    <t>Pneumatic System (Transfer Reject), second hand bag filter</t>
  </si>
  <si>
    <t>Stationary Grapples</t>
  </si>
  <si>
    <t>Modify / New Belt Scale</t>
  </si>
  <si>
    <t>Fixing Drain Issues - Utilities</t>
  </si>
  <si>
    <t>Other Projects-Electrical tower</t>
  </si>
  <si>
    <t>سیستم پنوماتیک (انتقال ضایعات)، فیلتر کیسه ای دست دوم</t>
  </si>
  <si>
    <t>اصلاح / ترازوی تسمه ای جدید</t>
  </si>
  <si>
    <t>نشتی آب چیلر</t>
  </si>
  <si>
    <t>رفع مشکلات زهکشی - تاسیسات</t>
  </si>
  <si>
    <t>پروژه های دیگر - صاعقه گیر</t>
  </si>
  <si>
    <t>تراسمک - پاور یونیت اضافی</t>
  </si>
  <si>
    <t>چنگک ثابت</t>
  </si>
  <si>
    <t xml:space="preserve">اجرای کدینگ </t>
  </si>
  <si>
    <t xml:space="preserve">Implementation of Coding </t>
  </si>
  <si>
    <t>6533</t>
  </si>
  <si>
    <t>امین سعدی آل کثیر</t>
  </si>
  <si>
    <t>قاسم کعب</t>
  </si>
  <si>
    <t>محمدی غلامعلی مفتون</t>
  </si>
  <si>
    <t>5890</t>
  </si>
  <si>
    <t>محمدرضا چشمه خاور</t>
  </si>
  <si>
    <t>5918</t>
  </si>
  <si>
    <t>حسین منصوری</t>
  </si>
  <si>
    <t>5819</t>
  </si>
  <si>
    <t>محمد حمزه</t>
  </si>
  <si>
    <t>6068</t>
  </si>
  <si>
    <t>فنی و مهندسی-نت</t>
  </si>
  <si>
    <t>رضا خادمی</t>
  </si>
  <si>
    <t>رضا نوروزی</t>
  </si>
  <si>
    <t>احمدرضا سلیمی فر</t>
  </si>
  <si>
    <t xml:space="preserve"> Rakesh Vadlamudi</t>
  </si>
  <si>
    <t>نسبت تکمیل کارهای نگهداری برنامه‌ریزی‌شده (PM)</t>
  </si>
  <si>
    <t>تکمیل به‌موقع وظایف موردی (برنامه ریزی نشده)</t>
  </si>
  <si>
    <t>Completion Rate of Planned Maintenance Job (PM)</t>
  </si>
  <si>
    <t>Timely Completion of Ad-Hoc Maintenance Tasks (unplanned)</t>
  </si>
  <si>
    <t>ساخت درام چسب</t>
  </si>
  <si>
    <t>مانیتورینگ اعلام حریق</t>
  </si>
  <si>
    <t>اصلاح سیستم کاتر ملامینه 2</t>
  </si>
  <si>
    <t>ساخت درام چسب هایگلاس</t>
  </si>
  <si>
    <t>تغییر ساختار پل اول خط ملامینه و حذف سپراتور</t>
  </si>
  <si>
    <t>Glue Drum Fabrication</t>
  </si>
  <si>
    <t>Fire Alarm Monitoring</t>
  </si>
  <si>
    <t>Modification of the First Bridge Structure of the Melamine Line and Removal of the Separator</t>
  </si>
  <si>
    <t>Production Hall Ventilation</t>
  </si>
  <si>
    <t>Scale for Yard</t>
  </si>
  <si>
    <t>Sifter Reject Handling</t>
  </si>
  <si>
    <t>Resin plant raw Material Handling</t>
  </si>
  <si>
    <t>باسکول برای یارد</t>
  </si>
  <si>
    <t>انتقال مواد خام رزین سازی</t>
  </si>
  <si>
    <t>انتقال ریجکتی های زیفتر</t>
  </si>
  <si>
    <t>اجرای پایپینگ هوا فشرده از سازه داینا اسکرین به سازه ریچیپر</t>
  </si>
  <si>
    <t>اجرای پلتفرم های مورد نیاز خطوط تولید</t>
  </si>
  <si>
    <t>ساخت ورق بین پلیت کانوایر و چین کانوایر</t>
  </si>
  <si>
    <t>ساخت Blow Line مطابق با طراحی جدید</t>
  </si>
  <si>
    <t>اصلاح شوت های خط ترسمک</t>
  </si>
  <si>
    <t>ساخت اتاق چیلر جذبی</t>
  </si>
  <si>
    <t>اصلاح نشتی اکسپنشن های فرمالین</t>
  </si>
  <si>
    <t>Q3</t>
  </si>
  <si>
    <t>3065</t>
  </si>
  <si>
    <t>3066</t>
  </si>
  <si>
    <t>3067</t>
  </si>
  <si>
    <t>3068</t>
  </si>
  <si>
    <t>3069</t>
  </si>
  <si>
    <t>3070</t>
  </si>
  <si>
    <t>نصب وکیوم های رزرو خط تولید ملامینه</t>
  </si>
  <si>
    <t>حامد حاجی حسین زاده</t>
  </si>
  <si>
    <t>کمال چلیک</t>
  </si>
  <si>
    <t>Execution of compressed air piping from the Dyna Screen structure to the Rechipper structure</t>
  </si>
  <si>
    <t>Installation of required platforms for production lines</t>
  </si>
  <si>
    <t>Fabrication of a plate between the Plate Conveyor and the Chain Conveyor</t>
  </si>
  <si>
    <t>Construction of the Blow Line according to the new design</t>
  </si>
  <si>
    <t>Modification of the Trasmec line chutes</t>
  </si>
  <si>
    <t>Construction of the absorption chiller room</t>
  </si>
  <si>
    <t>Repair of leaks in the formalin expansion joints</t>
  </si>
  <si>
    <t>تهویه سالن تولید</t>
  </si>
  <si>
    <t>بررسی و مدیریت قطعات یدکی خطوط تولید کارخانه</t>
  </si>
  <si>
    <t>Review and management of spare parts for factory production lines</t>
  </si>
  <si>
    <t>ارزیابی کیفیت تحلیل‌ها و گزارش‌های تحلیلی ارائه‌شده به مدیریت</t>
  </si>
  <si>
    <t>Surface Preparation Compliance Rate</t>
  </si>
  <si>
    <t>درصد انطباق آماده‌سازی سطح با استاندارد</t>
  </si>
  <si>
    <t>کنترل کیفیت فرآیند سندبلاست طبق استانداردهای فنی (SA2.5 و...)</t>
  </si>
  <si>
    <t>Paint Quality Rework Rate</t>
  </si>
  <si>
    <t>درصد بازکاری رنگ</t>
  </si>
  <si>
    <t>ارزیابی کیفیت نهایی رنگ و دقت در اجرای مراحل رنگ‌آمیزی</t>
  </si>
  <si>
    <t>water cooling tower (compressors-refiner chiller-filters)</t>
  </si>
  <si>
    <t>برق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</si>
</sst>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name val="B Nazanin"/>
      <charset val="178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  <font>
      <b/>
      <sz val="8"/>
      <color theme="0"/>
      <name val="B Titr"/>
      <charset val="178"/>
    </font>
    <font>
      <sz val="8"/>
      <name val="Calibri"/>
      <family val="2"/>
      <scheme val="minor"/>
    </font>
    <font>
      <sz val="14"/>
      <name val="B Nazanin"/>
      <charset val="178"/>
    </font>
    <font>
      <sz val="10"/>
      <color rgb="FF000000"/>
      <name val="Calibri"/>
      <family val="2"/>
      <scheme val="minor"/>
    </font>
    <font>
      <sz val="10"/>
      <name val="B Nazanin"/>
      <charset val="178"/>
    </font>
    <font>
      <b/>
      <sz val="8"/>
      <name val="Times New Roman"/>
      <family val="1"/>
    </font>
    <font>
      <sz val="8"/>
      <color rgb="FF000000"/>
      <name val="B Nazanin"/>
      <charset val="178"/>
    </font>
    <font>
      <sz val="8"/>
      <color rgb="FF000000"/>
      <name val="Times New Roman"/>
      <family val="1"/>
    </font>
    <font>
      <sz val="12"/>
      <name val="B Nazanin"/>
      <charset val="178"/>
    </font>
    <font>
      <sz val="10"/>
      <name val="Times New Roman"/>
      <family val="1"/>
    </font>
    <font>
      <sz val="1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9E7FD"/>
      </patternFill>
    </fill>
    <fill>
      <patternFill patternType="solid">
        <fgColor theme="4" tint="0.79998168889431442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</cellStyleXfs>
  <cellXfs count="3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9" fontId="3" fillId="2" borderId="1" xfId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9" fontId="4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9" fontId="13" fillId="2" borderId="1" xfId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>
      <alignment horizontal="center" vertical="center" wrapText="1"/>
    </xf>
    <xf numFmtId="0" fontId="14" fillId="2" borderId="1" xfId="3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 wrapText="1"/>
    </xf>
    <xf numFmtId="9" fontId="14" fillId="2" borderId="1" xfId="2" applyFont="1" applyFill="1" applyBorder="1" applyAlignment="1">
      <alignment horizontal="center" vertical="center" wrapText="1"/>
    </xf>
    <xf numFmtId="9" fontId="15" fillId="2" borderId="1" xfId="2" applyFont="1" applyFill="1" applyBorder="1" applyAlignment="1">
      <alignment horizontal="center" vertical="center"/>
    </xf>
    <xf numFmtId="9" fontId="15" fillId="0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 wrapText="1"/>
    </xf>
    <xf numFmtId="49" fontId="5" fillId="0" borderId="1" xfId="3" applyNumberFormat="1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9" fontId="15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shrinkToFit="1"/>
    </xf>
    <xf numFmtId="2" fontId="9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15" fillId="2" borderId="1" xfId="2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shrinkToFit="1"/>
    </xf>
    <xf numFmtId="9" fontId="4" fillId="2" borderId="6" xfId="1" applyFont="1" applyFill="1" applyBorder="1" applyAlignment="1">
      <alignment horizontal="center" vertical="center"/>
    </xf>
    <xf numFmtId="9" fontId="3" fillId="2" borderId="6" xfId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/>
    </xf>
    <xf numFmtId="9" fontId="4" fillId="2" borderId="7" xfId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9" fontId="4" fillId="2" borderId="5" xfId="1" applyFont="1" applyFill="1" applyBorder="1" applyAlignment="1">
      <alignment horizontal="center" vertical="center"/>
    </xf>
    <xf numFmtId="49" fontId="5" fillId="2" borderId="5" xfId="3" applyNumberFormat="1" applyFont="1" applyFill="1" applyBorder="1" applyAlignment="1">
      <alignment horizontal="center" vertical="center" wrapText="1"/>
    </xf>
    <xf numFmtId="9" fontId="15" fillId="2" borderId="5" xfId="1" applyFont="1" applyFill="1" applyBorder="1" applyAlignment="1">
      <alignment horizontal="center" vertical="center"/>
    </xf>
    <xf numFmtId="9" fontId="15" fillId="2" borderId="5" xfId="2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49" fontId="5" fillId="0" borderId="6" xfId="3" applyNumberFormat="1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9" fontId="15" fillId="0" borderId="6" xfId="2" applyFont="1" applyFill="1" applyBorder="1" applyAlignment="1">
      <alignment horizontal="center" vertical="center"/>
    </xf>
    <xf numFmtId="1" fontId="4" fillId="0" borderId="6" xfId="1" applyNumberFormat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49" fontId="5" fillId="2" borderId="7" xfId="3" applyNumberFormat="1" applyFont="1" applyFill="1" applyBorder="1" applyAlignment="1">
      <alignment horizontal="center" vertical="center" wrapText="1"/>
    </xf>
    <xf numFmtId="0" fontId="14" fillId="2" borderId="7" xfId="3" applyFont="1" applyFill="1" applyBorder="1" applyAlignment="1">
      <alignment horizontal="center" vertical="center" wrapText="1"/>
    </xf>
    <xf numFmtId="9" fontId="15" fillId="2" borderId="7" xfId="2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14" fillId="2" borderId="5" xfId="3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1" fontId="4" fillId="2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3" fillId="0" borderId="6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" fontId="3" fillId="2" borderId="6" xfId="1" applyNumberFormat="1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shrinkToFit="1"/>
    </xf>
    <xf numFmtId="49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shrinkToFit="1"/>
    </xf>
    <xf numFmtId="2" fontId="9" fillId="2" borderId="7" xfId="0" applyNumberFormat="1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9" fontId="4" fillId="2" borderId="7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9" fontId="13" fillId="0" borderId="6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9" fontId="15" fillId="0" borderId="8" xfId="2" applyFont="1" applyFill="1" applyBorder="1" applyAlignment="1">
      <alignment horizontal="center" vertical="center"/>
    </xf>
    <xf numFmtId="9" fontId="4" fillId="0" borderId="8" xfId="1" applyFont="1" applyFill="1" applyBorder="1" applyAlignment="1">
      <alignment horizontal="center" vertical="center"/>
    </xf>
    <xf numFmtId="49" fontId="5" fillId="0" borderId="8" xfId="3" applyNumberFormat="1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  <xf numFmtId="1" fontId="7" fillId="2" borderId="10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2" borderId="12" xfId="0" applyNumberFormat="1" applyFont="1" applyFill="1" applyBorder="1" applyAlignment="1">
      <alignment horizontal="center" vertical="center"/>
    </xf>
    <xf numFmtId="1" fontId="7" fillId="2" borderId="13" xfId="0" applyNumberFormat="1" applyFont="1" applyFill="1" applyBorder="1" applyAlignment="1">
      <alignment horizontal="center" vertical="center"/>
    </xf>
    <xf numFmtId="9" fontId="4" fillId="0" borderId="15" xfId="1" applyFont="1" applyFill="1" applyBorder="1" applyAlignment="1">
      <alignment horizontal="center" vertical="center"/>
    </xf>
    <xf numFmtId="9" fontId="3" fillId="0" borderId="15" xfId="1" applyFont="1" applyFill="1" applyBorder="1" applyAlignment="1">
      <alignment horizontal="center" vertical="center"/>
    </xf>
    <xf numFmtId="9" fontId="3" fillId="0" borderId="16" xfId="1" applyFont="1" applyFill="1" applyBorder="1" applyAlignment="1">
      <alignment horizontal="center" vertical="center"/>
    </xf>
    <xf numFmtId="9" fontId="3" fillId="0" borderId="17" xfId="1" applyFont="1" applyFill="1" applyBorder="1" applyAlignment="1">
      <alignment horizontal="center" vertical="center"/>
    </xf>
    <xf numFmtId="9" fontId="4" fillId="0" borderId="16" xfId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9" fontId="2" fillId="3" borderId="3" xfId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9" fontId="2" fillId="4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9" fontId="2" fillId="3" borderId="4" xfId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9" fontId="3" fillId="0" borderId="8" xfId="1" applyFont="1" applyFill="1" applyBorder="1" applyAlignment="1">
      <alignment horizontal="center" vertical="center"/>
    </xf>
    <xf numFmtId="1" fontId="3" fillId="0" borderId="8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5" xfId="1" applyNumberFormat="1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9" fontId="15" fillId="2" borderId="7" xfId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  <xf numFmtId="9" fontId="4" fillId="0" borderId="20" xfId="1" applyFont="1" applyFill="1" applyBorder="1" applyAlignment="1">
      <alignment horizontal="center" vertical="center"/>
    </xf>
    <xf numFmtId="9" fontId="3" fillId="0" borderId="20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/>
    </xf>
    <xf numFmtId="9" fontId="3" fillId="0" borderId="24" xfId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9" fontId="4" fillId="2" borderId="19" xfId="1" applyFont="1" applyFill="1" applyBorder="1" applyAlignment="1">
      <alignment horizontal="center" vertical="center"/>
    </xf>
    <xf numFmtId="9" fontId="4" fillId="2" borderId="20" xfId="1" applyFont="1" applyFill="1" applyBorder="1" applyAlignment="1">
      <alignment horizontal="center" vertical="center"/>
    </xf>
    <xf numFmtId="9" fontId="3" fillId="2" borderId="20" xfId="1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9" fontId="3" fillId="2" borderId="15" xfId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/>
    </xf>
    <xf numFmtId="9" fontId="4" fillId="2" borderId="15" xfId="1" applyFont="1" applyFill="1" applyBorder="1" applyAlignment="1">
      <alignment horizontal="center" vertical="center"/>
    </xf>
    <xf numFmtId="9" fontId="3" fillId="2" borderId="16" xfId="1" applyFont="1" applyFill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" fontId="4" fillId="0" borderId="8" xfId="1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7" fillId="5" borderId="22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/>
    </xf>
    <xf numFmtId="9" fontId="4" fillId="5" borderId="1" xfId="1" applyFont="1" applyFill="1" applyBorder="1" applyAlignment="1">
      <alignment horizontal="center" vertical="center"/>
    </xf>
    <xf numFmtId="9" fontId="15" fillId="5" borderId="1" xfId="2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1" fontId="4" fillId="5" borderId="1" xfId="1" applyNumberFormat="1" applyFont="1" applyFill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9" fontId="3" fillId="5" borderId="20" xfId="1" applyFont="1" applyFill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4" fillId="0" borderId="20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4" fillId="5" borderId="20" xfId="1" applyFont="1" applyFill="1" applyBorder="1" applyAlignment="1">
      <alignment horizontal="center" vertical="center"/>
    </xf>
    <xf numFmtId="9" fontId="4" fillId="0" borderId="6" xfId="1" applyFont="1" applyBorder="1" applyAlignment="1">
      <alignment horizontal="center" vertical="center"/>
    </xf>
    <xf numFmtId="9" fontId="15" fillId="0" borderId="6" xfId="2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1" fontId="7" fillId="2" borderId="26" xfId="0" applyNumberFormat="1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center" vertical="center"/>
    </xf>
    <xf numFmtId="49" fontId="7" fillId="2" borderId="27" xfId="0" applyNumberFormat="1" applyFont="1" applyFill="1" applyBorder="1" applyAlignment="1">
      <alignment horizontal="center" vertical="center"/>
    </xf>
    <xf numFmtId="49" fontId="9" fillId="2" borderId="27" xfId="0" applyNumberFormat="1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" vertical="center"/>
    </xf>
    <xf numFmtId="9" fontId="4" fillId="2" borderId="27" xfId="1" applyFont="1" applyFill="1" applyBorder="1" applyAlignment="1">
      <alignment horizontal="center" vertical="center"/>
    </xf>
    <xf numFmtId="9" fontId="15" fillId="2" borderId="27" xfId="1" applyFont="1" applyFill="1" applyBorder="1" applyAlignment="1">
      <alignment horizontal="center" vertical="center"/>
    </xf>
    <xf numFmtId="1" fontId="4" fillId="2" borderId="27" xfId="1" applyNumberFormat="1" applyFont="1" applyFill="1" applyBorder="1" applyAlignment="1">
      <alignment horizontal="center" vertical="center"/>
    </xf>
    <xf numFmtId="9" fontId="4" fillId="2" borderId="29" xfId="1" applyFont="1" applyFill="1" applyBorder="1" applyAlignment="1">
      <alignment horizontal="center" vertical="center"/>
    </xf>
    <xf numFmtId="9" fontId="3" fillId="0" borderId="20" xfId="1" applyFont="1" applyBorder="1" applyAlignment="1">
      <alignment horizontal="center" vertical="center"/>
    </xf>
    <xf numFmtId="9" fontId="15" fillId="0" borderId="1" xfId="2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49" fontId="5" fillId="5" borderId="32" xfId="0" applyNumberFormat="1" applyFont="1" applyFill="1" applyBorder="1" applyAlignment="1">
      <alignment horizontal="center" vertical="center"/>
    </xf>
    <xf numFmtId="49" fontId="7" fillId="5" borderId="32" xfId="0" applyNumberFormat="1" applyFont="1" applyFill="1" applyBorder="1" applyAlignment="1">
      <alignment horizontal="center" vertical="center"/>
    </xf>
    <xf numFmtId="49" fontId="9" fillId="5" borderId="32" xfId="0" applyNumberFormat="1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 shrinkToFit="1"/>
    </xf>
    <xf numFmtId="0" fontId="4" fillId="5" borderId="32" xfId="0" applyFont="1" applyFill="1" applyBorder="1" applyAlignment="1">
      <alignment horizontal="center" vertical="center"/>
    </xf>
    <xf numFmtId="9" fontId="4" fillId="5" borderId="32" xfId="1" applyFont="1" applyFill="1" applyBorder="1" applyAlignment="1">
      <alignment horizontal="center" vertical="center"/>
    </xf>
    <xf numFmtId="9" fontId="15" fillId="5" borderId="32" xfId="2" applyFont="1" applyFill="1" applyBorder="1" applyAlignment="1">
      <alignment horizontal="center" vertical="center"/>
    </xf>
    <xf numFmtId="1" fontId="4" fillId="5" borderId="32" xfId="1" applyNumberFormat="1" applyFont="1" applyFill="1" applyBorder="1" applyAlignment="1">
      <alignment horizontal="center" vertical="center"/>
    </xf>
    <xf numFmtId="9" fontId="3" fillId="5" borderId="32" xfId="1" applyFont="1" applyFill="1" applyBorder="1" applyAlignment="1">
      <alignment horizontal="center" vertical="center"/>
    </xf>
    <xf numFmtId="9" fontId="3" fillId="5" borderId="33" xfId="1" applyFont="1" applyFill="1" applyBorder="1" applyAlignment="1">
      <alignment horizontal="center" vertical="center"/>
    </xf>
    <xf numFmtId="1" fontId="7" fillId="5" borderId="23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shrinkToFit="1"/>
    </xf>
    <xf numFmtId="0" fontId="4" fillId="5" borderId="6" xfId="0" applyFont="1" applyFill="1" applyBorder="1" applyAlignment="1">
      <alignment horizontal="center" vertical="center"/>
    </xf>
    <xf numFmtId="9" fontId="4" fillId="5" borderId="6" xfId="1" applyFont="1" applyFill="1" applyBorder="1" applyAlignment="1">
      <alignment horizontal="center" vertical="center"/>
    </xf>
    <xf numFmtId="9" fontId="15" fillId="5" borderId="6" xfId="2" applyFont="1" applyFill="1" applyBorder="1" applyAlignment="1">
      <alignment horizontal="center" vertical="center"/>
    </xf>
    <xf numFmtId="1" fontId="4" fillId="5" borderId="6" xfId="1" applyNumberFormat="1" applyFont="1" applyFill="1" applyBorder="1" applyAlignment="1">
      <alignment horizontal="center" vertical="center"/>
    </xf>
    <xf numFmtId="9" fontId="3" fillId="5" borderId="6" xfId="1" applyFont="1" applyFill="1" applyBorder="1" applyAlignment="1">
      <alignment horizontal="center" vertical="center"/>
    </xf>
    <xf numFmtId="9" fontId="3" fillId="5" borderId="24" xfId="1" applyFont="1" applyFill="1" applyBorder="1" applyAlignment="1">
      <alignment horizontal="center" vertical="center"/>
    </xf>
    <xf numFmtId="9" fontId="15" fillId="2" borderId="27" xfId="2" applyFont="1" applyFill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9" fontId="15" fillId="0" borderId="32" xfId="2" applyFont="1" applyBorder="1" applyAlignment="1">
      <alignment horizontal="center" vertical="center"/>
    </xf>
    <xf numFmtId="9" fontId="4" fillId="0" borderId="32" xfId="1" applyFont="1" applyBorder="1" applyAlignment="1">
      <alignment horizontal="center" vertical="center"/>
    </xf>
    <xf numFmtId="9" fontId="3" fillId="0" borderId="33" xfId="1" applyFont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5" borderId="1" xfId="1" applyNumberFormat="1" applyFont="1" applyFill="1" applyBorder="1" applyAlignment="1">
      <alignment horizontal="center" vertical="center"/>
    </xf>
    <xf numFmtId="1" fontId="3" fillId="5" borderId="6" xfId="1" applyNumberFormat="1" applyFont="1" applyFill="1" applyBorder="1" applyAlignment="1">
      <alignment horizontal="center" vertical="center"/>
    </xf>
    <xf numFmtId="1" fontId="7" fillId="2" borderId="23" xfId="0" applyNumberFormat="1" applyFont="1" applyFill="1" applyBorder="1" applyAlignment="1">
      <alignment horizontal="center" vertical="center"/>
    </xf>
    <xf numFmtId="9" fontId="3" fillId="2" borderId="24" xfId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 vertical="center"/>
    </xf>
    <xf numFmtId="1" fontId="9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49" fontId="12" fillId="2" borderId="27" xfId="0" applyNumberFormat="1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 shrinkToFit="1"/>
    </xf>
    <xf numFmtId="164" fontId="4" fillId="2" borderId="27" xfId="1" applyNumberFormat="1" applyFont="1" applyFill="1" applyBorder="1" applyAlignment="1">
      <alignment horizontal="center" vertical="center"/>
    </xf>
    <xf numFmtId="49" fontId="12" fillId="5" borderId="6" xfId="0" applyNumberFormat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 shrinkToFit="1"/>
    </xf>
    <xf numFmtId="2" fontId="9" fillId="2" borderId="27" xfId="0" applyNumberFormat="1" applyFont="1" applyFill="1" applyBorder="1" applyAlignment="1">
      <alignment horizontal="center" vertical="center"/>
    </xf>
    <xf numFmtId="2" fontId="9" fillId="5" borderId="6" xfId="0" applyNumberFormat="1" applyFont="1" applyFill="1" applyBorder="1" applyAlignment="1">
      <alignment horizontal="center" vertical="center"/>
    </xf>
    <xf numFmtId="49" fontId="9" fillId="5" borderId="27" xfId="0" applyNumberFormat="1" applyFont="1" applyFill="1" applyBorder="1" applyAlignment="1">
      <alignment horizontal="center" vertical="center"/>
    </xf>
    <xf numFmtId="49" fontId="5" fillId="5" borderId="27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9" fontId="4" fillId="0" borderId="24" xfId="1" applyFont="1" applyBorder="1" applyAlignment="1">
      <alignment horizontal="center" vertical="center"/>
    </xf>
    <xf numFmtId="9" fontId="13" fillId="5" borderId="6" xfId="1" applyFont="1" applyFill="1" applyBorder="1" applyAlignment="1">
      <alignment horizontal="center" vertical="center"/>
    </xf>
    <xf numFmtId="9" fontId="4" fillId="5" borderId="24" xfId="1" applyFont="1" applyFill="1" applyBorder="1" applyAlignment="1">
      <alignment horizontal="center" vertical="center"/>
    </xf>
    <xf numFmtId="9" fontId="13" fillId="0" borderId="6" xfId="1" applyFont="1" applyBorder="1" applyAlignment="1">
      <alignment horizontal="center" vertical="center"/>
    </xf>
    <xf numFmtId="49" fontId="5" fillId="2" borderId="5" xfId="3" applyNumberFormat="1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>
      <alignment horizontal="center" vertical="center"/>
    </xf>
    <xf numFmtId="9" fontId="14" fillId="2" borderId="1" xfId="2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5" borderId="1" xfId="3" applyNumberFormat="1" applyFont="1" applyFill="1" applyBorder="1" applyAlignment="1">
      <alignment horizontal="center" vertical="center"/>
    </xf>
    <xf numFmtId="0" fontId="14" fillId="5" borderId="1" xfId="3" applyFont="1" applyFill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49" fontId="5" fillId="0" borderId="6" xfId="3" applyNumberFormat="1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49" fontId="5" fillId="5" borderId="32" xfId="3" applyNumberFormat="1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/>
    </xf>
    <xf numFmtId="49" fontId="5" fillId="5" borderId="6" xfId="3" applyNumberFormat="1" applyFont="1" applyFill="1" applyBorder="1" applyAlignment="1">
      <alignment horizontal="center" vertical="center"/>
    </xf>
    <xf numFmtId="0" fontId="14" fillId="5" borderId="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0" fontId="14" fillId="0" borderId="32" xfId="3" applyFont="1" applyBorder="1" applyAlignment="1">
      <alignment horizontal="center" vertical="center"/>
    </xf>
    <xf numFmtId="49" fontId="5" fillId="0" borderId="32" xfId="3" applyNumberFormat="1" applyFont="1" applyBorder="1" applyAlignment="1">
      <alignment horizontal="center" vertical="center"/>
    </xf>
    <xf numFmtId="49" fontId="3" fillId="5" borderId="1" xfId="3" applyNumberFormat="1" applyFont="1" applyFill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49" fontId="5" fillId="2" borderId="27" xfId="3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8" fillId="3" borderId="25" xfId="0" applyFont="1" applyFill="1" applyBorder="1" applyAlignment="1">
      <alignment horizontal="center" vertical="center"/>
    </xf>
    <xf numFmtId="9" fontId="2" fillId="3" borderId="25" xfId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9" fontId="2" fillId="3" borderId="30" xfId="1" applyFont="1" applyFill="1" applyBorder="1" applyAlignment="1">
      <alignment horizontal="center" vertical="center"/>
    </xf>
    <xf numFmtId="1" fontId="8" fillId="3" borderId="28" xfId="0" applyNumberFormat="1" applyFont="1" applyFill="1" applyBorder="1" applyAlignment="1">
      <alignment horizontal="center" vertical="center"/>
    </xf>
    <xf numFmtId="1" fontId="8" fillId="3" borderId="25" xfId="0" applyNumberFormat="1" applyFont="1" applyFill="1" applyBorder="1" applyAlignment="1">
      <alignment horizontal="center" vertical="center"/>
    </xf>
    <xf numFmtId="9" fontId="2" fillId="4" borderId="25" xfId="1" applyFont="1" applyFill="1" applyBorder="1" applyAlignment="1">
      <alignment horizontal="center" vertical="center"/>
    </xf>
    <xf numFmtId="1" fontId="2" fillId="4" borderId="25" xfId="1" applyNumberFormat="1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8036487E-A423-4C02-A76D-92326B4ECEF6}"/>
    <cellStyle name="Percent" xfId="1" builtinId="5"/>
    <cellStyle name="Percent 2" xfId="2" xr:uid="{E13D339D-88B6-497E-8C3D-3EE6F96641DA}"/>
  </cellStyles>
  <dxfs count="161"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F74A82-F9DA-4E27-9842-56E18C4A83EB}" name="Table2" displayName="Table2" ref="A1:T1258" totalsRowShown="0" tableBorderDxfId="160">
  <autoFilter ref="A1:T1258" xr:uid="{C2C0C2E6-FE9D-4088-AF0A-91F2AADEB586}"/>
  <tableColumns count="20">
    <tableColumn id="1" xr3:uid="{05A5B9D0-AD2D-4665-9B4F-ED5B447C132F}" name="ردیف" dataDxfId="159"/>
    <tableColumn id="2" xr3:uid="{2E02698C-BF06-4D7A-952B-F9F358280D41}" name="نام شرکت" dataDxfId="158"/>
    <tableColumn id="3" xr3:uid="{07C270B5-FDBD-4AE8-A333-9A75C9FEB2E2}" name="فصل" dataDxfId="157"/>
    <tableColumn id="4" xr3:uid="{33D33A83-4286-4653-9CFF-9C31C4061A96}" name="کد پرسنلی" dataDxfId="156"/>
    <tableColumn id="5" xr3:uid="{7C1F2F05-DB73-4457-83E7-3113D4BC4EE0}" name="نام و نام خانوادگی" dataDxfId="155"/>
    <tableColumn id="6" xr3:uid="{32AD0E74-D62F-4CBA-B743-38A87D154166}" name="عنوان شغلی" dataDxfId="154"/>
    <tableColumn id="7" xr3:uid="{DF269641-2D0B-40AF-BF00-B8AA82F80949}" name="مدیر مستقیم" dataDxfId="153"/>
    <tableColumn id="8" xr3:uid="{F5F47C1B-E39B-4F54-B8D8-A8057D570EB8}" name="دپارتمان" dataDxfId="152"/>
    <tableColumn id="9" xr3:uid="{9DB5C11F-834A-485F-9D09-7F29506A362C}" name="دسته بندی" dataDxfId="151"/>
    <tableColumn id="10" xr3:uid="{28B15169-38B1-4ED1-90C4-41F0174C1EE1}" name="obj weight" dataDxfId="150" dataCellStyle="Percent"/>
    <tableColumn id="11" xr3:uid="{8E5A0DA5-E7B8-49DC-94C7-00DC01AE3BB7}" name="KPI En" dataDxfId="149"/>
    <tableColumn id="12" xr3:uid="{72B0BF64-5092-4583-99C8-3D2910008219}" name="KPI Fa" dataDxfId="148"/>
    <tableColumn id="13" xr3:uid="{02CC0280-DAF2-4FCA-A3A0-9AE21550CE3E}" name="kpi INFO" dataDxfId="147"/>
    <tableColumn id="14" xr3:uid="{45CF6B44-63A2-40A3-A446-979FAC3AC233}" name="target" dataDxfId="146" dataCellStyle="Percent"/>
    <tableColumn id="15" xr3:uid="{0A094242-2E3F-4B5A-AEBB-92C25401CF02}" name="KPI weight" dataDxfId="145" dataCellStyle="Percent"/>
    <tableColumn id="16" xr3:uid="{41D540DA-DA82-4F33-85D8-DFCE35CEB6B3}" name="KPI Achievement"/>
    <tableColumn id="17" xr3:uid="{C27DE67B-166B-43C8-818F-8FC801711430}" name="Percentage Achievement" dataDxfId="144" dataCellStyle="Percent">
      <calculatedColumnFormula>ROUND(IF(OR(N2="",P2=""),0,IF(AND(N2=0,P2=0),1,IF(S2="+",P2/N2,N2/P2))),2)</calculatedColumnFormula>
    </tableColumn>
    <tableColumn id="18" xr3:uid="{0C995D68-3C6E-43F6-A4CD-F1B15F891375}" name="Score Achievement" dataDxfId="143" dataCellStyle="Percent">
      <calculatedColumnFormula>IF(AND(Q2&gt;=60%,Q2&lt;100%),Q2*((O2*J2)),IF(Q2=100%,((O2*J2)*Q2)*100%,IF(Q2&gt;100%,((J2*O2)*100%)*100%,0)))*100</calculatedColumnFormula>
    </tableColumn>
    <tableColumn id="19" xr3:uid="{B9587FAB-C9E4-43F5-93F0-601AC796AD02}" name="type" dataDxfId="142" dataCellStyle="Percent"/>
    <tableColumn id="20" xr3:uid="{4DC46815-976C-44D1-879F-3C04E50232C4}" name="Sum" dataDxfId="14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C2E6-FE9D-4088-AF0A-91F2AADEB586}">
  <sheetPr codeName="Sheet1"/>
  <dimension ref="A1:T1258"/>
  <sheetViews>
    <sheetView topLeftCell="J1" zoomScaleNormal="100" workbookViewId="0">
      <selection sqref="A1:T1"/>
    </sheetView>
  </sheetViews>
  <sheetFormatPr defaultRowHeight="14.4" x14ac:dyDescent="0.3"/>
  <cols>
    <col min="5" max="5" width="14.21875" customWidth="1"/>
    <col min="6" max="6" width="18.5546875" customWidth="1"/>
    <col min="7" max="7" width="15.5546875" style="9" customWidth="1"/>
    <col min="8" max="8" width="18.88671875" customWidth="1"/>
    <col min="9" max="9" width="8.88671875" customWidth="1"/>
    <col min="10" max="10" width="10.44140625" customWidth="1"/>
    <col min="11" max="11" width="23.88671875" customWidth="1"/>
    <col min="12" max="12" width="27.5546875" customWidth="1"/>
    <col min="13" max="13" width="41.44140625" customWidth="1"/>
    <col min="14" max="14" width="8.88671875" customWidth="1"/>
    <col min="15" max="15" width="10.88671875" customWidth="1"/>
    <col min="16" max="16" width="15.44140625" customWidth="1"/>
    <col min="17" max="17" width="20.88671875" customWidth="1"/>
    <col min="18" max="18" width="16.77734375" customWidth="1"/>
    <col min="19" max="19" width="8.88671875" customWidth="1"/>
  </cols>
  <sheetData>
    <row r="1" spans="1:20" ht="16.8" thickBot="1" x14ac:dyDescent="0.35">
      <c r="A1" s="150" t="s">
        <v>0</v>
      </c>
      <c r="B1" s="151" t="s">
        <v>1</v>
      </c>
      <c r="C1" s="151" t="s">
        <v>2</v>
      </c>
      <c r="D1" s="152" t="s">
        <v>3</v>
      </c>
      <c r="E1" s="151" t="s">
        <v>4</v>
      </c>
      <c r="F1" s="151" t="s">
        <v>5</v>
      </c>
      <c r="G1" s="206" t="s">
        <v>6</v>
      </c>
      <c r="H1" s="151" t="s">
        <v>7</v>
      </c>
      <c r="I1" s="151" t="s">
        <v>8</v>
      </c>
      <c r="J1" s="153" t="s">
        <v>9</v>
      </c>
      <c r="K1" s="154" t="s">
        <v>10</v>
      </c>
      <c r="L1" s="154" t="s">
        <v>11</v>
      </c>
      <c r="M1" s="154" t="s">
        <v>12</v>
      </c>
      <c r="N1" s="155" t="s">
        <v>13</v>
      </c>
      <c r="O1" s="153" t="s">
        <v>14</v>
      </c>
      <c r="P1" s="154" t="s">
        <v>15</v>
      </c>
      <c r="Q1" s="156" t="s">
        <v>16</v>
      </c>
      <c r="R1" s="157" t="s">
        <v>17</v>
      </c>
      <c r="S1" s="158" t="s">
        <v>18</v>
      </c>
      <c r="T1" s="159" t="s">
        <v>19</v>
      </c>
    </row>
    <row r="2" spans="1:20" ht="75.599999999999994" x14ac:dyDescent="0.3">
      <c r="A2" s="181">
        <v>1</v>
      </c>
      <c r="B2" s="71" t="s">
        <v>20</v>
      </c>
      <c r="C2" s="72" t="s">
        <v>536</v>
      </c>
      <c r="D2" s="73" t="s">
        <v>369</v>
      </c>
      <c r="E2" s="71" t="s">
        <v>368</v>
      </c>
      <c r="F2" s="74" t="s">
        <v>371</v>
      </c>
      <c r="G2" s="188" t="s">
        <v>544</v>
      </c>
      <c r="H2" s="74" t="s">
        <v>21</v>
      </c>
      <c r="I2" s="75" t="s">
        <v>22</v>
      </c>
      <c r="J2" s="76">
        <v>0.7</v>
      </c>
      <c r="K2" s="77" t="s">
        <v>372</v>
      </c>
      <c r="L2" s="97" t="s">
        <v>471</v>
      </c>
      <c r="M2" s="77" t="s">
        <v>373</v>
      </c>
      <c r="N2" s="78">
        <v>0.9</v>
      </c>
      <c r="O2" s="79">
        <v>0.25</v>
      </c>
      <c r="P2" s="76"/>
      <c r="Q2" s="76">
        <f>ROUND(IF(OR(N2="",P2=""),0,IF(AND(N2=0,P2=0),1,IF(S2="+",P2/N2,N2/P2))),2)</f>
        <v>0</v>
      </c>
      <c r="R2" s="80">
        <f t="shared" ref="R2:R7" si="0">IF(AND(Q2&gt;=60%,Q2&lt;100%),Q2*((O2*J2)),IF(Q2=100%,((O2*J2)*Q2)*100%,IF(Q2&gt;100%,((J2*O2)*100%)*100%,0)))*100</f>
        <v>0</v>
      </c>
      <c r="S2" s="76" t="s">
        <v>23</v>
      </c>
      <c r="T2" s="189">
        <f>SUM(R2:R17)%</f>
        <v>0</v>
      </c>
    </row>
    <row r="3" spans="1:20" ht="25.2" x14ac:dyDescent="0.3">
      <c r="A3" s="182">
        <v>2</v>
      </c>
      <c r="B3" s="42" t="s">
        <v>20</v>
      </c>
      <c r="C3" s="43" t="s">
        <v>536</v>
      </c>
      <c r="D3" s="44" t="s">
        <v>369</v>
      </c>
      <c r="E3" s="42" t="s">
        <v>368</v>
      </c>
      <c r="F3" s="45" t="s">
        <v>371</v>
      </c>
      <c r="G3" s="207" t="s">
        <v>544</v>
      </c>
      <c r="H3" s="45" t="s">
        <v>21</v>
      </c>
      <c r="I3" s="7" t="s">
        <v>22</v>
      </c>
      <c r="J3" s="3">
        <v>0.7</v>
      </c>
      <c r="K3" s="20" t="s">
        <v>374</v>
      </c>
      <c r="L3" s="22" t="s">
        <v>472</v>
      </c>
      <c r="M3" s="22" t="s">
        <v>375</v>
      </c>
      <c r="N3" s="24">
        <v>0.95</v>
      </c>
      <c r="O3" s="24">
        <v>0.25</v>
      </c>
      <c r="P3" s="6"/>
      <c r="Q3" s="3">
        <f t="shared" ref="Q3:Q41" si="1">ROUND(IF(OR(N3="",P3=""),0,IF(AND(N3=0,P3=0),1,IF(S3="+",P3/N3,N3/P3))),2)</f>
        <v>0</v>
      </c>
      <c r="R3" s="4">
        <f t="shared" si="0"/>
        <v>0</v>
      </c>
      <c r="S3" s="3" t="s">
        <v>23</v>
      </c>
      <c r="T3" s="190"/>
    </row>
    <row r="4" spans="1:20" ht="37.799999999999997" x14ac:dyDescent="0.3">
      <c r="A4" s="182">
        <v>3</v>
      </c>
      <c r="B4" s="42" t="s">
        <v>20</v>
      </c>
      <c r="C4" s="43" t="s">
        <v>536</v>
      </c>
      <c r="D4" s="44" t="s">
        <v>369</v>
      </c>
      <c r="E4" s="42" t="s">
        <v>368</v>
      </c>
      <c r="F4" s="45" t="s">
        <v>371</v>
      </c>
      <c r="G4" s="207" t="s">
        <v>544</v>
      </c>
      <c r="H4" s="45" t="s">
        <v>21</v>
      </c>
      <c r="I4" s="7" t="s">
        <v>22</v>
      </c>
      <c r="J4" s="3">
        <v>0.7</v>
      </c>
      <c r="K4" s="20" t="s">
        <v>376</v>
      </c>
      <c r="L4" s="22" t="s">
        <v>473</v>
      </c>
      <c r="M4" s="23" t="s">
        <v>377</v>
      </c>
      <c r="N4" s="24">
        <v>0.05</v>
      </c>
      <c r="O4" s="24">
        <v>0.125</v>
      </c>
      <c r="P4" s="6"/>
      <c r="Q4" s="3">
        <f t="shared" si="1"/>
        <v>0</v>
      </c>
      <c r="R4" s="4">
        <f t="shared" si="0"/>
        <v>0</v>
      </c>
      <c r="S4" s="3" t="s">
        <v>23</v>
      </c>
      <c r="T4" s="190"/>
    </row>
    <row r="5" spans="1:20" ht="25.2" x14ac:dyDescent="0.3">
      <c r="A5" s="182">
        <v>4</v>
      </c>
      <c r="B5" s="42" t="s">
        <v>20</v>
      </c>
      <c r="C5" s="43" t="s">
        <v>536</v>
      </c>
      <c r="D5" s="44" t="s">
        <v>369</v>
      </c>
      <c r="E5" s="42" t="s">
        <v>368</v>
      </c>
      <c r="F5" s="45" t="s">
        <v>371</v>
      </c>
      <c r="G5" s="207" t="s">
        <v>544</v>
      </c>
      <c r="H5" s="45" t="s">
        <v>21</v>
      </c>
      <c r="I5" s="47" t="s">
        <v>22</v>
      </c>
      <c r="J5" s="3">
        <v>0.7</v>
      </c>
      <c r="K5" s="20" t="s">
        <v>378</v>
      </c>
      <c r="L5" s="22" t="s">
        <v>474</v>
      </c>
      <c r="M5" s="22" t="s">
        <v>379</v>
      </c>
      <c r="N5" s="24">
        <v>1</v>
      </c>
      <c r="O5" s="24">
        <v>0.125</v>
      </c>
      <c r="P5" s="6"/>
      <c r="Q5" s="3">
        <f t="shared" si="1"/>
        <v>0</v>
      </c>
      <c r="R5" s="48">
        <f t="shared" si="0"/>
        <v>0</v>
      </c>
      <c r="S5" s="10" t="s">
        <v>23</v>
      </c>
      <c r="T5" s="191"/>
    </row>
    <row r="6" spans="1:20" ht="25.2" x14ac:dyDescent="0.3">
      <c r="A6" s="182">
        <v>5</v>
      </c>
      <c r="B6" s="42" t="s">
        <v>20</v>
      </c>
      <c r="C6" s="43" t="s">
        <v>536</v>
      </c>
      <c r="D6" s="44" t="s">
        <v>369</v>
      </c>
      <c r="E6" s="42" t="s">
        <v>368</v>
      </c>
      <c r="F6" s="45" t="s">
        <v>371</v>
      </c>
      <c r="G6" s="207" t="s">
        <v>544</v>
      </c>
      <c r="H6" s="45" t="s">
        <v>21</v>
      </c>
      <c r="I6" s="47" t="s">
        <v>22</v>
      </c>
      <c r="J6" s="3">
        <v>0.7</v>
      </c>
      <c r="K6" s="20" t="s">
        <v>476</v>
      </c>
      <c r="L6" s="21" t="s">
        <v>413</v>
      </c>
      <c r="M6" s="22" t="s">
        <v>380</v>
      </c>
      <c r="N6" s="24">
        <v>0.7</v>
      </c>
      <c r="O6" s="24">
        <v>0.125</v>
      </c>
      <c r="P6" s="6"/>
      <c r="Q6" s="3">
        <f t="shared" si="1"/>
        <v>0</v>
      </c>
      <c r="R6" s="48">
        <f t="shared" si="0"/>
        <v>0</v>
      </c>
      <c r="S6" s="10" t="s">
        <v>23</v>
      </c>
      <c r="T6" s="191"/>
    </row>
    <row r="7" spans="1:20" ht="25.2" x14ac:dyDescent="0.3">
      <c r="A7" s="182">
        <v>6</v>
      </c>
      <c r="B7" s="42" t="s">
        <v>20</v>
      </c>
      <c r="C7" s="43" t="s">
        <v>536</v>
      </c>
      <c r="D7" s="44" t="s">
        <v>369</v>
      </c>
      <c r="E7" s="42" t="s">
        <v>368</v>
      </c>
      <c r="F7" s="45" t="s">
        <v>371</v>
      </c>
      <c r="G7" s="207" t="s">
        <v>544</v>
      </c>
      <c r="H7" s="45" t="s">
        <v>21</v>
      </c>
      <c r="I7" s="47" t="s">
        <v>22</v>
      </c>
      <c r="J7" s="3">
        <v>0.7</v>
      </c>
      <c r="K7" s="20" t="s">
        <v>381</v>
      </c>
      <c r="L7" s="22" t="s">
        <v>475</v>
      </c>
      <c r="M7" s="22" t="s">
        <v>382</v>
      </c>
      <c r="N7" s="24">
        <v>0.05</v>
      </c>
      <c r="O7" s="24">
        <v>0.125</v>
      </c>
      <c r="P7" s="6"/>
      <c r="Q7" s="3">
        <f t="shared" si="1"/>
        <v>0</v>
      </c>
      <c r="R7" s="48">
        <f t="shared" si="0"/>
        <v>0</v>
      </c>
      <c r="S7" s="10" t="s">
        <v>23</v>
      </c>
      <c r="T7" s="191"/>
    </row>
    <row r="8" spans="1:20" ht="25.2" x14ac:dyDescent="0.3">
      <c r="A8" s="197">
        <v>7</v>
      </c>
      <c r="B8" s="33" t="s">
        <v>20</v>
      </c>
      <c r="C8" s="34" t="s">
        <v>536</v>
      </c>
      <c r="D8" s="35" t="s">
        <v>537</v>
      </c>
      <c r="E8" s="33" t="s">
        <v>368</v>
      </c>
      <c r="F8" s="36" t="s">
        <v>371</v>
      </c>
      <c r="G8" s="208" t="s">
        <v>544</v>
      </c>
      <c r="H8" s="36" t="s">
        <v>21</v>
      </c>
      <c r="I8" s="37" t="s">
        <v>26</v>
      </c>
      <c r="J8" s="14">
        <v>0.3</v>
      </c>
      <c r="K8" s="32" t="s">
        <v>401</v>
      </c>
      <c r="L8" s="32" t="s">
        <v>402</v>
      </c>
      <c r="M8" s="32"/>
      <c r="N8" s="40">
        <v>1</v>
      </c>
      <c r="O8" s="25">
        <v>0.05</v>
      </c>
      <c r="P8" s="56"/>
      <c r="Q8" s="14">
        <f t="shared" ref="Q8" si="2">ROUND(IF(OR(N8="",P8=""),0,IF(AND(N8=0,P8=0),1,IF(S8="+",P8/N8,N8/P8))),2)</f>
        <v>0</v>
      </c>
      <c r="R8" s="38">
        <f t="shared" ref="R8" si="3">IF(AND(Q8&gt;=60%,Q8&lt;100%),Q8*((O8*J8)),IF(Q8=100%,((O8*J8)*Q8)*100%,IF(Q8&gt;100%,((J8*O8)*100%)*100%,0)))*100</f>
        <v>0</v>
      </c>
      <c r="S8" s="17" t="s">
        <v>23</v>
      </c>
      <c r="T8" s="184"/>
    </row>
    <row r="9" spans="1:20" ht="21.6" x14ac:dyDescent="0.3">
      <c r="A9" s="197">
        <v>8</v>
      </c>
      <c r="B9" s="33" t="s">
        <v>20</v>
      </c>
      <c r="C9" s="34" t="s">
        <v>536</v>
      </c>
      <c r="D9" s="35" t="s">
        <v>538</v>
      </c>
      <c r="E9" s="33" t="s">
        <v>368</v>
      </c>
      <c r="F9" s="36" t="s">
        <v>371</v>
      </c>
      <c r="G9" s="208" t="s">
        <v>544</v>
      </c>
      <c r="H9" s="36" t="s">
        <v>21</v>
      </c>
      <c r="I9" s="37" t="s">
        <v>26</v>
      </c>
      <c r="J9" s="14">
        <v>0.3</v>
      </c>
      <c r="K9" s="15" t="s">
        <v>519</v>
      </c>
      <c r="L9" s="198" t="s">
        <v>514</v>
      </c>
      <c r="M9" s="199"/>
      <c r="N9" s="14">
        <v>0.7</v>
      </c>
      <c r="O9" s="14">
        <v>0.2</v>
      </c>
      <c r="P9" s="56"/>
      <c r="Q9" s="14">
        <f t="shared" ref="Q9:Q17" si="4">ROUND(IF(OR(N9="",P9=""),0,IF(AND(N9=0,P9=0),1,IF(S9="+",P9/N9,N9/P9))),2)</f>
        <v>0</v>
      </c>
      <c r="R9" s="38">
        <f t="shared" ref="R9:R18" si="5">IF(AND(Q9&gt;=60%,Q9&lt;100%),Q9*((O9*J9)),IF(Q9=100%,((O9*J9)*Q9)*100%,IF(Q9&gt;100%,((J9*O9)*100%)*100%,0)))*100</f>
        <v>0</v>
      </c>
      <c r="S9" s="17" t="s">
        <v>23</v>
      </c>
      <c r="T9" s="183"/>
    </row>
    <row r="10" spans="1:20" ht="21.6" x14ac:dyDescent="0.3">
      <c r="A10" s="197">
        <v>9</v>
      </c>
      <c r="B10" s="33" t="s">
        <v>20</v>
      </c>
      <c r="C10" s="34" t="s">
        <v>536</v>
      </c>
      <c r="D10" s="35" t="s">
        <v>539</v>
      </c>
      <c r="E10" s="33" t="s">
        <v>368</v>
      </c>
      <c r="F10" s="36" t="s">
        <v>371</v>
      </c>
      <c r="G10" s="208" t="s">
        <v>544</v>
      </c>
      <c r="H10" s="36" t="s">
        <v>21</v>
      </c>
      <c r="I10" s="37" t="s">
        <v>26</v>
      </c>
      <c r="J10" s="14">
        <v>0.3</v>
      </c>
      <c r="K10" s="15" t="s">
        <v>520</v>
      </c>
      <c r="L10" s="198" t="s">
        <v>515</v>
      </c>
      <c r="M10" s="199"/>
      <c r="N10" s="14">
        <v>0.8</v>
      </c>
      <c r="O10" s="14">
        <v>0.1</v>
      </c>
      <c r="P10" s="56"/>
      <c r="Q10" s="14">
        <f t="shared" si="4"/>
        <v>0</v>
      </c>
      <c r="R10" s="38">
        <f t="shared" si="5"/>
        <v>0</v>
      </c>
      <c r="S10" s="17" t="s">
        <v>23</v>
      </c>
      <c r="T10" s="183"/>
    </row>
    <row r="11" spans="1:20" ht="21.6" x14ac:dyDescent="0.3">
      <c r="A11" s="197">
        <v>10</v>
      </c>
      <c r="B11" s="33" t="s">
        <v>20</v>
      </c>
      <c r="C11" s="34" t="s">
        <v>536</v>
      </c>
      <c r="D11" s="35" t="s">
        <v>540</v>
      </c>
      <c r="E11" s="33" t="s">
        <v>368</v>
      </c>
      <c r="F11" s="36" t="s">
        <v>371</v>
      </c>
      <c r="G11" s="208" t="s">
        <v>544</v>
      </c>
      <c r="H11" s="36" t="s">
        <v>21</v>
      </c>
      <c r="I11" s="37" t="s">
        <v>26</v>
      </c>
      <c r="J11" s="14">
        <v>0.3</v>
      </c>
      <c r="K11" s="15" t="s">
        <v>403</v>
      </c>
      <c r="L11" s="198" t="s">
        <v>404</v>
      </c>
      <c r="M11" s="199"/>
      <c r="N11" s="14">
        <v>1</v>
      </c>
      <c r="O11" s="14">
        <v>0.1</v>
      </c>
      <c r="P11" s="56"/>
      <c r="Q11" s="14">
        <f t="shared" si="4"/>
        <v>0</v>
      </c>
      <c r="R11" s="38">
        <f t="shared" si="5"/>
        <v>0</v>
      </c>
      <c r="S11" s="17" t="s">
        <v>23</v>
      </c>
      <c r="T11" s="183"/>
    </row>
    <row r="12" spans="1:20" ht="21.6" x14ac:dyDescent="0.3">
      <c r="A12" s="197"/>
      <c r="B12" s="33" t="s">
        <v>20</v>
      </c>
      <c r="C12" s="34" t="s">
        <v>536</v>
      </c>
      <c r="D12" s="35" t="s">
        <v>541</v>
      </c>
      <c r="E12" s="33" t="s">
        <v>368</v>
      </c>
      <c r="F12" s="36" t="s">
        <v>371</v>
      </c>
      <c r="G12" s="208" t="s">
        <v>544</v>
      </c>
      <c r="H12" s="36" t="s">
        <v>21</v>
      </c>
      <c r="I12" s="37" t="s">
        <v>26</v>
      </c>
      <c r="J12" s="14">
        <v>0.3</v>
      </c>
      <c r="K12" s="15" t="s">
        <v>478</v>
      </c>
      <c r="L12" s="198" t="s">
        <v>405</v>
      </c>
      <c r="M12" s="199"/>
      <c r="N12" s="14">
        <v>1</v>
      </c>
      <c r="O12" s="14">
        <v>0.05</v>
      </c>
      <c r="P12" s="56"/>
      <c r="Q12" s="14">
        <f t="shared" si="4"/>
        <v>0</v>
      </c>
      <c r="R12" s="38">
        <f t="shared" si="5"/>
        <v>0</v>
      </c>
      <c r="S12" s="17" t="s">
        <v>23</v>
      </c>
      <c r="T12" s="183"/>
    </row>
    <row r="13" spans="1:20" ht="21.6" x14ac:dyDescent="0.3">
      <c r="A13" s="197"/>
      <c r="B13" s="33" t="s">
        <v>20</v>
      </c>
      <c r="C13" s="34" t="s">
        <v>536</v>
      </c>
      <c r="D13" s="35" t="s">
        <v>542</v>
      </c>
      <c r="E13" s="33" t="s">
        <v>368</v>
      </c>
      <c r="F13" s="36" t="s">
        <v>371</v>
      </c>
      <c r="G13" s="208" t="s">
        <v>544</v>
      </c>
      <c r="H13" s="36" t="s">
        <v>21</v>
      </c>
      <c r="I13" s="37" t="s">
        <v>26</v>
      </c>
      <c r="J13" s="14">
        <v>0.3</v>
      </c>
      <c r="K13" s="15" t="s">
        <v>419</v>
      </c>
      <c r="L13" s="198" t="s">
        <v>420</v>
      </c>
      <c r="M13" s="199"/>
      <c r="N13" s="14">
        <v>1</v>
      </c>
      <c r="O13" s="14">
        <v>0.1</v>
      </c>
      <c r="P13" s="56"/>
      <c r="Q13" s="14">
        <f t="shared" si="4"/>
        <v>0</v>
      </c>
      <c r="R13" s="38">
        <f t="shared" si="5"/>
        <v>0</v>
      </c>
      <c r="S13" s="17" t="s">
        <v>23</v>
      </c>
      <c r="T13" s="183"/>
    </row>
    <row r="14" spans="1:20" ht="30.6" x14ac:dyDescent="0.3">
      <c r="A14" s="197"/>
      <c r="B14" s="33" t="s">
        <v>20</v>
      </c>
      <c r="C14" s="34" t="s">
        <v>536</v>
      </c>
      <c r="D14" s="35" t="s">
        <v>542</v>
      </c>
      <c r="E14" s="33" t="s">
        <v>368</v>
      </c>
      <c r="F14" s="36" t="s">
        <v>371</v>
      </c>
      <c r="G14" s="208" t="s">
        <v>544</v>
      </c>
      <c r="H14" s="36" t="s">
        <v>21</v>
      </c>
      <c r="I14" s="37" t="s">
        <v>26</v>
      </c>
      <c r="J14" s="14">
        <v>0.3</v>
      </c>
      <c r="K14" s="15" t="s">
        <v>521</v>
      </c>
      <c r="L14" s="198" t="s">
        <v>518</v>
      </c>
      <c r="M14" s="199"/>
      <c r="N14" s="14">
        <v>0.8</v>
      </c>
      <c r="O14" s="14">
        <v>0.15</v>
      </c>
      <c r="P14" s="56"/>
      <c r="Q14" s="14">
        <f t="shared" si="4"/>
        <v>0</v>
      </c>
      <c r="R14" s="38">
        <f t="shared" si="5"/>
        <v>0</v>
      </c>
      <c r="S14" s="17" t="s">
        <v>23</v>
      </c>
      <c r="T14" s="183"/>
    </row>
    <row r="15" spans="1:20" ht="30.6" x14ac:dyDescent="0.3">
      <c r="A15" s="197"/>
      <c r="B15" s="33" t="s">
        <v>20</v>
      </c>
      <c r="C15" s="34" t="s">
        <v>536</v>
      </c>
      <c r="D15" s="35" t="s">
        <v>542</v>
      </c>
      <c r="E15" s="33" t="s">
        <v>368</v>
      </c>
      <c r="F15" s="36" t="s">
        <v>371</v>
      </c>
      <c r="G15" s="208" t="s">
        <v>544</v>
      </c>
      <c r="H15" s="36" t="s">
        <v>21</v>
      </c>
      <c r="I15" s="37" t="s">
        <v>26</v>
      </c>
      <c r="J15" s="14">
        <v>0.3</v>
      </c>
      <c r="K15" s="15" t="s">
        <v>424</v>
      </c>
      <c r="L15" s="198" t="s">
        <v>543</v>
      </c>
      <c r="M15" s="199"/>
      <c r="N15" s="14">
        <v>1</v>
      </c>
      <c r="O15" s="14">
        <v>0.05</v>
      </c>
      <c r="P15" s="56"/>
      <c r="Q15" s="14">
        <f t="shared" si="4"/>
        <v>0</v>
      </c>
      <c r="R15" s="38">
        <f t="shared" si="5"/>
        <v>0</v>
      </c>
      <c r="S15" s="17" t="s">
        <v>23</v>
      </c>
      <c r="T15" s="183"/>
    </row>
    <row r="16" spans="1:20" ht="21.6" x14ac:dyDescent="0.3">
      <c r="A16" s="197"/>
      <c r="B16" s="33" t="s">
        <v>20</v>
      </c>
      <c r="C16" s="34" t="s">
        <v>536</v>
      </c>
      <c r="D16" s="35" t="s">
        <v>542</v>
      </c>
      <c r="E16" s="33" t="s">
        <v>368</v>
      </c>
      <c r="F16" s="36" t="s">
        <v>371</v>
      </c>
      <c r="G16" s="208" t="s">
        <v>544</v>
      </c>
      <c r="H16" s="36" t="s">
        <v>21</v>
      </c>
      <c r="I16" s="37" t="s">
        <v>26</v>
      </c>
      <c r="J16" s="14">
        <v>0.3</v>
      </c>
      <c r="K16" s="15" t="s">
        <v>425</v>
      </c>
      <c r="L16" s="198" t="s">
        <v>516</v>
      </c>
      <c r="M16" s="199"/>
      <c r="N16" s="14">
        <v>1</v>
      </c>
      <c r="O16" s="14">
        <v>0.1</v>
      </c>
      <c r="P16" s="56"/>
      <c r="Q16" s="14">
        <f t="shared" si="4"/>
        <v>0</v>
      </c>
      <c r="R16" s="38">
        <f t="shared" si="5"/>
        <v>0</v>
      </c>
      <c r="S16" s="17" t="s">
        <v>23</v>
      </c>
      <c r="T16" s="183"/>
    </row>
    <row r="17" spans="1:20" ht="25.8" thickBot="1" x14ac:dyDescent="0.35">
      <c r="A17" s="200">
        <v>11</v>
      </c>
      <c r="B17" s="81" t="s">
        <v>20</v>
      </c>
      <c r="C17" s="82" t="s">
        <v>536</v>
      </c>
      <c r="D17" s="83" t="s">
        <v>541</v>
      </c>
      <c r="E17" s="81" t="s">
        <v>368</v>
      </c>
      <c r="F17" s="84" t="s">
        <v>371</v>
      </c>
      <c r="G17" s="209" t="s">
        <v>544</v>
      </c>
      <c r="H17" s="84" t="s">
        <v>21</v>
      </c>
      <c r="I17" s="85" t="s">
        <v>26</v>
      </c>
      <c r="J17" s="86">
        <v>0.3</v>
      </c>
      <c r="K17" s="128" t="s">
        <v>477</v>
      </c>
      <c r="L17" s="128" t="s">
        <v>426</v>
      </c>
      <c r="M17" s="128"/>
      <c r="N17" s="185">
        <v>0.7</v>
      </c>
      <c r="O17" s="89">
        <v>0.1</v>
      </c>
      <c r="P17" s="186"/>
      <c r="Q17" s="186">
        <f t="shared" si="4"/>
        <v>0</v>
      </c>
      <c r="R17" s="186">
        <f t="shared" si="5"/>
        <v>0</v>
      </c>
      <c r="S17" s="104" t="s">
        <v>23</v>
      </c>
      <c r="T17" s="187"/>
    </row>
    <row r="18" spans="1:20" ht="37.799999999999997" x14ac:dyDescent="0.3">
      <c r="A18" s="144">
        <v>17</v>
      </c>
      <c r="B18" s="64" t="s">
        <v>20</v>
      </c>
      <c r="C18" s="65" t="s">
        <v>267</v>
      </c>
      <c r="D18" s="66" t="s">
        <v>383</v>
      </c>
      <c r="E18" s="64" t="s">
        <v>28</v>
      </c>
      <c r="F18" s="67" t="s">
        <v>384</v>
      </c>
      <c r="G18" s="210" t="s">
        <v>368</v>
      </c>
      <c r="H18" s="67" t="s">
        <v>385</v>
      </c>
      <c r="I18" s="68" t="s">
        <v>22</v>
      </c>
      <c r="J18" s="69">
        <v>0.7</v>
      </c>
      <c r="K18" s="178" t="s">
        <v>512</v>
      </c>
      <c r="L18" s="179" t="s">
        <v>510</v>
      </c>
      <c r="M18" s="70" t="s">
        <v>408</v>
      </c>
      <c r="N18" s="180">
        <v>0.95</v>
      </c>
      <c r="O18" s="180">
        <v>0.15</v>
      </c>
      <c r="P18" s="69"/>
      <c r="Q18" s="69">
        <f t="shared" si="1"/>
        <v>0</v>
      </c>
      <c r="R18" s="100">
        <f t="shared" si="5"/>
        <v>0</v>
      </c>
      <c r="S18" s="69" t="s">
        <v>23</v>
      </c>
      <c r="T18" s="192">
        <f>SUM(R18:R31)%</f>
        <v>0</v>
      </c>
    </row>
    <row r="19" spans="1:20" ht="37.799999999999997" x14ac:dyDescent="0.3">
      <c r="A19" s="139"/>
      <c r="B19" s="42" t="s">
        <v>20</v>
      </c>
      <c r="C19" s="43" t="s">
        <v>267</v>
      </c>
      <c r="D19" s="44" t="s">
        <v>383</v>
      </c>
      <c r="E19" s="42" t="s">
        <v>28</v>
      </c>
      <c r="F19" s="45" t="s">
        <v>384</v>
      </c>
      <c r="G19" s="207" t="s">
        <v>368</v>
      </c>
      <c r="H19" s="45" t="s">
        <v>385</v>
      </c>
      <c r="I19" s="47" t="s">
        <v>22</v>
      </c>
      <c r="J19" s="3">
        <v>0.7</v>
      </c>
      <c r="K19" s="49" t="s">
        <v>513</v>
      </c>
      <c r="L19" s="176" t="s">
        <v>511</v>
      </c>
      <c r="M19" s="2" t="s">
        <v>411</v>
      </c>
      <c r="N19" s="46">
        <v>0.95</v>
      </c>
      <c r="O19" s="46">
        <v>0.15</v>
      </c>
      <c r="P19" s="51"/>
      <c r="Q19" s="3">
        <f t="shared" si="1"/>
        <v>0</v>
      </c>
      <c r="R19" s="4">
        <f t="shared" ref="R19:R64" si="6">IF(AND(Q19&gt;=60%,Q19&lt;100%),Q19*((O19*J19)),IF(Q19=100%,((O19*J19)*Q19)*100%,IF(Q19&gt;100%,((J19*O19)*100%)*100%,0)))*100</f>
        <v>0</v>
      </c>
      <c r="S19" s="3" t="s">
        <v>23</v>
      </c>
      <c r="T19" s="193"/>
    </row>
    <row r="20" spans="1:20" ht="25.2" x14ac:dyDescent="0.3">
      <c r="A20" s="139"/>
      <c r="B20" s="42" t="s">
        <v>20</v>
      </c>
      <c r="C20" s="43" t="s">
        <v>267</v>
      </c>
      <c r="D20" s="44" t="s">
        <v>383</v>
      </c>
      <c r="E20" s="42" t="s">
        <v>28</v>
      </c>
      <c r="F20" s="45" t="s">
        <v>384</v>
      </c>
      <c r="G20" s="207" t="s">
        <v>368</v>
      </c>
      <c r="H20" s="45" t="s">
        <v>385</v>
      </c>
      <c r="I20" s="47" t="s">
        <v>22</v>
      </c>
      <c r="J20" s="3">
        <v>0.7</v>
      </c>
      <c r="K20" s="2" t="s">
        <v>412</v>
      </c>
      <c r="L20" s="31" t="s">
        <v>413</v>
      </c>
      <c r="M20" s="41" t="s">
        <v>380</v>
      </c>
      <c r="N20" s="10">
        <v>0.7</v>
      </c>
      <c r="O20" s="46">
        <v>0.1</v>
      </c>
      <c r="P20" s="3"/>
      <c r="Q20" s="3">
        <f t="shared" si="1"/>
        <v>0</v>
      </c>
      <c r="R20" s="4">
        <f t="shared" si="6"/>
        <v>0</v>
      </c>
      <c r="S20" s="3" t="s">
        <v>23</v>
      </c>
      <c r="T20" s="193"/>
    </row>
    <row r="21" spans="1:20" ht="37.799999999999997" x14ac:dyDescent="0.3">
      <c r="A21" s="139"/>
      <c r="B21" s="42" t="s">
        <v>20</v>
      </c>
      <c r="C21" s="43" t="s">
        <v>267</v>
      </c>
      <c r="D21" s="44" t="s">
        <v>383</v>
      </c>
      <c r="E21" s="42" t="s">
        <v>28</v>
      </c>
      <c r="F21" s="45" t="s">
        <v>384</v>
      </c>
      <c r="G21" s="207" t="s">
        <v>368</v>
      </c>
      <c r="H21" s="45" t="s">
        <v>385</v>
      </c>
      <c r="I21" s="47" t="s">
        <v>22</v>
      </c>
      <c r="J21" s="3">
        <v>0.7</v>
      </c>
      <c r="K21" s="2" t="s">
        <v>387</v>
      </c>
      <c r="L21" s="2" t="s">
        <v>388</v>
      </c>
      <c r="M21" s="2" t="s">
        <v>377</v>
      </c>
      <c r="N21" s="27">
        <v>0.05</v>
      </c>
      <c r="O21" s="26">
        <v>0.08</v>
      </c>
      <c r="P21" s="3"/>
      <c r="Q21" s="3">
        <f t="shared" si="1"/>
        <v>0</v>
      </c>
      <c r="R21" s="4">
        <f t="shared" si="6"/>
        <v>0</v>
      </c>
      <c r="S21" s="3" t="s">
        <v>23</v>
      </c>
      <c r="T21" s="193"/>
    </row>
    <row r="22" spans="1:20" ht="37.200000000000003" x14ac:dyDescent="0.3">
      <c r="A22" s="139"/>
      <c r="B22" s="42" t="s">
        <v>20</v>
      </c>
      <c r="C22" s="43" t="s">
        <v>267</v>
      </c>
      <c r="D22" s="44" t="s">
        <v>383</v>
      </c>
      <c r="E22" s="42" t="s">
        <v>28</v>
      </c>
      <c r="F22" s="45" t="s">
        <v>384</v>
      </c>
      <c r="G22" s="207" t="s">
        <v>368</v>
      </c>
      <c r="H22" s="45" t="s">
        <v>385</v>
      </c>
      <c r="I22" s="47" t="s">
        <v>22</v>
      </c>
      <c r="J22" s="3">
        <v>0.7</v>
      </c>
      <c r="K22" s="41" t="s">
        <v>378</v>
      </c>
      <c r="L22" s="31" t="s">
        <v>389</v>
      </c>
      <c r="M22" s="41" t="s">
        <v>379</v>
      </c>
      <c r="N22" s="46">
        <v>1</v>
      </c>
      <c r="O22" s="46">
        <v>0.1</v>
      </c>
      <c r="P22" s="3"/>
      <c r="Q22" s="3">
        <f t="shared" si="1"/>
        <v>0</v>
      </c>
      <c r="R22" s="4">
        <f t="shared" si="6"/>
        <v>0</v>
      </c>
      <c r="S22" s="3" t="s">
        <v>23</v>
      </c>
      <c r="T22" s="193"/>
    </row>
    <row r="23" spans="1:20" ht="25.2" x14ac:dyDescent="0.3">
      <c r="A23" s="139"/>
      <c r="B23" s="42" t="s">
        <v>20</v>
      </c>
      <c r="C23" s="43" t="s">
        <v>267</v>
      </c>
      <c r="D23" s="44" t="s">
        <v>383</v>
      </c>
      <c r="E23" s="42" t="s">
        <v>28</v>
      </c>
      <c r="F23" s="45" t="s">
        <v>384</v>
      </c>
      <c r="G23" s="207" t="s">
        <v>368</v>
      </c>
      <c r="H23" s="45" t="s">
        <v>385</v>
      </c>
      <c r="I23" s="47" t="s">
        <v>22</v>
      </c>
      <c r="J23" s="3">
        <v>0.7</v>
      </c>
      <c r="K23" s="41" t="s">
        <v>390</v>
      </c>
      <c r="L23" s="41" t="s">
        <v>391</v>
      </c>
      <c r="M23" s="41" t="s">
        <v>382</v>
      </c>
      <c r="N23" s="26">
        <v>0.05</v>
      </c>
      <c r="O23" s="27">
        <v>0.15</v>
      </c>
      <c r="P23" s="3"/>
      <c r="Q23" s="3">
        <f t="shared" si="1"/>
        <v>0</v>
      </c>
      <c r="R23" s="4">
        <f t="shared" si="6"/>
        <v>0</v>
      </c>
      <c r="S23" s="3" t="s">
        <v>24</v>
      </c>
      <c r="T23" s="193"/>
    </row>
    <row r="24" spans="1:20" ht="37.799999999999997" x14ac:dyDescent="0.3">
      <c r="A24" s="139"/>
      <c r="B24" s="42" t="s">
        <v>20</v>
      </c>
      <c r="C24" s="43" t="s">
        <v>267</v>
      </c>
      <c r="D24" s="44" t="s">
        <v>383</v>
      </c>
      <c r="E24" s="42" t="s">
        <v>28</v>
      </c>
      <c r="F24" s="45" t="s">
        <v>384</v>
      </c>
      <c r="G24" s="207" t="s">
        <v>368</v>
      </c>
      <c r="H24" s="45" t="s">
        <v>385</v>
      </c>
      <c r="I24" s="47" t="s">
        <v>22</v>
      </c>
      <c r="J24" s="3">
        <v>0.7</v>
      </c>
      <c r="K24" s="41" t="s">
        <v>392</v>
      </c>
      <c r="L24" s="41" t="s">
        <v>393</v>
      </c>
      <c r="M24" s="41" t="s">
        <v>394</v>
      </c>
      <c r="N24" s="26">
        <v>0.05</v>
      </c>
      <c r="O24" s="27">
        <v>0.1</v>
      </c>
      <c r="P24" s="3"/>
      <c r="Q24" s="3">
        <f t="shared" si="1"/>
        <v>0</v>
      </c>
      <c r="R24" s="4">
        <f t="shared" si="6"/>
        <v>0</v>
      </c>
      <c r="S24" s="3" t="s">
        <v>23</v>
      </c>
      <c r="T24" s="193"/>
    </row>
    <row r="25" spans="1:20" ht="25.2" x14ac:dyDescent="0.3">
      <c r="A25" s="139"/>
      <c r="B25" s="42" t="s">
        <v>20</v>
      </c>
      <c r="C25" s="43" t="s">
        <v>267</v>
      </c>
      <c r="D25" s="44" t="s">
        <v>383</v>
      </c>
      <c r="E25" s="42" t="s">
        <v>28</v>
      </c>
      <c r="F25" s="45" t="s">
        <v>384</v>
      </c>
      <c r="G25" s="207" t="s">
        <v>368</v>
      </c>
      <c r="H25" s="45" t="s">
        <v>385</v>
      </c>
      <c r="I25" s="47" t="s">
        <v>22</v>
      </c>
      <c r="J25" s="3">
        <v>0.7</v>
      </c>
      <c r="K25" s="41" t="s">
        <v>395</v>
      </c>
      <c r="L25" s="41" t="s">
        <v>396</v>
      </c>
      <c r="M25" s="41" t="s">
        <v>397</v>
      </c>
      <c r="N25" s="26">
        <v>0.9</v>
      </c>
      <c r="O25" s="27">
        <v>0.12</v>
      </c>
      <c r="P25" s="51"/>
      <c r="Q25" s="3">
        <f t="shared" si="1"/>
        <v>0</v>
      </c>
      <c r="R25" s="4">
        <f t="shared" si="6"/>
        <v>0</v>
      </c>
      <c r="S25" s="3" t="s">
        <v>23</v>
      </c>
      <c r="T25" s="193"/>
    </row>
    <row r="26" spans="1:20" ht="25.2" x14ac:dyDescent="0.3">
      <c r="A26" s="139"/>
      <c r="B26" s="42" t="s">
        <v>20</v>
      </c>
      <c r="C26" s="43" t="s">
        <v>267</v>
      </c>
      <c r="D26" s="44" t="s">
        <v>383</v>
      </c>
      <c r="E26" s="42" t="s">
        <v>28</v>
      </c>
      <c r="F26" s="45" t="s">
        <v>384</v>
      </c>
      <c r="G26" s="207" t="s">
        <v>368</v>
      </c>
      <c r="H26" s="45" t="s">
        <v>385</v>
      </c>
      <c r="I26" s="47" t="s">
        <v>22</v>
      </c>
      <c r="J26" s="3">
        <v>0.7</v>
      </c>
      <c r="K26" s="41" t="s">
        <v>398</v>
      </c>
      <c r="L26" s="41" t="s">
        <v>399</v>
      </c>
      <c r="M26" s="41" t="s">
        <v>400</v>
      </c>
      <c r="N26" s="26">
        <v>1</v>
      </c>
      <c r="O26" s="27">
        <v>0.05</v>
      </c>
      <c r="P26" s="3"/>
      <c r="Q26" s="3">
        <f t="shared" si="1"/>
        <v>0</v>
      </c>
      <c r="R26" s="4">
        <f t="shared" si="6"/>
        <v>0</v>
      </c>
      <c r="S26" s="3" t="s">
        <v>23</v>
      </c>
      <c r="T26" s="193"/>
    </row>
    <row r="27" spans="1:20" ht="25.2" x14ac:dyDescent="0.3">
      <c r="A27" s="140"/>
      <c r="B27" s="33" t="s">
        <v>20</v>
      </c>
      <c r="C27" s="34" t="s">
        <v>267</v>
      </c>
      <c r="D27" s="35" t="s">
        <v>383</v>
      </c>
      <c r="E27" s="33" t="s">
        <v>28</v>
      </c>
      <c r="F27" s="36" t="s">
        <v>384</v>
      </c>
      <c r="G27" s="208" t="s">
        <v>368</v>
      </c>
      <c r="H27" s="36" t="s">
        <v>385</v>
      </c>
      <c r="I27" s="37" t="s">
        <v>26</v>
      </c>
      <c r="J27" s="14">
        <v>0.3</v>
      </c>
      <c r="K27" s="32" t="s">
        <v>401</v>
      </c>
      <c r="L27" s="32" t="s">
        <v>402</v>
      </c>
      <c r="M27" s="32"/>
      <c r="N27" s="40">
        <v>1</v>
      </c>
      <c r="O27" s="39">
        <v>0.1</v>
      </c>
      <c r="P27" s="14"/>
      <c r="Q27" s="14">
        <f t="shared" si="1"/>
        <v>0</v>
      </c>
      <c r="R27" s="38">
        <f t="shared" si="6"/>
        <v>0</v>
      </c>
      <c r="S27" s="17" t="s">
        <v>23</v>
      </c>
      <c r="T27" s="146"/>
    </row>
    <row r="28" spans="1:20" ht="21.6" x14ac:dyDescent="0.3">
      <c r="A28" s="140"/>
      <c r="B28" s="33" t="s">
        <v>20</v>
      </c>
      <c r="C28" s="34" t="s">
        <v>267</v>
      </c>
      <c r="D28" s="35" t="s">
        <v>383</v>
      </c>
      <c r="E28" s="33" t="s">
        <v>28</v>
      </c>
      <c r="F28" s="36" t="s">
        <v>384</v>
      </c>
      <c r="G28" s="208" t="s">
        <v>368</v>
      </c>
      <c r="H28" s="36" t="s">
        <v>385</v>
      </c>
      <c r="I28" s="37" t="s">
        <v>26</v>
      </c>
      <c r="J28" s="14">
        <v>0.3</v>
      </c>
      <c r="K28" s="28" t="s">
        <v>519</v>
      </c>
      <c r="L28" s="29" t="s">
        <v>514</v>
      </c>
      <c r="M28" s="29"/>
      <c r="N28" s="25">
        <v>0.7</v>
      </c>
      <c r="O28" s="25">
        <v>0.3</v>
      </c>
      <c r="P28" s="14"/>
      <c r="Q28" s="14">
        <f t="shared" si="1"/>
        <v>0</v>
      </c>
      <c r="R28" s="38">
        <f t="shared" si="6"/>
        <v>0</v>
      </c>
      <c r="S28" s="17" t="s">
        <v>23</v>
      </c>
      <c r="T28" s="146"/>
    </row>
    <row r="29" spans="1:20" ht="21.6" x14ac:dyDescent="0.3">
      <c r="A29" s="140"/>
      <c r="B29" s="33" t="s">
        <v>20</v>
      </c>
      <c r="C29" s="34" t="s">
        <v>267</v>
      </c>
      <c r="D29" s="35" t="s">
        <v>383</v>
      </c>
      <c r="E29" s="33" t="s">
        <v>28</v>
      </c>
      <c r="F29" s="36" t="s">
        <v>384</v>
      </c>
      <c r="G29" s="208" t="s">
        <v>368</v>
      </c>
      <c r="H29" s="36" t="s">
        <v>385</v>
      </c>
      <c r="I29" s="37" t="s">
        <v>26</v>
      </c>
      <c r="J29" s="14">
        <v>0.3</v>
      </c>
      <c r="K29" s="28" t="s">
        <v>520</v>
      </c>
      <c r="L29" s="29" t="s">
        <v>515</v>
      </c>
      <c r="M29" s="29"/>
      <c r="N29" s="25">
        <v>0.8</v>
      </c>
      <c r="O29" s="25">
        <v>0.2</v>
      </c>
      <c r="P29" s="14"/>
      <c r="Q29" s="14">
        <f>ROUND(IF(OR(N29="",P29=""),0,IF(AND(N29=0,P29=0),1,IF(S29="+",P29/N29,N29/P29))),2)</f>
        <v>0</v>
      </c>
      <c r="R29" s="38">
        <f>IF(AND(Q29&gt;=60%,Q29&lt;100%),Q29*((O29*J29)),IF(Q29=100%,((O29*J29)*Q29)*100%,IF(Q29&gt;100%,((J29*O29)*100%)*100%,0)))*100</f>
        <v>0</v>
      </c>
      <c r="S29" s="17" t="s">
        <v>23</v>
      </c>
      <c r="T29" s="146"/>
    </row>
    <row r="30" spans="1:20" ht="25.2" x14ac:dyDescent="0.3">
      <c r="A30" s="140"/>
      <c r="B30" s="33" t="s">
        <v>20</v>
      </c>
      <c r="C30" s="34" t="s">
        <v>267</v>
      </c>
      <c r="D30" s="35" t="s">
        <v>383</v>
      </c>
      <c r="E30" s="33" t="s">
        <v>28</v>
      </c>
      <c r="F30" s="36" t="s">
        <v>384</v>
      </c>
      <c r="G30" s="208" t="s">
        <v>368</v>
      </c>
      <c r="H30" s="36" t="s">
        <v>385</v>
      </c>
      <c r="I30" s="37" t="s">
        <v>26</v>
      </c>
      <c r="J30" s="14">
        <v>0.3</v>
      </c>
      <c r="K30" s="28" t="s">
        <v>403</v>
      </c>
      <c r="L30" s="29" t="s">
        <v>404</v>
      </c>
      <c r="M30" s="29"/>
      <c r="N30" s="25">
        <v>1</v>
      </c>
      <c r="O30" s="25">
        <v>0.3</v>
      </c>
      <c r="P30" s="14"/>
      <c r="Q30" s="14">
        <f t="shared" si="1"/>
        <v>0</v>
      </c>
      <c r="R30" s="38">
        <f t="shared" si="6"/>
        <v>0</v>
      </c>
      <c r="S30" s="17" t="s">
        <v>23</v>
      </c>
      <c r="T30" s="146"/>
    </row>
    <row r="31" spans="1:20" ht="25.8" thickBot="1" x14ac:dyDescent="0.35">
      <c r="A31" s="142"/>
      <c r="B31" s="81" t="s">
        <v>20</v>
      </c>
      <c r="C31" s="82" t="s">
        <v>267</v>
      </c>
      <c r="D31" s="83" t="s">
        <v>383</v>
      </c>
      <c r="E31" s="81" t="s">
        <v>28</v>
      </c>
      <c r="F31" s="84" t="s">
        <v>384</v>
      </c>
      <c r="G31" s="209" t="s">
        <v>368</v>
      </c>
      <c r="H31" s="84" t="s">
        <v>385</v>
      </c>
      <c r="I31" s="85" t="s">
        <v>26</v>
      </c>
      <c r="J31" s="86">
        <v>0.3</v>
      </c>
      <c r="K31" s="87" t="s">
        <v>478</v>
      </c>
      <c r="L31" s="88" t="s">
        <v>405</v>
      </c>
      <c r="M31" s="88"/>
      <c r="N31" s="89">
        <v>1</v>
      </c>
      <c r="O31" s="89">
        <v>0.1</v>
      </c>
      <c r="P31" s="86"/>
      <c r="Q31" s="86">
        <f t="shared" si="1"/>
        <v>0</v>
      </c>
      <c r="R31" s="90">
        <f t="shared" si="6"/>
        <v>0</v>
      </c>
      <c r="S31" s="91" t="s">
        <v>23</v>
      </c>
      <c r="T31" s="147"/>
    </row>
    <row r="32" spans="1:20" ht="37.799999999999997" x14ac:dyDescent="0.3">
      <c r="A32" s="138"/>
      <c r="B32" s="71" t="s">
        <v>20</v>
      </c>
      <c r="C32" s="72" t="s">
        <v>267</v>
      </c>
      <c r="D32" s="73">
        <v>5387</v>
      </c>
      <c r="E32" s="71" t="s">
        <v>311</v>
      </c>
      <c r="F32" s="74" t="s">
        <v>384</v>
      </c>
      <c r="G32" s="188" t="s">
        <v>545</v>
      </c>
      <c r="H32" s="74" t="s">
        <v>386</v>
      </c>
      <c r="I32" s="95" t="s">
        <v>22</v>
      </c>
      <c r="J32" s="76">
        <v>0.7</v>
      </c>
      <c r="K32" s="174" t="s">
        <v>512</v>
      </c>
      <c r="L32" s="175" t="s">
        <v>510</v>
      </c>
      <c r="M32" s="97" t="s">
        <v>408</v>
      </c>
      <c r="N32" s="79">
        <v>0.95</v>
      </c>
      <c r="O32" s="79">
        <v>0.18</v>
      </c>
      <c r="P32" s="76"/>
      <c r="Q32" s="76">
        <f t="shared" si="1"/>
        <v>0</v>
      </c>
      <c r="R32" s="80">
        <f t="shared" si="6"/>
        <v>0</v>
      </c>
      <c r="S32" s="76" t="s">
        <v>23</v>
      </c>
      <c r="T32" s="194">
        <f>SUM(R32:R42)%</f>
        <v>0</v>
      </c>
    </row>
    <row r="33" spans="1:20" ht="37.799999999999997" x14ac:dyDescent="0.3">
      <c r="A33" s="139"/>
      <c r="B33" s="42" t="s">
        <v>20</v>
      </c>
      <c r="C33" s="43" t="s">
        <v>267</v>
      </c>
      <c r="D33" s="44">
        <v>5387</v>
      </c>
      <c r="E33" s="42" t="s">
        <v>311</v>
      </c>
      <c r="F33" s="45" t="s">
        <v>384</v>
      </c>
      <c r="G33" s="207" t="s">
        <v>545</v>
      </c>
      <c r="H33" s="45" t="s">
        <v>386</v>
      </c>
      <c r="I33" s="47" t="s">
        <v>22</v>
      </c>
      <c r="J33" s="3">
        <v>0.7</v>
      </c>
      <c r="K33" s="49" t="s">
        <v>513</v>
      </c>
      <c r="L33" s="176" t="s">
        <v>511</v>
      </c>
      <c r="M33" s="22" t="s">
        <v>411</v>
      </c>
      <c r="N33" s="24">
        <v>0.95</v>
      </c>
      <c r="O33" s="24">
        <v>0.18</v>
      </c>
      <c r="P33" s="3"/>
      <c r="Q33" s="3">
        <f t="shared" si="1"/>
        <v>0</v>
      </c>
      <c r="R33" s="4">
        <f t="shared" si="6"/>
        <v>0</v>
      </c>
      <c r="S33" s="3" t="s">
        <v>23</v>
      </c>
      <c r="T33" s="193"/>
    </row>
    <row r="34" spans="1:20" ht="25.2" x14ac:dyDescent="0.3">
      <c r="A34" s="139"/>
      <c r="B34" s="42" t="s">
        <v>20</v>
      </c>
      <c r="C34" s="43" t="s">
        <v>267</v>
      </c>
      <c r="D34" s="44">
        <v>5387</v>
      </c>
      <c r="E34" s="42" t="s">
        <v>311</v>
      </c>
      <c r="F34" s="45" t="s">
        <v>384</v>
      </c>
      <c r="G34" s="207" t="s">
        <v>545</v>
      </c>
      <c r="H34" s="45" t="s">
        <v>386</v>
      </c>
      <c r="I34" s="47" t="s">
        <v>22</v>
      </c>
      <c r="J34" s="3">
        <v>0.7</v>
      </c>
      <c r="K34" s="20" t="s">
        <v>412</v>
      </c>
      <c r="L34" s="22" t="s">
        <v>413</v>
      </c>
      <c r="M34" s="22" t="s">
        <v>380</v>
      </c>
      <c r="N34" s="24">
        <v>0.7</v>
      </c>
      <c r="O34" s="24">
        <v>7.0000000000000007E-2</v>
      </c>
      <c r="P34" s="3"/>
      <c r="Q34" s="3">
        <f t="shared" si="1"/>
        <v>0</v>
      </c>
      <c r="R34" s="4">
        <f t="shared" si="6"/>
        <v>0</v>
      </c>
      <c r="S34" s="3" t="s">
        <v>23</v>
      </c>
      <c r="T34" s="193"/>
    </row>
    <row r="35" spans="1:20" ht="37.799999999999997" x14ac:dyDescent="0.3">
      <c r="A35" s="139"/>
      <c r="B35" s="42" t="s">
        <v>20</v>
      </c>
      <c r="C35" s="43" t="s">
        <v>267</v>
      </c>
      <c r="D35" s="44">
        <v>5387</v>
      </c>
      <c r="E35" s="42" t="s">
        <v>311</v>
      </c>
      <c r="F35" s="45" t="s">
        <v>384</v>
      </c>
      <c r="G35" s="207" t="s">
        <v>545</v>
      </c>
      <c r="H35" s="45" t="s">
        <v>386</v>
      </c>
      <c r="I35" s="47" t="s">
        <v>22</v>
      </c>
      <c r="J35" s="3">
        <v>0.7</v>
      </c>
      <c r="K35" s="20" t="s">
        <v>387</v>
      </c>
      <c r="L35" s="22" t="s">
        <v>388</v>
      </c>
      <c r="M35" s="22" t="s">
        <v>377</v>
      </c>
      <c r="N35" s="24">
        <v>0.05</v>
      </c>
      <c r="O35" s="24">
        <v>0.08</v>
      </c>
      <c r="P35" s="3"/>
      <c r="Q35" s="3">
        <f t="shared" si="1"/>
        <v>0</v>
      </c>
      <c r="R35" s="4">
        <f t="shared" si="6"/>
        <v>0</v>
      </c>
      <c r="S35" s="3" t="s">
        <v>23</v>
      </c>
      <c r="T35" s="193"/>
    </row>
    <row r="36" spans="1:20" ht="25.2" x14ac:dyDescent="0.3">
      <c r="A36" s="139"/>
      <c r="B36" s="42" t="s">
        <v>20</v>
      </c>
      <c r="C36" s="43" t="s">
        <v>267</v>
      </c>
      <c r="D36" s="44">
        <v>5387</v>
      </c>
      <c r="E36" s="42" t="s">
        <v>311</v>
      </c>
      <c r="F36" s="45" t="s">
        <v>384</v>
      </c>
      <c r="G36" s="207" t="s">
        <v>545</v>
      </c>
      <c r="H36" s="45" t="s">
        <v>386</v>
      </c>
      <c r="I36" s="47" t="s">
        <v>22</v>
      </c>
      <c r="J36" s="3">
        <v>0.7</v>
      </c>
      <c r="K36" s="20" t="s">
        <v>378</v>
      </c>
      <c r="L36" s="22" t="s">
        <v>389</v>
      </c>
      <c r="M36" s="22" t="s">
        <v>379</v>
      </c>
      <c r="N36" s="24">
        <v>1</v>
      </c>
      <c r="O36" s="24">
        <v>7.0000000000000007E-2</v>
      </c>
      <c r="P36" s="3"/>
      <c r="Q36" s="3">
        <f t="shared" si="1"/>
        <v>0</v>
      </c>
      <c r="R36" s="4">
        <f t="shared" si="6"/>
        <v>0</v>
      </c>
      <c r="S36" s="3" t="s">
        <v>23</v>
      </c>
      <c r="T36" s="193"/>
    </row>
    <row r="37" spans="1:20" ht="25.2" x14ac:dyDescent="0.3">
      <c r="A37" s="139"/>
      <c r="B37" s="42" t="s">
        <v>20</v>
      </c>
      <c r="C37" s="43" t="s">
        <v>267</v>
      </c>
      <c r="D37" s="44">
        <v>5387</v>
      </c>
      <c r="E37" s="42" t="s">
        <v>311</v>
      </c>
      <c r="F37" s="45" t="s">
        <v>384</v>
      </c>
      <c r="G37" s="207" t="s">
        <v>545</v>
      </c>
      <c r="H37" s="45" t="s">
        <v>386</v>
      </c>
      <c r="I37" s="47" t="s">
        <v>22</v>
      </c>
      <c r="J37" s="3">
        <v>0.7</v>
      </c>
      <c r="K37" s="20" t="s">
        <v>390</v>
      </c>
      <c r="L37" s="22" t="s">
        <v>391</v>
      </c>
      <c r="M37" s="22" t="s">
        <v>382</v>
      </c>
      <c r="N37" s="24">
        <v>0.05</v>
      </c>
      <c r="O37" s="24">
        <v>0.18</v>
      </c>
      <c r="P37" s="3"/>
      <c r="Q37" s="3">
        <f t="shared" si="1"/>
        <v>0</v>
      </c>
      <c r="R37" s="4">
        <f t="shared" si="6"/>
        <v>0</v>
      </c>
      <c r="S37" s="3" t="s">
        <v>24</v>
      </c>
      <c r="T37" s="193"/>
    </row>
    <row r="38" spans="1:20" ht="37.799999999999997" x14ac:dyDescent="0.3">
      <c r="A38" s="139"/>
      <c r="B38" s="42" t="s">
        <v>20</v>
      </c>
      <c r="C38" s="43" t="s">
        <v>267</v>
      </c>
      <c r="D38" s="44">
        <v>5387</v>
      </c>
      <c r="E38" s="42" t="s">
        <v>311</v>
      </c>
      <c r="F38" s="45" t="s">
        <v>384</v>
      </c>
      <c r="G38" s="207" t="s">
        <v>545</v>
      </c>
      <c r="H38" s="45" t="s">
        <v>386</v>
      </c>
      <c r="I38" s="47" t="s">
        <v>22</v>
      </c>
      <c r="J38" s="3">
        <v>0.7</v>
      </c>
      <c r="K38" s="20" t="s">
        <v>392</v>
      </c>
      <c r="L38" s="22" t="s">
        <v>393</v>
      </c>
      <c r="M38" s="22" t="s">
        <v>394</v>
      </c>
      <c r="N38" s="24">
        <v>0.05</v>
      </c>
      <c r="O38" s="24">
        <v>0.1</v>
      </c>
      <c r="P38" s="3"/>
      <c r="Q38" s="3">
        <f t="shared" si="1"/>
        <v>0</v>
      </c>
      <c r="R38" s="4">
        <f t="shared" si="6"/>
        <v>0</v>
      </c>
      <c r="S38" s="3" t="s">
        <v>23</v>
      </c>
      <c r="T38" s="193"/>
    </row>
    <row r="39" spans="1:20" ht="25.2" x14ac:dyDescent="0.3">
      <c r="A39" s="139"/>
      <c r="B39" s="42" t="s">
        <v>20</v>
      </c>
      <c r="C39" s="43" t="s">
        <v>267</v>
      </c>
      <c r="D39" s="44">
        <v>5387</v>
      </c>
      <c r="E39" s="42" t="s">
        <v>311</v>
      </c>
      <c r="F39" s="45" t="s">
        <v>384</v>
      </c>
      <c r="G39" s="207" t="s">
        <v>545</v>
      </c>
      <c r="H39" s="45" t="s">
        <v>386</v>
      </c>
      <c r="I39" s="47" t="s">
        <v>22</v>
      </c>
      <c r="J39" s="3">
        <v>0.7</v>
      </c>
      <c r="K39" s="20" t="s">
        <v>395</v>
      </c>
      <c r="L39" s="22" t="s">
        <v>396</v>
      </c>
      <c r="M39" s="22" t="s">
        <v>397</v>
      </c>
      <c r="N39" s="24">
        <v>0.9</v>
      </c>
      <c r="O39" s="24">
        <v>0.12</v>
      </c>
      <c r="P39" s="3"/>
      <c r="Q39" s="3">
        <f t="shared" si="1"/>
        <v>0</v>
      </c>
      <c r="R39" s="4">
        <f t="shared" si="6"/>
        <v>0</v>
      </c>
      <c r="S39" s="3" t="s">
        <v>23</v>
      </c>
      <c r="T39" s="193"/>
    </row>
    <row r="40" spans="1:20" ht="25.2" x14ac:dyDescent="0.3">
      <c r="A40" s="139"/>
      <c r="B40" s="42" t="s">
        <v>20</v>
      </c>
      <c r="C40" s="43" t="s">
        <v>267</v>
      </c>
      <c r="D40" s="44">
        <v>5387</v>
      </c>
      <c r="E40" s="42" t="s">
        <v>311</v>
      </c>
      <c r="F40" s="45" t="s">
        <v>384</v>
      </c>
      <c r="G40" s="207" t="s">
        <v>545</v>
      </c>
      <c r="H40" s="45" t="s">
        <v>386</v>
      </c>
      <c r="I40" s="47" t="s">
        <v>22</v>
      </c>
      <c r="J40" s="3">
        <v>0.7</v>
      </c>
      <c r="K40" s="20" t="s">
        <v>398</v>
      </c>
      <c r="L40" s="22" t="s">
        <v>399</v>
      </c>
      <c r="M40" s="22" t="s">
        <v>400</v>
      </c>
      <c r="N40" s="24">
        <v>1</v>
      </c>
      <c r="O40" s="24">
        <v>0.02</v>
      </c>
      <c r="P40" s="3"/>
      <c r="Q40" s="3">
        <f t="shared" si="1"/>
        <v>0</v>
      </c>
      <c r="R40" s="4">
        <f t="shared" si="6"/>
        <v>0</v>
      </c>
      <c r="S40" s="3" t="s">
        <v>23</v>
      </c>
      <c r="T40" s="193"/>
    </row>
    <row r="41" spans="1:20" ht="21.6" x14ac:dyDescent="0.3">
      <c r="A41" s="140"/>
      <c r="B41" s="33" t="s">
        <v>20</v>
      </c>
      <c r="C41" s="34" t="s">
        <v>267</v>
      </c>
      <c r="D41" s="35">
        <v>5387</v>
      </c>
      <c r="E41" s="33" t="s">
        <v>311</v>
      </c>
      <c r="F41" s="36" t="s">
        <v>384</v>
      </c>
      <c r="G41" s="208" t="s">
        <v>545</v>
      </c>
      <c r="H41" s="36" t="s">
        <v>386</v>
      </c>
      <c r="I41" s="37" t="s">
        <v>26</v>
      </c>
      <c r="J41" s="14">
        <v>0.3</v>
      </c>
      <c r="K41" s="28" t="s">
        <v>482</v>
      </c>
      <c r="L41" s="29" t="s">
        <v>486</v>
      </c>
      <c r="M41" s="29" t="s">
        <v>564</v>
      </c>
      <c r="N41" s="25">
        <v>1</v>
      </c>
      <c r="O41" s="25">
        <v>0.5</v>
      </c>
      <c r="P41" s="14"/>
      <c r="Q41" s="14">
        <f t="shared" si="1"/>
        <v>0</v>
      </c>
      <c r="R41" s="38">
        <f t="shared" si="6"/>
        <v>0</v>
      </c>
      <c r="S41" s="17" t="s">
        <v>23</v>
      </c>
      <c r="T41" s="146"/>
    </row>
    <row r="42" spans="1:20" ht="25.8" thickBot="1" x14ac:dyDescent="0.35">
      <c r="A42" s="140"/>
      <c r="B42" s="33" t="s">
        <v>20</v>
      </c>
      <c r="C42" s="34" t="s">
        <v>267</v>
      </c>
      <c r="D42" s="35">
        <v>5387</v>
      </c>
      <c r="E42" s="33" t="s">
        <v>311</v>
      </c>
      <c r="F42" s="36" t="s">
        <v>384</v>
      </c>
      <c r="G42" s="208" t="s">
        <v>545</v>
      </c>
      <c r="H42" s="36" t="s">
        <v>386</v>
      </c>
      <c r="I42" s="37" t="s">
        <v>26</v>
      </c>
      <c r="J42" s="14">
        <v>0.3</v>
      </c>
      <c r="K42" s="28" t="s">
        <v>484</v>
      </c>
      <c r="L42" s="29" t="s">
        <v>489</v>
      </c>
      <c r="M42" s="29" t="s">
        <v>564</v>
      </c>
      <c r="N42" s="25">
        <v>1</v>
      </c>
      <c r="O42" s="25">
        <v>0.5</v>
      </c>
      <c r="P42" s="14"/>
      <c r="Q42" s="14">
        <f t="shared" ref="Q42:Q109" si="7">ROUND(IF(OR(N42="",P42=""),0,IF(AND(N42=0,P42=0),1,IF(S42="+",P42/N42,N42/P42))),2)</f>
        <v>0</v>
      </c>
      <c r="R42" s="38">
        <f t="shared" si="6"/>
        <v>0</v>
      </c>
      <c r="S42" s="17" t="s">
        <v>23</v>
      </c>
      <c r="T42" s="146"/>
    </row>
    <row r="43" spans="1:20" ht="37.799999999999997" x14ac:dyDescent="0.3">
      <c r="A43" s="138"/>
      <c r="B43" s="71" t="s">
        <v>20</v>
      </c>
      <c r="C43" s="72" t="s">
        <v>267</v>
      </c>
      <c r="D43" s="73" t="s">
        <v>414</v>
      </c>
      <c r="E43" s="71" t="s">
        <v>415</v>
      </c>
      <c r="F43" s="74" t="s">
        <v>416</v>
      </c>
      <c r="G43" s="188" t="s">
        <v>545</v>
      </c>
      <c r="H43" s="74" t="s">
        <v>386</v>
      </c>
      <c r="I43" s="95" t="s">
        <v>22</v>
      </c>
      <c r="J43" s="76">
        <v>0.7</v>
      </c>
      <c r="K43" s="174" t="s">
        <v>512</v>
      </c>
      <c r="L43" s="175" t="s">
        <v>510</v>
      </c>
      <c r="M43" s="97" t="s">
        <v>408</v>
      </c>
      <c r="N43" s="79">
        <v>0.95</v>
      </c>
      <c r="O43" s="79">
        <v>0.18</v>
      </c>
      <c r="P43" s="76"/>
      <c r="Q43" s="76">
        <f t="shared" si="7"/>
        <v>0</v>
      </c>
      <c r="R43" s="80">
        <f t="shared" si="6"/>
        <v>0</v>
      </c>
      <c r="S43" s="76" t="s">
        <v>23</v>
      </c>
      <c r="T43" s="194">
        <f>SUM(R43:R53)%</f>
        <v>0</v>
      </c>
    </row>
    <row r="44" spans="1:20" ht="37.799999999999997" x14ac:dyDescent="0.3">
      <c r="A44" s="139"/>
      <c r="B44" s="42" t="s">
        <v>20</v>
      </c>
      <c r="C44" s="43" t="s">
        <v>267</v>
      </c>
      <c r="D44" s="44" t="s">
        <v>414</v>
      </c>
      <c r="E44" s="42" t="s">
        <v>415</v>
      </c>
      <c r="F44" s="45" t="s">
        <v>416</v>
      </c>
      <c r="G44" s="207" t="s">
        <v>545</v>
      </c>
      <c r="H44" s="45" t="s">
        <v>386</v>
      </c>
      <c r="I44" s="47" t="s">
        <v>22</v>
      </c>
      <c r="J44" s="3">
        <v>0.7</v>
      </c>
      <c r="K44" s="49" t="s">
        <v>513</v>
      </c>
      <c r="L44" s="176" t="s">
        <v>511</v>
      </c>
      <c r="M44" s="22" t="s">
        <v>411</v>
      </c>
      <c r="N44" s="24">
        <v>0.95</v>
      </c>
      <c r="O44" s="24">
        <v>0.18</v>
      </c>
      <c r="P44" s="3"/>
      <c r="Q44" s="3">
        <f t="shared" si="7"/>
        <v>0</v>
      </c>
      <c r="R44" s="4">
        <f t="shared" si="6"/>
        <v>0</v>
      </c>
      <c r="S44" s="3" t="s">
        <v>23</v>
      </c>
      <c r="T44" s="193"/>
    </row>
    <row r="45" spans="1:20" ht="25.2" x14ac:dyDescent="0.3">
      <c r="A45" s="139"/>
      <c r="B45" s="42" t="s">
        <v>20</v>
      </c>
      <c r="C45" s="43" t="s">
        <v>267</v>
      </c>
      <c r="D45" s="44" t="s">
        <v>414</v>
      </c>
      <c r="E45" s="42" t="s">
        <v>415</v>
      </c>
      <c r="F45" s="45" t="s">
        <v>416</v>
      </c>
      <c r="G45" s="207" t="s">
        <v>545</v>
      </c>
      <c r="H45" s="45" t="s">
        <v>386</v>
      </c>
      <c r="I45" s="47" t="s">
        <v>22</v>
      </c>
      <c r="J45" s="3">
        <v>0.7</v>
      </c>
      <c r="K45" s="20" t="s">
        <v>412</v>
      </c>
      <c r="L45" s="22" t="s">
        <v>413</v>
      </c>
      <c r="M45" s="22" t="s">
        <v>380</v>
      </c>
      <c r="N45" s="24">
        <v>0.7</v>
      </c>
      <c r="O45" s="24">
        <v>7.0000000000000007E-2</v>
      </c>
      <c r="P45" s="3"/>
      <c r="Q45" s="3">
        <f t="shared" si="7"/>
        <v>0</v>
      </c>
      <c r="R45" s="4">
        <f t="shared" si="6"/>
        <v>0</v>
      </c>
      <c r="S45" s="3" t="s">
        <v>23</v>
      </c>
      <c r="T45" s="193"/>
    </row>
    <row r="46" spans="1:20" ht="37.799999999999997" x14ac:dyDescent="0.3">
      <c r="A46" s="139"/>
      <c r="B46" s="42" t="s">
        <v>20</v>
      </c>
      <c r="C46" s="43" t="s">
        <v>267</v>
      </c>
      <c r="D46" s="44" t="s">
        <v>414</v>
      </c>
      <c r="E46" s="42" t="s">
        <v>415</v>
      </c>
      <c r="F46" s="45" t="s">
        <v>416</v>
      </c>
      <c r="G46" s="207" t="s">
        <v>545</v>
      </c>
      <c r="H46" s="45" t="s">
        <v>386</v>
      </c>
      <c r="I46" s="47" t="s">
        <v>22</v>
      </c>
      <c r="J46" s="3">
        <v>0.7</v>
      </c>
      <c r="K46" s="20" t="s">
        <v>387</v>
      </c>
      <c r="L46" s="22" t="s">
        <v>388</v>
      </c>
      <c r="M46" s="22" t="s">
        <v>377</v>
      </c>
      <c r="N46" s="24">
        <v>0.05</v>
      </c>
      <c r="O46" s="24">
        <v>0.08</v>
      </c>
      <c r="P46" s="3"/>
      <c r="Q46" s="3">
        <f t="shared" si="7"/>
        <v>0</v>
      </c>
      <c r="R46" s="4">
        <f t="shared" si="6"/>
        <v>0</v>
      </c>
      <c r="S46" s="3" t="s">
        <v>23</v>
      </c>
      <c r="T46" s="193"/>
    </row>
    <row r="47" spans="1:20" ht="25.2" x14ac:dyDescent="0.3">
      <c r="A47" s="139"/>
      <c r="B47" s="42" t="s">
        <v>20</v>
      </c>
      <c r="C47" s="43" t="s">
        <v>267</v>
      </c>
      <c r="D47" s="44" t="s">
        <v>414</v>
      </c>
      <c r="E47" s="42" t="s">
        <v>415</v>
      </c>
      <c r="F47" s="45" t="s">
        <v>416</v>
      </c>
      <c r="G47" s="207" t="s">
        <v>545</v>
      </c>
      <c r="H47" s="45" t="s">
        <v>386</v>
      </c>
      <c r="I47" s="47" t="s">
        <v>22</v>
      </c>
      <c r="J47" s="3">
        <v>0.7</v>
      </c>
      <c r="K47" s="20" t="s">
        <v>378</v>
      </c>
      <c r="L47" s="22" t="s">
        <v>389</v>
      </c>
      <c r="M47" s="22" t="s">
        <v>379</v>
      </c>
      <c r="N47" s="24">
        <v>1</v>
      </c>
      <c r="O47" s="24">
        <v>7.0000000000000007E-2</v>
      </c>
      <c r="P47" s="3"/>
      <c r="Q47" s="3">
        <f t="shared" si="7"/>
        <v>0</v>
      </c>
      <c r="R47" s="4">
        <f t="shared" si="6"/>
        <v>0</v>
      </c>
      <c r="S47" s="3" t="s">
        <v>23</v>
      </c>
      <c r="T47" s="193"/>
    </row>
    <row r="48" spans="1:20" ht="25.2" x14ac:dyDescent="0.3">
      <c r="A48" s="139"/>
      <c r="B48" s="42" t="s">
        <v>20</v>
      </c>
      <c r="C48" s="43" t="s">
        <v>267</v>
      </c>
      <c r="D48" s="44" t="s">
        <v>414</v>
      </c>
      <c r="E48" s="42" t="s">
        <v>415</v>
      </c>
      <c r="F48" s="45" t="s">
        <v>416</v>
      </c>
      <c r="G48" s="207" t="s">
        <v>545</v>
      </c>
      <c r="H48" s="45" t="s">
        <v>386</v>
      </c>
      <c r="I48" s="47" t="s">
        <v>22</v>
      </c>
      <c r="J48" s="3">
        <v>0.7</v>
      </c>
      <c r="K48" s="20" t="s">
        <v>390</v>
      </c>
      <c r="L48" s="22" t="s">
        <v>391</v>
      </c>
      <c r="M48" s="22" t="s">
        <v>382</v>
      </c>
      <c r="N48" s="24">
        <v>0.05</v>
      </c>
      <c r="O48" s="24">
        <v>0.18</v>
      </c>
      <c r="P48" s="3"/>
      <c r="Q48" s="3">
        <f t="shared" si="7"/>
        <v>0</v>
      </c>
      <c r="R48" s="4">
        <f t="shared" si="6"/>
        <v>0</v>
      </c>
      <c r="S48" s="3" t="s">
        <v>24</v>
      </c>
      <c r="T48" s="193"/>
    </row>
    <row r="49" spans="1:20" ht="37.799999999999997" x14ac:dyDescent="0.3">
      <c r="A49" s="139"/>
      <c r="B49" s="42" t="s">
        <v>20</v>
      </c>
      <c r="C49" s="43" t="s">
        <v>267</v>
      </c>
      <c r="D49" s="44" t="s">
        <v>414</v>
      </c>
      <c r="E49" s="42" t="s">
        <v>415</v>
      </c>
      <c r="F49" s="45" t="s">
        <v>416</v>
      </c>
      <c r="G49" s="207" t="s">
        <v>545</v>
      </c>
      <c r="H49" s="45" t="s">
        <v>386</v>
      </c>
      <c r="I49" s="47" t="s">
        <v>22</v>
      </c>
      <c r="J49" s="3">
        <v>0.7</v>
      </c>
      <c r="K49" s="20" t="s">
        <v>392</v>
      </c>
      <c r="L49" s="22" t="s">
        <v>393</v>
      </c>
      <c r="M49" s="22" t="s">
        <v>394</v>
      </c>
      <c r="N49" s="24">
        <v>0.05</v>
      </c>
      <c r="O49" s="24">
        <v>0.1</v>
      </c>
      <c r="P49" s="3"/>
      <c r="Q49" s="3">
        <f t="shared" si="7"/>
        <v>0</v>
      </c>
      <c r="R49" s="4">
        <f t="shared" si="6"/>
        <v>0</v>
      </c>
      <c r="S49" s="3" t="s">
        <v>23</v>
      </c>
      <c r="T49" s="193"/>
    </row>
    <row r="50" spans="1:20" ht="25.2" x14ac:dyDescent="0.3">
      <c r="A50" s="139"/>
      <c r="B50" s="42" t="s">
        <v>20</v>
      </c>
      <c r="C50" s="43" t="s">
        <v>267</v>
      </c>
      <c r="D50" s="44" t="s">
        <v>414</v>
      </c>
      <c r="E50" s="42" t="s">
        <v>415</v>
      </c>
      <c r="F50" s="45" t="s">
        <v>416</v>
      </c>
      <c r="G50" s="207" t="s">
        <v>545</v>
      </c>
      <c r="H50" s="45" t="s">
        <v>386</v>
      </c>
      <c r="I50" s="47" t="s">
        <v>22</v>
      </c>
      <c r="J50" s="3">
        <v>0.7</v>
      </c>
      <c r="K50" s="20" t="s">
        <v>395</v>
      </c>
      <c r="L50" s="22" t="s">
        <v>396</v>
      </c>
      <c r="M50" s="22" t="s">
        <v>397</v>
      </c>
      <c r="N50" s="24">
        <v>0.9</v>
      </c>
      <c r="O50" s="24">
        <v>0.12</v>
      </c>
      <c r="P50" s="3"/>
      <c r="Q50" s="3">
        <f t="shared" si="7"/>
        <v>0</v>
      </c>
      <c r="R50" s="4">
        <f t="shared" si="6"/>
        <v>0</v>
      </c>
      <c r="S50" s="3" t="s">
        <v>23</v>
      </c>
      <c r="T50" s="193"/>
    </row>
    <row r="51" spans="1:20" ht="25.2" x14ac:dyDescent="0.3">
      <c r="A51" s="139"/>
      <c r="B51" s="42" t="s">
        <v>20</v>
      </c>
      <c r="C51" s="43" t="s">
        <v>267</v>
      </c>
      <c r="D51" s="44" t="s">
        <v>414</v>
      </c>
      <c r="E51" s="42" t="s">
        <v>415</v>
      </c>
      <c r="F51" s="45" t="s">
        <v>416</v>
      </c>
      <c r="G51" s="207" t="s">
        <v>545</v>
      </c>
      <c r="H51" s="45" t="s">
        <v>386</v>
      </c>
      <c r="I51" s="47" t="s">
        <v>22</v>
      </c>
      <c r="J51" s="3">
        <v>0.7</v>
      </c>
      <c r="K51" s="20" t="s">
        <v>398</v>
      </c>
      <c r="L51" s="22" t="s">
        <v>399</v>
      </c>
      <c r="M51" s="22" t="s">
        <v>400</v>
      </c>
      <c r="N51" s="24">
        <v>1</v>
      </c>
      <c r="O51" s="24">
        <v>0.02</v>
      </c>
      <c r="P51" s="3"/>
      <c r="Q51" s="3">
        <f t="shared" si="7"/>
        <v>0</v>
      </c>
      <c r="R51" s="4">
        <f t="shared" si="6"/>
        <v>0</v>
      </c>
      <c r="S51" s="3" t="s">
        <v>23</v>
      </c>
      <c r="T51" s="193"/>
    </row>
    <row r="52" spans="1:20" ht="25.2" x14ac:dyDescent="0.3">
      <c r="A52" s="140"/>
      <c r="B52" s="33" t="s">
        <v>20</v>
      </c>
      <c r="C52" s="34" t="s">
        <v>267</v>
      </c>
      <c r="D52" s="35" t="s">
        <v>414</v>
      </c>
      <c r="E52" s="33" t="s">
        <v>415</v>
      </c>
      <c r="F52" s="36" t="s">
        <v>416</v>
      </c>
      <c r="G52" s="208" t="s">
        <v>545</v>
      </c>
      <c r="H52" s="36" t="s">
        <v>386</v>
      </c>
      <c r="I52" s="37" t="s">
        <v>26</v>
      </c>
      <c r="J52" s="14">
        <v>0.3</v>
      </c>
      <c r="K52" s="28" t="s">
        <v>484</v>
      </c>
      <c r="L52" s="29" t="s">
        <v>489</v>
      </c>
      <c r="M52" s="29"/>
      <c r="N52" s="25">
        <v>1</v>
      </c>
      <c r="O52" s="25">
        <v>0.5</v>
      </c>
      <c r="P52" s="14"/>
      <c r="Q52" s="14">
        <f t="shared" si="7"/>
        <v>0</v>
      </c>
      <c r="R52" s="38">
        <f t="shared" si="6"/>
        <v>0</v>
      </c>
      <c r="S52" s="17" t="s">
        <v>23</v>
      </c>
      <c r="T52" s="146"/>
    </row>
    <row r="53" spans="1:20" ht="22.2" thickBot="1" x14ac:dyDescent="0.35">
      <c r="A53" s="140"/>
      <c r="B53" s="33" t="s">
        <v>20</v>
      </c>
      <c r="C53" s="34" t="s">
        <v>267</v>
      </c>
      <c r="D53" s="35" t="s">
        <v>414</v>
      </c>
      <c r="E53" s="33" t="s">
        <v>415</v>
      </c>
      <c r="F53" s="36" t="s">
        <v>416</v>
      </c>
      <c r="G53" s="208" t="s">
        <v>545</v>
      </c>
      <c r="H53" s="36" t="s">
        <v>386</v>
      </c>
      <c r="I53" s="37" t="s">
        <v>26</v>
      </c>
      <c r="J53" s="14">
        <v>0.3</v>
      </c>
      <c r="K53" s="28" t="s">
        <v>482</v>
      </c>
      <c r="L53" s="29" t="s">
        <v>486</v>
      </c>
      <c r="M53" s="29"/>
      <c r="N53" s="25">
        <v>1</v>
      </c>
      <c r="O53" s="25">
        <v>0.5</v>
      </c>
      <c r="P53" s="14"/>
      <c r="Q53" s="14">
        <f t="shared" si="7"/>
        <v>0</v>
      </c>
      <c r="R53" s="38">
        <f t="shared" si="6"/>
        <v>0</v>
      </c>
      <c r="S53" s="17" t="s">
        <v>23</v>
      </c>
      <c r="T53" s="146"/>
    </row>
    <row r="54" spans="1:20" ht="37.799999999999997" x14ac:dyDescent="0.3">
      <c r="A54" s="138"/>
      <c r="B54" s="71" t="s">
        <v>20</v>
      </c>
      <c r="C54" s="72" t="s">
        <v>267</v>
      </c>
      <c r="D54" s="73" t="s">
        <v>370</v>
      </c>
      <c r="E54" s="71" t="s">
        <v>30</v>
      </c>
      <c r="F54" s="74" t="s">
        <v>384</v>
      </c>
      <c r="G54" s="188" t="s">
        <v>368</v>
      </c>
      <c r="H54" s="74" t="s">
        <v>417</v>
      </c>
      <c r="I54" s="95" t="s">
        <v>22</v>
      </c>
      <c r="J54" s="76">
        <v>0.7</v>
      </c>
      <c r="K54" s="174" t="s">
        <v>512</v>
      </c>
      <c r="L54" s="175" t="s">
        <v>510</v>
      </c>
      <c r="M54" s="97" t="s">
        <v>408</v>
      </c>
      <c r="N54" s="79">
        <v>0.95</v>
      </c>
      <c r="O54" s="79">
        <v>0.15</v>
      </c>
      <c r="P54" s="76"/>
      <c r="Q54" s="76">
        <f t="shared" si="7"/>
        <v>0</v>
      </c>
      <c r="R54" s="80">
        <f t="shared" si="6"/>
        <v>0</v>
      </c>
      <c r="S54" s="76" t="s">
        <v>23</v>
      </c>
      <c r="T54" s="194">
        <f>SUM(R54:R63)%</f>
        <v>0</v>
      </c>
    </row>
    <row r="55" spans="1:20" ht="37.799999999999997" x14ac:dyDescent="0.3">
      <c r="A55" s="139"/>
      <c r="B55" s="42" t="s">
        <v>20</v>
      </c>
      <c r="C55" s="43" t="s">
        <v>267</v>
      </c>
      <c r="D55" s="44" t="s">
        <v>370</v>
      </c>
      <c r="E55" s="42" t="s">
        <v>30</v>
      </c>
      <c r="F55" s="45" t="s">
        <v>384</v>
      </c>
      <c r="G55" s="207" t="s">
        <v>368</v>
      </c>
      <c r="H55" s="45" t="s">
        <v>417</v>
      </c>
      <c r="I55" s="47" t="s">
        <v>22</v>
      </c>
      <c r="J55" s="3">
        <v>0.7</v>
      </c>
      <c r="K55" s="49" t="s">
        <v>513</v>
      </c>
      <c r="L55" s="176" t="s">
        <v>511</v>
      </c>
      <c r="M55" s="22" t="s">
        <v>411</v>
      </c>
      <c r="N55" s="24">
        <v>0.95</v>
      </c>
      <c r="O55" s="24">
        <v>0.15</v>
      </c>
      <c r="P55" s="51"/>
      <c r="Q55" s="3">
        <f t="shared" si="7"/>
        <v>0</v>
      </c>
      <c r="R55" s="4">
        <f t="shared" si="6"/>
        <v>0</v>
      </c>
      <c r="S55" s="3" t="s">
        <v>23</v>
      </c>
      <c r="T55" s="193"/>
    </row>
    <row r="56" spans="1:20" ht="25.2" x14ac:dyDescent="0.3">
      <c r="A56" s="139"/>
      <c r="B56" s="42" t="s">
        <v>20</v>
      </c>
      <c r="C56" s="43" t="s">
        <v>267</v>
      </c>
      <c r="D56" s="44" t="s">
        <v>370</v>
      </c>
      <c r="E56" s="42" t="s">
        <v>30</v>
      </c>
      <c r="F56" s="45" t="s">
        <v>384</v>
      </c>
      <c r="G56" s="207" t="s">
        <v>368</v>
      </c>
      <c r="H56" s="45" t="s">
        <v>417</v>
      </c>
      <c r="I56" s="47" t="s">
        <v>22</v>
      </c>
      <c r="J56" s="3">
        <v>0.7</v>
      </c>
      <c r="K56" s="20" t="s">
        <v>412</v>
      </c>
      <c r="L56" s="22" t="s">
        <v>413</v>
      </c>
      <c r="M56" s="22" t="s">
        <v>380</v>
      </c>
      <c r="N56" s="24">
        <v>0.7</v>
      </c>
      <c r="O56" s="24">
        <v>0.1</v>
      </c>
      <c r="P56" s="3"/>
      <c r="Q56" s="3">
        <f t="shared" si="7"/>
        <v>0</v>
      </c>
      <c r="R56" s="4">
        <f t="shared" si="6"/>
        <v>0</v>
      </c>
      <c r="S56" s="3" t="s">
        <v>23</v>
      </c>
      <c r="T56" s="193"/>
    </row>
    <row r="57" spans="1:20" ht="37.799999999999997" x14ac:dyDescent="0.3">
      <c r="A57" s="139"/>
      <c r="B57" s="42" t="s">
        <v>20</v>
      </c>
      <c r="C57" s="43" t="s">
        <v>267</v>
      </c>
      <c r="D57" s="44" t="s">
        <v>370</v>
      </c>
      <c r="E57" s="42" t="s">
        <v>30</v>
      </c>
      <c r="F57" s="45" t="s">
        <v>384</v>
      </c>
      <c r="G57" s="207" t="s">
        <v>368</v>
      </c>
      <c r="H57" s="45" t="s">
        <v>417</v>
      </c>
      <c r="I57" s="47" t="s">
        <v>22</v>
      </c>
      <c r="J57" s="3">
        <v>0.7</v>
      </c>
      <c r="K57" s="20" t="s">
        <v>387</v>
      </c>
      <c r="L57" s="22" t="s">
        <v>388</v>
      </c>
      <c r="M57" s="22" t="s">
        <v>377</v>
      </c>
      <c r="N57" s="24">
        <v>0.05</v>
      </c>
      <c r="O57" s="24">
        <v>0.08</v>
      </c>
      <c r="P57" s="3"/>
      <c r="Q57" s="3">
        <f t="shared" si="7"/>
        <v>0</v>
      </c>
      <c r="R57" s="4">
        <f t="shared" si="6"/>
        <v>0</v>
      </c>
      <c r="S57" s="3" t="s">
        <v>23</v>
      </c>
      <c r="T57" s="193"/>
    </row>
    <row r="58" spans="1:20" ht="25.2" x14ac:dyDescent="0.3">
      <c r="A58" s="139"/>
      <c r="B58" s="42" t="s">
        <v>20</v>
      </c>
      <c r="C58" s="43" t="s">
        <v>267</v>
      </c>
      <c r="D58" s="44" t="s">
        <v>370</v>
      </c>
      <c r="E58" s="42" t="s">
        <v>30</v>
      </c>
      <c r="F58" s="45" t="s">
        <v>384</v>
      </c>
      <c r="G58" s="207" t="s">
        <v>368</v>
      </c>
      <c r="H58" s="45" t="s">
        <v>417</v>
      </c>
      <c r="I58" s="47" t="s">
        <v>22</v>
      </c>
      <c r="J58" s="3">
        <v>0.7</v>
      </c>
      <c r="K58" s="20" t="s">
        <v>378</v>
      </c>
      <c r="L58" s="22" t="s">
        <v>389</v>
      </c>
      <c r="M58" s="22" t="s">
        <v>379</v>
      </c>
      <c r="N58" s="24">
        <v>1</v>
      </c>
      <c r="O58" s="24">
        <v>0.1</v>
      </c>
      <c r="P58" s="3"/>
      <c r="Q58" s="3">
        <f t="shared" si="7"/>
        <v>0</v>
      </c>
      <c r="R58" s="4">
        <f t="shared" si="6"/>
        <v>0</v>
      </c>
      <c r="S58" s="3" t="s">
        <v>23</v>
      </c>
      <c r="T58" s="193"/>
    </row>
    <row r="59" spans="1:20" ht="25.2" x14ac:dyDescent="0.3">
      <c r="A59" s="139"/>
      <c r="B59" s="42" t="s">
        <v>20</v>
      </c>
      <c r="C59" s="43" t="s">
        <v>267</v>
      </c>
      <c r="D59" s="44" t="s">
        <v>370</v>
      </c>
      <c r="E59" s="42" t="s">
        <v>30</v>
      </c>
      <c r="F59" s="45" t="s">
        <v>384</v>
      </c>
      <c r="G59" s="207" t="s">
        <v>368</v>
      </c>
      <c r="H59" s="45" t="s">
        <v>417</v>
      </c>
      <c r="I59" s="47" t="s">
        <v>22</v>
      </c>
      <c r="J59" s="3">
        <v>0.7</v>
      </c>
      <c r="K59" s="20" t="s">
        <v>390</v>
      </c>
      <c r="L59" s="22" t="s">
        <v>391</v>
      </c>
      <c r="M59" s="22" t="s">
        <v>382</v>
      </c>
      <c r="N59" s="24">
        <v>0.05</v>
      </c>
      <c r="O59" s="24">
        <v>0.15</v>
      </c>
      <c r="P59" s="3"/>
      <c r="Q59" s="3">
        <f t="shared" si="7"/>
        <v>0</v>
      </c>
      <c r="R59" s="4">
        <f t="shared" si="6"/>
        <v>0</v>
      </c>
      <c r="S59" s="3" t="s">
        <v>24</v>
      </c>
      <c r="T59" s="193"/>
    </row>
    <row r="60" spans="1:20" ht="37.799999999999997" x14ac:dyDescent="0.3">
      <c r="A60" s="139"/>
      <c r="B60" s="42" t="s">
        <v>20</v>
      </c>
      <c r="C60" s="43" t="s">
        <v>267</v>
      </c>
      <c r="D60" s="44" t="s">
        <v>370</v>
      </c>
      <c r="E60" s="42" t="s">
        <v>30</v>
      </c>
      <c r="F60" s="45" t="s">
        <v>384</v>
      </c>
      <c r="G60" s="207" t="s">
        <v>368</v>
      </c>
      <c r="H60" s="45" t="s">
        <v>417</v>
      </c>
      <c r="I60" s="47" t="s">
        <v>22</v>
      </c>
      <c r="J60" s="3">
        <v>0.7</v>
      </c>
      <c r="K60" s="20" t="s">
        <v>392</v>
      </c>
      <c r="L60" s="22" t="s">
        <v>393</v>
      </c>
      <c r="M60" s="22" t="s">
        <v>394</v>
      </c>
      <c r="N60" s="24">
        <v>0.05</v>
      </c>
      <c r="O60" s="24">
        <v>0.1</v>
      </c>
      <c r="P60" s="3"/>
      <c r="Q60" s="3">
        <f t="shared" si="7"/>
        <v>0</v>
      </c>
      <c r="R60" s="4">
        <f t="shared" si="6"/>
        <v>0</v>
      </c>
      <c r="S60" s="3" t="s">
        <v>23</v>
      </c>
      <c r="T60" s="193"/>
    </row>
    <row r="61" spans="1:20" ht="25.2" x14ac:dyDescent="0.3">
      <c r="A61" s="139"/>
      <c r="B61" s="42" t="s">
        <v>20</v>
      </c>
      <c r="C61" s="43" t="s">
        <v>267</v>
      </c>
      <c r="D61" s="44" t="s">
        <v>370</v>
      </c>
      <c r="E61" s="42" t="s">
        <v>30</v>
      </c>
      <c r="F61" s="45" t="s">
        <v>384</v>
      </c>
      <c r="G61" s="207" t="s">
        <v>368</v>
      </c>
      <c r="H61" s="45" t="s">
        <v>417</v>
      </c>
      <c r="I61" s="47" t="s">
        <v>22</v>
      </c>
      <c r="J61" s="3">
        <v>0.7</v>
      </c>
      <c r="K61" s="20" t="s">
        <v>395</v>
      </c>
      <c r="L61" s="22" t="s">
        <v>396</v>
      </c>
      <c r="M61" s="22" t="s">
        <v>397</v>
      </c>
      <c r="N61" s="24">
        <v>0.9</v>
      </c>
      <c r="O61" s="24">
        <v>0.12</v>
      </c>
      <c r="P61" s="51"/>
      <c r="Q61" s="3">
        <f t="shared" si="7"/>
        <v>0</v>
      </c>
      <c r="R61" s="4">
        <f t="shared" si="6"/>
        <v>0</v>
      </c>
      <c r="S61" s="3" t="s">
        <v>23</v>
      </c>
      <c r="T61" s="193"/>
    </row>
    <row r="62" spans="1:20" ht="25.2" x14ac:dyDescent="0.3">
      <c r="A62" s="139"/>
      <c r="B62" s="42" t="s">
        <v>20</v>
      </c>
      <c r="C62" s="43" t="s">
        <v>267</v>
      </c>
      <c r="D62" s="44" t="s">
        <v>370</v>
      </c>
      <c r="E62" s="42" t="s">
        <v>30</v>
      </c>
      <c r="F62" s="45" t="s">
        <v>384</v>
      </c>
      <c r="G62" s="207" t="s">
        <v>368</v>
      </c>
      <c r="H62" s="45" t="s">
        <v>417</v>
      </c>
      <c r="I62" s="47" t="s">
        <v>22</v>
      </c>
      <c r="J62" s="3">
        <v>0.7</v>
      </c>
      <c r="K62" s="20" t="s">
        <v>398</v>
      </c>
      <c r="L62" s="22" t="s">
        <v>399</v>
      </c>
      <c r="M62" s="22" t="s">
        <v>400</v>
      </c>
      <c r="N62" s="24">
        <v>1</v>
      </c>
      <c r="O62" s="24">
        <v>0.05</v>
      </c>
      <c r="P62" s="3"/>
      <c r="Q62" s="3">
        <f t="shared" si="7"/>
        <v>0</v>
      </c>
      <c r="R62" s="4">
        <f t="shared" si="6"/>
        <v>0</v>
      </c>
      <c r="S62" s="3" t="s">
        <v>23</v>
      </c>
      <c r="T62" s="193"/>
    </row>
    <row r="63" spans="1:20" ht="25.8" thickBot="1" x14ac:dyDescent="0.35">
      <c r="A63" s="140"/>
      <c r="B63" s="33" t="s">
        <v>20</v>
      </c>
      <c r="C63" s="34" t="s">
        <v>267</v>
      </c>
      <c r="D63" s="35" t="s">
        <v>370</v>
      </c>
      <c r="E63" s="33" t="s">
        <v>30</v>
      </c>
      <c r="F63" s="36" t="s">
        <v>384</v>
      </c>
      <c r="G63" s="208" t="s">
        <v>368</v>
      </c>
      <c r="H63" s="36" t="s">
        <v>417</v>
      </c>
      <c r="I63" s="37" t="s">
        <v>26</v>
      </c>
      <c r="J63" s="14">
        <v>0.3</v>
      </c>
      <c r="K63" s="28" t="s">
        <v>419</v>
      </c>
      <c r="L63" s="29" t="s">
        <v>420</v>
      </c>
      <c r="M63" s="29"/>
      <c r="N63" s="25">
        <v>1</v>
      </c>
      <c r="O63" s="25">
        <v>1</v>
      </c>
      <c r="P63" s="14"/>
      <c r="Q63" s="14">
        <f t="shared" si="7"/>
        <v>0</v>
      </c>
      <c r="R63" s="38">
        <f t="shared" si="6"/>
        <v>0</v>
      </c>
      <c r="S63" s="17" t="s">
        <v>23</v>
      </c>
      <c r="T63" s="146"/>
    </row>
    <row r="64" spans="1:20" ht="37.799999999999997" x14ac:dyDescent="0.3">
      <c r="A64" s="138"/>
      <c r="B64" s="71" t="s">
        <v>20</v>
      </c>
      <c r="C64" s="72" t="s">
        <v>267</v>
      </c>
      <c r="D64" s="73" t="s">
        <v>421</v>
      </c>
      <c r="E64" s="71" t="s">
        <v>340</v>
      </c>
      <c r="F64" s="74" t="s">
        <v>384</v>
      </c>
      <c r="G64" s="188" t="s">
        <v>545</v>
      </c>
      <c r="H64" s="74" t="s">
        <v>418</v>
      </c>
      <c r="I64" s="95" t="s">
        <v>22</v>
      </c>
      <c r="J64" s="76">
        <v>0.6</v>
      </c>
      <c r="K64" s="174" t="s">
        <v>512</v>
      </c>
      <c r="L64" s="175" t="s">
        <v>510</v>
      </c>
      <c r="M64" s="97" t="s">
        <v>408</v>
      </c>
      <c r="N64" s="79">
        <v>0.95</v>
      </c>
      <c r="O64" s="79">
        <v>0.18</v>
      </c>
      <c r="P64" s="76"/>
      <c r="Q64" s="76">
        <f t="shared" si="7"/>
        <v>0</v>
      </c>
      <c r="R64" s="80">
        <f t="shared" si="6"/>
        <v>0</v>
      </c>
      <c r="S64" s="76" t="s">
        <v>23</v>
      </c>
      <c r="T64" s="194">
        <f>SUM(R64:R74)%</f>
        <v>0</v>
      </c>
    </row>
    <row r="65" spans="1:20" ht="37.799999999999997" x14ac:dyDescent="0.3">
      <c r="A65" s="139"/>
      <c r="B65" s="42" t="s">
        <v>20</v>
      </c>
      <c r="C65" s="43" t="s">
        <v>267</v>
      </c>
      <c r="D65" s="44" t="s">
        <v>421</v>
      </c>
      <c r="E65" s="42" t="s">
        <v>340</v>
      </c>
      <c r="F65" s="45" t="s">
        <v>384</v>
      </c>
      <c r="G65" s="207" t="s">
        <v>545</v>
      </c>
      <c r="H65" s="45" t="s">
        <v>418</v>
      </c>
      <c r="I65" s="47" t="s">
        <v>22</v>
      </c>
      <c r="J65" s="3">
        <v>0.6</v>
      </c>
      <c r="K65" s="49" t="s">
        <v>513</v>
      </c>
      <c r="L65" s="176" t="s">
        <v>511</v>
      </c>
      <c r="M65" s="22" t="s">
        <v>411</v>
      </c>
      <c r="N65" s="24">
        <v>0.95</v>
      </c>
      <c r="O65" s="24">
        <v>0.18</v>
      </c>
      <c r="P65" s="3"/>
      <c r="Q65" s="3">
        <f t="shared" si="7"/>
        <v>0</v>
      </c>
      <c r="R65" s="4">
        <f t="shared" ref="R65:R129" si="8">IF(AND(Q65&gt;=60%,Q65&lt;100%),Q65*((O65*J65)),IF(Q65=100%,((O65*J65)*Q65)*100%,IF(Q65&gt;100%,((J65*O65)*100%)*100%,0)))*100</f>
        <v>0</v>
      </c>
      <c r="S65" s="3" t="s">
        <v>23</v>
      </c>
      <c r="T65" s="193"/>
    </row>
    <row r="66" spans="1:20" ht="25.2" x14ac:dyDescent="0.3">
      <c r="A66" s="139"/>
      <c r="B66" s="42" t="s">
        <v>20</v>
      </c>
      <c r="C66" s="43" t="s">
        <v>267</v>
      </c>
      <c r="D66" s="44" t="s">
        <v>421</v>
      </c>
      <c r="E66" s="42" t="s">
        <v>340</v>
      </c>
      <c r="F66" s="45" t="s">
        <v>384</v>
      </c>
      <c r="G66" s="207" t="s">
        <v>545</v>
      </c>
      <c r="H66" s="45" t="s">
        <v>418</v>
      </c>
      <c r="I66" s="47" t="s">
        <v>22</v>
      </c>
      <c r="J66" s="3">
        <v>0.6</v>
      </c>
      <c r="K66" s="20" t="s">
        <v>412</v>
      </c>
      <c r="L66" s="22" t="s">
        <v>413</v>
      </c>
      <c r="M66" s="22" t="s">
        <v>380</v>
      </c>
      <c r="N66" s="24">
        <v>0.7</v>
      </c>
      <c r="O66" s="24">
        <v>7.0000000000000007E-2</v>
      </c>
      <c r="P66" s="3"/>
      <c r="Q66" s="3">
        <f t="shared" si="7"/>
        <v>0</v>
      </c>
      <c r="R66" s="4">
        <f t="shared" si="8"/>
        <v>0</v>
      </c>
      <c r="S66" s="3" t="s">
        <v>23</v>
      </c>
      <c r="T66" s="193"/>
    </row>
    <row r="67" spans="1:20" ht="37.799999999999997" x14ac:dyDescent="0.3">
      <c r="A67" s="139"/>
      <c r="B67" s="42" t="s">
        <v>20</v>
      </c>
      <c r="C67" s="43" t="s">
        <v>267</v>
      </c>
      <c r="D67" s="44" t="s">
        <v>421</v>
      </c>
      <c r="E67" s="42" t="s">
        <v>340</v>
      </c>
      <c r="F67" s="45" t="s">
        <v>384</v>
      </c>
      <c r="G67" s="207" t="s">
        <v>545</v>
      </c>
      <c r="H67" s="45" t="s">
        <v>418</v>
      </c>
      <c r="I67" s="47" t="s">
        <v>22</v>
      </c>
      <c r="J67" s="3">
        <v>0.7</v>
      </c>
      <c r="K67" s="20" t="s">
        <v>387</v>
      </c>
      <c r="L67" s="22" t="s">
        <v>388</v>
      </c>
      <c r="M67" s="22" t="s">
        <v>377</v>
      </c>
      <c r="N67" s="24">
        <v>0.05</v>
      </c>
      <c r="O67" s="24">
        <v>0.08</v>
      </c>
      <c r="P67" s="3"/>
      <c r="Q67" s="3">
        <f t="shared" si="7"/>
        <v>0</v>
      </c>
      <c r="R67" s="4">
        <f t="shared" si="8"/>
        <v>0</v>
      </c>
      <c r="S67" s="3" t="s">
        <v>23</v>
      </c>
      <c r="T67" s="193"/>
    </row>
    <row r="68" spans="1:20" ht="25.2" x14ac:dyDescent="0.3">
      <c r="A68" s="139"/>
      <c r="B68" s="42" t="s">
        <v>20</v>
      </c>
      <c r="C68" s="43" t="s">
        <v>267</v>
      </c>
      <c r="D68" s="44" t="s">
        <v>421</v>
      </c>
      <c r="E68" s="42" t="s">
        <v>340</v>
      </c>
      <c r="F68" s="45" t="s">
        <v>384</v>
      </c>
      <c r="G68" s="207" t="s">
        <v>545</v>
      </c>
      <c r="H68" s="45" t="s">
        <v>418</v>
      </c>
      <c r="I68" s="47" t="s">
        <v>22</v>
      </c>
      <c r="J68" s="3">
        <v>0.7</v>
      </c>
      <c r="K68" s="20" t="s">
        <v>378</v>
      </c>
      <c r="L68" s="22" t="s">
        <v>389</v>
      </c>
      <c r="M68" s="22" t="s">
        <v>379</v>
      </c>
      <c r="N68" s="24">
        <v>1</v>
      </c>
      <c r="O68" s="24">
        <v>7.0000000000000007E-2</v>
      </c>
      <c r="P68" s="3"/>
      <c r="Q68" s="3">
        <f t="shared" si="7"/>
        <v>0</v>
      </c>
      <c r="R68" s="4">
        <f t="shared" si="8"/>
        <v>0</v>
      </c>
      <c r="S68" s="3" t="s">
        <v>23</v>
      </c>
      <c r="T68" s="193"/>
    </row>
    <row r="69" spans="1:20" ht="25.2" x14ac:dyDescent="0.3">
      <c r="A69" s="139"/>
      <c r="B69" s="42" t="s">
        <v>20</v>
      </c>
      <c r="C69" s="43" t="s">
        <v>267</v>
      </c>
      <c r="D69" s="44" t="s">
        <v>421</v>
      </c>
      <c r="E69" s="42" t="s">
        <v>340</v>
      </c>
      <c r="F69" s="45" t="s">
        <v>384</v>
      </c>
      <c r="G69" s="207" t="s">
        <v>545</v>
      </c>
      <c r="H69" s="45" t="s">
        <v>418</v>
      </c>
      <c r="I69" s="47" t="s">
        <v>22</v>
      </c>
      <c r="J69" s="3">
        <v>0.7</v>
      </c>
      <c r="K69" s="20" t="s">
        <v>390</v>
      </c>
      <c r="L69" s="22" t="s">
        <v>391</v>
      </c>
      <c r="M69" s="22" t="s">
        <v>382</v>
      </c>
      <c r="N69" s="24">
        <v>0.05</v>
      </c>
      <c r="O69" s="24">
        <v>0.18</v>
      </c>
      <c r="P69" s="3"/>
      <c r="Q69" s="3">
        <f t="shared" si="7"/>
        <v>0</v>
      </c>
      <c r="R69" s="4">
        <f t="shared" si="8"/>
        <v>0</v>
      </c>
      <c r="S69" s="3" t="s">
        <v>24</v>
      </c>
      <c r="T69" s="193"/>
    </row>
    <row r="70" spans="1:20" ht="37.799999999999997" x14ac:dyDescent="0.3">
      <c r="A70" s="139"/>
      <c r="B70" s="42" t="s">
        <v>20</v>
      </c>
      <c r="C70" s="43" t="s">
        <v>267</v>
      </c>
      <c r="D70" s="44" t="s">
        <v>421</v>
      </c>
      <c r="E70" s="42" t="s">
        <v>340</v>
      </c>
      <c r="F70" s="45" t="s">
        <v>384</v>
      </c>
      <c r="G70" s="207" t="s">
        <v>545</v>
      </c>
      <c r="H70" s="45" t="s">
        <v>418</v>
      </c>
      <c r="I70" s="47" t="s">
        <v>22</v>
      </c>
      <c r="J70" s="3">
        <v>0.7</v>
      </c>
      <c r="K70" s="20" t="s">
        <v>392</v>
      </c>
      <c r="L70" s="22" t="s">
        <v>393</v>
      </c>
      <c r="M70" s="22" t="s">
        <v>394</v>
      </c>
      <c r="N70" s="24">
        <v>0.05</v>
      </c>
      <c r="O70" s="24">
        <v>0.1</v>
      </c>
      <c r="P70" s="3"/>
      <c r="Q70" s="3">
        <f t="shared" si="7"/>
        <v>0</v>
      </c>
      <c r="R70" s="4">
        <f t="shared" si="8"/>
        <v>0</v>
      </c>
      <c r="S70" s="3" t="s">
        <v>23</v>
      </c>
      <c r="T70" s="193"/>
    </row>
    <row r="71" spans="1:20" ht="25.2" x14ac:dyDescent="0.3">
      <c r="A71" s="139"/>
      <c r="B71" s="42" t="s">
        <v>20</v>
      </c>
      <c r="C71" s="43" t="s">
        <v>267</v>
      </c>
      <c r="D71" s="44" t="s">
        <v>421</v>
      </c>
      <c r="E71" s="42" t="s">
        <v>340</v>
      </c>
      <c r="F71" s="45" t="s">
        <v>384</v>
      </c>
      <c r="G71" s="207" t="s">
        <v>545</v>
      </c>
      <c r="H71" s="45" t="s">
        <v>418</v>
      </c>
      <c r="I71" s="47" t="s">
        <v>22</v>
      </c>
      <c r="J71" s="3">
        <v>0.7</v>
      </c>
      <c r="K71" s="20" t="s">
        <v>395</v>
      </c>
      <c r="L71" s="22" t="s">
        <v>396</v>
      </c>
      <c r="M71" s="22" t="s">
        <v>397</v>
      </c>
      <c r="N71" s="24">
        <v>0.9</v>
      </c>
      <c r="O71" s="24">
        <v>0.12</v>
      </c>
      <c r="P71" s="3"/>
      <c r="Q71" s="3">
        <f t="shared" si="7"/>
        <v>0</v>
      </c>
      <c r="R71" s="4">
        <f t="shared" si="8"/>
        <v>0</v>
      </c>
      <c r="S71" s="3" t="s">
        <v>23</v>
      </c>
      <c r="T71" s="193"/>
    </row>
    <row r="72" spans="1:20" ht="25.2" x14ac:dyDescent="0.3">
      <c r="A72" s="139"/>
      <c r="B72" s="42" t="s">
        <v>20</v>
      </c>
      <c r="C72" s="43" t="s">
        <v>267</v>
      </c>
      <c r="D72" s="44" t="s">
        <v>421</v>
      </c>
      <c r="E72" s="42" t="s">
        <v>340</v>
      </c>
      <c r="F72" s="45" t="s">
        <v>384</v>
      </c>
      <c r="G72" s="207" t="s">
        <v>545</v>
      </c>
      <c r="H72" s="45" t="s">
        <v>418</v>
      </c>
      <c r="I72" s="47" t="s">
        <v>22</v>
      </c>
      <c r="J72" s="3">
        <v>0.7</v>
      </c>
      <c r="K72" s="20" t="s">
        <v>398</v>
      </c>
      <c r="L72" s="22" t="s">
        <v>399</v>
      </c>
      <c r="M72" s="22" t="s">
        <v>400</v>
      </c>
      <c r="N72" s="24">
        <v>1</v>
      </c>
      <c r="O72" s="24">
        <v>0.02</v>
      </c>
      <c r="P72" s="3"/>
      <c r="Q72" s="3">
        <f t="shared" si="7"/>
        <v>0</v>
      </c>
      <c r="R72" s="4">
        <f t="shared" si="8"/>
        <v>0</v>
      </c>
      <c r="S72" s="3" t="s">
        <v>23</v>
      </c>
      <c r="T72" s="193"/>
    </row>
    <row r="73" spans="1:20" ht="37.799999999999997" x14ac:dyDescent="0.3">
      <c r="A73" s="140"/>
      <c r="B73" s="33" t="s">
        <v>20</v>
      </c>
      <c r="C73" s="34" t="s">
        <v>267</v>
      </c>
      <c r="D73" s="35" t="s">
        <v>421</v>
      </c>
      <c r="E73" s="33" t="s">
        <v>340</v>
      </c>
      <c r="F73" s="36" t="s">
        <v>384</v>
      </c>
      <c r="G73" s="208" t="s">
        <v>545</v>
      </c>
      <c r="H73" s="36" t="s">
        <v>418</v>
      </c>
      <c r="I73" s="37" t="s">
        <v>26</v>
      </c>
      <c r="J73" s="14">
        <v>0.3</v>
      </c>
      <c r="K73" s="28" t="s">
        <v>563</v>
      </c>
      <c r="L73" s="29" t="s">
        <v>487</v>
      </c>
      <c r="M73" s="29"/>
      <c r="N73" s="25">
        <v>1</v>
      </c>
      <c r="O73" s="25">
        <v>0.5</v>
      </c>
      <c r="P73" s="14"/>
      <c r="Q73" s="14">
        <f t="shared" si="7"/>
        <v>0</v>
      </c>
      <c r="R73" s="38">
        <f t="shared" si="8"/>
        <v>0</v>
      </c>
      <c r="S73" s="17" t="s">
        <v>23</v>
      </c>
      <c r="T73" s="146"/>
    </row>
    <row r="74" spans="1:20" ht="22.2" thickBot="1" x14ac:dyDescent="0.35">
      <c r="A74" s="141"/>
      <c r="B74" s="160" t="s">
        <v>20</v>
      </c>
      <c r="C74" s="161" t="s">
        <v>267</v>
      </c>
      <c r="D74" s="217" t="s">
        <v>421</v>
      </c>
      <c r="E74" s="160" t="s">
        <v>340</v>
      </c>
      <c r="F74" s="163" t="s">
        <v>384</v>
      </c>
      <c r="G74" s="215" t="s">
        <v>545</v>
      </c>
      <c r="H74" s="163" t="s">
        <v>418</v>
      </c>
      <c r="I74" s="164" t="s">
        <v>26</v>
      </c>
      <c r="J74" s="132">
        <v>0.3</v>
      </c>
      <c r="K74" s="133" t="s">
        <v>483</v>
      </c>
      <c r="L74" s="134" t="s">
        <v>488</v>
      </c>
      <c r="M74" s="134"/>
      <c r="N74" s="131">
        <v>1</v>
      </c>
      <c r="O74" s="131">
        <v>0.5</v>
      </c>
      <c r="P74" s="132"/>
      <c r="Q74" s="132">
        <f t="shared" si="7"/>
        <v>0</v>
      </c>
      <c r="R74" s="216">
        <f t="shared" si="8"/>
        <v>0</v>
      </c>
      <c r="S74" s="166" t="s">
        <v>23</v>
      </c>
      <c r="T74" s="148"/>
    </row>
    <row r="75" spans="1:20" ht="37.799999999999997" x14ac:dyDescent="0.3">
      <c r="A75" s="181"/>
      <c r="B75" s="71" t="s">
        <v>20</v>
      </c>
      <c r="C75" s="72" t="s">
        <v>267</v>
      </c>
      <c r="D75" s="73" t="s">
        <v>423</v>
      </c>
      <c r="E75" s="71" t="s">
        <v>29</v>
      </c>
      <c r="F75" s="74" t="s">
        <v>384</v>
      </c>
      <c r="G75" s="188" t="s">
        <v>368</v>
      </c>
      <c r="H75" s="74" t="s">
        <v>422</v>
      </c>
      <c r="I75" s="95" t="s">
        <v>22</v>
      </c>
      <c r="J75" s="76">
        <v>0.7</v>
      </c>
      <c r="K75" s="174" t="s">
        <v>512</v>
      </c>
      <c r="L75" s="175" t="s">
        <v>510</v>
      </c>
      <c r="M75" s="97" t="s">
        <v>408</v>
      </c>
      <c r="N75" s="79">
        <v>0.95</v>
      </c>
      <c r="O75" s="79">
        <v>0.15</v>
      </c>
      <c r="P75" s="76"/>
      <c r="Q75" s="76">
        <f t="shared" si="7"/>
        <v>0</v>
      </c>
      <c r="R75" s="80">
        <f t="shared" si="8"/>
        <v>0</v>
      </c>
      <c r="S75" s="76" t="s">
        <v>23</v>
      </c>
      <c r="T75" s="189">
        <f>SUM(R75:R88)%</f>
        <v>0</v>
      </c>
    </row>
    <row r="76" spans="1:20" ht="37.799999999999997" x14ac:dyDescent="0.3">
      <c r="A76" s="182"/>
      <c r="B76" s="42" t="s">
        <v>20</v>
      </c>
      <c r="C76" s="43" t="s">
        <v>267</v>
      </c>
      <c r="D76" s="44" t="s">
        <v>423</v>
      </c>
      <c r="E76" s="42" t="s">
        <v>29</v>
      </c>
      <c r="F76" s="45" t="s">
        <v>384</v>
      </c>
      <c r="G76" s="207" t="s">
        <v>368</v>
      </c>
      <c r="H76" s="45" t="s">
        <v>422</v>
      </c>
      <c r="I76" s="47" t="s">
        <v>22</v>
      </c>
      <c r="J76" s="3">
        <v>0.7</v>
      </c>
      <c r="K76" s="49" t="s">
        <v>513</v>
      </c>
      <c r="L76" s="176" t="s">
        <v>511</v>
      </c>
      <c r="M76" s="22" t="s">
        <v>411</v>
      </c>
      <c r="N76" s="24">
        <v>0.95</v>
      </c>
      <c r="O76" s="24">
        <v>0.15</v>
      </c>
      <c r="P76" s="51"/>
      <c r="Q76" s="3">
        <f t="shared" si="7"/>
        <v>0</v>
      </c>
      <c r="R76" s="4">
        <f t="shared" si="8"/>
        <v>0</v>
      </c>
      <c r="S76" s="3" t="s">
        <v>23</v>
      </c>
      <c r="T76" s="191"/>
    </row>
    <row r="77" spans="1:20" ht="25.2" x14ac:dyDescent="0.3">
      <c r="A77" s="182"/>
      <c r="B77" s="42" t="s">
        <v>20</v>
      </c>
      <c r="C77" s="43" t="s">
        <v>267</v>
      </c>
      <c r="D77" s="44" t="s">
        <v>423</v>
      </c>
      <c r="E77" s="42" t="s">
        <v>29</v>
      </c>
      <c r="F77" s="45" t="s">
        <v>384</v>
      </c>
      <c r="G77" s="207" t="s">
        <v>368</v>
      </c>
      <c r="H77" s="45" t="s">
        <v>422</v>
      </c>
      <c r="I77" s="47" t="s">
        <v>22</v>
      </c>
      <c r="J77" s="3">
        <v>0.7</v>
      </c>
      <c r="K77" s="20" t="s">
        <v>412</v>
      </c>
      <c r="L77" s="22" t="s">
        <v>413</v>
      </c>
      <c r="M77" s="22" t="s">
        <v>380</v>
      </c>
      <c r="N77" s="24">
        <v>0.7</v>
      </c>
      <c r="O77" s="24">
        <v>0.1</v>
      </c>
      <c r="P77" s="3"/>
      <c r="Q77" s="3">
        <f t="shared" si="7"/>
        <v>0</v>
      </c>
      <c r="R77" s="4">
        <f t="shared" si="8"/>
        <v>0</v>
      </c>
      <c r="S77" s="3" t="s">
        <v>23</v>
      </c>
      <c r="T77" s="191"/>
    </row>
    <row r="78" spans="1:20" ht="37.799999999999997" x14ac:dyDescent="0.3">
      <c r="A78" s="182"/>
      <c r="B78" s="42" t="s">
        <v>20</v>
      </c>
      <c r="C78" s="43" t="s">
        <v>267</v>
      </c>
      <c r="D78" s="44" t="s">
        <v>423</v>
      </c>
      <c r="E78" s="42" t="s">
        <v>29</v>
      </c>
      <c r="F78" s="45" t="s">
        <v>384</v>
      </c>
      <c r="G78" s="207" t="s">
        <v>368</v>
      </c>
      <c r="H78" s="45" t="s">
        <v>422</v>
      </c>
      <c r="I78" s="47" t="s">
        <v>22</v>
      </c>
      <c r="J78" s="3">
        <v>0.7</v>
      </c>
      <c r="K78" s="20" t="s">
        <v>387</v>
      </c>
      <c r="L78" s="22" t="s">
        <v>388</v>
      </c>
      <c r="M78" s="22" t="s">
        <v>377</v>
      </c>
      <c r="N78" s="24">
        <v>0.05</v>
      </c>
      <c r="O78" s="24">
        <v>0.08</v>
      </c>
      <c r="P78" s="3"/>
      <c r="Q78" s="3">
        <f t="shared" si="7"/>
        <v>0</v>
      </c>
      <c r="R78" s="4">
        <f t="shared" si="8"/>
        <v>0</v>
      </c>
      <c r="S78" s="3" t="s">
        <v>23</v>
      </c>
      <c r="T78" s="191"/>
    </row>
    <row r="79" spans="1:20" ht="25.2" x14ac:dyDescent="0.3">
      <c r="A79" s="182"/>
      <c r="B79" s="42" t="s">
        <v>20</v>
      </c>
      <c r="C79" s="43" t="s">
        <v>267</v>
      </c>
      <c r="D79" s="44" t="s">
        <v>423</v>
      </c>
      <c r="E79" s="42" t="s">
        <v>29</v>
      </c>
      <c r="F79" s="45" t="s">
        <v>384</v>
      </c>
      <c r="G79" s="207" t="s">
        <v>368</v>
      </c>
      <c r="H79" s="45" t="s">
        <v>422</v>
      </c>
      <c r="I79" s="47" t="s">
        <v>22</v>
      </c>
      <c r="J79" s="3">
        <v>0.7</v>
      </c>
      <c r="K79" s="20" t="s">
        <v>378</v>
      </c>
      <c r="L79" s="22" t="s">
        <v>389</v>
      </c>
      <c r="M79" s="22" t="s">
        <v>379</v>
      </c>
      <c r="N79" s="24">
        <v>1</v>
      </c>
      <c r="O79" s="24">
        <v>0.1</v>
      </c>
      <c r="P79" s="3"/>
      <c r="Q79" s="3">
        <f t="shared" si="7"/>
        <v>0</v>
      </c>
      <c r="R79" s="4">
        <f t="shared" si="8"/>
        <v>0</v>
      </c>
      <c r="S79" s="3" t="s">
        <v>23</v>
      </c>
      <c r="T79" s="191"/>
    </row>
    <row r="80" spans="1:20" ht="25.2" x14ac:dyDescent="0.3">
      <c r="A80" s="182"/>
      <c r="B80" s="42" t="s">
        <v>20</v>
      </c>
      <c r="C80" s="43" t="s">
        <v>267</v>
      </c>
      <c r="D80" s="44" t="s">
        <v>423</v>
      </c>
      <c r="E80" s="42" t="s">
        <v>29</v>
      </c>
      <c r="F80" s="45" t="s">
        <v>384</v>
      </c>
      <c r="G80" s="207" t="s">
        <v>368</v>
      </c>
      <c r="H80" s="45" t="s">
        <v>422</v>
      </c>
      <c r="I80" s="47" t="s">
        <v>22</v>
      </c>
      <c r="J80" s="3">
        <v>0.7</v>
      </c>
      <c r="K80" s="20" t="s">
        <v>390</v>
      </c>
      <c r="L80" s="22" t="s">
        <v>391</v>
      </c>
      <c r="M80" s="22" t="s">
        <v>382</v>
      </c>
      <c r="N80" s="24">
        <v>0.05</v>
      </c>
      <c r="O80" s="24">
        <v>0.15</v>
      </c>
      <c r="P80" s="3"/>
      <c r="Q80" s="3">
        <f t="shared" si="7"/>
        <v>0</v>
      </c>
      <c r="R80" s="4">
        <f t="shared" si="8"/>
        <v>0</v>
      </c>
      <c r="S80" s="3" t="s">
        <v>24</v>
      </c>
      <c r="T80" s="191"/>
    </row>
    <row r="81" spans="1:20" ht="37.799999999999997" x14ac:dyDescent="0.3">
      <c r="A81" s="182"/>
      <c r="B81" s="42" t="s">
        <v>20</v>
      </c>
      <c r="C81" s="43" t="s">
        <v>267</v>
      </c>
      <c r="D81" s="44" t="s">
        <v>423</v>
      </c>
      <c r="E81" s="42" t="s">
        <v>29</v>
      </c>
      <c r="F81" s="45" t="s">
        <v>384</v>
      </c>
      <c r="G81" s="207" t="s">
        <v>368</v>
      </c>
      <c r="H81" s="45" t="s">
        <v>422</v>
      </c>
      <c r="I81" s="47" t="s">
        <v>22</v>
      </c>
      <c r="J81" s="3">
        <v>0.7</v>
      </c>
      <c r="K81" s="20" t="s">
        <v>392</v>
      </c>
      <c r="L81" s="22" t="s">
        <v>393</v>
      </c>
      <c r="M81" s="22" t="s">
        <v>394</v>
      </c>
      <c r="N81" s="24">
        <v>0.05</v>
      </c>
      <c r="O81" s="24">
        <v>0.1</v>
      </c>
      <c r="P81" s="3"/>
      <c r="Q81" s="3">
        <f t="shared" si="7"/>
        <v>0</v>
      </c>
      <c r="R81" s="4">
        <f t="shared" si="8"/>
        <v>0</v>
      </c>
      <c r="S81" s="3" t="s">
        <v>23</v>
      </c>
      <c r="T81" s="191"/>
    </row>
    <row r="82" spans="1:20" ht="25.2" x14ac:dyDescent="0.3">
      <c r="A82" s="182"/>
      <c r="B82" s="42" t="s">
        <v>20</v>
      </c>
      <c r="C82" s="43" t="s">
        <v>267</v>
      </c>
      <c r="D82" s="44" t="s">
        <v>423</v>
      </c>
      <c r="E82" s="42" t="s">
        <v>29</v>
      </c>
      <c r="F82" s="45" t="s">
        <v>384</v>
      </c>
      <c r="G82" s="207" t="s">
        <v>368</v>
      </c>
      <c r="H82" s="45" t="s">
        <v>422</v>
      </c>
      <c r="I82" s="47" t="s">
        <v>22</v>
      </c>
      <c r="J82" s="3">
        <v>0.7</v>
      </c>
      <c r="K82" s="20" t="s">
        <v>395</v>
      </c>
      <c r="L82" s="22" t="s">
        <v>396</v>
      </c>
      <c r="M82" s="22" t="s">
        <v>397</v>
      </c>
      <c r="N82" s="24">
        <v>0.9</v>
      </c>
      <c r="O82" s="24">
        <v>0.12</v>
      </c>
      <c r="P82" s="51"/>
      <c r="Q82" s="3">
        <f t="shared" si="7"/>
        <v>0</v>
      </c>
      <c r="R82" s="4">
        <f t="shared" si="8"/>
        <v>0</v>
      </c>
      <c r="S82" s="3" t="s">
        <v>23</v>
      </c>
      <c r="T82" s="191"/>
    </row>
    <row r="83" spans="1:20" ht="25.2" x14ac:dyDescent="0.3">
      <c r="A83" s="182"/>
      <c r="B83" s="42" t="s">
        <v>20</v>
      </c>
      <c r="C83" s="43" t="s">
        <v>267</v>
      </c>
      <c r="D83" s="44" t="s">
        <v>423</v>
      </c>
      <c r="E83" s="42" t="s">
        <v>29</v>
      </c>
      <c r="F83" s="45" t="s">
        <v>384</v>
      </c>
      <c r="G83" s="207" t="s">
        <v>368</v>
      </c>
      <c r="H83" s="45" t="s">
        <v>422</v>
      </c>
      <c r="I83" s="47" t="s">
        <v>22</v>
      </c>
      <c r="J83" s="3">
        <v>0.7</v>
      </c>
      <c r="K83" s="20" t="s">
        <v>398</v>
      </c>
      <c r="L83" s="22" t="s">
        <v>399</v>
      </c>
      <c r="M83" s="22" t="s">
        <v>400</v>
      </c>
      <c r="N83" s="24">
        <v>1</v>
      </c>
      <c r="O83" s="24">
        <v>0.05</v>
      </c>
      <c r="P83" s="3"/>
      <c r="Q83" s="3">
        <f t="shared" si="7"/>
        <v>0</v>
      </c>
      <c r="R83" s="4">
        <f t="shared" si="8"/>
        <v>0</v>
      </c>
      <c r="S83" s="3" t="s">
        <v>23</v>
      </c>
      <c r="T83" s="191"/>
    </row>
    <row r="84" spans="1:20" ht="21.6" x14ac:dyDescent="0.3">
      <c r="A84" s="197"/>
      <c r="B84" s="33" t="s">
        <v>20</v>
      </c>
      <c r="C84" s="34" t="s">
        <v>267</v>
      </c>
      <c r="D84" s="35" t="s">
        <v>423</v>
      </c>
      <c r="E84" s="33" t="s">
        <v>29</v>
      </c>
      <c r="F84" s="36" t="s">
        <v>384</v>
      </c>
      <c r="G84" s="208" t="s">
        <v>368</v>
      </c>
      <c r="H84" s="36" t="s">
        <v>422</v>
      </c>
      <c r="I84" s="37" t="s">
        <v>26</v>
      </c>
      <c r="J84" s="14">
        <v>0.3</v>
      </c>
      <c r="K84" s="28" t="s">
        <v>519</v>
      </c>
      <c r="L84" s="29" t="s">
        <v>517</v>
      </c>
      <c r="M84" s="29"/>
      <c r="N84" s="25">
        <v>0.7</v>
      </c>
      <c r="O84" s="25">
        <v>0.3</v>
      </c>
      <c r="P84" s="14"/>
      <c r="Q84" s="14">
        <f t="shared" si="7"/>
        <v>0</v>
      </c>
      <c r="R84" s="38">
        <f t="shared" si="8"/>
        <v>0</v>
      </c>
      <c r="S84" s="17" t="s">
        <v>23</v>
      </c>
      <c r="T84" s="184"/>
    </row>
    <row r="85" spans="1:20" ht="50.4" x14ac:dyDescent="0.3">
      <c r="A85" s="197"/>
      <c r="B85" s="33" t="s">
        <v>20</v>
      </c>
      <c r="C85" s="34" t="s">
        <v>267</v>
      </c>
      <c r="D85" s="35" t="s">
        <v>423</v>
      </c>
      <c r="E85" s="33" t="s">
        <v>29</v>
      </c>
      <c r="F85" s="36" t="s">
        <v>384</v>
      </c>
      <c r="G85" s="208" t="s">
        <v>368</v>
      </c>
      <c r="H85" s="36" t="s">
        <v>422</v>
      </c>
      <c r="I85" s="37" t="s">
        <v>26</v>
      </c>
      <c r="J85" s="14">
        <v>0.3</v>
      </c>
      <c r="K85" s="28" t="s">
        <v>521</v>
      </c>
      <c r="L85" s="29" t="s">
        <v>518</v>
      </c>
      <c r="M85" s="29"/>
      <c r="N85" s="25">
        <v>0.8</v>
      </c>
      <c r="O85" s="25">
        <v>0.2</v>
      </c>
      <c r="P85" s="14"/>
      <c r="Q85" s="14">
        <f>ROUND(IF(OR(N85="",P85=""),0,IF(AND(N85=0,P85=0),1,IF(S85="+",P85/N85,N85/P85))),2)</f>
        <v>0</v>
      </c>
      <c r="R85" s="38">
        <f>IF(AND(Q85&gt;=60%,Q85&lt;100%),Q85*((O85*J85)),IF(Q85=100%,((O85*J85)*Q85)*100%,IF(Q85&gt;100%,((J85*O85)*100%)*100%,0)))*100</f>
        <v>0</v>
      </c>
      <c r="S85" s="17" t="s">
        <v>23</v>
      </c>
      <c r="T85" s="184"/>
    </row>
    <row r="86" spans="1:20" ht="37.799999999999997" x14ac:dyDescent="0.3">
      <c r="A86" s="197"/>
      <c r="B86" s="33" t="s">
        <v>20</v>
      </c>
      <c r="C86" s="34" t="s">
        <v>267</v>
      </c>
      <c r="D86" s="35" t="s">
        <v>423</v>
      </c>
      <c r="E86" s="33" t="s">
        <v>29</v>
      </c>
      <c r="F86" s="36" t="s">
        <v>384</v>
      </c>
      <c r="G86" s="208" t="s">
        <v>368</v>
      </c>
      <c r="H86" s="36" t="s">
        <v>422</v>
      </c>
      <c r="I86" s="37" t="s">
        <v>26</v>
      </c>
      <c r="J86" s="14">
        <v>0.3</v>
      </c>
      <c r="K86" s="28" t="s">
        <v>424</v>
      </c>
      <c r="L86" s="29" t="s">
        <v>543</v>
      </c>
      <c r="M86" s="29"/>
      <c r="N86" s="25">
        <v>1</v>
      </c>
      <c r="O86" s="25">
        <v>0.1</v>
      </c>
      <c r="P86" s="14"/>
      <c r="Q86" s="14">
        <f t="shared" si="7"/>
        <v>0</v>
      </c>
      <c r="R86" s="38">
        <f t="shared" si="8"/>
        <v>0</v>
      </c>
      <c r="S86" s="17" t="s">
        <v>23</v>
      </c>
      <c r="T86" s="184"/>
    </row>
    <row r="87" spans="1:20" ht="25.2" x14ac:dyDescent="0.3">
      <c r="A87" s="197"/>
      <c r="B87" s="33" t="s">
        <v>20</v>
      </c>
      <c r="C87" s="34" t="s">
        <v>267</v>
      </c>
      <c r="D87" s="35" t="s">
        <v>423</v>
      </c>
      <c r="E87" s="33" t="s">
        <v>29</v>
      </c>
      <c r="F87" s="36" t="s">
        <v>384</v>
      </c>
      <c r="G87" s="208" t="s">
        <v>368</v>
      </c>
      <c r="H87" s="36" t="s">
        <v>422</v>
      </c>
      <c r="I87" s="37" t="s">
        <v>26</v>
      </c>
      <c r="J87" s="14">
        <v>0.3</v>
      </c>
      <c r="K87" s="28" t="s">
        <v>425</v>
      </c>
      <c r="L87" s="29" t="s">
        <v>516</v>
      </c>
      <c r="M87" s="29"/>
      <c r="N87" s="25">
        <v>1</v>
      </c>
      <c r="O87" s="25">
        <v>0.2</v>
      </c>
      <c r="P87" s="14"/>
      <c r="Q87" s="14">
        <f t="shared" si="7"/>
        <v>0</v>
      </c>
      <c r="R87" s="38">
        <f t="shared" si="8"/>
        <v>0</v>
      </c>
      <c r="S87" s="17" t="s">
        <v>23</v>
      </c>
      <c r="T87" s="184"/>
    </row>
    <row r="88" spans="1:20" ht="25.8" thickBot="1" x14ac:dyDescent="0.35">
      <c r="A88" s="200"/>
      <c r="B88" s="81" t="s">
        <v>20</v>
      </c>
      <c r="C88" s="82" t="s">
        <v>267</v>
      </c>
      <c r="D88" s="83" t="s">
        <v>423</v>
      </c>
      <c r="E88" s="81" t="s">
        <v>29</v>
      </c>
      <c r="F88" s="84" t="s">
        <v>384</v>
      </c>
      <c r="G88" s="209" t="s">
        <v>368</v>
      </c>
      <c r="H88" s="84" t="s">
        <v>422</v>
      </c>
      <c r="I88" s="85" t="s">
        <v>26</v>
      </c>
      <c r="J88" s="86">
        <v>0.3</v>
      </c>
      <c r="K88" s="87" t="s">
        <v>477</v>
      </c>
      <c r="L88" s="88" t="s">
        <v>426</v>
      </c>
      <c r="M88" s="88"/>
      <c r="N88" s="89">
        <v>0.7</v>
      </c>
      <c r="O88" s="89">
        <v>0.2</v>
      </c>
      <c r="P88" s="86"/>
      <c r="Q88" s="86">
        <f t="shared" si="7"/>
        <v>0</v>
      </c>
      <c r="R88" s="90">
        <f t="shared" si="8"/>
        <v>0</v>
      </c>
      <c r="S88" s="91" t="s">
        <v>23</v>
      </c>
      <c r="T88" s="187"/>
    </row>
    <row r="89" spans="1:20" ht="37.799999999999997" x14ac:dyDescent="0.3">
      <c r="A89" s="144"/>
      <c r="B89" s="64" t="s">
        <v>20</v>
      </c>
      <c r="C89" s="65" t="s">
        <v>267</v>
      </c>
      <c r="D89" s="66" t="s">
        <v>427</v>
      </c>
      <c r="E89" s="64" t="s">
        <v>367</v>
      </c>
      <c r="F89" s="67" t="s">
        <v>384</v>
      </c>
      <c r="G89" s="210" t="s">
        <v>545</v>
      </c>
      <c r="H89" s="67" t="s">
        <v>469</v>
      </c>
      <c r="I89" s="68" t="s">
        <v>22</v>
      </c>
      <c r="J89" s="69">
        <v>0.7</v>
      </c>
      <c r="K89" s="178" t="s">
        <v>512</v>
      </c>
      <c r="L89" s="179" t="s">
        <v>510</v>
      </c>
      <c r="M89" s="93" t="s">
        <v>408</v>
      </c>
      <c r="N89" s="94">
        <v>0.95</v>
      </c>
      <c r="O89" s="79">
        <v>0.18</v>
      </c>
      <c r="P89" s="69"/>
      <c r="Q89" s="69">
        <f t="shared" si="7"/>
        <v>0</v>
      </c>
      <c r="R89" s="100">
        <f t="shared" si="8"/>
        <v>0</v>
      </c>
      <c r="S89" s="69" t="s">
        <v>23</v>
      </c>
      <c r="T89" s="192">
        <f>SUM(R89:R99)%</f>
        <v>0</v>
      </c>
    </row>
    <row r="90" spans="1:20" ht="37.799999999999997" x14ac:dyDescent="0.3">
      <c r="A90" s="139"/>
      <c r="B90" s="42" t="s">
        <v>20</v>
      </c>
      <c r="C90" s="43" t="s">
        <v>267</v>
      </c>
      <c r="D90" s="44" t="s">
        <v>427</v>
      </c>
      <c r="E90" s="42" t="s">
        <v>367</v>
      </c>
      <c r="F90" s="45" t="s">
        <v>384</v>
      </c>
      <c r="G90" s="207" t="s">
        <v>545</v>
      </c>
      <c r="H90" s="45" t="s">
        <v>469</v>
      </c>
      <c r="I90" s="47" t="s">
        <v>22</v>
      </c>
      <c r="J90" s="3">
        <v>0.7</v>
      </c>
      <c r="K90" s="49" t="s">
        <v>513</v>
      </c>
      <c r="L90" s="176" t="s">
        <v>511</v>
      </c>
      <c r="M90" s="22" t="s">
        <v>411</v>
      </c>
      <c r="N90" s="24">
        <v>0.95</v>
      </c>
      <c r="O90" s="24">
        <v>0.18</v>
      </c>
      <c r="P90" s="3"/>
      <c r="Q90" s="3">
        <f t="shared" si="7"/>
        <v>0</v>
      </c>
      <c r="R90" s="4">
        <f t="shared" si="8"/>
        <v>0</v>
      </c>
      <c r="S90" s="3" t="s">
        <v>23</v>
      </c>
      <c r="T90" s="193"/>
    </row>
    <row r="91" spans="1:20" ht="25.2" x14ac:dyDescent="0.3">
      <c r="A91" s="139"/>
      <c r="B91" s="42" t="s">
        <v>20</v>
      </c>
      <c r="C91" s="43" t="s">
        <v>267</v>
      </c>
      <c r="D91" s="44" t="s">
        <v>427</v>
      </c>
      <c r="E91" s="42" t="s">
        <v>367</v>
      </c>
      <c r="F91" s="45" t="s">
        <v>384</v>
      </c>
      <c r="G91" s="207" t="s">
        <v>545</v>
      </c>
      <c r="H91" s="45" t="s">
        <v>469</v>
      </c>
      <c r="I91" s="47" t="s">
        <v>22</v>
      </c>
      <c r="J91" s="3">
        <v>0.7</v>
      </c>
      <c r="K91" s="20" t="s">
        <v>412</v>
      </c>
      <c r="L91" s="22" t="s">
        <v>413</v>
      </c>
      <c r="M91" s="22" t="s">
        <v>380</v>
      </c>
      <c r="N91" s="24">
        <v>0.7</v>
      </c>
      <c r="O91" s="24">
        <v>7.0000000000000007E-2</v>
      </c>
      <c r="P91" s="3"/>
      <c r="Q91" s="3">
        <f t="shared" si="7"/>
        <v>0</v>
      </c>
      <c r="R91" s="4">
        <f t="shared" si="8"/>
        <v>0</v>
      </c>
      <c r="S91" s="3" t="s">
        <v>23</v>
      </c>
      <c r="T91" s="193"/>
    </row>
    <row r="92" spans="1:20" ht="37.799999999999997" x14ac:dyDescent="0.3">
      <c r="A92" s="139"/>
      <c r="B92" s="42" t="s">
        <v>20</v>
      </c>
      <c r="C92" s="43" t="s">
        <v>267</v>
      </c>
      <c r="D92" s="44" t="s">
        <v>427</v>
      </c>
      <c r="E92" s="42" t="s">
        <v>367</v>
      </c>
      <c r="F92" s="45" t="s">
        <v>384</v>
      </c>
      <c r="G92" s="207" t="s">
        <v>545</v>
      </c>
      <c r="H92" s="45" t="s">
        <v>469</v>
      </c>
      <c r="I92" s="47" t="s">
        <v>22</v>
      </c>
      <c r="J92" s="3">
        <v>0.7</v>
      </c>
      <c r="K92" s="20" t="s">
        <v>387</v>
      </c>
      <c r="L92" s="22" t="s">
        <v>388</v>
      </c>
      <c r="M92" s="22" t="s">
        <v>377</v>
      </c>
      <c r="N92" s="24">
        <v>0.05</v>
      </c>
      <c r="O92" s="24">
        <v>0.08</v>
      </c>
      <c r="P92" s="3"/>
      <c r="Q92" s="3">
        <f t="shared" si="7"/>
        <v>0</v>
      </c>
      <c r="R92" s="4">
        <f t="shared" si="8"/>
        <v>0</v>
      </c>
      <c r="S92" s="3" t="s">
        <v>23</v>
      </c>
      <c r="T92" s="193"/>
    </row>
    <row r="93" spans="1:20" ht="25.2" x14ac:dyDescent="0.3">
      <c r="A93" s="139"/>
      <c r="B93" s="42" t="s">
        <v>20</v>
      </c>
      <c r="C93" s="43" t="s">
        <v>267</v>
      </c>
      <c r="D93" s="44" t="s">
        <v>427</v>
      </c>
      <c r="E93" s="42" t="s">
        <v>367</v>
      </c>
      <c r="F93" s="45" t="s">
        <v>384</v>
      </c>
      <c r="G93" s="207" t="s">
        <v>545</v>
      </c>
      <c r="H93" s="45" t="s">
        <v>469</v>
      </c>
      <c r="I93" s="47" t="s">
        <v>22</v>
      </c>
      <c r="J93" s="3">
        <v>0.7</v>
      </c>
      <c r="K93" s="20" t="s">
        <v>378</v>
      </c>
      <c r="L93" s="22" t="s">
        <v>389</v>
      </c>
      <c r="M93" s="22" t="s">
        <v>379</v>
      </c>
      <c r="N93" s="24">
        <v>1</v>
      </c>
      <c r="O93" s="24">
        <v>7.0000000000000007E-2</v>
      </c>
      <c r="P93" s="3"/>
      <c r="Q93" s="3">
        <f t="shared" si="7"/>
        <v>0</v>
      </c>
      <c r="R93" s="4">
        <f t="shared" si="8"/>
        <v>0</v>
      </c>
      <c r="S93" s="3" t="s">
        <v>23</v>
      </c>
      <c r="T93" s="193"/>
    </row>
    <row r="94" spans="1:20" ht="25.2" x14ac:dyDescent="0.3">
      <c r="A94" s="139"/>
      <c r="B94" s="42" t="s">
        <v>20</v>
      </c>
      <c r="C94" s="43" t="s">
        <v>267</v>
      </c>
      <c r="D94" s="44" t="s">
        <v>427</v>
      </c>
      <c r="E94" s="42" t="s">
        <v>367</v>
      </c>
      <c r="F94" s="45" t="s">
        <v>384</v>
      </c>
      <c r="G94" s="207" t="s">
        <v>545</v>
      </c>
      <c r="H94" s="45" t="s">
        <v>469</v>
      </c>
      <c r="I94" s="47" t="s">
        <v>22</v>
      </c>
      <c r="J94" s="3">
        <v>0.7</v>
      </c>
      <c r="K94" s="20" t="s">
        <v>390</v>
      </c>
      <c r="L94" s="22" t="s">
        <v>391</v>
      </c>
      <c r="M94" s="22" t="s">
        <v>382</v>
      </c>
      <c r="N94" s="24">
        <v>0.05</v>
      </c>
      <c r="O94" s="24">
        <v>0.18</v>
      </c>
      <c r="P94" s="3"/>
      <c r="Q94" s="3">
        <f t="shared" si="7"/>
        <v>0</v>
      </c>
      <c r="R94" s="4">
        <f t="shared" si="8"/>
        <v>0</v>
      </c>
      <c r="S94" s="3" t="s">
        <v>24</v>
      </c>
      <c r="T94" s="193"/>
    </row>
    <row r="95" spans="1:20" ht="37.799999999999997" x14ac:dyDescent="0.3">
      <c r="A95" s="139"/>
      <c r="B95" s="42" t="s">
        <v>20</v>
      </c>
      <c r="C95" s="43" t="s">
        <v>267</v>
      </c>
      <c r="D95" s="44" t="s">
        <v>427</v>
      </c>
      <c r="E95" s="42" t="s">
        <v>367</v>
      </c>
      <c r="F95" s="45" t="s">
        <v>384</v>
      </c>
      <c r="G95" s="207" t="s">
        <v>545</v>
      </c>
      <c r="H95" s="45" t="s">
        <v>469</v>
      </c>
      <c r="I95" s="47" t="s">
        <v>22</v>
      </c>
      <c r="J95" s="3">
        <v>0.7</v>
      </c>
      <c r="K95" s="20" t="s">
        <v>392</v>
      </c>
      <c r="L95" s="22" t="s">
        <v>393</v>
      </c>
      <c r="M95" s="22" t="s">
        <v>394</v>
      </c>
      <c r="N95" s="24">
        <v>0.05</v>
      </c>
      <c r="O95" s="24">
        <v>0.1</v>
      </c>
      <c r="P95" s="3"/>
      <c r="Q95" s="3">
        <f t="shared" si="7"/>
        <v>0</v>
      </c>
      <c r="R95" s="4">
        <f t="shared" si="8"/>
        <v>0</v>
      </c>
      <c r="S95" s="3" t="s">
        <v>23</v>
      </c>
      <c r="T95" s="193"/>
    </row>
    <row r="96" spans="1:20" ht="25.2" x14ac:dyDescent="0.3">
      <c r="A96" s="139"/>
      <c r="B96" s="42" t="s">
        <v>20</v>
      </c>
      <c r="C96" s="43" t="s">
        <v>267</v>
      </c>
      <c r="D96" s="44" t="s">
        <v>427</v>
      </c>
      <c r="E96" s="42" t="s">
        <v>367</v>
      </c>
      <c r="F96" s="45" t="s">
        <v>384</v>
      </c>
      <c r="G96" s="207" t="s">
        <v>545</v>
      </c>
      <c r="H96" s="45" t="s">
        <v>469</v>
      </c>
      <c r="I96" s="47" t="s">
        <v>22</v>
      </c>
      <c r="J96" s="3">
        <v>0.7</v>
      </c>
      <c r="K96" s="20" t="s">
        <v>395</v>
      </c>
      <c r="L96" s="22" t="s">
        <v>396</v>
      </c>
      <c r="M96" s="22" t="s">
        <v>397</v>
      </c>
      <c r="N96" s="24">
        <v>0.9</v>
      </c>
      <c r="O96" s="24">
        <v>0.12</v>
      </c>
      <c r="P96" s="3"/>
      <c r="Q96" s="3">
        <f t="shared" si="7"/>
        <v>0</v>
      </c>
      <c r="R96" s="4">
        <f t="shared" si="8"/>
        <v>0</v>
      </c>
      <c r="S96" s="3" t="s">
        <v>23</v>
      </c>
      <c r="T96" s="193"/>
    </row>
    <row r="97" spans="1:20" ht="25.2" x14ac:dyDescent="0.3">
      <c r="A97" s="139"/>
      <c r="B97" s="42" t="s">
        <v>20</v>
      </c>
      <c r="C97" s="43" t="s">
        <v>267</v>
      </c>
      <c r="D97" s="44" t="s">
        <v>427</v>
      </c>
      <c r="E97" s="42" t="s">
        <v>367</v>
      </c>
      <c r="F97" s="45" t="s">
        <v>384</v>
      </c>
      <c r="G97" s="207" t="s">
        <v>545</v>
      </c>
      <c r="H97" s="45" t="s">
        <v>469</v>
      </c>
      <c r="I97" s="47" t="s">
        <v>22</v>
      </c>
      <c r="J97" s="3">
        <v>0.7</v>
      </c>
      <c r="K97" s="20" t="s">
        <v>398</v>
      </c>
      <c r="L97" s="22" t="s">
        <v>399</v>
      </c>
      <c r="M97" s="22" t="s">
        <v>400</v>
      </c>
      <c r="N97" s="24">
        <v>1</v>
      </c>
      <c r="O97" s="24">
        <v>0.02</v>
      </c>
      <c r="P97" s="3"/>
      <c r="Q97" s="3">
        <f t="shared" si="7"/>
        <v>0</v>
      </c>
      <c r="R97" s="4">
        <f t="shared" si="8"/>
        <v>0</v>
      </c>
      <c r="S97" s="3" t="s">
        <v>23</v>
      </c>
      <c r="T97" s="193"/>
    </row>
    <row r="98" spans="1:20" ht="21.6" x14ac:dyDescent="0.3">
      <c r="A98" s="140"/>
      <c r="B98" s="33" t="s">
        <v>20</v>
      </c>
      <c r="C98" s="34" t="s">
        <v>267</v>
      </c>
      <c r="D98" s="35" t="s">
        <v>427</v>
      </c>
      <c r="E98" s="33" t="s">
        <v>367</v>
      </c>
      <c r="F98" s="36" t="s">
        <v>384</v>
      </c>
      <c r="G98" s="208" t="s">
        <v>545</v>
      </c>
      <c r="H98" s="36" t="s">
        <v>469</v>
      </c>
      <c r="I98" s="37" t="s">
        <v>26</v>
      </c>
      <c r="J98" s="14">
        <v>0.3</v>
      </c>
      <c r="K98" s="28" t="s">
        <v>479</v>
      </c>
      <c r="L98" s="29" t="s">
        <v>490</v>
      </c>
      <c r="M98" s="29"/>
      <c r="N98" s="25">
        <v>1</v>
      </c>
      <c r="O98" s="25">
        <v>0.5</v>
      </c>
      <c r="P98" s="14"/>
      <c r="Q98" s="14">
        <f t="shared" si="7"/>
        <v>0</v>
      </c>
      <c r="R98" s="38">
        <f t="shared" si="8"/>
        <v>0</v>
      </c>
      <c r="S98" s="17" t="s">
        <v>23</v>
      </c>
      <c r="T98" s="146"/>
    </row>
    <row r="99" spans="1:20" ht="25.8" thickBot="1" x14ac:dyDescent="0.35">
      <c r="A99" s="141"/>
      <c r="B99" s="33" t="s">
        <v>20</v>
      </c>
      <c r="C99" s="34" t="s">
        <v>267</v>
      </c>
      <c r="D99" s="35" t="s">
        <v>427</v>
      </c>
      <c r="E99" s="33" t="s">
        <v>367</v>
      </c>
      <c r="F99" s="36" t="s">
        <v>384</v>
      </c>
      <c r="G99" s="208" t="s">
        <v>545</v>
      </c>
      <c r="H99" s="36" t="s">
        <v>469</v>
      </c>
      <c r="I99" s="37" t="s">
        <v>26</v>
      </c>
      <c r="J99" s="14">
        <v>0.3</v>
      </c>
      <c r="K99" s="28" t="s">
        <v>480</v>
      </c>
      <c r="L99" s="29" t="s">
        <v>485</v>
      </c>
      <c r="M99" s="134"/>
      <c r="N99" s="25">
        <v>1</v>
      </c>
      <c r="O99" s="131">
        <v>0.5</v>
      </c>
      <c r="P99" s="132"/>
      <c r="Q99" s="14">
        <f t="shared" si="7"/>
        <v>0</v>
      </c>
      <c r="R99" s="38">
        <f t="shared" si="8"/>
        <v>0</v>
      </c>
      <c r="S99" s="17" t="s">
        <v>23</v>
      </c>
      <c r="T99" s="148"/>
    </row>
    <row r="100" spans="1:20" ht="37.799999999999997" x14ac:dyDescent="0.3">
      <c r="A100" s="138"/>
      <c r="B100" s="71" t="s">
        <v>20</v>
      </c>
      <c r="C100" s="72" t="s">
        <v>267</v>
      </c>
      <c r="D100" s="73" t="s">
        <v>428</v>
      </c>
      <c r="E100" s="71" t="s">
        <v>31</v>
      </c>
      <c r="F100" s="74" t="s">
        <v>384</v>
      </c>
      <c r="G100" s="188" t="s">
        <v>544</v>
      </c>
      <c r="H100" s="74" t="s">
        <v>429</v>
      </c>
      <c r="I100" s="95" t="s">
        <v>22</v>
      </c>
      <c r="J100" s="76">
        <v>0.7</v>
      </c>
      <c r="K100" s="174" t="s">
        <v>512</v>
      </c>
      <c r="L100" s="175" t="s">
        <v>510</v>
      </c>
      <c r="M100" s="97" t="s">
        <v>408</v>
      </c>
      <c r="N100" s="79">
        <v>0.95</v>
      </c>
      <c r="O100" s="79">
        <v>0.15</v>
      </c>
      <c r="P100" s="169"/>
      <c r="Q100" s="76">
        <f t="shared" si="7"/>
        <v>0</v>
      </c>
      <c r="R100" s="80">
        <f t="shared" si="8"/>
        <v>0</v>
      </c>
      <c r="S100" s="76" t="s">
        <v>23</v>
      </c>
      <c r="T100" s="194">
        <f>SUM(R100:R113)%</f>
        <v>0</v>
      </c>
    </row>
    <row r="101" spans="1:20" ht="37.799999999999997" x14ac:dyDescent="0.3">
      <c r="A101" s="139"/>
      <c r="B101" s="42" t="s">
        <v>20</v>
      </c>
      <c r="C101" s="43" t="s">
        <v>267</v>
      </c>
      <c r="D101" s="44" t="s">
        <v>428</v>
      </c>
      <c r="E101" s="42" t="s">
        <v>31</v>
      </c>
      <c r="F101" s="45" t="s">
        <v>384</v>
      </c>
      <c r="G101" s="207" t="s">
        <v>544</v>
      </c>
      <c r="H101" s="45" t="s">
        <v>429</v>
      </c>
      <c r="I101" s="47" t="s">
        <v>22</v>
      </c>
      <c r="J101" s="3">
        <v>0.7</v>
      </c>
      <c r="K101" s="49" t="s">
        <v>513</v>
      </c>
      <c r="L101" s="176" t="s">
        <v>511</v>
      </c>
      <c r="M101" s="22" t="s">
        <v>411</v>
      </c>
      <c r="N101" s="24">
        <v>0.95</v>
      </c>
      <c r="O101" s="24">
        <v>0.15</v>
      </c>
      <c r="P101" s="51"/>
      <c r="Q101" s="3">
        <f t="shared" si="7"/>
        <v>0</v>
      </c>
      <c r="R101" s="4">
        <f t="shared" si="8"/>
        <v>0</v>
      </c>
      <c r="S101" s="3" t="s">
        <v>23</v>
      </c>
      <c r="T101" s="193"/>
    </row>
    <row r="102" spans="1:20" ht="25.2" x14ac:dyDescent="0.3">
      <c r="A102" s="139"/>
      <c r="B102" s="42" t="s">
        <v>20</v>
      </c>
      <c r="C102" s="43" t="s">
        <v>267</v>
      </c>
      <c r="D102" s="44" t="s">
        <v>428</v>
      </c>
      <c r="E102" s="42" t="s">
        <v>31</v>
      </c>
      <c r="F102" s="45" t="s">
        <v>384</v>
      </c>
      <c r="G102" s="207" t="s">
        <v>544</v>
      </c>
      <c r="H102" s="45" t="s">
        <v>429</v>
      </c>
      <c r="I102" s="47" t="s">
        <v>22</v>
      </c>
      <c r="J102" s="3">
        <v>0.7</v>
      </c>
      <c r="K102" s="20" t="s">
        <v>412</v>
      </c>
      <c r="L102" s="22" t="s">
        <v>413</v>
      </c>
      <c r="M102" s="22" t="s">
        <v>380</v>
      </c>
      <c r="N102" s="24">
        <v>0.7</v>
      </c>
      <c r="O102" s="24">
        <v>0.15</v>
      </c>
      <c r="P102" s="3"/>
      <c r="Q102" s="3">
        <f t="shared" si="7"/>
        <v>0</v>
      </c>
      <c r="R102" s="4">
        <f t="shared" si="8"/>
        <v>0</v>
      </c>
      <c r="S102" s="3" t="s">
        <v>23</v>
      </c>
      <c r="T102" s="193"/>
    </row>
    <row r="103" spans="1:20" ht="37.799999999999997" x14ac:dyDescent="0.3">
      <c r="A103" s="139"/>
      <c r="B103" s="42" t="s">
        <v>20</v>
      </c>
      <c r="C103" s="43" t="s">
        <v>267</v>
      </c>
      <c r="D103" s="44" t="s">
        <v>428</v>
      </c>
      <c r="E103" s="42" t="s">
        <v>31</v>
      </c>
      <c r="F103" s="45" t="s">
        <v>384</v>
      </c>
      <c r="G103" s="207" t="s">
        <v>544</v>
      </c>
      <c r="H103" s="45" t="s">
        <v>429</v>
      </c>
      <c r="I103" s="47" t="s">
        <v>22</v>
      </c>
      <c r="J103" s="3">
        <v>0.7</v>
      </c>
      <c r="K103" s="20" t="s">
        <v>387</v>
      </c>
      <c r="L103" s="22" t="s">
        <v>388</v>
      </c>
      <c r="M103" s="22" t="s">
        <v>377</v>
      </c>
      <c r="N103" s="24">
        <v>0.05</v>
      </c>
      <c r="O103" s="24">
        <v>0.15</v>
      </c>
      <c r="P103" s="3"/>
      <c r="Q103" s="3">
        <f t="shared" si="7"/>
        <v>0</v>
      </c>
      <c r="R103" s="4">
        <f t="shared" si="8"/>
        <v>0</v>
      </c>
      <c r="S103" s="3" t="s">
        <v>23</v>
      </c>
      <c r="T103" s="193"/>
    </row>
    <row r="104" spans="1:20" ht="25.2" x14ac:dyDescent="0.3">
      <c r="A104" s="139"/>
      <c r="B104" s="42" t="s">
        <v>20</v>
      </c>
      <c r="C104" s="43" t="s">
        <v>267</v>
      </c>
      <c r="D104" s="44" t="s">
        <v>428</v>
      </c>
      <c r="E104" s="42" t="s">
        <v>31</v>
      </c>
      <c r="F104" s="45" t="s">
        <v>384</v>
      </c>
      <c r="G104" s="207" t="s">
        <v>544</v>
      </c>
      <c r="H104" s="45" t="s">
        <v>429</v>
      </c>
      <c r="I104" s="47" t="s">
        <v>22</v>
      </c>
      <c r="J104" s="3">
        <v>0.7</v>
      </c>
      <c r="K104" s="20" t="s">
        <v>378</v>
      </c>
      <c r="L104" s="22" t="s">
        <v>389</v>
      </c>
      <c r="M104" s="22" t="s">
        <v>379</v>
      </c>
      <c r="N104" s="24">
        <v>1</v>
      </c>
      <c r="O104" s="24">
        <v>0.15</v>
      </c>
      <c r="P104" s="3"/>
      <c r="Q104" s="3">
        <f t="shared" si="7"/>
        <v>0</v>
      </c>
      <c r="R104" s="4">
        <f t="shared" si="8"/>
        <v>0</v>
      </c>
      <c r="S104" s="3" t="s">
        <v>23</v>
      </c>
      <c r="T104" s="193"/>
    </row>
    <row r="105" spans="1:20" ht="25.2" x14ac:dyDescent="0.3">
      <c r="A105" s="139"/>
      <c r="B105" s="42" t="s">
        <v>20</v>
      </c>
      <c r="C105" s="43" t="s">
        <v>267</v>
      </c>
      <c r="D105" s="44" t="s">
        <v>428</v>
      </c>
      <c r="E105" s="42" t="s">
        <v>31</v>
      </c>
      <c r="F105" s="45" t="s">
        <v>384</v>
      </c>
      <c r="G105" s="207" t="s">
        <v>544</v>
      </c>
      <c r="H105" s="45" t="s">
        <v>429</v>
      </c>
      <c r="I105" s="47" t="s">
        <v>22</v>
      </c>
      <c r="J105" s="3">
        <v>0.7</v>
      </c>
      <c r="K105" s="20" t="s">
        <v>395</v>
      </c>
      <c r="L105" s="22" t="s">
        <v>396</v>
      </c>
      <c r="M105" s="22" t="s">
        <v>397</v>
      </c>
      <c r="N105" s="24">
        <v>0.9</v>
      </c>
      <c r="O105" s="24">
        <v>0.15</v>
      </c>
      <c r="P105" s="51"/>
      <c r="Q105" s="3">
        <f t="shared" si="7"/>
        <v>0</v>
      </c>
      <c r="R105" s="4">
        <f t="shared" si="8"/>
        <v>0</v>
      </c>
      <c r="S105" s="3" t="s">
        <v>23</v>
      </c>
      <c r="T105" s="193"/>
    </row>
    <row r="106" spans="1:20" ht="25.2" x14ac:dyDescent="0.3">
      <c r="A106" s="139"/>
      <c r="B106" s="42" t="s">
        <v>20</v>
      </c>
      <c r="C106" s="43" t="s">
        <v>267</v>
      </c>
      <c r="D106" s="44" t="s">
        <v>428</v>
      </c>
      <c r="E106" s="42" t="s">
        <v>31</v>
      </c>
      <c r="F106" s="45" t="s">
        <v>384</v>
      </c>
      <c r="G106" s="207" t="s">
        <v>544</v>
      </c>
      <c r="H106" s="45" t="s">
        <v>429</v>
      </c>
      <c r="I106" s="47" t="s">
        <v>22</v>
      </c>
      <c r="J106" s="3">
        <v>0.7</v>
      </c>
      <c r="K106" s="20" t="s">
        <v>398</v>
      </c>
      <c r="L106" s="22" t="s">
        <v>399</v>
      </c>
      <c r="M106" s="22" t="s">
        <v>400</v>
      </c>
      <c r="N106" s="24">
        <v>1</v>
      </c>
      <c r="O106" s="24">
        <v>0.1</v>
      </c>
      <c r="P106" s="3"/>
      <c r="Q106" s="3">
        <f t="shared" si="7"/>
        <v>0</v>
      </c>
      <c r="R106" s="4">
        <f t="shared" si="8"/>
        <v>0</v>
      </c>
      <c r="S106" s="3" t="s">
        <v>23</v>
      </c>
      <c r="T106" s="193"/>
    </row>
    <row r="107" spans="1:20" ht="50.4" x14ac:dyDescent="0.3">
      <c r="A107" s="140"/>
      <c r="B107" s="33" t="s">
        <v>20</v>
      </c>
      <c r="C107" s="34" t="s">
        <v>267</v>
      </c>
      <c r="D107" s="35" t="s">
        <v>428</v>
      </c>
      <c r="E107" s="33" t="s">
        <v>31</v>
      </c>
      <c r="F107" s="36" t="s">
        <v>384</v>
      </c>
      <c r="G107" s="208" t="s">
        <v>544</v>
      </c>
      <c r="H107" s="36" t="s">
        <v>429</v>
      </c>
      <c r="I107" s="37" t="s">
        <v>26</v>
      </c>
      <c r="J107" s="14">
        <v>0.3</v>
      </c>
      <c r="K107" s="28" t="s">
        <v>546</v>
      </c>
      <c r="L107" s="29" t="s">
        <v>529</v>
      </c>
      <c r="M107" s="29"/>
      <c r="N107" s="25">
        <v>1</v>
      </c>
      <c r="O107" s="25">
        <v>0.1</v>
      </c>
      <c r="P107" s="14"/>
      <c r="Q107" s="14">
        <f t="shared" si="7"/>
        <v>0</v>
      </c>
      <c r="R107" s="38">
        <f t="shared" si="8"/>
        <v>0</v>
      </c>
      <c r="S107" s="17" t="s">
        <v>23</v>
      </c>
      <c r="T107" s="146"/>
    </row>
    <row r="108" spans="1:20" ht="25.2" x14ac:dyDescent="0.3">
      <c r="A108" s="140"/>
      <c r="B108" s="33" t="s">
        <v>20</v>
      </c>
      <c r="C108" s="34" t="s">
        <v>267</v>
      </c>
      <c r="D108" s="35" t="s">
        <v>428</v>
      </c>
      <c r="E108" s="33" t="s">
        <v>31</v>
      </c>
      <c r="F108" s="36" t="s">
        <v>384</v>
      </c>
      <c r="G108" s="208" t="s">
        <v>544</v>
      </c>
      <c r="H108" s="36" t="s">
        <v>429</v>
      </c>
      <c r="I108" s="37" t="s">
        <v>26</v>
      </c>
      <c r="J108" s="14">
        <v>0.3</v>
      </c>
      <c r="K108" s="28" t="s">
        <v>547</v>
      </c>
      <c r="L108" s="134" t="s">
        <v>530</v>
      </c>
      <c r="M108" s="29"/>
      <c r="N108" s="25">
        <v>0.5</v>
      </c>
      <c r="O108" s="25">
        <v>0.2</v>
      </c>
      <c r="P108" s="14"/>
      <c r="Q108" s="14">
        <f t="shared" si="7"/>
        <v>0</v>
      </c>
      <c r="R108" s="38">
        <f t="shared" si="8"/>
        <v>0</v>
      </c>
      <c r="S108" s="17" t="s">
        <v>23</v>
      </c>
      <c r="T108" s="146"/>
    </row>
    <row r="109" spans="1:20" ht="37.799999999999997" x14ac:dyDescent="0.3">
      <c r="A109" s="141"/>
      <c r="B109" s="33" t="s">
        <v>20</v>
      </c>
      <c r="C109" s="34" t="s">
        <v>267</v>
      </c>
      <c r="D109" s="35" t="s">
        <v>428</v>
      </c>
      <c r="E109" s="33" t="s">
        <v>31</v>
      </c>
      <c r="F109" s="36" t="s">
        <v>384</v>
      </c>
      <c r="G109" s="208" t="s">
        <v>544</v>
      </c>
      <c r="H109" s="36" t="s">
        <v>429</v>
      </c>
      <c r="I109" s="37" t="s">
        <v>26</v>
      </c>
      <c r="J109" s="14">
        <v>0.3</v>
      </c>
      <c r="K109" s="133" t="s">
        <v>548</v>
      </c>
      <c r="L109" s="201" t="s">
        <v>531</v>
      </c>
      <c r="M109" s="134"/>
      <c r="N109" s="25">
        <v>1</v>
      </c>
      <c r="O109" s="25">
        <v>0.1</v>
      </c>
      <c r="P109" s="132"/>
      <c r="Q109" s="14">
        <f t="shared" si="7"/>
        <v>0</v>
      </c>
      <c r="R109" s="38">
        <f t="shared" si="8"/>
        <v>0</v>
      </c>
      <c r="S109" s="17" t="s">
        <v>23</v>
      </c>
      <c r="T109" s="148"/>
    </row>
    <row r="110" spans="1:20" ht="21.6" x14ac:dyDescent="0.3">
      <c r="A110" s="140"/>
      <c r="B110" s="33" t="s">
        <v>20</v>
      </c>
      <c r="C110" s="34" t="s">
        <v>267</v>
      </c>
      <c r="D110" s="35" t="s">
        <v>428</v>
      </c>
      <c r="E110" s="33" t="s">
        <v>31</v>
      </c>
      <c r="F110" s="36" t="s">
        <v>384</v>
      </c>
      <c r="G110" s="208" t="s">
        <v>544</v>
      </c>
      <c r="H110" s="36" t="s">
        <v>429</v>
      </c>
      <c r="I110" s="37" t="s">
        <v>26</v>
      </c>
      <c r="J110" s="14">
        <v>0.3</v>
      </c>
      <c r="K110" s="202" t="s">
        <v>549</v>
      </c>
      <c r="L110" s="201" t="s">
        <v>532</v>
      </c>
      <c r="M110" s="203"/>
      <c r="N110" s="14">
        <v>1</v>
      </c>
      <c r="O110" s="14">
        <v>0.2</v>
      </c>
      <c r="P110" s="132"/>
      <c r="Q110" s="14">
        <f>ROUND(IF(OR(N110="",P110=""),0,IF(AND(N110=0,P110=0),1,IF(S110="+",P110/N110,N110/P110))),2)</f>
        <v>0</v>
      </c>
      <c r="R110" s="38">
        <f>IF(AND(Q110&gt;=60%,Q110&lt;100%),Q110*((O110*J110)),IF(Q110=100%,((O110*J110)*Q110)*100%,IF(Q110&gt;100%,((J110*O110)*100%)*100%,0)))*100</f>
        <v>0</v>
      </c>
      <c r="S110" s="14" t="s">
        <v>23</v>
      </c>
      <c r="T110" s="145"/>
    </row>
    <row r="111" spans="1:20" ht="21.6" x14ac:dyDescent="0.3">
      <c r="A111" s="140"/>
      <c r="B111" s="33" t="s">
        <v>20</v>
      </c>
      <c r="C111" s="34" t="s">
        <v>267</v>
      </c>
      <c r="D111" s="35" t="s">
        <v>428</v>
      </c>
      <c r="E111" s="33" t="s">
        <v>31</v>
      </c>
      <c r="F111" s="36" t="s">
        <v>384</v>
      </c>
      <c r="G111" s="208" t="s">
        <v>544</v>
      </c>
      <c r="H111" s="36" t="s">
        <v>429</v>
      </c>
      <c r="I111" s="37" t="s">
        <v>26</v>
      </c>
      <c r="J111" s="14">
        <v>0.3</v>
      </c>
      <c r="K111" s="202" t="s">
        <v>550</v>
      </c>
      <c r="L111" s="201" t="s">
        <v>533</v>
      </c>
      <c r="M111" s="203"/>
      <c r="N111" s="14">
        <v>1</v>
      </c>
      <c r="O111" s="14">
        <v>0.2</v>
      </c>
      <c r="P111" s="132"/>
      <c r="Q111" s="14">
        <f>ROUND(IF(OR(N111="",P111=""),0,IF(AND(N111=0,P111=0),1,IF(S111="+",P111/N111,N111/P111))),2)</f>
        <v>0</v>
      </c>
      <c r="R111" s="38">
        <f>IF(AND(Q111&gt;=60%,Q111&lt;100%),Q111*((O111*J111)),IF(Q111=100%,((O111*J111)*Q111)*100%,IF(Q111&gt;100%,((J111*O111)*100%)*100%,0)))*100</f>
        <v>0</v>
      </c>
      <c r="S111" s="14" t="s">
        <v>23</v>
      </c>
      <c r="T111" s="145"/>
    </row>
    <row r="112" spans="1:20" ht="21.6" x14ac:dyDescent="0.3">
      <c r="A112" s="140"/>
      <c r="B112" s="33" t="s">
        <v>20</v>
      </c>
      <c r="C112" s="34" t="s">
        <v>267</v>
      </c>
      <c r="D112" s="35" t="s">
        <v>428</v>
      </c>
      <c r="E112" s="33" t="s">
        <v>31</v>
      </c>
      <c r="F112" s="36" t="s">
        <v>384</v>
      </c>
      <c r="G112" s="208" t="s">
        <v>544</v>
      </c>
      <c r="H112" s="36" t="s">
        <v>429</v>
      </c>
      <c r="I112" s="37" t="s">
        <v>26</v>
      </c>
      <c r="J112" s="14">
        <v>0.3</v>
      </c>
      <c r="K112" s="202" t="s">
        <v>551</v>
      </c>
      <c r="L112" s="201" t="s">
        <v>534</v>
      </c>
      <c r="M112" s="203"/>
      <c r="N112" s="14">
        <v>1</v>
      </c>
      <c r="O112" s="14">
        <v>0.1</v>
      </c>
      <c r="P112" s="132"/>
      <c r="Q112" s="14">
        <f>ROUND(IF(OR(N112="",P112=""),0,IF(AND(N112=0,P112=0),1,IF(S112="+",P112/N112,N112/P112))),2)</f>
        <v>0</v>
      </c>
      <c r="R112" s="38">
        <f>IF(AND(Q112&gt;=60%,Q112&lt;100%),Q112*((O112*J112)),IF(Q112=100%,((O112*J112)*Q112)*100%,IF(Q112&gt;100%,((J112*O112)*100%)*100%,0)))*100</f>
        <v>0</v>
      </c>
      <c r="S112" s="14" t="s">
        <v>23</v>
      </c>
      <c r="T112" s="145"/>
    </row>
    <row r="113" spans="1:20" ht="25.8" thickBot="1" x14ac:dyDescent="0.35">
      <c r="A113" s="142"/>
      <c r="B113" s="81" t="s">
        <v>20</v>
      </c>
      <c r="C113" s="82" t="s">
        <v>267</v>
      </c>
      <c r="D113" s="83" t="s">
        <v>428</v>
      </c>
      <c r="E113" s="81" t="s">
        <v>31</v>
      </c>
      <c r="F113" s="84" t="s">
        <v>384</v>
      </c>
      <c r="G113" s="209" t="s">
        <v>544</v>
      </c>
      <c r="H113" s="84" t="s">
        <v>429</v>
      </c>
      <c r="I113" s="85" t="s">
        <v>26</v>
      </c>
      <c r="J113" s="86">
        <v>0.3</v>
      </c>
      <c r="K113" s="87" t="s">
        <v>552</v>
      </c>
      <c r="L113" s="88" t="s">
        <v>535</v>
      </c>
      <c r="M113" s="88"/>
      <c r="N113" s="89">
        <v>1</v>
      </c>
      <c r="O113" s="89">
        <v>0.1</v>
      </c>
      <c r="P113" s="86"/>
      <c r="Q113" s="86">
        <f t="shared" ref="Q113:Q171" si="9">ROUND(IF(OR(N113="",P113=""),0,IF(AND(N113=0,P113=0),1,IF(S113="+",P113/N113,N113/P113))),2)</f>
        <v>0</v>
      </c>
      <c r="R113" s="90">
        <f t="shared" si="8"/>
        <v>0</v>
      </c>
      <c r="S113" s="91" t="s">
        <v>23</v>
      </c>
      <c r="T113" s="147"/>
    </row>
    <row r="114" spans="1:20" ht="25.2" x14ac:dyDescent="0.3">
      <c r="A114" s="138"/>
      <c r="B114" s="71" t="s">
        <v>20</v>
      </c>
      <c r="C114" s="72" t="s">
        <v>267</v>
      </c>
      <c r="D114" s="73" t="s">
        <v>431</v>
      </c>
      <c r="E114" s="71" t="s">
        <v>430</v>
      </c>
      <c r="F114" s="74" t="s">
        <v>384</v>
      </c>
      <c r="G114" s="188" t="s">
        <v>544</v>
      </c>
      <c r="H114" s="74" t="s">
        <v>505</v>
      </c>
      <c r="I114" s="95" t="s">
        <v>22</v>
      </c>
      <c r="J114" s="76">
        <v>0.7</v>
      </c>
      <c r="K114" s="77" t="s">
        <v>432</v>
      </c>
      <c r="L114" s="97" t="s">
        <v>433</v>
      </c>
      <c r="M114" s="97" t="s">
        <v>434</v>
      </c>
      <c r="N114" s="79">
        <v>0.95</v>
      </c>
      <c r="O114" s="79">
        <v>0.2</v>
      </c>
      <c r="P114" s="76"/>
      <c r="Q114" s="76">
        <f t="shared" si="9"/>
        <v>0</v>
      </c>
      <c r="R114" s="80">
        <f t="shared" si="8"/>
        <v>0</v>
      </c>
      <c r="S114" s="76" t="s">
        <v>23</v>
      </c>
      <c r="T114" s="194">
        <f>SUM(R114:R124)%</f>
        <v>0</v>
      </c>
    </row>
    <row r="115" spans="1:20" ht="21.6" x14ac:dyDescent="0.3">
      <c r="A115" s="139"/>
      <c r="B115" s="42" t="s">
        <v>20</v>
      </c>
      <c r="C115" s="43" t="s">
        <v>267</v>
      </c>
      <c r="D115" s="44" t="s">
        <v>431</v>
      </c>
      <c r="E115" s="42" t="s">
        <v>430</v>
      </c>
      <c r="F115" s="45" t="s">
        <v>384</v>
      </c>
      <c r="G115" s="207" t="s">
        <v>544</v>
      </c>
      <c r="H115" s="45" t="s">
        <v>505</v>
      </c>
      <c r="I115" s="47" t="s">
        <v>22</v>
      </c>
      <c r="J115" s="3">
        <v>0.7</v>
      </c>
      <c r="K115" s="20" t="s">
        <v>435</v>
      </c>
      <c r="L115" s="22" t="s">
        <v>436</v>
      </c>
      <c r="M115" s="22" t="s">
        <v>437</v>
      </c>
      <c r="N115" s="24">
        <v>0.1</v>
      </c>
      <c r="O115" s="24">
        <v>0.2</v>
      </c>
      <c r="P115" s="3"/>
      <c r="Q115" s="3">
        <f t="shared" si="9"/>
        <v>0</v>
      </c>
      <c r="R115" s="4">
        <f t="shared" si="8"/>
        <v>0</v>
      </c>
      <c r="S115" s="3" t="s">
        <v>24</v>
      </c>
      <c r="T115" s="193"/>
    </row>
    <row r="116" spans="1:20" ht="21.6" x14ac:dyDescent="0.3">
      <c r="A116" s="139"/>
      <c r="B116" s="42" t="s">
        <v>20</v>
      </c>
      <c r="C116" s="43" t="s">
        <v>267</v>
      </c>
      <c r="D116" s="44" t="s">
        <v>431</v>
      </c>
      <c r="E116" s="42" t="s">
        <v>430</v>
      </c>
      <c r="F116" s="45" t="s">
        <v>384</v>
      </c>
      <c r="G116" s="207" t="s">
        <v>544</v>
      </c>
      <c r="H116" s="45" t="s">
        <v>505</v>
      </c>
      <c r="I116" s="47" t="s">
        <v>22</v>
      </c>
      <c r="J116" s="3">
        <v>0.7</v>
      </c>
      <c r="K116" s="20" t="s">
        <v>438</v>
      </c>
      <c r="L116" s="22" t="s">
        <v>439</v>
      </c>
      <c r="M116" s="22" t="s">
        <v>440</v>
      </c>
      <c r="N116" s="24">
        <v>0.95</v>
      </c>
      <c r="O116" s="24">
        <v>0.2</v>
      </c>
      <c r="P116" s="3"/>
      <c r="Q116" s="3">
        <f t="shared" si="9"/>
        <v>0</v>
      </c>
      <c r="R116" s="4">
        <f t="shared" si="8"/>
        <v>0</v>
      </c>
      <c r="S116" s="3" t="s">
        <v>23</v>
      </c>
      <c r="T116" s="193"/>
    </row>
    <row r="117" spans="1:20" ht="25.2" x14ac:dyDescent="0.3">
      <c r="A117" s="139"/>
      <c r="B117" s="42" t="s">
        <v>20</v>
      </c>
      <c r="C117" s="43" t="s">
        <v>267</v>
      </c>
      <c r="D117" s="44" t="s">
        <v>431</v>
      </c>
      <c r="E117" s="42" t="s">
        <v>430</v>
      </c>
      <c r="F117" s="45" t="s">
        <v>384</v>
      </c>
      <c r="G117" s="207" t="s">
        <v>544</v>
      </c>
      <c r="H117" s="45" t="s">
        <v>505</v>
      </c>
      <c r="I117" s="47" t="s">
        <v>22</v>
      </c>
      <c r="J117" s="3">
        <v>0.7</v>
      </c>
      <c r="K117" s="20" t="s">
        <v>441</v>
      </c>
      <c r="L117" s="22" t="s">
        <v>442</v>
      </c>
      <c r="M117" s="22" t="s">
        <v>556</v>
      </c>
      <c r="N117" s="24">
        <v>0.95</v>
      </c>
      <c r="O117" s="24">
        <v>0.2</v>
      </c>
      <c r="P117" s="3"/>
      <c r="Q117" s="3">
        <f t="shared" si="9"/>
        <v>0</v>
      </c>
      <c r="R117" s="4">
        <f t="shared" si="8"/>
        <v>0</v>
      </c>
      <c r="S117" s="3" t="s">
        <v>23</v>
      </c>
      <c r="T117" s="193"/>
    </row>
    <row r="118" spans="1:20" ht="25.2" x14ac:dyDescent="0.3">
      <c r="A118" s="139"/>
      <c r="B118" s="42" t="s">
        <v>20</v>
      </c>
      <c r="C118" s="43" t="s">
        <v>267</v>
      </c>
      <c r="D118" s="44" t="s">
        <v>431</v>
      </c>
      <c r="E118" s="42" t="s">
        <v>430</v>
      </c>
      <c r="F118" s="45" t="s">
        <v>384</v>
      </c>
      <c r="G118" s="207" t="s">
        <v>544</v>
      </c>
      <c r="H118" s="45" t="s">
        <v>505</v>
      </c>
      <c r="I118" s="47" t="s">
        <v>22</v>
      </c>
      <c r="J118" s="3">
        <v>0.7</v>
      </c>
      <c r="K118" s="20" t="s">
        <v>443</v>
      </c>
      <c r="L118" s="22" t="s">
        <v>444</v>
      </c>
      <c r="M118" s="22" t="s">
        <v>445</v>
      </c>
      <c r="N118" s="24">
        <v>0.95</v>
      </c>
      <c r="O118" s="24">
        <v>0.11</v>
      </c>
      <c r="P118" s="3"/>
      <c r="Q118" s="3">
        <f t="shared" si="9"/>
        <v>0</v>
      </c>
      <c r="R118" s="4">
        <f t="shared" si="8"/>
        <v>0</v>
      </c>
      <c r="S118" s="3" t="s">
        <v>23</v>
      </c>
      <c r="T118" s="193"/>
    </row>
    <row r="119" spans="1:20" ht="21.6" x14ac:dyDescent="0.3">
      <c r="A119" s="140"/>
      <c r="B119" s="33" t="s">
        <v>20</v>
      </c>
      <c r="C119" s="34" t="s">
        <v>267</v>
      </c>
      <c r="D119" s="35" t="s">
        <v>431</v>
      </c>
      <c r="E119" s="33" t="s">
        <v>430</v>
      </c>
      <c r="F119" s="36" t="s">
        <v>384</v>
      </c>
      <c r="G119" s="208" t="s">
        <v>544</v>
      </c>
      <c r="H119" s="36" t="s">
        <v>505</v>
      </c>
      <c r="I119" s="37" t="s">
        <v>26</v>
      </c>
      <c r="J119" s="14">
        <v>0.3</v>
      </c>
      <c r="K119" s="28" t="s">
        <v>446</v>
      </c>
      <c r="L119" s="29" t="s">
        <v>25</v>
      </c>
      <c r="M119" s="29" t="s">
        <v>447</v>
      </c>
      <c r="N119" s="25">
        <v>0.8</v>
      </c>
      <c r="O119" s="25">
        <v>0.15</v>
      </c>
      <c r="P119" s="14"/>
      <c r="Q119" s="14">
        <f t="shared" si="9"/>
        <v>0</v>
      </c>
      <c r="R119" s="38">
        <f t="shared" si="8"/>
        <v>0</v>
      </c>
      <c r="S119" s="17" t="s">
        <v>23</v>
      </c>
      <c r="T119" s="146"/>
    </row>
    <row r="120" spans="1:20" ht="25.2" x14ac:dyDescent="0.3">
      <c r="A120" s="140"/>
      <c r="B120" s="33" t="s">
        <v>20</v>
      </c>
      <c r="C120" s="34" t="s">
        <v>267</v>
      </c>
      <c r="D120" s="35" t="s">
        <v>431</v>
      </c>
      <c r="E120" s="33" t="s">
        <v>430</v>
      </c>
      <c r="F120" s="36" t="s">
        <v>384</v>
      </c>
      <c r="G120" s="208" t="s">
        <v>544</v>
      </c>
      <c r="H120" s="36" t="s">
        <v>505</v>
      </c>
      <c r="I120" s="37" t="s">
        <v>26</v>
      </c>
      <c r="J120" s="14">
        <v>0.3</v>
      </c>
      <c r="K120" s="28" t="s">
        <v>448</v>
      </c>
      <c r="L120" s="29" t="s">
        <v>449</v>
      </c>
      <c r="M120" s="29" t="s">
        <v>450</v>
      </c>
      <c r="N120" s="25">
        <v>0.85</v>
      </c>
      <c r="O120" s="25">
        <v>0.15</v>
      </c>
      <c r="P120" s="14"/>
      <c r="Q120" s="14">
        <f t="shared" si="9"/>
        <v>0</v>
      </c>
      <c r="R120" s="38">
        <f t="shared" si="8"/>
        <v>0</v>
      </c>
      <c r="S120" s="17" t="s">
        <v>23</v>
      </c>
      <c r="T120" s="146"/>
    </row>
    <row r="121" spans="1:20" ht="21.6" x14ac:dyDescent="0.3">
      <c r="A121" s="140"/>
      <c r="B121" s="33" t="s">
        <v>20</v>
      </c>
      <c r="C121" s="34" t="s">
        <v>267</v>
      </c>
      <c r="D121" s="35" t="s">
        <v>431</v>
      </c>
      <c r="E121" s="33" t="s">
        <v>430</v>
      </c>
      <c r="F121" s="36" t="s">
        <v>384</v>
      </c>
      <c r="G121" s="208" t="s">
        <v>544</v>
      </c>
      <c r="H121" s="36" t="s">
        <v>505</v>
      </c>
      <c r="I121" s="37" t="s">
        <v>26</v>
      </c>
      <c r="J121" s="14">
        <v>0.3</v>
      </c>
      <c r="K121" s="28" t="s">
        <v>493</v>
      </c>
      <c r="L121" s="29" t="s">
        <v>492</v>
      </c>
      <c r="M121" s="29"/>
      <c r="N121" s="25">
        <v>0.9</v>
      </c>
      <c r="O121" s="25">
        <v>0.25</v>
      </c>
      <c r="P121" s="14"/>
      <c r="Q121" s="14">
        <f t="shared" si="9"/>
        <v>0</v>
      </c>
      <c r="R121" s="38">
        <f t="shared" si="8"/>
        <v>0</v>
      </c>
      <c r="S121" s="17" t="s">
        <v>23</v>
      </c>
      <c r="T121" s="146"/>
    </row>
    <row r="122" spans="1:20" ht="37.799999999999997" x14ac:dyDescent="0.3">
      <c r="A122" s="140"/>
      <c r="B122" s="33" t="s">
        <v>20</v>
      </c>
      <c r="C122" s="34" t="s">
        <v>267</v>
      </c>
      <c r="D122" s="35" t="s">
        <v>431</v>
      </c>
      <c r="E122" s="33" t="s">
        <v>430</v>
      </c>
      <c r="F122" s="36" t="s">
        <v>384</v>
      </c>
      <c r="G122" s="208" t="s">
        <v>544</v>
      </c>
      <c r="H122" s="36" t="s">
        <v>505</v>
      </c>
      <c r="I122" s="37" t="s">
        <v>26</v>
      </c>
      <c r="J122" s="14">
        <v>0.3</v>
      </c>
      <c r="K122" s="28" t="s">
        <v>451</v>
      </c>
      <c r="L122" s="29" t="s">
        <v>452</v>
      </c>
      <c r="M122" s="29"/>
      <c r="N122" s="25">
        <v>1</v>
      </c>
      <c r="O122" s="25">
        <v>0.15</v>
      </c>
      <c r="P122" s="14"/>
      <c r="Q122" s="14">
        <f t="shared" si="9"/>
        <v>0</v>
      </c>
      <c r="R122" s="38">
        <f t="shared" si="8"/>
        <v>0</v>
      </c>
      <c r="S122" s="17" t="s">
        <v>23</v>
      </c>
      <c r="T122" s="146"/>
    </row>
    <row r="123" spans="1:20" ht="21.6" x14ac:dyDescent="0.3">
      <c r="A123" s="140"/>
      <c r="B123" s="33" t="s">
        <v>20</v>
      </c>
      <c r="C123" s="34" t="s">
        <v>267</v>
      </c>
      <c r="D123" s="218" t="s">
        <v>431</v>
      </c>
      <c r="E123" s="33" t="s">
        <v>430</v>
      </c>
      <c r="F123" s="36" t="s">
        <v>384</v>
      </c>
      <c r="G123" s="208" t="s">
        <v>544</v>
      </c>
      <c r="H123" s="36" t="s">
        <v>505</v>
      </c>
      <c r="I123" s="199" t="s">
        <v>26</v>
      </c>
      <c r="J123" s="14">
        <v>0.3</v>
      </c>
      <c r="K123" s="202" t="s">
        <v>453</v>
      </c>
      <c r="L123" s="201" t="s">
        <v>454</v>
      </c>
      <c r="M123" s="203"/>
      <c r="N123" s="14">
        <v>1</v>
      </c>
      <c r="O123" s="14">
        <v>0.15</v>
      </c>
      <c r="P123" s="132"/>
      <c r="Q123" s="14">
        <f t="shared" si="9"/>
        <v>0</v>
      </c>
      <c r="R123" s="38">
        <f t="shared" si="8"/>
        <v>0</v>
      </c>
      <c r="S123" s="14" t="s">
        <v>23</v>
      </c>
      <c r="T123" s="145"/>
    </row>
    <row r="124" spans="1:20" ht="38.4" thickBot="1" x14ac:dyDescent="0.35">
      <c r="A124" s="142"/>
      <c r="B124" s="81" t="s">
        <v>20</v>
      </c>
      <c r="C124" s="82" t="s">
        <v>267</v>
      </c>
      <c r="D124" s="83" t="s">
        <v>431</v>
      </c>
      <c r="E124" s="81" t="s">
        <v>430</v>
      </c>
      <c r="F124" s="84" t="s">
        <v>384</v>
      </c>
      <c r="G124" s="209" t="s">
        <v>544</v>
      </c>
      <c r="H124" s="84" t="s">
        <v>505</v>
      </c>
      <c r="I124" s="85" t="s">
        <v>26</v>
      </c>
      <c r="J124" s="86">
        <v>0.3</v>
      </c>
      <c r="K124" s="87" t="s">
        <v>555</v>
      </c>
      <c r="L124" s="88" t="s">
        <v>554</v>
      </c>
      <c r="M124" s="88"/>
      <c r="N124" s="89">
        <v>1</v>
      </c>
      <c r="O124" s="89">
        <v>0.15</v>
      </c>
      <c r="P124" s="86"/>
      <c r="Q124" s="86">
        <f t="shared" si="9"/>
        <v>0</v>
      </c>
      <c r="R124" s="90">
        <f t="shared" si="8"/>
        <v>0</v>
      </c>
      <c r="S124" s="91" t="s">
        <v>23</v>
      </c>
      <c r="T124" s="147"/>
    </row>
    <row r="125" spans="1:20" ht="21.6" x14ac:dyDescent="0.3">
      <c r="A125" s="138"/>
      <c r="B125" s="71" t="s">
        <v>20</v>
      </c>
      <c r="C125" s="72" t="s">
        <v>267</v>
      </c>
      <c r="D125" s="73" t="s">
        <v>456</v>
      </c>
      <c r="E125" s="71" t="s">
        <v>455</v>
      </c>
      <c r="F125" s="74" t="s">
        <v>384</v>
      </c>
      <c r="G125" s="188" t="s">
        <v>544</v>
      </c>
      <c r="H125" s="74" t="s">
        <v>468</v>
      </c>
      <c r="I125" s="99" t="s">
        <v>22</v>
      </c>
      <c r="J125" s="69">
        <v>0.7</v>
      </c>
      <c r="K125" s="70" t="s">
        <v>32</v>
      </c>
      <c r="L125" s="70" t="s">
        <v>33</v>
      </c>
      <c r="M125" s="70" t="s">
        <v>34</v>
      </c>
      <c r="N125" s="124">
        <v>0.95</v>
      </c>
      <c r="O125" s="124">
        <v>0.2</v>
      </c>
      <c r="P125" s="69"/>
      <c r="Q125" s="69">
        <f t="shared" si="9"/>
        <v>0</v>
      </c>
      <c r="R125" s="100">
        <f t="shared" si="8"/>
        <v>0</v>
      </c>
      <c r="S125" s="69" t="s">
        <v>23</v>
      </c>
      <c r="T125" s="194">
        <f>SUM(R125:R134)%</f>
        <v>0</v>
      </c>
    </row>
    <row r="126" spans="1:20" ht="21.6" x14ac:dyDescent="0.3">
      <c r="A126" s="139"/>
      <c r="B126" s="42" t="s">
        <v>20</v>
      </c>
      <c r="C126" s="43" t="s">
        <v>267</v>
      </c>
      <c r="D126" s="44" t="s">
        <v>456</v>
      </c>
      <c r="E126" s="42" t="s">
        <v>455</v>
      </c>
      <c r="F126" s="45" t="s">
        <v>384</v>
      </c>
      <c r="G126" s="207" t="s">
        <v>544</v>
      </c>
      <c r="H126" s="45" t="s">
        <v>468</v>
      </c>
      <c r="I126" s="1" t="s">
        <v>22</v>
      </c>
      <c r="J126" s="3">
        <v>0.7</v>
      </c>
      <c r="K126" s="2" t="s">
        <v>35</v>
      </c>
      <c r="L126" s="2" t="s">
        <v>36</v>
      </c>
      <c r="M126" s="2" t="s">
        <v>37</v>
      </c>
      <c r="N126" s="26">
        <v>0.95</v>
      </c>
      <c r="O126" s="26">
        <v>0.2</v>
      </c>
      <c r="P126" s="3"/>
      <c r="Q126" s="3">
        <f t="shared" si="9"/>
        <v>0</v>
      </c>
      <c r="R126" s="4">
        <f t="shared" si="8"/>
        <v>0</v>
      </c>
      <c r="S126" s="3" t="s">
        <v>23</v>
      </c>
      <c r="T126" s="193"/>
    </row>
    <row r="127" spans="1:20" ht="21.6" x14ac:dyDescent="0.3">
      <c r="A127" s="139"/>
      <c r="B127" s="42" t="s">
        <v>20</v>
      </c>
      <c r="C127" s="43" t="s">
        <v>267</v>
      </c>
      <c r="D127" s="44" t="s">
        <v>456</v>
      </c>
      <c r="E127" s="42" t="s">
        <v>455</v>
      </c>
      <c r="F127" s="45" t="s">
        <v>384</v>
      </c>
      <c r="G127" s="207" t="s">
        <v>544</v>
      </c>
      <c r="H127" s="45" t="s">
        <v>468</v>
      </c>
      <c r="I127" s="1" t="s">
        <v>22</v>
      </c>
      <c r="J127" s="3">
        <v>0.7</v>
      </c>
      <c r="K127" s="2" t="s">
        <v>38</v>
      </c>
      <c r="L127" s="2" t="s">
        <v>39</v>
      </c>
      <c r="M127" s="2" t="s">
        <v>40</v>
      </c>
      <c r="N127" s="26">
        <v>1</v>
      </c>
      <c r="O127" s="26">
        <v>0.2</v>
      </c>
      <c r="P127" s="3"/>
      <c r="Q127" s="3">
        <f t="shared" si="9"/>
        <v>0</v>
      </c>
      <c r="R127" s="4">
        <f t="shared" si="8"/>
        <v>0</v>
      </c>
      <c r="S127" s="3" t="s">
        <v>23</v>
      </c>
      <c r="T127" s="193"/>
    </row>
    <row r="128" spans="1:20" ht="21.6" x14ac:dyDescent="0.3">
      <c r="A128" s="139"/>
      <c r="B128" s="42" t="s">
        <v>20</v>
      </c>
      <c r="C128" s="43" t="s">
        <v>267</v>
      </c>
      <c r="D128" s="44" t="s">
        <v>456</v>
      </c>
      <c r="E128" s="42" t="s">
        <v>455</v>
      </c>
      <c r="F128" s="45" t="s">
        <v>384</v>
      </c>
      <c r="G128" s="207" t="s">
        <v>544</v>
      </c>
      <c r="H128" s="45" t="s">
        <v>468</v>
      </c>
      <c r="I128" s="1" t="s">
        <v>22</v>
      </c>
      <c r="J128" s="3">
        <v>0.7</v>
      </c>
      <c r="K128" s="2" t="s">
        <v>41</v>
      </c>
      <c r="L128" s="2" t="s">
        <v>42</v>
      </c>
      <c r="M128" s="2" t="s">
        <v>43</v>
      </c>
      <c r="N128" s="26">
        <v>0.98</v>
      </c>
      <c r="O128" s="26">
        <v>0.2</v>
      </c>
      <c r="P128" s="3"/>
      <c r="Q128" s="3">
        <f t="shared" si="9"/>
        <v>0</v>
      </c>
      <c r="R128" s="4">
        <f t="shared" si="8"/>
        <v>0</v>
      </c>
      <c r="S128" s="3" t="s">
        <v>23</v>
      </c>
      <c r="T128" s="193"/>
    </row>
    <row r="129" spans="1:20" ht="25.2" x14ac:dyDescent="0.3">
      <c r="A129" s="139"/>
      <c r="B129" s="42" t="s">
        <v>20</v>
      </c>
      <c r="C129" s="43" t="s">
        <v>267</v>
      </c>
      <c r="D129" s="44" t="s">
        <v>456</v>
      </c>
      <c r="E129" s="42" t="s">
        <v>455</v>
      </c>
      <c r="F129" s="45" t="s">
        <v>384</v>
      </c>
      <c r="G129" s="207" t="s">
        <v>544</v>
      </c>
      <c r="H129" s="45" t="s">
        <v>468</v>
      </c>
      <c r="I129" s="1" t="s">
        <v>22</v>
      </c>
      <c r="J129" s="3">
        <v>0.7</v>
      </c>
      <c r="K129" s="2" t="s">
        <v>44</v>
      </c>
      <c r="L129" s="2" t="s">
        <v>45</v>
      </c>
      <c r="M129" s="2" t="s">
        <v>46</v>
      </c>
      <c r="N129" s="27">
        <v>0.9</v>
      </c>
      <c r="O129" s="26">
        <v>0.15</v>
      </c>
      <c r="P129" s="3"/>
      <c r="Q129" s="3">
        <f t="shared" si="9"/>
        <v>0</v>
      </c>
      <c r="R129" s="4">
        <f t="shared" si="8"/>
        <v>0</v>
      </c>
      <c r="S129" s="3" t="s">
        <v>23</v>
      </c>
      <c r="T129" s="193"/>
    </row>
    <row r="130" spans="1:20" ht="25.2" x14ac:dyDescent="0.3">
      <c r="A130" s="139"/>
      <c r="B130" s="42" t="s">
        <v>20</v>
      </c>
      <c r="C130" s="43" t="s">
        <v>267</v>
      </c>
      <c r="D130" s="44" t="s">
        <v>456</v>
      </c>
      <c r="E130" s="42" t="s">
        <v>455</v>
      </c>
      <c r="F130" s="45" t="s">
        <v>384</v>
      </c>
      <c r="G130" s="207" t="s">
        <v>544</v>
      </c>
      <c r="H130" s="45" t="s">
        <v>468</v>
      </c>
      <c r="I130" s="47" t="s">
        <v>22</v>
      </c>
      <c r="J130" s="3">
        <v>0.7</v>
      </c>
      <c r="K130" s="20" t="s">
        <v>398</v>
      </c>
      <c r="L130" s="22" t="s">
        <v>399</v>
      </c>
      <c r="M130" s="22" t="s">
        <v>400</v>
      </c>
      <c r="N130" s="24">
        <v>1</v>
      </c>
      <c r="O130" s="24">
        <v>0.05</v>
      </c>
      <c r="P130" s="3"/>
      <c r="Q130" s="3">
        <f t="shared" si="9"/>
        <v>0</v>
      </c>
      <c r="R130" s="4">
        <f t="shared" ref="R130:R188" si="10">IF(AND(Q130&gt;=60%,Q130&lt;100%),Q130*((O130*J130)),IF(Q130=100%,((O130*J130)*Q130)*100%,IF(Q130&gt;100%,((J130*O130)*100%)*100%,0)))*100</f>
        <v>0</v>
      </c>
      <c r="S130" s="3" t="s">
        <v>23</v>
      </c>
      <c r="T130" s="193"/>
    </row>
    <row r="131" spans="1:20" ht="21.6" x14ac:dyDescent="0.3">
      <c r="A131" s="140"/>
      <c r="B131" s="33" t="s">
        <v>20</v>
      </c>
      <c r="C131" s="34" t="s">
        <v>267</v>
      </c>
      <c r="D131" s="35" t="s">
        <v>456</v>
      </c>
      <c r="E131" s="33" t="s">
        <v>455</v>
      </c>
      <c r="F131" s="36" t="s">
        <v>384</v>
      </c>
      <c r="G131" s="208" t="s">
        <v>544</v>
      </c>
      <c r="H131" s="36" t="s">
        <v>468</v>
      </c>
      <c r="I131" s="37" t="s">
        <v>26</v>
      </c>
      <c r="J131" s="14">
        <v>0.3</v>
      </c>
      <c r="K131" s="28" t="s">
        <v>522</v>
      </c>
      <c r="L131" s="29" t="s">
        <v>553</v>
      </c>
      <c r="M131" s="29"/>
      <c r="N131" s="25">
        <v>1</v>
      </c>
      <c r="O131" s="25">
        <v>0.35</v>
      </c>
      <c r="P131" s="14"/>
      <c r="Q131" s="14">
        <f t="shared" si="9"/>
        <v>0</v>
      </c>
      <c r="R131" s="38">
        <f t="shared" si="10"/>
        <v>0</v>
      </c>
      <c r="S131" s="17" t="s">
        <v>23</v>
      </c>
      <c r="T131" s="146"/>
    </row>
    <row r="132" spans="1:20" ht="21.6" x14ac:dyDescent="0.3">
      <c r="A132" s="140"/>
      <c r="B132" s="33" t="s">
        <v>20</v>
      </c>
      <c r="C132" s="34" t="s">
        <v>267</v>
      </c>
      <c r="D132" s="35" t="s">
        <v>456</v>
      </c>
      <c r="E132" s="33" t="s">
        <v>455</v>
      </c>
      <c r="F132" s="36" t="s">
        <v>384</v>
      </c>
      <c r="G132" s="208" t="s">
        <v>544</v>
      </c>
      <c r="H132" s="36" t="s">
        <v>468</v>
      </c>
      <c r="I132" s="37" t="s">
        <v>26</v>
      </c>
      <c r="J132" s="14">
        <v>0.3</v>
      </c>
      <c r="K132" s="28" t="s">
        <v>523</v>
      </c>
      <c r="L132" s="29" t="s">
        <v>526</v>
      </c>
      <c r="M132" s="29"/>
      <c r="N132" s="25">
        <v>1</v>
      </c>
      <c r="O132" s="25">
        <v>0.2</v>
      </c>
      <c r="P132" s="14"/>
      <c r="Q132" s="14">
        <f t="shared" si="9"/>
        <v>0</v>
      </c>
      <c r="R132" s="38">
        <f t="shared" si="10"/>
        <v>0</v>
      </c>
      <c r="S132" s="17" t="s">
        <v>23</v>
      </c>
      <c r="T132" s="146"/>
    </row>
    <row r="133" spans="1:20" ht="21.6" x14ac:dyDescent="0.3">
      <c r="A133" s="141"/>
      <c r="B133" s="33" t="s">
        <v>20</v>
      </c>
      <c r="C133" s="34" t="s">
        <v>267</v>
      </c>
      <c r="D133" s="35" t="s">
        <v>456</v>
      </c>
      <c r="E133" s="33" t="s">
        <v>455</v>
      </c>
      <c r="F133" s="36" t="s">
        <v>384</v>
      </c>
      <c r="G133" s="208" t="s">
        <v>544</v>
      </c>
      <c r="H133" s="36" t="s">
        <v>468</v>
      </c>
      <c r="I133" s="37" t="s">
        <v>26</v>
      </c>
      <c r="J133" s="14">
        <v>0.3</v>
      </c>
      <c r="K133" s="133" t="s">
        <v>524</v>
      </c>
      <c r="L133" s="134" t="s">
        <v>528</v>
      </c>
      <c r="M133" s="134"/>
      <c r="N133" s="131">
        <v>1</v>
      </c>
      <c r="O133" s="131">
        <v>0.3</v>
      </c>
      <c r="P133" s="132"/>
      <c r="Q133" s="14">
        <f t="shared" si="9"/>
        <v>0</v>
      </c>
      <c r="R133" s="38">
        <f t="shared" si="10"/>
        <v>0</v>
      </c>
      <c r="S133" s="17" t="s">
        <v>23</v>
      </c>
      <c r="T133" s="148"/>
    </row>
    <row r="134" spans="1:20" ht="25.8" thickBot="1" x14ac:dyDescent="0.35">
      <c r="A134" s="141"/>
      <c r="B134" s="33" t="s">
        <v>20</v>
      </c>
      <c r="C134" s="34" t="s">
        <v>267</v>
      </c>
      <c r="D134" s="35" t="s">
        <v>456</v>
      </c>
      <c r="E134" s="33" t="s">
        <v>455</v>
      </c>
      <c r="F134" s="36" t="s">
        <v>384</v>
      </c>
      <c r="G134" s="208" t="s">
        <v>544</v>
      </c>
      <c r="H134" s="36" t="s">
        <v>468</v>
      </c>
      <c r="I134" s="37" t="s">
        <v>26</v>
      </c>
      <c r="J134" s="14">
        <v>0.3</v>
      </c>
      <c r="K134" s="133" t="s">
        <v>525</v>
      </c>
      <c r="L134" s="134" t="s">
        <v>527</v>
      </c>
      <c r="M134" s="134"/>
      <c r="N134" s="131">
        <v>1</v>
      </c>
      <c r="O134" s="131">
        <v>0.15</v>
      </c>
      <c r="P134" s="132"/>
      <c r="Q134" s="14">
        <f t="shared" si="9"/>
        <v>0</v>
      </c>
      <c r="R134" s="38">
        <f t="shared" si="10"/>
        <v>0</v>
      </c>
      <c r="S134" s="17" t="s">
        <v>23</v>
      </c>
      <c r="T134" s="148"/>
    </row>
    <row r="135" spans="1:20" ht="21.6" x14ac:dyDescent="0.3">
      <c r="A135" s="138"/>
      <c r="B135" s="71" t="s">
        <v>20</v>
      </c>
      <c r="C135" s="72" t="s">
        <v>267</v>
      </c>
      <c r="D135" s="73" t="s">
        <v>457</v>
      </c>
      <c r="E135" s="71" t="s">
        <v>50</v>
      </c>
      <c r="F135" s="74" t="s">
        <v>384</v>
      </c>
      <c r="G135" s="188" t="s">
        <v>544</v>
      </c>
      <c r="H135" s="74" t="s">
        <v>470</v>
      </c>
      <c r="I135" s="95" t="s">
        <v>22</v>
      </c>
      <c r="J135" s="76">
        <v>0.7</v>
      </c>
      <c r="K135" s="77" t="s">
        <v>458</v>
      </c>
      <c r="L135" s="97" t="s">
        <v>459</v>
      </c>
      <c r="M135" s="97" t="s">
        <v>460</v>
      </c>
      <c r="N135" s="79">
        <v>0.95</v>
      </c>
      <c r="O135" s="79">
        <v>0.1</v>
      </c>
      <c r="P135" s="76"/>
      <c r="Q135" s="76">
        <f t="shared" si="9"/>
        <v>0</v>
      </c>
      <c r="R135" s="80">
        <f t="shared" si="10"/>
        <v>0</v>
      </c>
      <c r="S135" s="76" t="s">
        <v>23</v>
      </c>
      <c r="T135" s="194">
        <f>SUM(R135:R143)%</f>
        <v>0</v>
      </c>
    </row>
    <row r="136" spans="1:20" ht="37.799999999999997" x14ac:dyDescent="0.3">
      <c r="A136" s="139"/>
      <c r="B136" s="42" t="s">
        <v>20</v>
      </c>
      <c r="C136" s="43" t="s">
        <v>267</v>
      </c>
      <c r="D136" s="44" t="s">
        <v>457</v>
      </c>
      <c r="E136" s="42" t="s">
        <v>50</v>
      </c>
      <c r="F136" s="45" t="s">
        <v>384</v>
      </c>
      <c r="G136" s="207" t="s">
        <v>544</v>
      </c>
      <c r="H136" s="45" t="s">
        <v>470</v>
      </c>
      <c r="I136" s="47" t="s">
        <v>22</v>
      </c>
      <c r="J136" s="3">
        <v>0.7</v>
      </c>
      <c r="K136" s="20" t="s">
        <v>461</v>
      </c>
      <c r="L136" s="22" t="s">
        <v>510</v>
      </c>
      <c r="M136" s="22" t="s">
        <v>408</v>
      </c>
      <c r="N136" s="24">
        <v>0.95</v>
      </c>
      <c r="O136" s="24">
        <v>0.1</v>
      </c>
      <c r="P136" s="3"/>
      <c r="Q136" s="3">
        <f t="shared" si="9"/>
        <v>0</v>
      </c>
      <c r="R136" s="4">
        <f t="shared" si="10"/>
        <v>0</v>
      </c>
      <c r="S136" s="3" t="s">
        <v>23</v>
      </c>
      <c r="T136" s="193"/>
    </row>
    <row r="137" spans="1:20" ht="21.6" x14ac:dyDescent="0.3">
      <c r="A137" s="139"/>
      <c r="B137" s="42" t="s">
        <v>20</v>
      </c>
      <c r="C137" s="43" t="s">
        <v>267</v>
      </c>
      <c r="D137" s="44" t="s">
        <v>457</v>
      </c>
      <c r="E137" s="42" t="s">
        <v>50</v>
      </c>
      <c r="F137" s="45" t="s">
        <v>384</v>
      </c>
      <c r="G137" s="207" t="s">
        <v>544</v>
      </c>
      <c r="H137" s="45" t="s">
        <v>470</v>
      </c>
      <c r="I137" s="47" t="s">
        <v>22</v>
      </c>
      <c r="J137" s="3">
        <v>0.7</v>
      </c>
      <c r="K137" s="20" t="s">
        <v>51</v>
      </c>
      <c r="L137" s="8" t="s">
        <v>127</v>
      </c>
      <c r="M137" s="7" t="s">
        <v>128</v>
      </c>
      <c r="N137" s="24">
        <v>0.05</v>
      </c>
      <c r="O137" s="24">
        <v>0.1</v>
      </c>
      <c r="P137" s="3"/>
      <c r="Q137" s="3">
        <f t="shared" si="9"/>
        <v>0</v>
      </c>
      <c r="R137" s="4">
        <f t="shared" si="10"/>
        <v>0</v>
      </c>
      <c r="S137" s="3" t="s">
        <v>24</v>
      </c>
      <c r="T137" s="193"/>
    </row>
    <row r="138" spans="1:20" ht="21.6" x14ac:dyDescent="0.3">
      <c r="A138" s="139"/>
      <c r="B138" s="42" t="s">
        <v>20</v>
      </c>
      <c r="C138" s="43" t="s">
        <v>267</v>
      </c>
      <c r="D138" s="44" t="s">
        <v>457</v>
      </c>
      <c r="E138" s="42" t="s">
        <v>50</v>
      </c>
      <c r="F138" s="45" t="s">
        <v>384</v>
      </c>
      <c r="G138" s="207" t="s">
        <v>544</v>
      </c>
      <c r="H138" s="45" t="s">
        <v>470</v>
      </c>
      <c r="I138" s="47" t="s">
        <v>22</v>
      </c>
      <c r="J138" s="3">
        <v>0.7</v>
      </c>
      <c r="K138" s="20" t="s">
        <v>462</v>
      </c>
      <c r="L138" s="22" t="s">
        <v>463</v>
      </c>
      <c r="M138" s="22" t="s">
        <v>464</v>
      </c>
      <c r="N138" s="24">
        <v>0.05</v>
      </c>
      <c r="O138" s="24">
        <v>0.15</v>
      </c>
      <c r="P138" s="3"/>
      <c r="Q138" s="3">
        <f t="shared" si="9"/>
        <v>0</v>
      </c>
      <c r="R138" s="4">
        <f t="shared" si="10"/>
        <v>0</v>
      </c>
      <c r="S138" s="3" t="s">
        <v>24</v>
      </c>
      <c r="T138" s="193"/>
    </row>
    <row r="139" spans="1:20" ht="25.2" x14ac:dyDescent="0.3">
      <c r="A139" s="139"/>
      <c r="B139" s="42" t="s">
        <v>20</v>
      </c>
      <c r="C139" s="43" t="s">
        <v>267</v>
      </c>
      <c r="D139" s="44" t="s">
        <v>457</v>
      </c>
      <c r="E139" s="42" t="s">
        <v>50</v>
      </c>
      <c r="F139" s="45" t="s">
        <v>384</v>
      </c>
      <c r="G139" s="207" t="s">
        <v>544</v>
      </c>
      <c r="H139" s="45" t="s">
        <v>470</v>
      </c>
      <c r="I139" s="47" t="s">
        <v>22</v>
      </c>
      <c r="J139" s="3">
        <v>0.7</v>
      </c>
      <c r="K139" s="20" t="s">
        <v>395</v>
      </c>
      <c r="L139" s="22" t="s">
        <v>465</v>
      </c>
      <c r="M139" s="22" t="s">
        <v>397</v>
      </c>
      <c r="N139" s="24">
        <v>0.9</v>
      </c>
      <c r="O139" s="24">
        <v>0.15</v>
      </c>
      <c r="P139" s="3"/>
      <c r="Q139" s="3">
        <f t="shared" si="9"/>
        <v>0</v>
      </c>
      <c r="R139" s="4">
        <f t="shared" si="10"/>
        <v>0</v>
      </c>
      <c r="S139" s="3" t="s">
        <v>23</v>
      </c>
      <c r="T139" s="193"/>
    </row>
    <row r="140" spans="1:20" ht="25.2" x14ac:dyDescent="0.3">
      <c r="A140" s="139"/>
      <c r="B140" s="42" t="s">
        <v>20</v>
      </c>
      <c r="C140" s="43" t="s">
        <v>267</v>
      </c>
      <c r="D140" s="44" t="s">
        <v>457</v>
      </c>
      <c r="E140" s="42" t="s">
        <v>50</v>
      </c>
      <c r="F140" s="45" t="s">
        <v>384</v>
      </c>
      <c r="G140" s="207" t="s">
        <v>544</v>
      </c>
      <c r="H140" s="45" t="s">
        <v>470</v>
      </c>
      <c r="I140" s="47" t="s">
        <v>22</v>
      </c>
      <c r="J140" s="3">
        <v>0.7</v>
      </c>
      <c r="K140" s="20" t="s">
        <v>466</v>
      </c>
      <c r="L140" s="22" t="s">
        <v>467</v>
      </c>
      <c r="M140" s="22" t="s">
        <v>379</v>
      </c>
      <c r="N140" s="57">
        <v>0</v>
      </c>
      <c r="O140" s="24">
        <v>0.15</v>
      </c>
      <c r="P140" s="3"/>
      <c r="Q140" s="3">
        <f t="shared" si="9"/>
        <v>0</v>
      </c>
      <c r="R140" s="4">
        <f t="shared" si="10"/>
        <v>0</v>
      </c>
      <c r="S140" s="3" t="s">
        <v>24</v>
      </c>
      <c r="T140" s="193"/>
    </row>
    <row r="141" spans="1:20" ht="25.2" x14ac:dyDescent="0.3">
      <c r="A141" s="139"/>
      <c r="B141" s="42" t="s">
        <v>20</v>
      </c>
      <c r="C141" s="43" t="s">
        <v>267</v>
      </c>
      <c r="D141" s="44" t="s">
        <v>457</v>
      </c>
      <c r="E141" s="42" t="s">
        <v>50</v>
      </c>
      <c r="F141" s="45" t="s">
        <v>384</v>
      </c>
      <c r="G141" s="207" t="s">
        <v>544</v>
      </c>
      <c r="H141" s="45" t="s">
        <v>470</v>
      </c>
      <c r="I141" s="47" t="s">
        <v>22</v>
      </c>
      <c r="J141" s="3">
        <v>0.7</v>
      </c>
      <c r="K141" s="20" t="s">
        <v>412</v>
      </c>
      <c r="L141" s="22" t="s">
        <v>413</v>
      </c>
      <c r="M141" s="22" t="s">
        <v>380</v>
      </c>
      <c r="N141" s="24">
        <v>0.7</v>
      </c>
      <c r="O141" s="24">
        <v>0.15</v>
      </c>
      <c r="P141" s="3"/>
      <c r="Q141" s="3">
        <f t="shared" si="9"/>
        <v>0</v>
      </c>
      <c r="R141" s="4">
        <f t="shared" si="10"/>
        <v>0</v>
      </c>
      <c r="S141" s="3" t="s">
        <v>23</v>
      </c>
      <c r="T141" s="193"/>
    </row>
    <row r="142" spans="1:20" ht="25.2" x14ac:dyDescent="0.3">
      <c r="A142" s="139"/>
      <c r="B142" s="42" t="s">
        <v>20</v>
      </c>
      <c r="C142" s="43" t="s">
        <v>267</v>
      </c>
      <c r="D142" s="44" t="s">
        <v>457</v>
      </c>
      <c r="E142" s="42" t="s">
        <v>50</v>
      </c>
      <c r="F142" s="45" t="s">
        <v>384</v>
      </c>
      <c r="G142" s="207" t="s">
        <v>544</v>
      </c>
      <c r="H142" s="45" t="s">
        <v>470</v>
      </c>
      <c r="I142" s="47" t="s">
        <v>22</v>
      </c>
      <c r="J142" s="3">
        <v>0.7</v>
      </c>
      <c r="K142" s="20" t="s">
        <v>398</v>
      </c>
      <c r="L142" s="22" t="s">
        <v>399</v>
      </c>
      <c r="M142" s="22" t="s">
        <v>400</v>
      </c>
      <c r="N142" s="24">
        <v>1</v>
      </c>
      <c r="O142" s="24">
        <v>0.1</v>
      </c>
      <c r="P142" s="3"/>
      <c r="Q142" s="3">
        <f t="shared" si="9"/>
        <v>0</v>
      </c>
      <c r="R142" s="4">
        <f t="shared" si="10"/>
        <v>0</v>
      </c>
      <c r="S142" s="3" t="s">
        <v>23</v>
      </c>
      <c r="T142" s="193"/>
    </row>
    <row r="143" spans="1:20" ht="22.2" thickBot="1" x14ac:dyDescent="0.35">
      <c r="A143" s="142"/>
      <c r="B143" s="81" t="s">
        <v>20</v>
      </c>
      <c r="C143" s="82" t="s">
        <v>267</v>
      </c>
      <c r="D143" s="83" t="s">
        <v>457</v>
      </c>
      <c r="E143" s="81" t="s">
        <v>50</v>
      </c>
      <c r="F143" s="84" t="s">
        <v>384</v>
      </c>
      <c r="G143" s="209" t="s">
        <v>544</v>
      </c>
      <c r="H143" s="84" t="s">
        <v>470</v>
      </c>
      <c r="I143" s="85" t="s">
        <v>26</v>
      </c>
      <c r="J143" s="86">
        <v>0.3</v>
      </c>
      <c r="K143" s="87" t="s">
        <v>481</v>
      </c>
      <c r="L143" s="88" t="s">
        <v>491</v>
      </c>
      <c r="M143" s="88"/>
      <c r="N143" s="89">
        <v>1</v>
      </c>
      <c r="O143" s="89">
        <v>1</v>
      </c>
      <c r="P143" s="86"/>
      <c r="Q143" s="86">
        <f t="shared" si="9"/>
        <v>0</v>
      </c>
      <c r="R143" s="90">
        <f t="shared" si="10"/>
        <v>0</v>
      </c>
      <c r="S143" s="91" t="s">
        <v>23</v>
      </c>
      <c r="T143" s="147"/>
    </row>
    <row r="144" spans="1:20" ht="21.6" x14ac:dyDescent="0.3">
      <c r="A144" s="138">
        <v>1</v>
      </c>
      <c r="B144" s="71" t="s">
        <v>20</v>
      </c>
      <c r="C144" s="72" t="s">
        <v>267</v>
      </c>
      <c r="D144" s="73">
        <v>3926</v>
      </c>
      <c r="E144" s="71" t="s">
        <v>52</v>
      </c>
      <c r="F144" s="74" t="s">
        <v>145</v>
      </c>
      <c r="G144" s="188" t="s">
        <v>53</v>
      </c>
      <c r="H144" s="74" t="s">
        <v>505</v>
      </c>
      <c r="I144" s="75" t="s">
        <v>22</v>
      </c>
      <c r="J144" s="76">
        <v>0.7</v>
      </c>
      <c r="K144" s="101" t="s">
        <v>54</v>
      </c>
      <c r="L144" s="96" t="s">
        <v>55</v>
      </c>
      <c r="M144" s="101" t="s">
        <v>56</v>
      </c>
      <c r="N144" s="76">
        <v>0.95</v>
      </c>
      <c r="O144" s="76">
        <v>0.2</v>
      </c>
      <c r="P144" s="76"/>
      <c r="Q144" s="76">
        <f t="shared" si="9"/>
        <v>0</v>
      </c>
      <c r="R144" s="80">
        <f t="shared" si="10"/>
        <v>0</v>
      </c>
      <c r="S144" s="76" t="s">
        <v>23</v>
      </c>
      <c r="T144" s="194">
        <f>SUM(R144:R152)%</f>
        <v>0</v>
      </c>
    </row>
    <row r="145" spans="1:20" ht="21.6" x14ac:dyDescent="0.3">
      <c r="A145" s="139">
        <v>2</v>
      </c>
      <c r="B145" s="42" t="s">
        <v>20</v>
      </c>
      <c r="C145" s="43" t="s">
        <v>267</v>
      </c>
      <c r="D145" s="44">
        <v>3926</v>
      </c>
      <c r="E145" s="42" t="s">
        <v>52</v>
      </c>
      <c r="F145" s="45" t="s">
        <v>145</v>
      </c>
      <c r="G145" s="207" t="s">
        <v>53</v>
      </c>
      <c r="H145" s="45" t="s">
        <v>505</v>
      </c>
      <c r="I145" s="7" t="s">
        <v>22</v>
      </c>
      <c r="J145" s="3">
        <v>0.7</v>
      </c>
      <c r="K145" s="1" t="s">
        <v>57</v>
      </c>
      <c r="L145" s="2" t="s">
        <v>58</v>
      </c>
      <c r="M145" s="1" t="s">
        <v>59</v>
      </c>
      <c r="N145" s="3">
        <v>0.95</v>
      </c>
      <c r="O145" s="3">
        <v>0.2</v>
      </c>
      <c r="P145" s="6"/>
      <c r="Q145" s="3">
        <f t="shared" si="9"/>
        <v>0</v>
      </c>
      <c r="R145" s="4">
        <f t="shared" si="10"/>
        <v>0</v>
      </c>
      <c r="S145" s="3" t="s">
        <v>23</v>
      </c>
      <c r="T145" s="195"/>
    </row>
    <row r="146" spans="1:20" ht="21.6" x14ac:dyDescent="0.3">
      <c r="A146" s="139">
        <v>3</v>
      </c>
      <c r="B146" s="42" t="s">
        <v>20</v>
      </c>
      <c r="C146" s="43" t="s">
        <v>267</v>
      </c>
      <c r="D146" s="44">
        <v>3926</v>
      </c>
      <c r="E146" s="42" t="s">
        <v>52</v>
      </c>
      <c r="F146" s="45" t="s">
        <v>145</v>
      </c>
      <c r="G146" s="207" t="s">
        <v>53</v>
      </c>
      <c r="H146" s="45" t="s">
        <v>505</v>
      </c>
      <c r="I146" s="7" t="s">
        <v>22</v>
      </c>
      <c r="J146" s="3">
        <v>0.7</v>
      </c>
      <c r="K146" s="1" t="s">
        <v>79</v>
      </c>
      <c r="L146" s="8" t="s">
        <v>80</v>
      </c>
      <c r="M146" s="1" t="s">
        <v>81</v>
      </c>
      <c r="N146" s="10">
        <v>1</v>
      </c>
      <c r="O146" s="3">
        <v>0.2</v>
      </c>
      <c r="P146" s="6"/>
      <c r="Q146" s="3">
        <f t="shared" si="9"/>
        <v>0</v>
      </c>
      <c r="R146" s="4">
        <f t="shared" si="10"/>
        <v>0</v>
      </c>
      <c r="S146" s="3" t="s">
        <v>23</v>
      </c>
      <c r="T146" s="195"/>
    </row>
    <row r="147" spans="1:20" ht="21.6" x14ac:dyDescent="0.3">
      <c r="A147" s="139">
        <v>4</v>
      </c>
      <c r="B147" s="42" t="s">
        <v>20</v>
      </c>
      <c r="C147" s="43" t="s">
        <v>267</v>
      </c>
      <c r="D147" s="44">
        <v>3926</v>
      </c>
      <c r="E147" s="42" t="s">
        <v>52</v>
      </c>
      <c r="F147" s="45" t="s">
        <v>145</v>
      </c>
      <c r="G147" s="207" t="s">
        <v>53</v>
      </c>
      <c r="H147" s="45" t="s">
        <v>505</v>
      </c>
      <c r="I147" s="47" t="s">
        <v>22</v>
      </c>
      <c r="J147" s="3">
        <v>0.7</v>
      </c>
      <c r="K147" s="1" t="s">
        <v>72</v>
      </c>
      <c r="L147" s="2" t="s">
        <v>73</v>
      </c>
      <c r="M147" s="1" t="s">
        <v>74</v>
      </c>
      <c r="N147" s="10">
        <v>0.9</v>
      </c>
      <c r="O147" s="3">
        <v>0.25</v>
      </c>
      <c r="P147" s="6"/>
      <c r="Q147" s="3">
        <f t="shared" si="9"/>
        <v>0</v>
      </c>
      <c r="R147" s="48">
        <f t="shared" si="10"/>
        <v>0</v>
      </c>
      <c r="S147" s="10" t="s">
        <v>23</v>
      </c>
      <c r="T147" s="193"/>
    </row>
    <row r="148" spans="1:20" ht="21.6" x14ac:dyDescent="0.3">
      <c r="A148" s="139">
        <v>5</v>
      </c>
      <c r="B148" s="42" t="s">
        <v>20</v>
      </c>
      <c r="C148" s="43" t="s">
        <v>267</v>
      </c>
      <c r="D148" s="44">
        <v>3926</v>
      </c>
      <c r="E148" s="42" t="s">
        <v>52</v>
      </c>
      <c r="F148" s="45" t="s">
        <v>145</v>
      </c>
      <c r="G148" s="207" t="s">
        <v>53</v>
      </c>
      <c r="H148" s="45" t="s">
        <v>505</v>
      </c>
      <c r="I148" s="47" t="s">
        <v>22</v>
      </c>
      <c r="J148" s="3">
        <v>0.7</v>
      </c>
      <c r="K148" s="1" t="s">
        <v>63</v>
      </c>
      <c r="L148" s="2" t="s">
        <v>64</v>
      </c>
      <c r="M148" s="1" t="s">
        <v>65</v>
      </c>
      <c r="N148" s="3">
        <v>1</v>
      </c>
      <c r="O148" s="3">
        <v>0.15</v>
      </c>
      <c r="P148" s="6"/>
      <c r="Q148" s="3">
        <f t="shared" si="9"/>
        <v>0</v>
      </c>
      <c r="R148" s="48">
        <f t="shared" si="10"/>
        <v>0</v>
      </c>
      <c r="S148" s="10" t="s">
        <v>23</v>
      </c>
      <c r="T148" s="193"/>
    </row>
    <row r="149" spans="1:20" ht="21.6" x14ac:dyDescent="0.3">
      <c r="A149" s="140">
        <v>6</v>
      </c>
      <c r="B149" s="33" t="s">
        <v>20</v>
      </c>
      <c r="C149" s="34" t="s">
        <v>267</v>
      </c>
      <c r="D149" s="35">
        <v>3926</v>
      </c>
      <c r="E149" s="33" t="s">
        <v>52</v>
      </c>
      <c r="F149" s="36" t="s">
        <v>145</v>
      </c>
      <c r="G149" s="208" t="s">
        <v>53</v>
      </c>
      <c r="H149" s="36" t="s">
        <v>505</v>
      </c>
      <c r="I149" s="37" t="s">
        <v>26</v>
      </c>
      <c r="J149" s="14">
        <v>0.3</v>
      </c>
      <c r="K149" s="15" t="s">
        <v>60</v>
      </c>
      <c r="L149" s="16" t="s">
        <v>61</v>
      </c>
      <c r="M149" s="15" t="s">
        <v>62</v>
      </c>
      <c r="N149" s="17">
        <v>1</v>
      </c>
      <c r="O149" s="14">
        <v>0.2</v>
      </c>
      <c r="P149" s="56"/>
      <c r="Q149" s="14">
        <f t="shared" si="9"/>
        <v>0</v>
      </c>
      <c r="R149" s="18">
        <f t="shared" si="10"/>
        <v>0</v>
      </c>
      <c r="S149" s="17" t="s">
        <v>23</v>
      </c>
      <c r="T149" s="146"/>
    </row>
    <row r="150" spans="1:20" ht="21.6" x14ac:dyDescent="0.3">
      <c r="A150" s="140">
        <v>7</v>
      </c>
      <c r="B150" s="33" t="s">
        <v>20</v>
      </c>
      <c r="C150" s="34" t="s">
        <v>267</v>
      </c>
      <c r="D150" s="35">
        <v>3926</v>
      </c>
      <c r="E150" s="33" t="s">
        <v>52</v>
      </c>
      <c r="F150" s="36" t="s">
        <v>145</v>
      </c>
      <c r="G150" s="208" t="s">
        <v>53</v>
      </c>
      <c r="H150" s="36" t="s">
        <v>505</v>
      </c>
      <c r="I150" s="37" t="s">
        <v>26</v>
      </c>
      <c r="J150" s="14">
        <v>0.3</v>
      </c>
      <c r="K150" s="15" t="s">
        <v>66</v>
      </c>
      <c r="L150" s="16" t="s">
        <v>67</v>
      </c>
      <c r="M150" s="15" t="s">
        <v>68</v>
      </c>
      <c r="N150" s="17">
        <v>0.95</v>
      </c>
      <c r="O150" s="14">
        <v>0.2</v>
      </c>
      <c r="P150" s="56"/>
      <c r="Q150" s="14">
        <f t="shared" si="9"/>
        <v>0</v>
      </c>
      <c r="R150" s="18">
        <f t="shared" si="10"/>
        <v>0</v>
      </c>
      <c r="S150" s="17" t="s">
        <v>23</v>
      </c>
      <c r="T150" s="146"/>
    </row>
    <row r="151" spans="1:20" ht="21.6" x14ac:dyDescent="0.3">
      <c r="A151" s="140">
        <v>8</v>
      </c>
      <c r="B151" s="33" t="s">
        <v>20</v>
      </c>
      <c r="C151" s="34" t="s">
        <v>267</v>
      </c>
      <c r="D151" s="35">
        <v>3926</v>
      </c>
      <c r="E151" s="33" t="s">
        <v>52</v>
      </c>
      <c r="F151" s="36" t="s">
        <v>145</v>
      </c>
      <c r="G151" s="208" t="s">
        <v>53</v>
      </c>
      <c r="H151" s="36" t="s">
        <v>505</v>
      </c>
      <c r="I151" s="37" t="s">
        <v>26</v>
      </c>
      <c r="J151" s="14">
        <v>0.3</v>
      </c>
      <c r="K151" s="15" t="s">
        <v>69</v>
      </c>
      <c r="L151" s="16" t="s">
        <v>25</v>
      </c>
      <c r="M151" s="15" t="s">
        <v>70</v>
      </c>
      <c r="N151" s="17">
        <v>1</v>
      </c>
      <c r="O151" s="14">
        <v>0.4</v>
      </c>
      <c r="P151" s="56"/>
      <c r="Q151" s="14">
        <f t="shared" si="9"/>
        <v>0</v>
      </c>
      <c r="R151" s="18">
        <f t="shared" si="10"/>
        <v>0</v>
      </c>
      <c r="S151" s="17" t="s">
        <v>23</v>
      </c>
      <c r="T151" s="146"/>
    </row>
    <row r="152" spans="1:20" ht="22.2" thickBot="1" x14ac:dyDescent="0.35">
      <c r="A152" s="142">
        <v>9</v>
      </c>
      <c r="B152" s="81" t="s">
        <v>20</v>
      </c>
      <c r="C152" s="82" t="s">
        <v>267</v>
      </c>
      <c r="D152" s="83">
        <v>3926</v>
      </c>
      <c r="E152" s="81" t="s">
        <v>52</v>
      </c>
      <c r="F152" s="84" t="s">
        <v>145</v>
      </c>
      <c r="G152" s="209" t="s">
        <v>53</v>
      </c>
      <c r="H152" s="84" t="s">
        <v>505</v>
      </c>
      <c r="I152" s="85" t="s">
        <v>26</v>
      </c>
      <c r="J152" s="86">
        <v>0.3</v>
      </c>
      <c r="K152" s="102" t="s">
        <v>47</v>
      </c>
      <c r="L152" s="103" t="s">
        <v>27</v>
      </c>
      <c r="M152" s="102" t="s">
        <v>71</v>
      </c>
      <c r="N152" s="91">
        <v>1</v>
      </c>
      <c r="O152" s="86">
        <v>0.2</v>
      </c>
      <c r="P152" s="86"/>
      <c r="Q152" s="86">
        <f t="shared" si="9"/>
        <v>0</v>
      </c>
      <c r="R152" s="104">
        <f t="shared" si="10"/>
        <v>0</v>
      </c>
      <c r="S152" s="91" t="s">
        <v>23</v>
      </c>
      <c r="T152" s="147"/>
    </row>
    <row r="153" spans="1:20" ht="21.6" x14ac:dyDescent="0.3">
      <c r="A153" s="138">
        <v>10</v>
      </c>
      <c r="B153" s="71" t="s">
        <v>20</v>
      </c>
      <c r="C153" s="72" t="s">
        <v>267</v>
      </c>
      <c r="D153" s="73">
        <v>5135</v>
      </c>
      <c r="E153" s="73" t="s">
        <v>75</v>
      </c>
      <c r="F153" s="74" t="s">
        <v>145</v>
      </c>
      <c r="G153" s="188" t="s">
        <v>53</v>
      </c>
      <c r="H153" s="74" t="s">
        <v>505</v>
      </c>
      <c r="I153" s="75" t="s">
        <v>22</v>
      </c>
      <c r="J153" s="76">
        <v>1</v>
      </c>
      <c r="K153" s="101" t="s">
        <v>76</v>
      </c>
      <c r="L153" s="105" t="s">
        <v>77</v>
      </c>
      <c r="M153" s="101" t="s">
        <v>78</v>
      </c>
      <c r="N153" s="76">
        <v>0.98</v>
      </c>
      <c r="O153" s="76">
        <v>0.15</v>
      </c>
      <c r="P153" s="76"/>
      <c r="Q153" s="76">
        <f t="shared" si="9"/>
        <v>0</v>
      </c>
      <c r="R153" s="80">
        <f t="shared" si="10"/>
        <v>0</v>
      </c>
      <c r="S153" s="76" t="s">
        <v>23</v>
      </c>
      <c r="T153" s="194">
        <f>SUM(R153:R159)%</f>
        <v>0</v>
      </c>
    </row>
    <row r="154" spans="1:20" ht="21.6" x14ac:dyDescent="0.3">
      <c r="A154" s="139">
        <v>11</v>
      </c>
      <c r="B154" s="42" t="s">
        <v>20</v>
      </c>
      <c r="C154" s="43" t="s">
        <v>267</v>
      </c>
      <c r="D154" s="44">
        <v>5135</v>
      </c>
      <c r="E154" s="44" t="s">
        <v>75</v>
      </c>
      <c r="F154" s="45" t="s">
        <v>145</v>
      </c>
      <c r="G154" s="207" t="s">
        <v>53</v>
      </c>
      <c r="H154" s="45" t="s">
        <v>505</v>
      </c>
      <c r="I154" s="7" t="s">
        <v>22</v>
      </c>
      <c r="J154" s="3">
        <v>1</v>
      </c>
      <c r="K154" s="1" t="s">
        <v>79</v>
      </c>
      <c r="L154" s="8" t="s">
        <v>80</v>
      </c>
      <c r="M154" s="1" t="s">
        <v>81</v>
      </c>
      <c r="N154" s="3">
        <v>1</v>
      </c>
      <c r="O154" s="3">
        <v>0.15</v>
      </c>
      <c r="P154" s="6"/>
      <c r="Q154" s="3">
        <f t="shared" si="9"/>
        <v>0</v>
      </c>
      <c r="R154" s="4">
        <f t="shared" si="10"/>
        <v>0</v>
      </c>
      <c r="S154" s="3" t="s">
        <v>23</v>
      </c>
      <c r="T154" s="195"/>
    </row>
    <row r="155" spans="1:20" ht="21.6" x14ac:dyDescent="0.3">
      <c r="A155" s="139">
        <v>12</v>
      </c>
      <c r="B155" s="42" t="s">
        <v>20</v>
      </c>
      <c r="C155" s="43" t="s">
        <v>267</v>
      </c>
      <c r="D155" s="44">
        <v>5135</v>
      </c>
      <c r="E155" s="44" t="s">
        <v>75</v>
      </c>
      <c r="F155" s="45" t="s">
        <v>145</v>
      </c>
      <c r="G155" s="207" t="s">
        <v>53</v>
      </c>
      <c r="H155" s="45" t="s">
        <v>505</v>
      </c>
      <c r="I155" s="7" t="s">
        <v>22</v>
      </c>
      <c r="J155" s="3">
        <v>1</v>
      </c>
      <c r="K155" s="1" t="s">
        <v>82</v>
      </c>
      <c r="L155" s="8" t="s">
        <v>83</v>
      </c>
      <c r="M155" s="1" t="s">
        <v>84</v>
      </c>
      <c r="N155" s="3">
        <v>0.8</v>
      </c>
      <c r="O155" s="3">
        <v>0.2</v>
      </c>
      <c r="P155" s="6"/>
      <c r="Q155" s="3">
        <f t="shared" si="9"/>
        <v>0</v>
      </c>
      <c r="R155" s="4">
        <f t="shared" si="10"/>
        <v>0</v>
      </c>
      <c r="S155" s="3" t="s">
        <v>23</v>
      </c>
      <c r="T155" s="195"/>
    </row>
    <row r="156" spans="1:20" ht="21.6" x14ac:dyDescent="0.3">
      <c r="A156" s="139">
        <v>13</v>
      </c>
      <c r="B156" s="42" t="s">
        <v>20</v>
      </c>
      <c r="C156" s="43" t="s">
        <v>267</v>
      </c>
      <c r="D156" s="44">
        <v>5135</v>
      </c>
      <c r="E156" s="44" t="s">
        <v>75</v>
      </c>
      <c r="F156" s="45" t="s">
        <v>145</v>
      </c>
      <c r="G156" s="207" t="s">
        <v>53</v>
      </c>
      <c r="H156" s="45" t="s">
        <v>505</v>
      </c>
      <c r="I156" s="7" t="s">
        <v>22</v>
      </c>
      <c r="J156" s="3">
        <v>1</v>
      </c>
      <c r="K156" s="1" t="s">
        <v>85</v>
      </c>
      <c r="L156" s="8" t="s">
        <v>86</v>
      </c>
      <c r="M156" s="1" t="s">
        <v>87</v>
      </c>
      <c r="N156" s="3">
        <v>0.99</v>
      </c>
      <c r="O156" s="3">
        <v>0.2</v>
      </c>
      <c r="P156" s="11"/>
      <c r="Q156" s="3">
        <f t="shared" si="9"/>
        <v>0</v>
      </c>
      <c r="R156" s="4">
        <f t="shared" si="10"/>
        <v>0</v>
      </c>
      <c r="S156" s="3" t="s">
        <v>23</v>
      </c>
      <c r="T156" s="195"/>
    </row>
    <row r="157" spans="1:20" ht="21.6" x14ac:dyDescent="0.3">
      <c r="A157" s="139">
        <v>14</v>
      </c>
      <c r="B157" s="42" t="s">
        <v>20</v>
      </c>
      <c r="C157" s="43" t="s">
        <v>267</v>
      </c>
      <c r="D157" s="44">
        <v>5135</v>
      </c>
      <c r="E157" s="44" t="s">
        <v>75</v>
      </c>
      <c r="F157" s="45" t="s">
        <v>145</v>
      </c>
      <c r="G157" s="207" t="s">
        <v>53</v>
      </c>
      <c r="H157" s="45" t="s">
        <v>505</v>
      </c>
      <c r="I157" s="7" t="s">
        <v>22</v>
      </c>
      <c r="J157" s="3">
        <v>1</v>
      </c>
      <c r="K157" s="1" t="s">
        <v>88</v>
      </c>
      <c r="L157" s="8" t="s">
        <v>89</v>
      </c>
      <c r="M157" s="1" t="s">
        <v>90</v>
      </c>
      <c r="N157" s="3">
        <v>1</v>
      </c>
      <c r="O157" s="3">
        <v>0.1</v>
      </c>
      <c r="P157" s="11"/>
      <c r="Q157" s="3">
        <f t="shared" si="9"/>
        <v>0</v>
      </c>
      <c r="R157" s="4">
        <f t="shared" si="10"/>
        <v>0</v>
      </c>
      <c r="S157" s="3" t="s">
        <v>23</v>
      </c>
      <c r="T157" s="195"/>
    </row>
    <row r="158" spans="1:20" ht="21.6" x14ac:dyDescent="0.3">
      <c r="A158" s="139">
        <v>15</v>
      </c>
      <c r="B158" s="42" t="s">
        <v>20</v>
      </c>
      <c r="C158" s="43" t="s">
        <v>267</v>
      </c>
      <c r="D158" s="44">
        <v>5135</v>
      </c>
      <c r="E158" s="44" t="s">
        <v>75</v>
      </c>
      <c r="F158" s="45" t="s">
        <v>145</v>
      </c>
      <c r="G158" s="207" t="s">
        <v>53</v>
      </c>
      <c r="H158" s="45" t="s">
        <v>505</v>
      </c>
      <c r="I158" s="47" t="s">
        <v>22</v>
      </c>
      <c r="J158" s="3">
        <v>1</v>
      </c>
      <c r="K158" s="1" t="s">
        <v>94</v>
      </c>
      <c r="L158" s="8" t="s">
        <v>95</v>
      </c>
      <c r="M158" s="1" t="s">
        <v>96</v>
      </c>
      <c r="N158" s="3">
        <v>1</v>
      </c>
      <c r="O158" s="3">
        <v>0.1</v>
      </c>
      <c r="P158" s="11"/>
      <c r="Q158" s="3">
        <f t="shared" si="9"/>
        <v>0</v>
      </c>
      <c r="R158" s="4">
        <f t="shared" si="10"/>
        <v>0</v>
      </c>
      <c r="S158" s="3" t="s">
        <v>23</v>
      </c>
      <c r="T158" s="195"/>
    </row>
    <row r="159" spans="1:20" ht="22.2" thickBot="1" x14ac:dyDescent="0.35">
      <c r="A159" s="143">
        <v>16</v>
      </c>
      <c r="B159" s="58" t="s">
        <v>20</v>
      </c>
      <c r="C159" s="59" t="s">
        <v>267</v>
      </c>
      <c r="D159" s="106">
        <v>5135</v>
      </c>
      <c r="E159" s="106" t="s">
        <v>75</v>
      </c>
      <c r="F159" s="61" t="s">
        <v>145</v>
      </c>
      <c r="G159" s="211" t="s">
        <v>53</v>
      </c>
      <c r="H159" s="61" t="s">
        <v>505</v>
      </c>
      <c r="I159" s="107" t="s">
        <v>22</v>
      </c>
      <c r="J159" s="62">
        <v>1</v>
      </c>
      <c r="K159" s="109" t="s">
        <v>91</v>
      </c>
      <c r="L159" s="108" t="s">
        <v>92</v>
      </c>
      <c r="M159" s="109" t="s">
        <v>93</v>
      </c>
      <c r="N159" s="110">
        <v>5</v>
      </c>
      <c r="O159" s="63">
        <v>0.1</v>
      </c>
      <c r="P159" s="110"/>
      <c r="Q159" s="62">
        <f t="shared" si="9"/>
        <v>0</v>
      </c>
      <c r="R159" s="110">
        <f t="shared" si="10"/>
        <v>0</v>
      </c>
      <c r="S159" s="63" t="s">
        <v>23</v>
      </c>
      <c r="T159" s="196"/>
    </row>
    <row r="160" spans="1:20" ht="21.6" x14ac:dyDescent="0.3">
      <c r="A160" s="138">
        <v>17</v>
      </c>
      <c r="B160" s="71" t="s">
        <v>20</v>
      </c>
      <c r="C160" s="72" t="s">
        <v>267</v>
      </c>
      <c r="D160" s="73">
        <v>5300</v>
      </c>
      <c r="E160" s="73" t="s">
        <v>97</v>
      </c>
      <c r="F160" s="74" t="s">
        <v>145</v>
      </c>
      <c r="G160" s="188" t="s">
        <v>53</v>
      </c>
      <c r="H160" s="74" t="s">
        <v>505</v>
      </c>
      <c r="I160" s="75" t="s">
        <v>22</v>
      </c>
      <c r="J160" s="76">
        <v>0.7</v>
      </c>
      <c r="K160" s="101" t="s">
        <v>54</v>
      </c>
      <c r="L160" s="96" t="s">
        <v>55</v>
      </c>
      <c r="M160" s="101" t="s">
        <v>56</v>
      </c>
      <c r="N160" s="76">
        <v>0.95</v>
      </c>
      <c r="O160" s="76">
        <v>0.2</v>
      </c>
      <c r="P160" s="76"/>
      <c r="Q160" s="76">
        <f t="shared" si="9"/>
        <v>0</v>
      </c>
      <c r="R160" s="80">
        <f t="shared" si="10"/>
        <v>0</v>
      </c>
      <c r="S160" s="76" t="s">
        <v>23</v>
      </c>
      <c r="T160" s="194">
        <f>SUM(R160:R168)%</f>
        <v>0</v>
      </c>
    </row>
    <row r="161" spans="1:20" ht="21.6" x14ac:dyDescent="0.3">
      <c r="A161" s="139">
        <v>18</v>
      </c>
      <c r="B161" s="42" t="s">
        <v>20</v>
      </c>
      <c r="C161" s="43" t="s">
        <v>267</v>
      </c>
      <c r="D161" s="44">
        <v>5300</v>
      </c>
      <c r="E161" s="44" t="s">
        <v>97</v>
      </c>
      <c r="F161" s="45" t="s">
        <v>145</v>
      </c>
      <c r="G161" s="207" t="s">
        <v>53</v>
      </c>
      <c r="H161" s="45" t="s">
        <v>505</v>
      </c>
      <c r="I161" s="7" t="s">
        <v>22</v>
      </c>
      <c r="J161" s="3">
        <v>0.7</v>
      </c>
      <c r="K161" s="1" t="s">
        <v>57</v>
      </c>
      <c r="L161" s="2" t="s">
        <v>58</v>
      </c>
      <c r="M161" s="1" t="s">
        <v>59</v>
      </c>
      <c r="N161" s="3">
        <v>0.95</v>
      </c>
      <c r="O161" s="3">
        <v>0.2</v>
      </c>
      <c r="P161" s="6"/>
      <c r="Q161" s="3">
        <f t="shared" si="9"/>
        <v>0</v>
      </c>
      <c r="R161" s="4">
        <f t="shared" si="10"/>
        <v>0</v>
      </c>
      <c r="S161" s="3" t="s">
        <v>23</v>
      </c>
      <c r="T161" s="195"/>
    </row>
    <row r="162" spans="1:20" ht="21.6" x14ac:dyDescent="0.3">
      <c r="A162" s="139">
        <v>19</v>
      </c>
      <c r="B162" s="42" t="s">
        <v>20</v>
      </c>
      <c r="C162" s="43" t="s">
        <v>267</v>
      </c>
      <c r="D162" s="44">
        <v>5300</v>
      </c>
      <c r="E162" s="44" t="s">
        <v>97</v>
      </c>
      <c r="F162" s="45" t="s">
        <v>145</v>
      </c>
      <c r="G162" s="207" t="s">
        <v>53</v>
      </c>
      <c r="H162" s="45" t="s">
        <v>505</v>
      </c>
      <c r="I162" s="7" t="s">
        <v>22</v>
      </c>
      <c r="J162" s="3">
        <v>0.7</v>
      </c>
      <c r="K162" s="1" t="s">
        <v>79</v>
      </c>
      <c r="L162" s="8" t="s">
        <v>80</v>
      </c>
      <c r="M162" s="1" t="s">
        <v>81</v>
      </c>
      <c r="N162" s="10">
        <v>1</v>
      </c>
      <c r="O162" s="3">
        <v>0.2</v>
      </c>
      <c r="P162" s="6"/>
      <c r="Q162" s="3">
        <f t="shared" si="9"/>
        <v>0</v>
      </c>
      <c r="R162" s="4">
        <f t="shared" si="10"/>
        <v>0</v>
      </c>
      <c r="S162" s="3" t="s">
        <v>23</v>
      </c>
      <c r="T162" s="195"/>
    </row>
    <row r="163" spans="1:20" ht="21.6" x14ac:dyDescent="0.3">
      <c r="A163" s="139">
        <v>20</v>
      </c>
      <c r="B163" s="42" t="s">
        <v>20</v>
      </c>
      <c r="C163" s="43" t="s">
        <v>267</v>
      </c>
      <c r="D163" s="44">
        <v>5300</v>
      </c>
      <c r="E163" s="44" t="s">
        <v>97</v>
      </c>
      <c r="F163" s="45" t="s">
        <v>145</v>
      </c>
      <c r="G163" s="207" t="s">
        <v>53</v>
      </c>
      <c r="H163" s="45" t="s">
        <v>505</v>
      </c>
      <c r="I163" s="47" t="s">
        <v>22</v>
      </c>
      <c r="J163" s="3">
        <v>0.7</v>
      </c>
      <c r="K163" s="1" t="s">
        <v>72</v>
      </c>
      <c r="L163" s="2" t="s">
        <v>73</v>
      </c>
      <c r="M163" s="1" t="s">
        <v>74</v>
      </c>
      <c r="N163" s="10">
        <v>0.9</v>
      </c>
      <c r="O163" s="3">
        <v>0.25</v>
      </c>
      <c r="P163" s="6"/>
      <c r="Q163" s="3">
        <f t="shared" si="9"/>
        <v>0</v>
      </c>
      <c r="R163" s="48">
        <f t="shared" si="10"/>
        <v>0</v>
      </c>
      <c r="S163" s="10" t="s">
        <v>23</v>
      </c>
      <c r="T163" s="193"/>
    </row>
    <row r="164" spans="1:20" ht="21.6" x14ac:dyDescent="0.3">
      <c r="A164" s="139">
        <v>21</v>
      </c>
      <c r="B164" s="42" t="s">
        <v>20</v>
      </c>
      <c r="C164" s="43" t="s">
        <v>267</v>
      </c>
      <c r="D164" s="44">
        <v>5300</v>
      </c>
      <c r="E164" s="44" t="s">
        <v>97</v>
      </c>
      <c r="F164" s="45" t="s">
        <v>145</v>
      </c>
      <c r="G164" s="207" t="s">
        <v>53</v>
      </c>
      <c r="H164" s="45" t="s">
        <v>505</v>
      </c>
      <c r="I164" s="47" t="s">
        <v>22</v>
      </c>
      <c r="J164" s="3">
        <v>0.7</v>
      </c>
      <c r="K164" s="1" t="s">
        <v>63</v>
      </c>
      <c r="L164" s="2" t="s">
        <v>64</v>
      </c>
      <c r="M164" s="1" t="s">
        <v>65</v>
      </c>
      <c r="N164" s="3">
        <v>1</v>
      </c>
      <c r="O164" s="3">
        <v>0.15</v>
      </c>
      <c r="P164" s="6"/>
      <c r="Q164" s="3">
        <f t="shared" si="9"/>
        <v>0</v>
      </c>
      <c r="R164" s="48">
        <f t="shared" si="10"/>
        <v>0</v>
      </c>
      <c r="S164" s="10" t="s">
        <v>23</v>
      </c>
      <c r="T164" s="193"/>
    </row>
    <row r="165" spans="1:20" ht="21.6" x14ac:dyDescent="0.3">
      <c r="A165" s="140">
        <v>22</v>
      </c>
      <c r="B165" s="33" t="s">
        <v>20</v>
      </c>
      <c r="C165" s="34" t="s">
        <v>267</v>
      </c>
      <c r="D165" s="35">
        <v>5300</v>
      </c>
      <c r="E165" s="35" t="s">
        <v>97</v>
      </c>
      <c r="F165" s="36" t="s">
        <v>145</v>
      </c>
      <c r="G165" s="208" t="s">
        <v>53</v>
      </c>
      <c r="H165" s="36" t="s">
        <v>505</v>
      </c>
      <c r="I165" s="37" t="s">
        <v>26</v>
      </c>
      <c r="J165" s="14">
        <v>0.3</v>
      </c>
      <c r="K165" s="15" t="s">
        <v>60</v>
      </c>
      <c r="L165" s="16" t="s">
        <v>61</v>
      </c>
      <c r="M165" s="15" t="s">
        <v>62</v>
      </c>
      <c r="N165" s="17">
        <v>1</v>
      </c>
      <c r="O165" s="14">
        <v>0.2</v>
      </c>
      <c r="P165" s="14"/>
      <c r="Q165" s="14">
        <f t="shared" si="9"/>
        <v>0</v>
      </c>
      <c r="R165" s="18">
        <f t="shared" si="10"/>
        <v>0</v>
      </c>
      <c r="S165" s="17" t="s">
        <v>23</v>
      </c>
      <c r="T165" s="146"/>
    </row>
    <row r="166" spans="1:20" ht="21.6" x14ac:dyDescent="0.3">
      <c r="A166" s="140">
        <v>23</v>
      </c>
      <c r="B166" s="33" t="s">
        <v>20</v>
      </c>
      <c r="C166" s="34" t="s">
        <v>267</v>
      </c>
      <c r="D166" s="35">
        <v>5300</v>
      </c>
      <c r="E166" s="35" t="s">
        <v>97</v>
      </c>
      <c r="F166" s="36" t="s">
        <v>145</v>
      </c>
      <c r="G166" s="208" t="s">
        <v>53</v>
      </c>
      <c r="H166" s="36" t="s">
        <v>505</v>
      </c>
      <c r="I166" s="37" t="s">
        <v>26</v>
      </c>
      <c r="J166" s="14">
        <v>0.3</v>
      </c>
      <c r="K166" s="15" t="s">
        <v>66</v>
      </c>
      <c r="L166" s="16" t="s">
        <v>67</v>
      </c>
      <c r="M166" s="15" t="s">
        <v>68</v>
      </c>
      <c r="N166" s="17">
        <v>0.95</v>
      </c>
      <c r="O166" s="14">
        <v>0.2</v>
      </c>
      <c r="P166" s="14"/>
      <c r="Q166" s="14">
        <f t="shared" si="9"/>
        <v>0</v>
      </c>
      <c r="R166" s="18">
        <f t="shared" si="10"/>
        <v>0</v>
      </c>
      <c r="S166" s="17" t="s">
        <v>23</v>
      </c>
      <c r="T166" s="146"/>
    </row>
    <row r="167" spans="1:20" ht="21.6" x14ac:dyDescent="0.3">
      <c r="A167" s="140">
        <v>24</v>
      </c>
      <c r="B167" s="33" t="s">
        <v>20</v>
      </c>
      <c r="C167" s="34" t="s">
        <v>267</v>
      </c>
      <c r="D167" s="35">
        <v>5300</v>
      </c>
      <c r="E167" s="35" t="s">
        <v>97</v>
      </c>
      <c r="F167" s="36" t="s">
        <v>145</v>
      </c>
      <c r="G167" s="208" t="s">
        <v>53</v>
      </c>
      <c r="H167" s="36" t="s">
        <v>505</v>
      </c>
      <c r="I167" s="37" t="s">
        <v>26</v>
      </c>
      <c r="J167" s="14">
        <v>0.3</v>
      </c>
      <c r="K167" s="15" t="s">
        <v>69</v>
      </c>
      <c r="L167" s="16" t="s">
        <v>25</v>
      </c>
      <c r="M167" s="15" t="s">
        <v>70</v>
      </c>
      <c r="N167" s="17">
        <v>1</v>
      </c>
      <c r="O167" s="14">
        <v>0.4</v>
      </c>
      <c r="P167" s="14"/>
      <c r="Q167" s="14">
        <f t="shared" si="9"/>
        <v>0</v>
      </c>
      <c r="R167" s="18">
        <f t="shared" si="10"/>
        <v>0</v>
      </c>
      <c r="S167" s="17" t="s">
        <v>23</v>
      </c>
      <c r="T167" s="146"/>
    </row>
    <row r="168" spans="1:20" ht="22.2" thickBot="1" x14ac:dyDescent="0.35">
      <c r="A168" s="142">
        <v>25</v>
      </c>
      <c r="B168" s="81" t="s">
        <v>20</v>
      </c>
      <c r="C168" s="82" t="s">
        <v>267</v>
      </c>
      <c r="D168" s="83">
        <v>5300</v>
      </c>
      <c r="E168" s="83" t="s">
        <v>97</v>
      </c>
      <c r="F168" s="84" t="s">
        <v>145</v>
      </c>
      <c r="G168" s="209" t="s">
        <v>53</v>
      </c>
      <c r="H168" s="84" t="s">
        <v>505</v>
      </c>
      <c r="I168" s="85" t="s">
        <v>26</v>
      </c>
      <c r="J168" s="86">
        <v>0.3</v>
      </c>
      <c r="K168" s="102" t="s">
        <v>47</v>
      </c>
      <c r="L168" s="103" t="s">
        <v>27</v>
      </c>
      <c r="M168" s="102" t="s">
        <v>71</v>
      </c>
      <c r="N168" s="91">
        <v>1</v>
      </c>
      <c r="O168" s="86">
        <v>0.2</v>
      </c>
      <c r="P168" s="86"/>
      <c r="Q168" s="86">
        <f t="shared" si="9"/>
        <v>0</v>
      </c>
      <c r="R168" s="104">
        <f t="shared" si="10"/>
        <v>0</v>
      </c>
      <c r="S168" s="91" t="s">
        <v>23</v>
      </c>
      <c r="T168" s="147"/>
    </row>
    <row r="169" spans="1:20" ht="21.6" x14ac:dyDescent="0.3">
      <c r="A169" s="138">
        <v>26</v>
      </c>
      <c r="B169" s="71" t="s">
        <v>20</v>
      </c>
      <c r="C169" s="72" t="s">
        <v>267</v>
      </c>
      <c r="D169" s="73">
        <v>5814</v>
      </c>
      <c r="E169" s="73" t="s">
        <v>98</v>
      </c>
      <c r="F169" s="74" t="s">
        <v>145</v>
      </c>
      <c r="G169" s="188" t="s">
        <v>53</v>
      </c>
      <c r="H169" s="74" t="s">
        <v>505</v>
      </c>
      <c r="I169" s="75" t="s">
        <v>22</v>
      </c>
      <c r="J169" s="76">
        <v>0.7</v>
      </c>
      <c r="K169" s="101" t="s">
        <v>54</v>
      </c>
      <c r="L169" s="96" t="s">
        <v>55</v>
      </c>
      <c r="M169" s="101" t="s">
        <v>56</v>
      </c>
      <c r="N169" s="76">
        <v>0.95</v>
      </c>
      <c r="O169" s="76">
        <v>0.2</v>
      </c>
      <c r="P169" s="76"/>
      <c r="Q169" s="76">
        <f t="shared" si="9"/>
        <v>0</v>
      </c>
      <c r="R169" s="80">
        <f t="shared" si="10"/>
        <v>0</v>
      </c>
      <c r="S169" s="76" t="s">
        <v>23</v>
      </c>
      <c r="T169" s="194">
        <f>SUM(R169:R177)%</f>
        <v>0</v>
      </c>
    </row>
    <row r="170" spans="1:20" ht="21.6" x14ac:dyDescent="0.3">
      <c r="A170" s="139">
        <v>27</v>
      </c>
      <c r="B170" s="42" t="s">
        <v>20</v>
      </c>
      <c r="C170" s="43" t="s">
        <v>267</v>
      </c>
      <c r="D170" s="44">
        <v>5814</v>
      </c>
      <c r="E170" s="44" t="s">
        <v>98</v>
      </c>
      <c r="F170" s="45" t="s">
        <v>145</v>
      </c>
      <c r="G170" s="207" t="s">
        <v>53</v>
      </c>
      <c r="H170" s="45" t="s">
        <v>505</v>
      </c>
      <c r="I170" s="7" t="s">
        <v>22</v>
      </c>
      <c r="J170" s="3">
        <v>0.7</v>
      </c>
      <c r="K170" s="1" t="s">
        <v>57</v>
      </c>
      <c r="L170" s="2" t="s">
        <v>58</v>
      </c>
      <c r="M170" s="1" t="s">
        <v>59</v>
      </c>
      <c r="N170" s="3">
        <v>0.95</v>
      </c>
      <c r="O170" s="3">
        <v>0.2</v>
      </c>
      <c r="P170" s="6"/>
      <c r="Q170" s="3">
        <f t="shared" si="9"/>
        <v>0</v>
      </c>
      <c r="R170" s="4">
        <f t="shared" si="10"/>
        <v>0</v>
      </c>
      <c r="S170" s="3" t="s">
        <v>23</v>
      </c>
      <c r="T170" s="195"/>
    </row>
    <row r="171" spans="1:20" ht="21.6" x14ac:dyDescent="0.3">
      <c r="A171" s="139">
        <v>28</v>
      </c>
      <c r="B171" s="42" t="s">
        <v>20</v>
      </c>
      <c r="C171" s="43" t="s">
        <v>267</v>
      </c>
      <c r="D171" s="44">
        <v>5814</v>
      </c>
      <c r="E171" s="44" t="s">
        <v>98</v>
      </c>
      <c r="F171" s="45" t="s">
        <v>145</v>
      </c>
      <c r="G171" s="207" t="s">
        <v>53</v>
      </c>
      <c r="H171" s="45" t="s">
        <v>505</v>
      </c>
      <c r="I171" s="7" t="s">
        <v>22</v>
      </c>
      <c r="J171" s="3">
        <v>0.7</v>
      </c>
      <c r="K171" s="1" t="s">
        <v>79</v>
      </c>
      <c r="L171" s="8" t="s">
        <v>80</v>
      </c>
      <c r="M171" s="1" t="s">
        <v>81</v>
      </c>
      <c r="N171" s="10">
        <v>1</v>
      </c>
      <c r="O171" s="3">
        <v>0.2</v>
      </c>
      <c r="P171" s="6"/>
      <c r="Q171" s="3">
        <f t="shared" si="9"/>
        <v>0</v>
      </c>
      <c r="R171" s="4">
        <f t="shared" si="10"/>
        <v>0</v>
      </c>
      <c r="S171" s="3" t="s">
        <v>23</v>
      </c>
      <c r="T171" s="195"/>
    </row>
    <row r="172" spans="1:20" ht="21.6" x14ac:dyDescent="0.3">
      <c r="A172" s="139">
        <v>29</v>
      </c>
      <c r="B172" s="42" t="s">
        <v>20</v>
      </c>
      <c r="C172" s="43" t="s">
        <v>267</v>
      </c>
      <c r="D172" s="44">
        <v>5814</v>
      </c>
      <c r="E172" s="44" t="s">
        <v>98</v>
      </c>
      <c r="F172" s="45" t="s">
        <v>145</v>
      </c>
      <c r="G172" s="207" t="s">
        <v>53</v>
      </c>
      <c r="H172" s="45" t="s">
        <v>505</v>
      </c>
      <c r="I172" s="47" t="s">
        <v>22</v>
      </c>
      <c r="J172" s="3">
        <v>0.7</v>
      </c>
      <c r="K172" s="1" t="s">
        <v>72</v>
      </c>
      <c r="L172" s="2" t="s">
        <v>73</v>
      </c>
      <c r="M172" s="1" t="s">
        <v>74</v>
      </c>
      <c r="N172" s="10">
        <v>0.9</v>
      </c>
      <c r="O172" s="3">
        <v>0.25</v>
      </c>
      <c r="P172" s="6"/>
      <c r="Q172" s="3">
        <f t="shared" ref="Q172:Q235" si="11">ROUND(IF(OR(N172="",P172=""),0,IF(AND(N172=0,P172=0),1,IF(S172="+",P172/N172,N172/P172))),2)</f>
        <v>0</v>
      </c>
      <c r="R172" s="48">
        <f t="shared" si="10"/>
        <v>0</v>
      </c>
      <c r="S172" s="10" t="s">
        <v>23</v>
      </c>
      <c r="T172" s="193"/>
    </row>
    <row r="173" spans="1:20" ht="21.6" x14ac:dyDescent="0.3">
      <c r="A173" s="139">
        <v>30</v>
      </c>
      <c r="B173" s="42" t="s">
        <v>20</v>
      </c>
      <c r="C173" s="43" t="s">
        <v>267</v>
      </c>
      <c r="D173" s="44">
        <v>5814</v>
      </c>
      <c r="E173" s="44" t="s">
        <v>98</v>
      </c>
      <c r="F173" s="45" t="s">
        <v>145</v>
      </c>
      <c r="G173" s="207" t="s">
        <v>53</v>
      </c>
      <c r="H173" s="45" t="s">
        <v>505</v>
      </c>
      <c r="I173" s="47" t="s">
        <v>22</v>
      </c>
      <c r="J173" s="3">
        <v>0.7</v>
      </c>
      <c r="K173" s="1" t="s">
        <v>63</v>
      </c>
      <c r="L173" s="2" t="s">
        <v>64</v>
      </c>
      <c r="M173" s="1" t="s">
        <v>65</v>
      </c>
      <c r="N173" s="3">
        <v>1</v>
      </c>
      <c r="O173" s="3">
        <v>0.15</v>
      </c>
      <c r="P173" s="6"/>
      <c r="Q173" s="3">
        <f t="shared" si="11"/>
        <v>0</v>
      </c>
      <c r="R173" s="48">
        <f t="shared" si="10"/>
        <v>0</v>
      </c>
      <c r="S173" s="10" t="s">
        <v>23</v>
      </c>
      <c r="T173" s="193"/>
    </row>
    <row r="174" spans="1:20" ht="21.6" x14ac:dyDescent="0.3">
      <c r="A174" s="140">
        <v>31</v>
      </c>
      <c r="B174" s="33" t="s">
        <v>20</v>
      </c>
      <c r="C174" s="34" t="s">
        <v>267</v>
      </c>
      <c r="D174" s="35">
        <v>5814</v>
      </c>
      <c r="E174" s="35" t="s">
        <v>98</v>
      </c>
      <c r="F174" s="36" t="s">
        <v>145</v>
      </c>
      <c r="G174" s="208" t="s">
        <v>53</v>
      </c>
      <c r="H174" s="36" t="s">
        <v>505</v>
      </c>
      <c r="I174" s="37" t="s">
        <v>26</v>
      </c>
      <c r="J174" s="14">
        <v>0.3</v>
      </c>
      <c r="K174" s="15" t="s">
        <v>60</v>
      </c>
      <c r="L174" s="16" t="s">
        <v>61</v>
      </c>
      <c r="M174" s="15" t="s">
        <v>62</v>
      </c>
      <c r="N174" s="17">
        <v>1</v>
      </c>
      <c r="O174" s="14">
        <v>0.2</v>
      </c>
      <c r="P174" s="56"/>
      <c r="Q174" s="14">
        <f t="shared" si="11"/>
        <v>0</v>
      </c>
      <c r="R174" s="18">
        <f t="shared" si="10"/>
        <v>0</v>
      </c>
      <c r="S174" s="17" t="s">
        <v>23</v>
      </c>
      <c r="T174" s="146"/>
    </row>
    <row r="175" spans="1:20" ht="21.6" x14ac:dyDescent="0.3">
      <c r="A175" s="140">
        <v>32</v>
      </c>
      <c r="B175" s="33" t="s">
        <v>20</v>
      </c>
      <c r="C175" s="34" t="s">
        <v>267</v>
      </c>
      <c r="D175" s="35">
        <v>5814</v>
      </c>
      <c r="E175" s="35" t="s">
        <v>98</v>
      </c>
      <c r="F175" s="36" t="s">
        <v>145</v>
      </c>
      <c r="G175" s="208" t="s">
        <v>53</v>
      </c>
      <c r="H175" s="36" t="s">
        <v>505</v>
      </c>
      <c r="I175" s="37" t="s">
        <v>26</v>
      </c>
      <c r="J175" s="14">
        <v>0.3</v>
      </c>
      <c r="K175" s="15" t="s">
        <v>66</v>
      </c>
      <c r="L175" s="16" t="s">
        <v>67</v>
      </c>
      <c r="M175" s="15" t="s">
        <v>68</v>
      </c>
      <c r="N175" s="17">
        <v>0.95</v>
      </c>
      <c r="O175" s="14">
        <v>0.2</v>
      </c>
      <c r="P175" s="56"/>
      <c r="Q175" s="14">
        <f t="shared" si="11"/>
        <v>0</v>
      </c>
      <c r="R175" s="18">
        <f t="shared" si="10"/>
        <v>0</v>
      </c>
      <c r="S175" s="17" t="s">
        <v>23</v>
      </c>
      <c r="T175" s="146"/>
    </row>
    <row r="176" spans="1:20" ht="21.6" x14ac:dyDescent="0.3">
      <c r="A176" s="140">
        <v>33</v>
      </c>
      <c r="B176" s="33" t="s">
        <v>20</v>
      </c>
      <c r="C176" s="34" t="s">
        <v>267</v>
      </c>
      <c r="D176" s="35">
        <v>5814</v>
      </c>
      <c r="E176" s="35" t="s">
        <v>98</v>
      </c>
      <c r="F176" s="36" t="s">
        <v>145</v>
      </c>
      <c r="G176" s="208" t="s">
        <v>53</v>
      </c>
      <c r="H176" s="36" t="s">
        <v>505</v>
      </c>
      <c r="I176" s="37" t="s">
        <v>26</v>
      </c>
      <c r="J176" s="14">
        <v>0.3</v>
      </c>
      <c r="K176" s="15" t="s">
        <v>69</v>
      </c>
      <c r="L176" s="16" t="s">
        <v>25</v>
      </c>
      <c r="M176" s="15" t="s">
        <v>70</v>
      </c>
      <c r="N176" s="17">
        <v>1</v>
      </c>
      <c r="O176" s="14">
        <v>0.4</v>
      </c>
      <c r="P176" s="56"/>
      <c r="Q176" s="14">
        <f t="shared" si="11"/>
        <v>0</v>
      </c>
      <c r="R176" s="18">
        <f t="shared" si="10"/>
        <v>0</v>
      </c>
      <c r="S176" s="17" t="s">
        <v>23</v>
      </c>
      <c r="T176" s="146"/>
    </row>
    <row r="177" spans="1:20" ht="22.2" thickBot="1" x14ac:dyDescent="0.35">
      <c r="A177" s="142">
        <v>34</v>
      </c>
      <c r="B177" s="81" t="s">
        <v>20</v>
      </c>
      <c r="C177" s="82" t="s">
        <v>267</v>
      </c>
      <c r="D177" s="83">
        <v>5814</v>
      </c>
      <c r="E177" s="83" t="s">
        <v>98</v>
      </c>
      <c r="F177" s="84" t="s">
        <v>145</v>
      </c>
      <c r="G177" s="209" t="s">
        <v>53</v>
      </c>
      <c r="H177" s="84" t="s">
        <v>505</v>
      </c>
      <c r="I177" s="85" t="s">
        <v>26</v>
      </c>
      <c r="J177" s="86">
        <v>0.3</v>
      </c>
      <c r="K177" s="102" t="s">
        <v>47</v>
      </c>
      <c r="L177" s="103" t="s">
        <v>27</v>
      </c>
      <c r="M177" s="102" t="s">
        <v>71</v>
      </c>
      <c r="N177" s="91">
        <v>1</v>
      </c>
      <c r="O177" s="86">
        <v>0.2</v>
      </c>
      <c r="P177" s="86"/>
      <c r="Q177" s="86">
        <f t="shared" si="11"/>
        <v>0</v>
      </c>
      <c r="R177" s="104">
        <f t="shared" si="10"/>
        <v>0</v>
      </c>
      <c r="S177" s="91" t="s">
        <v>23</v>
      </c>
      <c r="T177" s="147"/>
    </row>
    <row r="178" spans="1:20" ht="21.6" x14ac:dyDescent="0.3">
      <c r="A178" s="138">
        <v>35</v>
      </c>
      <c r="B178" s="71" t="s">
        <v>20</v>
      </c>
      <c r="C178" s="72" t="s">
        <v>267</v>
      </c>
      <c r="D178" s="73">
        <v>6150</v>
      </c>
      <c r="E178" s="73" t="s">
        <v>99</v>
      </c>
      <c r="F178" s="74" t="s">
        <v>145</v>
      </c>
      <c r="G178" s="188" t="s">
        <v>53</v>
      </c>
      <c r="H178" s="74" t="s">
        <v>505</v>
      </c>
      <c r="I178" s="75" t="s">
        <v>22</v>
      </c>
      <c r="J178" s="76">
        <v>0.7</v>
      </c>
      <c r="K178" s="101" t="s">
        <v>54</v>
      </c>
      <c r="L178" s="96" t="s">
        <v>55</v>
      </c>
      <c r="M178" s="101" t="s">
        <v>56</v>
      </c>
      <c r="N178" s="76">
        <v>0.95</v>
      </c>
      <c r="O178" s="76">
        <v>0.2</v>
      </c>
      <c r="P178" s="76"/>
      <c r="Q178" s="76">
        <f t="shared" si="11"/>
        <v>0</v>
      </c>
      <c r="R178" s="80">
        <f t="shared" si="10"/>
        <v>0</v>
      </c>
      <c r="S178" s="76" t="s">
        <v>23</v>
      </c>
      <c r="T178" s="194">
        <f>SUM(R178:R186)%</f>
        <v>0</v>
      </c>
    </row>
    <row r="179" spans="1:20" ht="21.6" x14ac:dyDescent="0.3">
      <c r="A179" s="139">
        <v>36</v>
      </c>
      <c r="B179" s="42" t="s">
        <v>20</v>
      </c>
      <c r="C179" s="43" t="s">
        <v>267</v>
      </c>
      <c r="D179" s="44">
        <v>6150</v>
      </c>
      <c r="E179" s="44" t="s">
        <v>99</v>
      </c>
      <c r="F179" s="45" t="s">
        <v>145</v>
      </c>
      <c r="G179" s="207" t="s">
        <v>53</v>
      </c>
      <c r="H179" s="45" t="s">
        <v>505</v>
      </c>
      <c r="I179" s="7" t="s">
        <v>22</v>
      </c>
      <c r="J179" s="3">
        <v>0.7</v>
      </c>
      <c r="K179" s="1" t="s">
        <v>57</v>
      </c>
      <c r="L179" s="2" t="s">
        <v>58</v>
      </c>
      <c r="M179" s="1" t="s">
        <v>59</v>
      </c>
      <c r="N179" s="3">
        <v>0.95</v>
      </c>
      <c r="O179" s="3">
        <v>0.2</v>
      </c>
      <c r="P179" s="3"/>
      <c r="Q179" s="3">
        <f t="shared" si="11"/>
        <v>0</v>
      </c>
      <c r="R179" s="4">
        <f t="shared" si="10"/>
        <v>0</v>
      </c>
      <c r="S179" s="3" t="s">
        <v>23</v>
      </c>
      <c r="T179" s="195"/>
    </row>
    <row r="180" spans="1:20" ht="21.6" x14ac:dyDescent="0.3">
      <c r="A180" s="139">
        <v>37</v>
      </c>
      <c r="B180" s="42" t="s">
        <v>20</v>
      </c>
      <c r="C180" s="43" t="s">
        <v>267</v>
      </c>
      <c r="D180" s="44">
        <v>6150</v>
      </c>
      <c r="E180" s="44" t="s">
        <v>99</v>
      </c>
      <c r="F180" s="45" t="s">
        <v>145</v>
      </c>
      <c r="G180" s="207" t="s">
        <v>53</v>
      </c>
      <c r="H180" s="45" t="s">
        <v>505</v>
      </c>
      <c r="I180" s="7" t="s">
        <v>22</v>
      </c>
      <c r="J180" s="3">
        <v>0.7</v>
      </c>
      <c r="K180" s="1" t="s">
        <v>79</v>
      </c>
      <c r="L180" s="8" t="s">
        <v>80</v>
      </c>
      <c r="M180" s="1" t="s">
        <v>81</v>
      </c>
      <c r="N180" s="10">
        <v>1</v>
      </c>
      <c r="O180" s="3">
        <v>0.2</v>
      </c>
      <c r="P180" s="3"/>
      <c r="Q180" s="3">
        <f t="shared" si="11"/>
        <v>0</v>
      </c>
      <c r="R180" s="4">
        <f t="shared" si="10"/>
        <v>0</v>
      </c>
      <c r="S180" s="3" t="s">
        <v>23</v>
      </c>
      <c r="T180" s="195"/>
    </row>
    <row r="181" spans="1:20" ht="21.6" x14ac:dyDescent="0.3">
      <c r="A181" s="139">
        <v>38</v>
      </c>
      <c r="B181" s="42" t="s">
        <v>20</v>
      </c>
      <c r="C181" s="43" t="s">
        <v>267</v>
      </c>
      <c r="D181" s="44">
        <v>6150</v>
      </c>
      <c r="E181" s="44" t="s">
        <v>99</v>
      </c>
      <c r="F181" s="45" t="s">
        <v>145</v>
      </c>
      <c r="G181" s="207" t="s">
        <v>53</v>
      </c>
      <c r="H181" s="45" t="s">
        <v>505</v>
      </c>
      <c r="I181" s="47" t="s">
        <v>22</v>
      </c>
      <c r="J181" s="3">
        <v>0.7</v>
      </c>
      <c r="K181" s="1" t="s">
        <v>72</v>
      </c>
      <c r="L181" s="2" t="s">
        <v>73</v>
      </c>
      <c r="M181" s="1" t="s">
        <v>74</v>
      </c>
      <c r="N181" s="10">
        <v>0.9</v>
      </c>
      <c r="O181" s="3">
        <v>0.25</v>
      </c>
      <c r="P181" s="3"/>
      <c r="Q181" s="3">
        <f t="shared" si="11"/>
        <v>0</v>
      </c>
      <c r="R181" s="48">
        <f t="shared" si="10"/>
        <v>0</v>
      </c>
      <c r="S181" s="10" t="s">
        <v>23</v>
      </c>
      <c r="T181" s="193"/>
    </row>
    <row r="182" spans="1:20" ht="21.6" x14ac:dyDescent="0.3">
      <c r="A182" s="139">
        <v>39</v>
      </c>
      <c r="B182" s="42" t="s">
        <v>20</v>
      </c>
      <c r="C182" s="43" t="s">
        <v>267</v>
      </c>
      <c r="D182" s="44">
        <v>6150</v>
      </c>
      <c r="E182" s="44" t="s">
        <v>99</v>
      </c>
      <c r="F182" s="45" t="s">
        <v>145</v>
      </c>
      <c r="G182" s="207" t="s">
        <v>53</v>
      </c>
      <c r="H182" s="45" t="s">
        <v>505</v>
      </c>
      <c r="I182" s="47" t="s">
        <v>22</v>
      </c>
      <c r="J182" s="3">
        <v>0.7</v>
      </c>
      <c r="K182" s="1" t="s">
        <v>63</v>
      </c>
      <c r="L182" s="2" t="s">
        <v>64</v>
      </c>
      <c r="M182" s="1" t="s">
        <v>65</v>
      </c>
      <c r="N182" s="3">
        <v>1</v>
      </c>
      <c r="O182" s="3">
        <v>0.15</v>
      </c>
      <c r="P182" s="3"/>
      <c r="Q182" s="3">
        <f t="shared" si="11"/>
        <v>0</v>
      </c>
      <c r="R182" s="48">
        <f t="shared" si="10"/>
        <v>0</v>
      </c>
      <c r="S182" s="10" t="s">
        <v>23</v>
      </c>
      <c r="T182" s="193"/>
    </row>
    <row r="183" spans="1:20" ht="21.6" x14ac:dyDescent="0.3">
      <c r="A183" s="140">
        <v>40</v>
      </c>
      <c r="B183" s="33" t="s">
        <v>20</v>
      </c>
      <c r="C183" s="34" t="s">
        <v>267</v>
      </c>
      <c r="D183" s="35">
        <v>6150</v>
      </c>
      <c r="E183" s="35" t="s">
        <v>99</v>
      </c>
      <c r="F183" s="36" t="s">
        <v>145</v>
      </c>
      <c r="G183" s="208" t="s">
        <v>53</v>
      </c>
      <c r="H183" s="36" t="s">
        <v>505</v>
      </c>
      <c r="I183" s="37" t="s">
        <v>26</v>
      </c>
      <c r="J183" s="14">
        <v>0.3</v>
      </c>
      <c r="K183" s="15" t="s">
        <v>60</v>
      </c>
      <c r="L183" s="16" t="s">
        <v>61</v>
      </c>
      <c r="M183" s="15" t="s">
        <v>62</v>
      </c>
      <c r="N183" s="17">
        <v>1</v>
      </c>
      <c r="O183" s="14">
        <v>0.2</v>
      </c>
      <c r="P183" s="14"/>
      <c r="Q183" s="14">
        <f t="shared" si="11"/>
        <v>0</v>
      </c>
      <c r="R183" s="18">
        <f t="shared" si="10"/>
        <v>0</v>
      </c>
      <c r="S183" s="17" t="s">
        <v>23</v>
      </c>
      <c r="T183" s="146"/>
    </row>
    <row r="184" spans="1:20" ht="21.6" x14ac:dyDescent="0.3">
      <c r="A184" s="140">
        <v>41</v>
      </c>
      <c r="B184" s="33" t="s">
        <v>20</v>
      </c>
      <c r="C184" s="34" t="s">
        <v>267</v>
      </c>
      <c r="D184" s="35">
        <v>6150</v>
      </c>
      <c r="E184" s="35" t="s">
        <v>99</v>
      </c>
      <c r="F184" s="36" t="s">
        <v>145</v>
      </c>
      <c r="G184" s="208" t="s">
        <v>53</v>
      </c>
      <c r="H184" s="36" t="s">
        <v>505</v>
      </c>
      <c r="I184" s="37" t="s">
        <v>26</v>
      </c>
      <c r="J184" s="14">
        <v>0.3</v>
      </c>
      <c r="K184" s="15" t="s">
        <v>66</v>
      </c>
      <c r="L184" s="16" t="s">
        <v>67</v>
      </c>
      <c r="M184" s="15" t="s">
        <v>68</v>
      </c>
      <c r="N184" s="17">
        <v>0.95</v>
      </c>
      <c r="O184" s="14">
        <v>0.2</v>
      </c>
      <c r="P184" s="14"/>
      <c r="Q184" s="14">
        <f t="shared" si="11"/>
        <v>0</v>
      </c>
      <c r="R184" s="18">
        <f t="shared" si="10"/>
        <v>0</v>
      </c>
      <c r="S184" s="17" t="s">
        <v>23</v>
      </c>
      <c r="T184" s="146"/>
    </row>
    <row r="185" spans="1:20" ht="21.6" x14ac:dyDescent="0.3">
      <c r="A185" s="140">
        <v>42</v>
      </c>
      <c r="B185" s="33" t="s">
        <v>20</v>
      </c>
      <c r="C185" s="34" t="s">
        <v>267</v>
      </c>
      <c r="D185" s="35">
        <v>6150</v>
      </c>
      <c r="E185" s="35" t="s">
        <v>99</v>
      </c>
      <c r="F185" s="36" t="s">
        <v>145</v>
      </c>
      <c r="G185" s="208" t="s">
        <v>53</v>
      </c>
      <c r="H185" s="36" t="s">
        <v>505</v>
      </c>
      <c r="I185" s="37" t="s">
        <v>26</v>
      </c>
      <c r="J185" s="14">
        <v>0.3</v>
      </c>
      <c r="K185" s="15" t="s">
        <v>69</v>
      </c>
      <c r="L185" s="16" t="s">
        <v>25</v>
      </c>
      <c r="M185" s="15" t="s">
        <v>70</v>
      </c>
      <c r="N185" s="17">
        <v>1</v>
      </c>
      <c r="O185" s="14">
        <v>0.4</v>
      </c>
      <c r="P185" s="14"/>
      <c r="Q185" s="14">
        <f t="shared" si="11"/>
        <v>0</v>
      </c>
      <c r="R185" s="18">
        <f t="shared" si="10"/>
        <v>0</v>
      </c>
      <c r="S185" s="17" t="s">
        <v>23</v>
      </c>
      <c r="T185" s="146"/>
    </row>
    <row r="186" spans="1:20" ht="22.2" thickBot="1" x14ac:dyDescent="0.35">
      <c r="A186" s="142">
        <v>43</v>
      </c>
      <c r="B186" s="81" t="s">
        <v>20</v>
      </c>
      <c r="C186" s="82" t="s">
        <v>267</v>
      </c>
      <c r="D186" s="83">
        <v>6150</v>
      </c>
      <c r="E186" s="83" t="s">
        <v>99</v>
      </c>
      <c r="F186" s="84" t="s">
        <v>145</v>
      </c>
      <c r="G186" s="209" t="s">
        <v>53</v>
      </c>
      <c r="H186" s="84" t="s">
        <v>505</v>
      </c>
      <c r="I186" s="85" t="s">
        <v>26</v>
      </c>
      <c r="J186" s="86">
        <v>0.3</v>
      </c>
      <c r="K186" s="102" t="s">
        <v>47</v>
      </c>
      <c r="L186" s="103" t="s">
        <v>27</v>
      </c>
      <c r="M186" s="102" t="s">
        <v>71</v>
      </c>
      <c r="N186" s="91">
        <v>1</v>
      </c>
      <c r="O186" s="86">
        <v>0.2</v>
      </c>
      <c r="P186" s="86"/>
      <c r="Q186" s="86">
        <f t="shared" si="11"/>
        <v>0</v>
      </c>
      <c r="R186" s="104">
        <f t="shared" si="10"/>
        <v>0</v>
      </c>
      <c r="S186" s="91" t="s">
        <v>23</v>
      </c>
      <c r="T186" s="147"/>
    </row>
    <row r="187" spans="1:20" ht="21.6" x14ac:dyDescent="0.3">
      <c r="A187" s="138">
        <v>44</v>
      </c>
      <c r="B187" s="71" t="s">
        <v>20</v>
      </c>
      <c r="C187" s="72" t="s">
        <v>267</v>
      </c>
      <c r="D187" s="73">
        <v>6246</v>
      </c>
      <c r="E187" s="73" t="s">
        <v>100</v>
      </c>
      <c r="F187" s="74" t="s">
        <v>145</v>
      </c>
      <c r="G187" s="188" t="s">
        <v>53</v>
      </c>
      <c r="H187" s="74" t="s">
        <v>505</v>
      </c>
      <c r="I187" s="75" t="s">
        <v>22</v>
      </c>
      <c r="J187" s="76">
        <v>0.7</v>
      </c>
      <c r="K187" s="101" t="s">
        <v>54</v>
      </c>
      <c r="L187" s="96" t="s">
        <v>55</v>
      </c>
      <c r="M187" s="101" t="s">
        <v>56</v>
      </c>
      <c r="N187" s="76">
        <v>0.95</v>
      </c>
      <c r="O187" s="76">
        <v>0.2</v>
      </c>
      <c r="P187" s="76"/>
      <c r="Q187" s="76">
        <f t="shared" si="11"/>
        <v>0</v>
      </c>
      <c r="R187" s="80">
        <f t="shared" si="10"/>
        <v>0</v>
      </c>
      <c r="S187" s="76" t="s">
        <v>23</v>
      </c>
      <c r="T187" s="194">
        <f>SUM(R187:R195)%</f>
        <v>0</v>
      </c>
    </row>
    <row r="188" spans="1:20" ht="21.6" x14ac:dyDescent="0.3">
      <c r="A188" s="139">
        <v>45</v>
      </c>
      <c r="B188" s="42" t="s">
        <v>20</v>
      </c>
      <c r="C188" s="43" t="s">
        <v>267</v>
      </c>
      <c r="D188" s="44">
        <v>6246</v>
      </c>
      <c r="E188" s="44" t="s">
        <v>100</v>
      </c>
      <c r="F188" s="45" t="s">
        <v>145</v>
      </c>
      <c r="G188" s="207" t="s">
        <v>53</v>
      </c>
      <c r="H188" s="45" t="s">
        <v>505</v>
      </c>
      <c r="I188" s="7" t="s">
        <v>22</v>
      </c>
      <c r="J188" s="3">
        <v>0.7</v>
      </c>
      <c r="K188" s="1" t="s">
        <v>57</v>
      </c>
      <c r="L188" s="2" t="s">
        <v>58</v>
      </c>
      <c r="M188" s="1" t="s">
        <v>59</v>
      </c>
      <c r="N188" s="3">
        <v>0.95</v>
      </c>
      <c r="O188" s="3">
        <v>0.2</v>
      </c>
      <c r="P188" s="3"/>
      <c r="Q188" s="3">
        <f t="shared" si="11"/>
        <v>0</v>
      </c>
      <c r="R188" s="4">
        <f t="shared" si="10"/>
        <v>0</v>
      </c>
      <c r="S188" s="3" t="s">
        <v>23</v>
      </c>
      <c r="T188" s="195"/>
    </row>
    <row r="189" spans="1:20" ht="21.6" x14ac:dyDescent="0.3">
      <c r="A189" s="139">
        <v>46</v>
      </c>
      <c r="B189" s="42" t="s">
        <v>20</v>
      </c>
      <c r="C189" s="43" t="s">
        <v>267</v>
      </c>
      <c r="D189" s="44">
        <v>6246</v>
      </c>
      <c r="E189" s="44" t="s">
        <v>100</v>
      </c>
      <c r="F189" s="45" t="s">
        <v>145</v>
      </c>
      <c r="G189" s="207" t="s">
        <v>53</v>
      </c>
      <c r="H189" s="45" t="s">
        <v>505</v>
      </c>
      <c r="I189" s="7" t="s">
        <v>22</v>
      </c>
      <c r="J189" s="3">
        <v>0.7</v>
      </c>
      <c r="K189" s="1" t="s">
        <v>79</v>
      </c>
      <c r="L189" s="8" t="s">
        <v>80</v>
      </c>
      <c r="M189" s="1" t="s">
        <v>81</v>
      </c>
      <c r="N189" s="10">
        <v>1</v>
      </c>
      <c r="O189" s="3">
        <v>0.2</v>
      </c>
      <c r="P189" s="3"/>
      <c r="Q189" s="3">
        <f t="shared" si="11"/>
        <v>0</v>
      </c>
      <c r="R189" s="4">
        <f t="shared" ref="R189:R252" si="12">IF(AND(Q189&gt;=60%,Q189&lt;100%),Q189*((O189*J189)),IF(Q189=100%,((O189*J189)*Q189)*100%,IF(Q189&gt;100%,((J189*O189)*100%)*100%,0)))*100</f>
        <v>0</v>
      </c>
      <c r="S189" s="3" t="s">
        <v>23</v>
      </c>
      <c r="T189" s="195"/>
    </row>
    <row r="190" spans="1:20" ht="21.6" x14ac:dyDescent="0.3">
      <c r="A190" s="139">
        <v>47</v>
      </c>
      <c r="B190" s="42" t="s">
        <v>20</v>
      </c>
      <c r="C190" s="43" t="s">
        <v>267</v>
      </c>
      <c r="D190" s="44">
        <v>6246</v>
      </c>
      <c r="E190" s="44" t="s">
        <v>100</v>
      </c>
      <c r="F190" s="45" t="s">
        <v>145</v>
      </c>
      <c r="G190" s="207" t="s">
        <v>53</v>
      </c>
      <c r="H190" s="45" t="s">
        <v>505</v>
      </c>
      <c r="I190" s="47" t="s">
        <v>22</v>
      </c>
      <c r="J190" s="3">
        <v>0.7</v>
      </c>
      <c r="K190" s="1" t="s">
        <v>72</v>
      </c>
      <c r="L190" s="2" t="s">
        <v>73</v>
      </c>
      <c r="M190" s="1" t="s">
        <v>74</v>
      </c>
      <c r="N190" s="10">
        <v>0.9</v>
      </c>
      <c r="O190" s="3">
        <v>0.25</v>
      </c>
      <c r="P190" s="3"/>
      <c r="Q190" s="3">
        <f t="shared" si="11"/>
        <v>0</v>
      </c>
      <c r="R190" s="48">
        <f t="shared" si="12"/>
        <v>0</v>
      </c>
      <c r="S190" s="10" t="s">
        <v>23</v>
      </c>
      <c r="T190" s="193"/>
    </row>
    <row r="191" spans="1:20" ht="21.6" x14ac:dyDescent="0.3">
      <c r="A191" s="139">
        <v>48</v>
      </c>
      <c r="B191" s="42" t="s">
        <v>20</v>
      </c>
      <c r="C191" s="43" t="s">
        <v>267</v>
      </c>
      <c r="D191" s="44">
        <v>6246</v>
      </c>
      <c r="E191" s="44" t="s">
        <v>100</v>
      </c>
      <c r="F191" s="45" t="s">
        <v>145</v>
      </c>
      <c r="G191" s="207" t="s">
        <v>53</v>
      </c>
      <c r="H191" s="45" t="s">
        <v>505</v>
      </c>
      <c r="I191" s="47" t="s">
        <v>22</v>
      </c>
      <c r="J191" s="3">
        <v>0.7</v>
      </c>
      <c r="K191" s="1" t="s">
        <v>63</v>
      </c>
      <c r="L191" s="2" t="s">
        <v>64</v>
      </c>
      <c r="M191" s="1" t="s">
        <v>65</v>
      </c>
      <c r="N191" s="3">
        <v>1</v>
      </c>
      <c r="O191" s="3">
        <v>0.15</v>
      </c>
      <c r="P191" s="3"/>
      <c r="Q191" s="3">
        <f t="shared" si="11"/>
        <v>0</v>
      </c>
      <c r="R191" s="48">
        <f t="shared" si="12"/>
        <v>0</v>
      </c>
      <c r="S191" s="10" t="s">
        <v>23</v>
      </c>
      <c r="T191" s="193"/>
    </row>
    <row r="192" spans="1:20" ht="21.6" x14ac:dyDescent="0.3">
      <c r="A192" s="140">
        <v>49</v>
      </c>
      <c r="B192" s="33" t="s">
        <v>20</v>
      </c>
      <c r="C192" s="34" t="s">
        <v>267</v>
      </c>
      <c r="D192" s="35">
        <v>6246</v>
      </c>
      <c r="E192" s="35" t="s">
        <v>100</v>
      </c>
      <c r="F192" s="36" t="s">
        <v>145</v>
      </c>
      <c r="G192" s="208" t="s">
        <v>53</v>
      </c>
      <c r="H192" s="36" t="s">
        <v>505</v>
      </c>
      <c r="I192" s="37" t="s">
        <v>26</v>
      </c>
      <c r="J192" s="14">
        <v>0.3</v>
      </c>
      <c r="K192" s="15" t="s">
        <v>60</v>
      </c>
      <c r="L192" s="16" t="s">
        <v>61</v>
      </c>
      <c r="M192" s="15" t="s">
        <v>62</v>
      </c>
      <c r="N192" s="17">
        <v>1</v>
      </c>
      <c r="O192" s="14">
        <v>0.2</v>
      </c>
      <c r="P192" s="14"/>
      <c r="Q192" s="14">
        <f t="shared" si="11"/>
        <v>0</v>
      </c>
      <c r="R192" s="18">
        <f t="shared" si="12"/>
        <v>0</v>
      </c>
      <c r="S192" s="17" t="s">
        <v>23</v>
      </c>
      <c r="T192" s="146"/>
    </row>
    <row r="193" spans="1:20" ht="21.6" x14ac:dyDescent="0.3">
      <c r="A193" s="140">
        <v>50</v>
      </c>
      <c r="B193" s="33" t="s">
        <v>20</v>
      </c>
      <c r="C193" s="34" t="s">
        <v>267</v>
      </c>
      <c r="D193" s="35">
        <v>6246</v>
      </c>
      <c r="E193" s="35" t="s">
        <v>100</v>
      </c>
      <c r="F193" s="36" t="s">
        <v>145</v>
      </c>
      <c r="G193" s="208" t="s">
        <v>53</v>
      </c>
      <c r="H193" s="36" t="s">
        <v>505</v>
      </c>
      <c r="I193" s="37" t="s">
        <v>26</v>
      </c>
      <c r="J193" s="14">
        <v>0.3</v>
      </c>
      <c r="K193" s="15" t="s">
        <v>66</v>
      </c>
      <c r="L193" s="16" t="s">
        <v>67</v>
      </c>
      <c r="M193" s="15" t="s">
        <v>68</v>
      </c>
      <c r="N193" s="17">
        <v>0.95</v>
      </c>
      <c r="O193" s="14">
        <v>0.2</v>
      </c>
      <c r="P193" s="14"/>
      <c r="Q193" s="14">
        <f t="shared" si="11"/>
        <v>0</v>
      </c>
      <c r="R193" s="18">
        <f t="shared" si="12"/>
        <v>0</v>
      </c>
      <c r="S193" s="17" t="s">
        <v>23</v>
      </c>
      <c r="T193" s="146"/>
    </row>
    <row r="194" spans="1:20" ht="21.6" x14ac:dyDescent="0.3">
      <c r="A194" s="140">
        <v>51</v>
      </c>
      <c r="B194" s="33" t="s">
        <v>20</v>
      </c>
      <c r="C194" s="34" t="s">
        <v>267</v>
      </c>
      <c r="D194" s="35">
        <v>6246</v>
      </c>
      <c r="E194" s="35" t="s">
        <v>100</v>
      </c>
      <c r="F194" s="36" t="s">
        <v>145</v>
      </c>
      <c r="G194" s="208" t="s">
        <v>53</v>
      </c>
      <c r="H194" s="36" t="s">
        <v>505</v>
      </c>
      <c r="I194" s="37" t="s">
        <v>26</v>
      </c>
      <c r="J194" s="14">
        <v>0.3</v>
      </c>
      <c r="K194" s="15" t="s">
        <v>69</v>
      </c>
      <c r="L194" s="16" t="s">
        <v>25</v>
      </c>
      <c r="M194" s="15" t="s">
        <v>70</v>
      </c>
      <c r="N194" s="17">
        <v>1</v>
      </c>
      <c r="O194" s="14">
        <v>0.4</v>
      </c>
      <c r="P194" s="14"/>
      <c r="Q194" s="14">
        <f t="shared" si="11"/>
        <v>0</v>
      </c>
      <c r="R194" s="18">
        <f t="shared" si="12"/>
        <v>0</v>
      </c>
      <c r="S194" s="17" t="s">
        <v>23</v>
      </c>
      <c r="T194" s="146"/>
    </row>
    <row r="195" spans="1:20" ht="22.2" thickBot="1" x14ac:dyDescent="0.35">
      <c r="A195" s="142">
        <v>52</v>
      </c>
      <c r="B195" s="81" t="s">
        <v>20</v>
      </c>
      <c r="C195" s="82" t="s">
        <v>267</v>
      </c>
      <c r="D195" s="83">
        <v>6246</v>
      </c>
      <c r="E195" s="83" t="s">
        <v>100</v>
      </c>
      <c r="F195" s="84" t="s">
        <v>145</v>
      </c>
      <c r="G195" s="209" t="s">
        <v>53</v>
      </c>
      <c r="H195" s="84" t="s">
        <v>505</v>
      </c>
      <c r="I195" s="85" t="s">
        <v>26</v>
      </c>
      <c r="J195" s="86">
        <v>0.3</v>
      </c>
      <c r="K195" s="102" t="s">
        <v>47</v>
      </c>
      <c r="L195" s="103" t="s">
        <v>27</v>
      </c>
      <c r="M195" s="102" t="s">
        <v>71</v>
      </c>
      <c r="N195" s="91">
        <v>1</v>
      </c>
      <c r="O195" s="86">
        <v>0.2</v>
      </c>
      <c r="P195" s="86"/>
      <c r="Q195" s="86">
        <f t="shared" si="11"/>
        <v>0</v>
      </c>
      <c r="R195" s="104">
        <f t="shared" si="12"/>
        <v>0</v>
      </c>
      <c r="S195" s="91" t="s">
        <v>23</v>
      </c>
      <c r="T195" s="147"/>
    </row>
    <row r="196" spans="1:20" ht="21.6" x14ac:dyDescent="0.3">
      <c r="A196" s="138">
        <v>53</v>
      </c>
      <c r="B196" s="71" t="s">
        <v>20</v>
      </c>
      <c r="C196" s="72" t="s">
        <v>267</v>
      </c>
      <c r="D196" s="73">
        <v>6329</v>
      </c>
      <c r="E196" s="73" t="s">
        <v>101</v>
      </c>
      <c r="F196" s="74" t="s">
        <v>145</v>
      </c>
      <c r="G196" s="188" t="s">
        <v>53</v>
      </c>
      <c r="H196" s="74" t="s">
        <v>505</v>
      </c>
      <c r="I196" s="75" t="s">
        <v>22</v>
      </c>
      <c r="J196" s="76">
        <v>0.7</v>
      </c>
      <c r="K196" s="101" t="s">
        <v>54</v>
      </c>
      <c r="L196" s="96" t="s">
        <v>55</v>
      </c>
      <c r="M196" s="101" t="s">
        <v>56</v>
      </c>
      <c r="N196" s="76">
        <v>0.95</v>
      </c>
      <c r="O196" s="76">
        <v>0.2</v>
      </c>
      <c r="P196" s="76"/>
      <c r="Q196" s="76">
        <f t="shared" si="11"/>
        <v>0</v>
      </c>
      <c r="R196" s="80">
        <f t="shared" si="12"/>
        <v>0</v>
      </c>
      <c r="S196" s="76" t="s">
        <v>23</v>
      </c>
      <c r="T196" s="194">
        <f>SUM(R196:R204)%</f>
        <v>0</v>
      </c>
    </row>
    <row r="197" spans="1:20" ht="21.6" x14ac:dyDescent="0.3">
      <c r="A197" s="139">
        <v>54</v>
      </c>
      <c r="B197" s="42" t="s">
        <v>20</v>
      </c>
      <c r="C197" s="43" t="s">
        <v>267</v>
      </c>
      <c r="D197" s="44">
        <v>6329</v>
      </c>
      <c r="E197" s="44" t="s">
        <v>101</v>
      </c>
      <c r="F197" s="45" t="s">
        <v>145</v>
      </c>
      <c r="G197" s="207" t="s">
        <v>53</v>
      </c>
      <c r="H197" s="45" t="s">
        <v>505</v>
      </c>
      <c r="I197" s="7" t="s">
        <v>22</v>
      </c>
      <c r="J197" s="3">
        <v>0.7</v>
      </c>
      <c r="K197" s="1" t="s">
        <v>57</v>
      </c>
      <c r="L197" s="2" t="s">
        <v>58</v>
      </c>
      <c r="M197" s="1" t="s">
        <v>59</v>
      </c>
      <c r="N197" s="3">
        <v>0.95</v>
      </c>
      <c r="O197" s="3">
        <v>0.2</v>
      </c>
      <c r="P197" s="6"/>
      <c r="Q197" s="3">
        <f t="shared" si="11"/>
        <v>0</v>
      </c>
      <c r="R197" s="4">
        <f t="shared" si="12"/>
        <v>0</v>
      </c>
      <c r="S197" s="3" t="s">
        <v>23</v>
      </c>
      <c r="T197" s="195"/>
    </row>
    <row r="198" spans="1:20" ht="21.6" x14ac:dyDescent="0.3">
      <c r="A198" s="139">
        <v>55</v>
      </c>
      <c r="B198" s="42" t="s">
        <v>20</v>
      </c>
      <c r="C198" s="43" t="s">
        <v>267</v>
      </c>
      <c r="D198" s="44">
        <v>6329</v>
      </c>
      <c r="E198" s="44" t="s">
        <v>101</v>
      </c>
      <c r="F198" s="45" t="s">
        <v>145</v>
      </c>
      <c r="G198" s="207" t="s">
        <v>53</v>
      </c>
      <c r="H198" s="45" t="s">
        <v>505</v>
      </c>
      <c r="I198" s="7" t="s">
        <v>22</v>
      </c>
      <c r="J198" s="3">
        <v>0.7</v>
      </c>
      <c r="K198" s="1" t="s">
        <v>79</v>
      </c>
      <c r="L198" s="8" t="s">
        <v>80</v>
      </c>
      <c r="M198" s="1" t="s">
        <v>81</v>
      </c>
      <c r="N198" s="10">
        <v>1</v>
      </c>
      <c r="O198" s="3">
        <v>0.2</v>
      </c>
      <c r="P198" s="3"/>
      <c r="Q198" s="3">
        <f t="shared" si="11"/>
        <v>0</v>
      </c>
      <c r="R198" s="4">
        <f t="shared" si="12"/>
        <v>0</v>
      </c>
      <c r="S198" s="3" t="s">
        <v>23</v>
      </c>
      <c r="T198" s="195"/>
    </row>
    <row r="199" spans="1:20" ht="21.6" x14ac:dyDescent="0.3">
      <c r="A199" s="139">
        <v>56</v>
      </c>
      <c r="B199" s="42" t="s">
        <v>20</v>
      </c>
      <c r="C199" s="43" t="s">
        <v>267</v>
      </c>
      <c r="D199" s="44">
        <v>6329</v>
      </c>
      <c r="E199" s="44" t="s">
        <v>101</v>
      </c>
      <c r="F199" s="45" t="s">
        <v>145</v>
      </c>
      <c r="G199" s="207" t="s">
        <v>53</v>
      </c>
      <c r="H199" s="45" t="s">
        <v>505</v>
      </c>
      <c r="I199" s="47" t="s">
        <v>22</v>
      </c>
      <c r="J199" s="3">
        <v>0.7</v>
      </c>
      <c r="K199" s="1" t="s">
        <v>72</v>
      </c>
      <c r="L199" s="2" t="s">
        <v>73</v>
      </c>
      <c r="M199" s="1" t="s">
        <v>74</v>
      </c>
      <c r="N199" s="10">
        <v>0.9</v>
      </c>
      <c r="O199" s="3">
        <v>0.25</v>
      </c>
      <c r="P199" s="3"/>
      <c r="Q199" s="3">
        <f t="shared" si="11"/>
        <v>0</v>
      </c>
      <c r="R199" s="48">
        <f t="shared" si="12"/>
        <v>0</v>
      </c>
      <c r="S199" s="10" t="s">
        <v>23</v>
      </c>
      <c r="T199" s="193"/>
    </row>
    <row r="200" spans="1:20" ht="21.6" x14ac:dyDescent="0.3">
      <c r="A200" s="139">
        <v>57</v>
      </c>
      <c r="B200" s="42" t="s">
        <v>20</v>
      </c>
      <c r="C200" s="43" t="s">
        <v>267</v>
      </c>
      <c r="D200" s="44">
        <v>6329</v>
      </c>
      <c r="E200" s="44" t="s">
        <v>101</v>
      </c>
      <c r="F200" s="45" t="s">
        <v>145</v>
      </c>
      <c r="G200" s="207" t="s">
        <v>53</v>
      </c>
      <c r="H200" s="45" t="s">
        <v>505</v>
      </c>
      <c r="I200" s="47" t="s">
        <v>22</v>
      </c>
      <c r="J200" s="3">
        <v>0.7</v>
      </c>
      <c r="K200" s="1" t="s">
        <v>63</v>
      </c>
      <c r="L200" s="2" t="s">
        <v>64</v>
      </c>
      <c r="M200" s="1" t="s">
        <v>65</v>
      </c>
      <c r="N200" s="3">
        <v>1</v>
      </c>
      <c r="O200" s="3">
        <v>0.15</v>
      </c>
      <c r="P200" s="3"/>
      <c r="Q200" s="3">
        <f t="shared" si="11"/>
        <v>0</v>
      </c>
      <c r="R200" s="48">
        <f t="shared" si="12"/>
        <v>0</v>
      </c>
      <c r="S200" s="10" t="s">
        <v>23</v>
      </c>
      <c r="T200" s="193"/>
    </row>
    <row r="201" spans="1:20" ht="21.6" x14ac:dyDescent="0.3">
      <c r="A201" s="140">
        <v>58</v>
      </c>
      <c r="B201" s="33" t="s">
        <v>20</v>
      </c>
      <c r="C201" s="34" t="s">
        <v>267</v>
      </c>
      <c r="D201" s="35">
        <v>6329</v>
      </c>
      <c r="E201" s="35" t="s">
        <v>101</v>
      </c>
      <c r="F201" s="36" t="s">
        <v>145</v>
      </c>
      <c r="G201" s="208" t="s">
        <v>53</v>
      </c>
      <c r="H201" s="36" t="s">
        <v>505</v>
      </c>
      <c r="I201" s="37" t="s">
        <v>26</v>
      </c>
      <c r="J201" s="14">
        <v>0.3</v>
      </c>
      <c r="K201" s="15" t="s">
        <v>60</v>
      </c>
      <c r="L201" s="16" t="s">
        <v>61</v>
      </c>
      <c r="M201" s="15" t="s">
        <v>62</v>
      </c>
      <c r="N201" s="17">
        <v>1</v>
      </c>
      <c r="O201" s="14">
        <v>0.2</v>
      </c>
      <c r="P201" s="14"/>
      <c r="Q201" s="14">
        <f t="shared" si="11"/>
        <v>0</v>
      </c>
      <c r="R201" s="18">
        <f t="shared" si="12"/>
        <v>0</v>
      </c>
      <c r="S201" s="17" t="s">
        <v>23</v>
      </c>
      <c r="T201" s="146"/>
    </row>
    <row r="202" spans="1:20" ht="21.6" x14ac:dyDescent="0.3">
      <c r="A202" s="140">
        <v>59</v>
      </c>
      <c r="B202" s="33" t="s">
        <v>20</v>
      </c>
      <c r="C202" s="34" t="s">
        <v>267</v>
      </c>
      <c r="D202" s="35">
        <v>6329</v>
      </c>
      <c r="E202" s="35" t="s">
        <v>101</v>
      </c>
      <c r="F202" s="36" t="s">
        <v>145</v>
      </c>
      <c r="G202" s="208" t="s">
        <v>53</v>
      </c>
      <c r="H202" s="36" t="s">
        <v>505</v>
      </c>
      <c r="I202" s="37" t="s">
        <v>26</v>
      </c>
      <c r="J202" s="14">
        <v>0.3</v>
      </c>
      <c r="K202" s="15" t="s">
        <v>66</v>
      </c>
      <c r="L202" s="16" t="s">
        <v>67</v>
      </c>
      <c r="M202" s="15" t="s">
        <v>68</v>
      </c>
      <c r="N202" s="17">
        <v>0.95</v>
      </c>
      <c r="O202" s="14">
        <v>0.2</v>
      </c>
      <c r="P202" s="14"/>
      <c r="Q202" s="14">
        <f t="shared" si="11"/>
        <v>0</v>
      </c>
      <c r="R202" s="18">
        <f t="shared" si="12"/>
        <v>0</v>
      </c>
      <c r="S202" s="17" t="s">
        <v>23</v>
      </c>
      <c r="T202" s="146"/>
    </row>
    <row r="203" spans="1:20" ht="21.6" x14ac:dyDescent="0.3">
      <c r="A203" s="140">
        <v>60</v>
      </c>
      <c r="B203" s="33" t="s">
        <v>20</v>
      </c>
      <c r="C203" s="34" t="s">
        <v>267</v>
      </c>
      <c r="D203" s="35">
        <v>6329</v>
      </c>
      <c r="E203" s="35" t="s">
        <v>101</v>
      </c>
      <c r="F203" s="36" t="s">
        <v>145</v>
      </c>
      <c r="G203" s="208" t="s">
        <v>53</v>
      </c>
      <c r="H203" s="36" t="s">
        <v>505</v>
      </c>
      <c r="I203" s="37" t="s">
        <v>26</v>
      </c>
      <c r="J203" s="14">
        <v>0.3</v>
      </c>
      <c r="K203" s="15" t="s">
        <v>69</v>
      </c>
      <c r="L203" s="16" t="s">
        <v>25</v>
      </c>
      <c r="M203" s="15" t="s">
        <v>70</v>
      </c>
      <c r="N203" s="17">
        <v>1</v>
      </c>
      <c r="O203" s="14">
        <v>0.4</v>
      </c>
      <c r="P203" s="14"/>
      <c r="Q203" s="14">
        <f t="shared" si="11"/>
        <v>0</v>
      </c>
      <c r="R203" s="18">
        <f t="shared" si="12"/>
        <v>0</v>
      </c>
      <c r="S203" s="17" t="s">
        <v>23</v>
      </c>
      <c r="T203" s="146"/>
    </row>
    <row r="204" spans="1:20" ht="22.2" thickBot="1" x14ac:dyDescent="0.35">
      <c r="A204" s="142">
        <v>61</v>
      </c>
      <c r="B204" s="81" t="s">
        <v>20</v>
      </c>
      <c r="C204" s="82" t="s">
        <v>267</v>
      </c>
      <c r="D204" s="83">
        <v>6329</v>
      </c>
      <c r="E204" s="83" t="s">
        <v>101</v>
      </c>
      <c r="F204" s="84" t="s">
        <v>145</v>
      </c>
      <c r="G204" s="209" t="s">
        <v>53</v>
      </c>
      <c r="H204" s="84" t="s">
        <v>505</v>
      </c>
      <c r="I204" s="85" t="s">
        <v>26</v>
      </c>
      <c r="J204" s="86">
        <v>0.3</v>
      </c>
      <c r="K204" s="102" t="s">
        <v>47</v>
      </c>
      <c r="L204" s="103" t="s">
        <v>27</v>
      </c>
      <c r="M204" s="102" t="s">
        <v>71</v>
      </c>
      <c r="N204" s="91">
        <v>1</v>
      </c>
      <c r="O204" s="86">
        <v>0.2</v>
      </c>
      <c r="P204" s="86"/>
      <c r="Q204" s="86">
        <f t="shared" si="11"/>
        <v>0</v>
      </c>
      <c r="R204" s="104">
        <f t="shared" si="12"/>
        <v>0</v>
      </c>
      <c r="S204" s="91" t="s">
        <v>23</v>
      </c>
      <c r="T204" s="147"/>
    </row>
    <row r="205" spans="1:20" ht="21.6" x14ac:dyDescent="0.3">
      <c r="A205" s="138">
        <v>62</v>
      </c>
      <c r="B205" s="71" t="s">
        <v>20</v>
      </c>
      <c r="C205" s="72" t="s">
        <v>267</v>
      </c>
      <c r="D205" s="73">
        <v>6331</v>
      </c>
      <c r="E205" s="73" t="s">
        <v>102</v>
      </c>
      <c r="F205" s="74" t="s">
        <v>145</v>
      </c>
      <c r="G205" s="188" t="s">
        <v>53</v>
      </c>
      <c r="H205" s="74" t="s">
        <v>505</v>
      </c>
      <c r="I205" s="75" t="s">
        <v>22</v>
      </c>
      <c r="J205" s="76">
        <v>0.7</v>
      </c>
      <c r="K205" s="101" t="s">
        <v>54</v>
      </c>
      <c r="L205" s="96" t="s">
        <v>55</v>
      </c>
      <c r="M205" s="101" t="s">
        <v>56</v>
      </c>
      <c r="N205" s="76">
        <v>0.95</v>
      </c>
      <c r="O205" s="76">
        <v>0.2</v>
      </c>
      <c r="P205" s="76"/>
      <c r="Q205" s="76">
        <f t="shared" si="11"/>
        <v>0</v>
      </c>
      <c r="R205" s="80">
        <f t="shared" si="12"/>
        <v>0</v>
      </c>
      <c r="S205" s="76" t="s">
        <v>23</v>
      </c>
      <c r="T205" s="194">
        <f>SUM(R205:R213)%</f>
        <v>0</v>
      </c>
    </row>
    <row r="206" spans="1:20" ht="21.6" x14ac:dyDescent="0.3">
      <c r="A206" s="139">
        <v>63</v>
      </c>
      <c r="B206" s="42" t="s">
        <v>20</v>
      </c>
      <c r="C206" s="43" t="s">
        <v>267</v>
      </c>
      <c r="D206" s="44">
        <v>6331</v>
      </c>
      <c r="E206" s="44" t="s">
        <v>102</v>
      </c>
      <c r="F206" s="45" t="s">
        <v>145</v>
      </c>
      <c r="G206" s="207" t="s">
        <v>53</v>
      </c>
      <c r="H206" s="45" t="s">
        <v>505</v>
      </c>
      <c r="I206" s="7" t="s">
        <v>22</v>
      </c>
      <c r="J206" s="3">
        <v>0.7</v>
      </c>
      <c r="K206" s="1" t="s">
        <v>57</v>
      </c>
      <c r="L206" s="2" t="s">
        <v>58</v>
      </c>
      <c r="M206" s="1" t="s">
        <v>59</v>
      </c>
      <c r="N206" s="3">
        <v>0.95</v>
      </c>
      <c r="O206" s="3">
        <v>0.2</v>
      </c>
      <c r="P206" s="6"/>
      <c r="Q206" s="3">
        <f t="shared" si="11"/>
        <v>0</v>
      </c>
      <c r="R206" s="4">
        <f t="shared" si="12"/>
        <v>0</v>
      </c>
      <c r="S206" s="3" t="s">
        <v>23</v>
      </c>
      <c r="T206" s="195"/>
    </row>
    <row r="207" spans="1:20" ht="21.6" x14ac:dyDescent="0.3">
      <c r="A207" s="139">
        <v>64</v>
      </c>
      <c r="B207" s="42" t="s">
        <v>20</v>
      </c>
      <c r="C207" s="43" t="s">
        <v>267</v>
      </c>
      <c r="D207" s="44">
        <v>6331</v>
      </c>
      <c r="E207" s="44" t="s">
        <v>102</v>
      </c>
      <c r="F207" s="45" t="s">
        <v>145</v>
      </c>
      <c r="G207" s="207" t="s">
        <v>53</v>
      </c>
      <c r="H207" s="45" t="s">
        <v>505</v>
      </c>
      <c r="I207" s="7" t="s">
        <v>22</v>
      </c>
      <c r="J207" s="3">
        <v>0.7</v>
      </c>
      <c r="K207" s="1" t="s">
        <v>79</v>
      </c>
      <c r="L207" s="8" t="s">
        <v>80</v>
      </c>
      <c r="M207" s="1" t="s">
        <v>81</v>
      </c>
      <c r="N207" s="10">
        <v>1</v>
      </c>
      <c r="O207" s="3">
        <v>0.2</v>
      </c>
      <c r="P207" s="6"/>
      <c r="Q207" s="3">
        <f t="shared" si="11"/>
        <v>0</v>
      </c>
      <c r="R207" s="4">
        <f t="shared" si="12"/>
        <v>0</v>
      </c>
      <c r="S207" s="3" t="s">
        <v>23</v>
      </c>
      <c r="T207" s="195"/>
    </row>
    <row r="208" spans="1:20" ht="21.6" x14ac:dyDescent="0.3">
      <c r="A208" s="139">
        <v>65</v>
      </c>
      <c r="B208" s="42" t="s">
        <v>20</v>
      </c>
      <c r="C208" s="43" t="s">
        <v>267</v>
      </c>
      <c r="D208" s="44">
        <v>6331</v>
      </c>
      <c r="E208" s="44" t="s">
        <v>102</v>
      </c>
      <c r="F208" s="45" t="s">
        <v>145</v>
      </c>
      <c r="G208" s="207" t="s">
        <v>53</v>
      </c>
      <c r="H208" s="45" t="s">
        <v>505</v>
      </c>
      <c r="I208" s="47" t="s">
        <v>22</v>
      </c>
      <c r="J208" s="3">
        <v>0.7</v>
      </c>
      <c r="K208" s="1" t="s">
        <v>72</v>
      </c>
      <c r="L208" s="2" t="s">
        <v>73</v>
      </c>
      <c r="M208" s="1" t="s">
        <v>74</v>
      </c>
      <c r="N208" s="10">
        <v>0.9</v>
      </c>
      <c r="O208" s="3">
        <v>0.25</v>
      </c>
      <c r="P208" s="6"/>
      <c r="Q208" s="3">
        <f t="shared" si="11"/>
        <v>0</v>
      </c>
      <c r="R208" s="48">
        <f t="shared" si="12"/>
        <v>0</v>
      </c>
      <c r="S208" s="10" t="s">
        <v>23</v>
      </c>
      <c r="T208" s="193"/>
    </row>
    <row r="209" spans="1:20" ht="21.6" x14ac:dyDescent="0.3">
      <c r="A209" s="139">
        <v>66</v>
      </c>
      <c r="B209" s="42" t="s">
        <v>20</v>
      </c>
      <c r="C209" s="43" t="s">
        <v>267</v>
      </c>
      <c r="D209" s="44">
        <v>6331</v>
      </c>
      <c r="E209" s="44" t="s">
        <v>102</v>
      </c>
      <c r="F209" s="45" t="s">
        <v>145</v>
      </c>
      <c r="G209" s="207" t="s">
        <v>53</v>
      </c>
      <c r="H209" s="45" t="s">
        <v>505</v>
      </c>
      <c r="I209" s="47" t="s">
        <v>22</v>
      </c>
      <c r="J209" s="3">
        <v>0.7</v>
      </c>
      <c r="K209" s="1" t="s">
        <v>63</v>
      </c>
      <c r="L209" s="2" t="s">
        <v>64</v>
      </c>
      <c r="M209" s="1" t="s">
        <v>65</v>
      </c>
      <c r="N209" s="3">
        <v>1</v>
      </c>
      <c r="O209" s="3">
        <v>0.15</v>
      </c>
      <c r="P209" s="6"/>
      <c r="Q209" s="3">
        <f t="shared" si="11"/>
        <v>0</v>
      </c>
      <c r="R209" s="48">
        <f t="shared" si="12"/>
        <v>0</v>
      </c>
      <c r="S209" s="10" t="s">
        <v>23</v>
      </c>
      <c r="T209" s="193"/>
    </row>
    <row r="210" spans="1:20" ht="21.6" x14ac:dyDescent="0.3">
      <c r="A210" s="140">
        <v>67</v>
      </c>
      <c r="B210" s="33" t="s">
        <v>20</v>
      </c>
      <c r="C210" s="34" t="s">
        <v>267</v>
      </c>
      <c r="D210" s="35">
        <v>6331</v>
      </c>
      <c r="E210" s="35" t="s">
        <v>102</v>
      </c>
      <c r="F210" s="36" t="s">
        <v>145</v>
      </c>
      <c r="G210" s="208" t="s">
        <v>53</v>
      </c>
      <c r="H210" s="36" t="s">
        <v>505</v>
      </c>
      <c r="I210" s="37" t="s">
        <v>26</v>
      </c>
      <c r="J210" s="14">
        <v>0.3</v>
      </c>
      <c r="K210" s="15" t="s">
        <v>60</v>
      </c>
      <c r="L210" s="16" t="s">
        <v>61</v>
      </c>
      <c r="M210" s="15" t="s">
        <v>62</v>
      </c>
      <c r="N210" s="17">
        <v>1</v>
      </c>
      <c r="O210" s="14">
        <v>0.2</v>
      </c>
      <c r="P210" s="14"/>
      <c r="Q210" s="14">
        <f t="shared" si="11"/>
        <v>0</v>
      </c>
      <c r="R210" s="18">
        <f t="shared" si="12"/>
        <v>0</v>
      </c>
      <c r="S210" s="17" t="s">
        <v>23</v>
      </c>
      <c r="T210" s="146"/>
    </row>
    <row r="211" spans="1:20" ht="21.6" x14ac:dyDescent="0.3">
      <c r="A211" s="140">
        <v>68</v>
      </c>
      <c r="B211" s="33" t="s">
        <v>20</v>
      </c>
      <c r="C211" s="34" t="s">
        <v>267</v>
      </c>
      <c r="D211" s="35">
        <v>6331</v>
      </c>
      <c r="E211" s="35" t="s">
        <v>102</v>
      </c>
      <c r="F211" s="36" t="s">
        <v>145</v>
      </c>
      <c r="G211" s="208" t="s">
        <v>53</v>
      </c>
      <c r="H211" s="36" t="s">
        <v>505</v>
      </c>
      <c r="I211" s="37" t="s">
        <v>26</v>
      </c>
      <c r="J211" s="14">
        <v>0.3</v>
      </c>
      <c r="K211" s="15" t="s">
        <v>66</v>
      </c>
      <c r="L211" s="16" t="s">
        <v>67</v>
      </c>
      <c r="M211" s="15" t="s">
        <v>68</v>
      </c>
      <c r="N211" s="17">
        <v>0.95</v>
      </c>
      <c r="O211" s="14">
        <v>0.2</v>
      </c>
      <c r="P211" s="14"/>
      <c r="Q211" s="14">
        <f t="shared" si="11"/>
        <v>0</v>
      </c>
      <c r="R211" s="18">
        <f t="shared" si="12"/>
        <v>0</v>
      </c>
      <c r="S211" s="17" t="s">
        <v>23</v>
      </c>
      <c r="T211" s="146"/>
    </row>
    <row r="212" spans="1:20" ht="21.6" x14ac:dyDescent="0.3">
      <c r="A212" s="140">
        <v>69</v>
      </c>
      <c r="B212" s="33" t="s">
        <v>20</v>
      </c>
      <c r="C212" s="34" t="s">
        <v>267</v>
      </c>
      <c r="D212" s="35">
        <v>6331</v>
      </c>
      <c r="E212" s="35" t="s">
        <v>102</v>
      </c>
      <c r="F212" s="36" t="s">
        <v>145</v>
      </c>
      <c r="G212" s="208" t="s">
        <v>53</v>
      </c>
      <c r="H212" s="36" t="s">
        <v>505</v>
      </c>
      <c r="I212" s="37" t="s">
        <v>26</v>
      </c>
      <c r="J212" s="14">
        <v>0.3</v>
      </c>
      <c r="K212" s="15" t="s">
        <v>69</v>
      </c>
      <c r="L212" s="16" t="s">
        <v>25</v>
      </c>
      <c r="M212" s="15" t="s">
        <v>70</v>
      </c>
      <c r="N212" s="17">
        <v>1</v>
      </c>
      <c r="O212" s="14">
        <v>0.4</v>
      </c>
      <c r="P212" s="14"/>
      <c r="Q212" s="14">
        <f t="shared" si="11"/>
        <v>0</v>
      </c>
      <c r="R212" s="18">
        <f t="shared" si="12"/>
        <v>0</v>
      </c>
      <c r="S212" s="17" t="s">
        <v>23</v>
      </c>
      <c r="T212" s="146"/>
    </row>
    <row r="213" spans="1:20" ht="22.2" thickBot="1" x14ac:dyDescent="0.35">
      <c r="A213" s="142">
        <v>70</v>
      </c>
      <c r="B213" s="81" t="s">
        <v>20</v>
      </c>
      <c r="C213" s="82" t="s">
        <v>267</v>
      </c>
      <c r="D213" s="83">
        <v>6331</v>
      </c>
      <c r="E213" s="83" t="s">
        <v>102</v>
      </c>
      <c r="F213" s="84" t="s">
        <v>145</v>
      </c>
      <c r="G213" s="209" t="s">
        <v>53</v>
      </c>
      <c r="H213" s="84" t="s">
        <v>505</v>
      </c>
      <c r="I213" s="85" t="s">
        <v>26</v>
      </c>
      <c r="J213" s="86">
        <v>0.3</v>
      </c>
      <c r="K213" s="102" t="s">
        <v>47</v>
      </c>
      <c r="L213" s="103" t="s">
        <v>27</v>
      </c>
      <c r="M213" s="102" t="s">
        <v>71</v>
      </c>
      <c r="N213" s="91">
        <v>1</v>
      </c>
      <c r="O213" s="86">
        <v>0.2</v>
      </c>
      <c r="P213" s="86"/>
      <c r="Q213" s="86">
        <f t="shared" si="11"/>
        <v>0</v>
      </c>
      <c r="R213" s="104">
        <f t="shared" si="12"/>
        <v>0</v>
      </c>
      <c r="S213" s="91" t="s">
        <v>23</v>
      </c>
      <c r="T213" s="147"/>
    </row>
    <row r="214" spans="1:20" ht="21.6" x14ac:dyDescent="0.3">
      <c r="A214" s="138">
        <v>71</v>
      </c>
      <c r="B214" s="71" t="s">
        <v>20</v>
      </c>
      <c r="C214" s="72" t="s">
        <v>267</v>
      </c>
      <c r="D214" s="73">
        <v>6364</v>
      </c>
      <c r="E214" s="73" t="s">
        <v>103</v>
      </c>
      <c r="F214" s="74" t="s">
        <v>145</v>
      </c>
      <c r="G214" s="188" t="s">
        <v>53</v>
      </c>
      <c r="H214" s="74" t="s">
        <v>505</v>
      </c>
      <c r="I214" s="75" t="s">
        <v>22</v>
      </c>
      <c r="J214" s="76">
        <v>0.7</v>
      </c>
      <c r="K214" s="101" t="s">
        <v>54</v>
      </c>
      <c r="L214" s="96" t="s">
        <v>55</v>
      </c>
      <c r="M214" s="101" t="s">
        <v>56</v>
      </c>
      <c r="N214" s="76">
        <v>0.95</v>
      </c>
      <c r="O214" s="76">
        <v>0.2</v>
      </c>
      <c r="P214" s="76"/>
      <c r="Q214" s="76">
        <f t="shared" si="11"/>
        <v>0</v>
      </c>
      <c r="R214" s="80">
        <f t="shared" si="12"/>
        <v>0</v>
      </c>
      <c r="S214" s="76" t="s">
        <v>23</v>
      </c>
      <c r="T214" s="194">
        <f>SUM(R214:R222)%</f>
        <v>0</v>
      </c>
    </row>
    <row r="215" spans="1:20" ht="21.6" x14ac:dyDescent="0.3">
      <c r="A215" s="139">
        <v>72</v>
      </c>
      <c r="B215" s="42" t="s">
        <v>20</v>
      </c>
      <c r="C215" s="43" t="s">
        <v>267</v>
      </c>
      <c r="D215" s="44">
        <v>6364</v>
      </c>
      <c r="E215" s="44" t="s">
        <v>103</v>
      </c>
      <c r="F215" s="45" t="s">
        <v>145</v>
      </c>
      <c r="G215" s="207" t="s">
        <v>53</v>
      </c>
      <c r="H215" s="45" t="s">
        <v>505</v>
      </c>
      <c r="I215" s="7" t="s">
        <v>22</v>
      </c>
      <c r="J215" s="3">
        <v>0.7</v>
      </c>
      <c r="K215" s="1" t="s">
        <v>57</v>
      </c>
      <c r="L215" s="2" t="s">
        <v>58</v>
      </c>
      <c r="M215" s="1" t="s">
        <v>59</v>
      </c>
      <c r="N215" s="3">
        <v>0.95</v>
      </c>
      <c r="O215" s="3">
        <v>0.2</v>
      </c>
      <c r="P215" s="3"/>
      <c r="Q215" s="3">
        <f t="shared" si="11"/>
        <v>0</v>
      </c>
      <c r="R215" s="4">
        <f t="shared" si="12"/>
        <v>0</v>
      </c>
      <c r="S215" s="3" t="s">
        <v>23</v>
      </c>
      <c r="T215" s="195"/>
    </row>
    <row r="216" spans="1:20" ht="21.6" x14ac:dyDescent="0.3">
      <c r="A216" s="139">
        <v>73</v>
      </c>
      <c r="B216" s="42" t="s">
        <v>20</v>
      </c>
      <c r="C216" s="43" t="s">
        <v>267</v>
      </c>
      <c r="D216" s="44">
        <v>6364</v>
      </c>
      <c r="E216" s="44" t="s">
        <v>103</v>
      </c>
      <c r="F216" s="45" t="s">
        <v>145</v>
      </c>
      <c r="G216" s="207" t="s">
        <v>53</v>
      </c>
      <c r="H216" s="45" t="s">
        <v>505</v>
      </c>
      <c r="I216" s="7" t="s">
        <v>22</v>
      </c>
      <c r="J216" s="3">
        <v>0.7</v>
      </c>
      <c r="K216" s="1" t="s">
        <v>79</v>
      </c>
      <c r="L216" s="8" t="s">
        <v>80</v>
      </c>
      <c r="M216" s="1" t="s">
        <v>81</v>
      </c>
      <c r="N216" s="10">
        <v>1</v>
      </c>
      <c r="O216" s="3">
        <v>0.2</v>
      </c>
      <c r="P216" s="3"/>
      <c r="Q216" s="3">
        <f t="shared" si="11"/>
        <v>0</v>
      </c>
      <c r="R216" s="4">
        <f t="shared" si="12"/>
        <v>0</v>
      </c>
      <c r="S216" s="3" t="s">
        <v>23</v>
      </c>
      <c r="T216" s="195"/>
    </row>
    <row r="217" spans="1:20" ht="21.6" x14ac:dyDescent="0.3">
      <c r="A217" s="139">
        <v>74</v>
      </c>
      <c r="B217" s="42" t="s">
        <v>20</v>
      </c>
      <c r="C217" s="43" t="s">
        <v>267</v>
      </c>
      <c r="D217" s="44">
        <v>6364</v>
      </c>
      <c r="E217" s="44" t="s">
        <v>103</v>
      </c>
      <c r="F217" s="45" t="s">
        <v>145</v>
      </c>
      <c r="G217" s="207" t="s">
        <v>53</v>
      </c>
      <c r="H217" s="45" t="s">
        <v>505</v>
      </c>
      <c r="I217" s="47" t="s">
        <v>22</v>
      </c>
      <c r="J217" s="3">
        <v>0.7</v>
      </c>
      <c r="K217" s="1" t="s">
        <v>72</v>
      </c>
      <c r="L217" s="2" t="s">
        <v>73</v>
      </c>
      <c r="M217" s="1" t="s">
        <v>74</v>
      </c>
      <c r="N217" s="10">
        <v>0.9</v>
      </c>
      <c r="O217" s="3">
        <v>0.25</v>
      </c>
      <c r="P217" s="3"/>
      <c r="Q217" s="3">
        <f t="shared" si="11"/>
        <v>0</v>
      </c>
      <c r="R217" s="48">
        <f t="shared" si="12"/>
        <v>0</v>
      </c>
      <c r="S217" s="10" t="s">
        <v>23</v>
      </c>
      <c r="T217" s="193"/>
    </row>
    <row r="218" spans="1:20" ht="21.6" x14ac:dyDescent="0.3">
      <c r="A218" s="139">
        <v>75</v>
      </c>
      <c r="B218" s="42" t="s">
        <v>20</v>
      </c>
      <c r="C218" s="43" t="s">
        <v>267</v>
      </c>
      <c r="D218" s="44">
        <v>6364</v>
      </c>
      <c r="E218" s="44" t="s">
        <v>103</v>
      </c>
      <c r="F218" s="45" t="s">
        <v>145</v>
      </c>
      <c r="G218" s="207" t="s">
        <v>53</v>
      </c>
      <c r="H218" s="45" t="s">
        <v>505</v>
      </c>
      <c r="I218" s="47" t="s">
        <v>22</v>
      </c>
      <c r="J218" s="3">
        <v>0.7</v>
      </c>
      <c r="K218" s="1" t="s">
        <v>63</v>
      </c>
      <c r="L218" s="2" t="s">
        <v>64</v>
      </c>
      <c r="M218" s="1" t="s">
        <v>65</v>
      </c>
      <c r="N218" s="3">
        <v>1</v>
      </c>
      <c r="O218" s="3">
        <v>0.15</v>
      </c>
      <c r="P218" s="3"/>
      <c r="Q218" s="3">
        <f t="shared" si="11"/>
        <v>0</v>
      </c>
      <c r="R218" s="48">
        <f t="shared" si="12"/>
        <v>0</v>
      </c>
      <c r="S218" s="10" t="s">
        <v>23</v>
      </c>
      <c r="T218" s="193"/>
    </row>
    <row r="219" spans="1:20" ht="21.6" x14ac:dyDescent="0.3">
      <c r="A219" s="140">
        <v>76</v>
      </c>
      <c r="B219" s="33" t="s">
        <v>20</v>
      </c>
      <c r="C219" s="34" t="s">
        <v>267</v>
      </c>
      <c r="D219" s="35">
        <v>6364</v>
      </c>
      <c r="E219" s="35" t="s">
        <v>103</v>
      </c>
      <c r="F219" s="36" t="s">
        <v>145</v>
      </c>
      <c r="G219" s="208" t="s">
        <v>53</v>
      </c>
      <c r="H219" s="36" t="s">
        <v>505</v>
      </c>
      <c r="I219" s="37" t="s">
        <v>26</v>
      </c>
      <c r="J219" s="14">
        <v>0.3</v>
      </c>
      <c r="K219" s="15" t="s">
        <v>60</v>
      </c>
      <c r="L219" s="16" t="s">
        <v>61</v>
      </c>
      <c r="M219" s="15" t="s">
        <v>62</v>
      </c>
      <c r="N219" s="17">
        <v>1</v>
      </c>
      <c r="O219" s="14">
        <v>0.2</v>
      </c>
      <c r="P219" s="14"/>
      <c r="Q219" s="14">
        <f t="shared" si="11"/>
        <v>0</v>
      </c>
      <c r="R219" s="18">
        <f t="shared" si="12"/>
        <v>0</v>
      </c>
      <c r="S219" s="17" t="s">
        <v>23</v>
      </c>
      <c r="T219" s="146"/>
    </row>
    <row r="220" spans="1:20" ht="21.6" x14ac:dyDescent="0.3">
      <c r="A220" s="140">
        <v>77</v>
      </c>
      <c r="B220" s="33" t="s">
        <v>20</v>
      </c>
      <c r="C220" s="34" t="s">
        <v>267</v>
      </c>
      <c r="D220" s="35">
        <v>6364</v>
      </c>
      <c r="E220" s="35" t="s">
        <v>103</v>
      </c>
      <c r="F220" s="36" t="s">
        <v>145</v>
      </c>
      <c r="G220" s="208" t="s">
        <v>53</v>
      </c>
      <c r="H220" s="36" t="s">
        <v>505</v>
      </c>
      <c r="I220" s="37" t="s">
        <v>26</v>
      </c>
      <c r="J220" s="14">
        <v>0.3</v>
      </c>
      <c r="K220" s="15" t="s">
        <v>66</v>
      </c>
      <c r="L220" s="16" t="s">
        <v>67</v>
      </c>
      <c r="M220" s="15" t="s">
        <v>68</v>
      </c>
      <c r="N220" s="17">
        <v>0.95</v>
      </c>
      <c r="O220" s="14">
        <v>0.2</v>
      </c>
      <c r="P220" s="14"/>
      <c r="Q220" s="14">
        <f t="shared" si="11"/>
        <v>0</v>
      </c>
      <c r="R220" s="18">
        <f t="shared" si="12"/>
        <v>0</v>
      </c>
      <c r="S220" s="17" t="s">
        <v>23</v>
      </c>
      <c r="T220" s="146"/>
    </row>
    <row r="221" spans="1:20" ht="21.6" x14ac:dyDescent="0.3">
      <c r="A221" s="140">
        <v>78</v>
      </c>
      <c r="B221" s="33" t="s">
        <v>20</v>
      </c>
      <c r="C221" s="34" t="s">
        <v>267</v>
      </c>
      <c r="D221" s="35">
        <v>6364</v>
      </c>
      <c r="E221" s="35" t="s">
        <v>103</v>
      </c>
      <c r="F221" s="36" t="s">
        <v>145</v>
      </c>
      <c r="G221" s="208" t="s">
        <v>53</v>
      </c>
      <c r="H221" s="36" t="s">
        <v>505</v>
      </c>
      <c r="I221" s="37" t="s">
        <v>26</v>
      </c>
      <c r="J221" s="14">
        <v>0.3</v>
      </c>
      <c r="K221" s="15" t="s">
        <v>69</v>
      </c>
      <c r="L221" s="16" t="s">
        <v>25</v>
      </c>
      <c r="M221" s="15" t="s">
        <v>70</v>
      </c>
      <c r="N221" s="17">
        <v>1</v>
      </c>
      <c r="O221" s="14">
        <v>0.4</v>
      </c>
      <c r="P221" s="14"/>
      <c r="Q221" s="14">
        <f t="shared" si="11"/>
        <v>0</v>
      </c>
      <c r="R221" s="18">
        <f t="shared" si="12"/>
        <v>0</v>
      </c>
      <c r="S221" s="17" t="s">
        <v>23</v>
      </c>
      <c r="T221" s="146"/>
    </row>
    <row r="222" spans="1:20" ht="22.2" thickBot="1" x14ac:dyDescent="0.35">
      <c r="A222" s="142">
        <v>79</v>
      </c>
      <c r="B222" s="81" t="s">
        <v>20</v>
      </c>
      <c r="C222" s="82" t="s">
        <v>267</v>
      </c>
      <c r="D222" s="83">
        <v>6364</v>
      </c>
      <c r="E222" s="83" t="s">
        <v>103</v>
      </c>
      <c r="F222" s="84" t="s">
        <v>145</v>
      </c>
      <c r="G222" s="209" t="s">
        <v>53</v>
      </c>
      <c r="H222" s="84" t="s">
        <v>505</v>
      </c>
      <c r="I222" s="85" t="s">
        <v>26</v>
      </c>
      <c r="J222" s="86">
        <v>0.3</v>
      </c>
      <c r="K222" s="102" t="s">
        <v>47</v>
      </c>
      <c r="L222" s="103" t="s">
        <v>27</v>
      </c>
      <c r="M222" s="102" t="s">
        <v>71</v>
      </c>
      <c r="N222" s="91">
        <v>1</v>
      </c>
      <c r="O222" s="86">
        <v>0.2</v>
      </c>
      <c r="P222" s="86"/>
      <c r="Q222" s="86">
        <f t="shared" si="11"/>
        <v>0</v>
      </c>
      <c r="R222" s="104">
        <f t="shared" si="12"/>
        <v>0</v>
      </c>
      <c r="S222" s="91" t="s">
        <v>23</v>
      </c>
      <c r="T222" s="147"/>
    </row>
    <row r="223" spans="1:20" ht="21.6" x14ac:dyDescent="0.3">
      <c r="A223" s="138">
        <v>80</v>
      </c>
      <c r="B223" s="71" t="s">
        <v>20</v>
      </c>
      <c r="C223" s="72" t="s">
        <v>267</v>
      </c>
      <c r="D223" s="73">
        <v>6373</v>
      </c>
      <c r="E223" s="73" t="s">
        <v>104</v>
      </c>
      <c r="F223" s="74" t="s">
        <v>145</v>
      </c>
      <c r="G223" s="188" t="s">
        <v>53</v>
      </c>
      <c r="H223" s="74" t="s">
        <v>505</v>
      </c>
      <c r="I223" s="75" t="s">
        <v>22</v>
      </c>
      <c r="J223" s="76">
        <v>1</v>
      </c>
      <c r="K223" s="101" t="s">
        <v>105</v>
      </c>
      <c r="L223" s="105" t="s">
        <v>106</v>
      </c>
      <c r="M223" s="101" t="s">
        <v>107</v>
      </c>
      <c r="N223" s="76">
        <v>1</v>
      </c>
      <c r="O223" s="76">
        <v>0.2</v>
      </c>
      <c r="P223" s="76"/>
      <c r="Q223" s="76">
        <f t="shared" si="11"/>
        <v>0</v>
      </c>
      <c r="R223" s="80">
        <f t="shared" si="12"/>
        <v>0</v>
      </c>
      <c r="S223" s="76" t="s">
        <v>23</v>
      </c>
      <c r="T223" s="194">
        <f>SUM(R223:R228)%</f>
        <v>0</v>
      </c>
    </row>
    <row r="224" spans="1:20" ht="21.6" x14ac:dyDescent="0.3">
      <c r="A224" s="139">
        <v>81</v>
      </c>
      <c r="B224" s="42" t="s">
        <v>20</v>
      </c>
      <c r="C224" s="43" t="s">
        <v>267</v>
      </c>
      <c r="D224" s="44">
        <v>6373</v>
      </c>
      <c r="E224" s="44" t="s">
        <v>104</v>
      </c>
      <c r="F224" s="45" t="s">
        <v>145</v>
      </c>
      <c r="G224" s="207" t="s">
        <v>53</v>
      </c>
      <c r="H224" s="45" t="s">
        <v>505</v>
      </c>
      <c r="I224" s="7" t="s">
        <v>22</v>
      </c>
      <c r="J224" s="3">
        <v>1</v>
      </c>
      <c r="K224" s="1" t="s">
        <v>108</v>
      </c>
      <c r="L224" s="8" t="s">
        <v>109</v>
      </c>
      <c r="M224" s="1" t="s">
        <v>110</v>
      </c>
      <c r="N224" s="5">
        <v>12</v>
      </c>
      <c r="O224" s="3">
        <v>0.2</v>
      </c>
      <c r="P224" s="5"/>
      <c r="Q224" s="3">
        <f t="shared" si="11"/>
        <v>0</v>
      </c>
      <c r="R224" s="4">
        <f t="shared" si="12"/>
        <v>0</v>
      </c>
      <c r="S224" s="3" t="s">
        <v>24</v>
      </c>
      <c r="T224" s="195"/>
    </row>
    <row r="225" spans="1:20" ht="21.6" x14ac:dyDescent="0.3">
      <c r="A225" s="139">
        <v>82</v>
      </c>
      <c r="B225" s="42" t="s">
        <v>20</v>
      </c>
      <c r="C225" s="43" t="s">
        <v>267</v>
      </c>
      <c r="D225" s="44">
        <v>6373</v>
      </c>
      <c r="E225" s="44" t="s">
        <v>104</v>
      </c>
      <c r="F225" s="45" t="s">
        <v>145</v>
      </c>
      <c r="G225" s="207" t="s">
        <v>53</v>
      </c>
      <c r="H225" s="45" t="s">
        <v>505</v>
      </c>
      <c r="I225" s="7" t="s">
        <v>22</v>
      </c>
      <c r="J225" s="3">
        <v>1</v>
      </c>
      <c r="K225" s="1" t="s">
        <v>111</v>
      </c>
      <c r="L225" s="8" t="s">
        <v>112</v>
      </c>
      <c r="M225" s="1" t="s">
        <v>113</v>
      </c>
      <c r="N225" s="3">
        <v>0.95</v>
      </c>
      <c r="O225" s="3">
        <v>0.15</v>
      </c>
      <c r="P225" s="6"/>
      <c r="Q225" s="3">
        <f t="shared" si="11"/>
        <v>0</v>
      </c>
      <c r="R225" s="4">
        <f t="shared" si="12"/>
        <v>0</v>
      </c>
      <c r="S225" s="3" t="s">
        <v>23</v>
      </c>
      <c r="T225" s="195"/>
    </row>
    <row r="226" spans="1:20" ht="21.6" x14ac:dyDescent="0.3">
      <c r="A226" s="139">
        <v>83</v>
      </c>
      <c r="B226" s="42" t="s">
        <v>20</v>
      </c>
      <c r="C226" s="43" t="s">
        <v>267</v>
      </c>
      <c r="D226" s="44">
        <v>6373</v>
      </c>
      <c r="E226" s="44" t="s">
        <v>104</v>
      </c>
      <c r="F226" s="45" t="s">
        <v>145</v>
      </c>
      <c r="G226" s="207" t="s">
        <v>53</v>
      </c>
      <c r="H226" s="45" t="s">
        <v>505</v>
      </c>
      <c r="I226" s="7" t="s">
        <v>22</v>
      </c>
      <c r="J226" s="3">
        <v>1</v>
      </c>
      <c r="K226" s="1" t="s">
        <v>114</v>
      </c>
      <c r="L226" s="8" t="s">
        <v>115</v>
      </c>
      <c r="M226" s="1" t="s">
        <v>116</v>
      </c>
      <c r="N226" s="6">
        <v>0.95</v>
      </c>
      <c r="O226" s="3">
        <v>0.2</v>
      </c>
      <c r="P226" s="11"/>
      <c r="Q226" s="3">
        <f t="shared" si="11"/>
        <v>0</v>
      </c>
      <c r="R226" s="4">
        <f t="shared" si="12"/>
        <v>0</v>
      </c>
      <c r="S226" s="3" t="s">
        <v>23</v>
      </c>
      <c r="T226" s="195"/>
    </row>
    <row r="227" spans="1:20" ht="21.6" x14ac:dyDescent="0.3">
      <c r="A227" s="139">
        <v>84</v>
      </c>
      <c r="B227" s="42" t="s">
        <v>20</v>
      </c>
      <c r="C227" s="43" t="s">
        <v>267</v>
      </c>
      <c r="D227" s="44">
        <v>6373</v>
      </c>
      <c r="E227" s="44" t="s">
        <v>104</v>
      </c>
      <c r="F227" s="45" t="s">
        <v>145</v>
      </c>
      <c r="G227" s="207" t="s">
        <v>53</v>
      </c>
      <c r="H227" s="45" t="s">
        <v>505</v>
      </c>
      <c r="I227" s="7" t="s">
        <v>22</v>
      </c>
      <c r="J227" s="3">
        <v>1</v>
      </c>
      <c r="K227" s="1" t="s">
        <v>117</v>
      </c>
      <c r="L227" s="8" t="s">
        <v>80</v>
      </c>
      <c r="M227" s="1" t="s">
        <v>81</v>
      </c>
      <c r="N227" s="10">
        <v>0.9</v>
      </c>
      <c r="O227" s="3">
        <v>0.15</v>
      </c>
      <c r="P227" s="3"/>
      <c r="Q227" s="3">
        <f t="shared" si="11"/>
        <v>0</v>
      </c>
      <c r="R227" s="4">
        <f t="shared" si="12"/>
        <v>0</v>
      </c>
      <c r="S227" s="3" t="s">
        <v>23</v>
      </c>
      <c r="T227" s="195"/>
    </row>
    <row r="228" spans="1:20" ht="22.2" thickBot="1" x14ac:dyDescent="0.35">
      <c r="A228" s="143">
        <v>85</v>
      </c>
      <c r="B228" s="58" t="s">
        <v>20</v>
      </c>
      <c r="C228" s="59" t="s">
        <v>267</v>
      </c>
      <c r="D228" s="106">
        <v>6373</v>
      </c>
      <c r="E228" s="106" t="s">
        <v>104</v>
      </c>
      <c r="F228" s="61" t="s">
        <v>145</v>
      </c>
      <c r="G228" s="211" t="s">
        <v>53</v>
      </c>
      <c r="H228" s="61" t="s">
        <v>505</v>
      </c>
      <c r="I228" s="107" t="s">
        <v>22</v>
      </c>
      <c r="J228" s="62">
        <v>1</v>
      </c>
      <c r="K228" s="109" t="s">
        <v>118</v>
      </c>
      <c r="L228" s="108" t="s">
        <v>119</v>
      </c>
      <c r="M228" s="109" t="s">
        <v>120</v>
      </c>
      <c r="N228" s="62">
        <v>0.05</v>
      </c>
      <c r="O228" s="63">
        <v>0.1</v>
      </c>
      <c r="P228" s="62"/>
      <c r="Q228" s="62">
        <f t="shared" si="11"/>
        <v>0</v>
      </c>
      <c r="R228" s="110">
        <f t="shared" si="12"/>
        <v>0</v>
      </c>
      <c r="S228" s="63" t="s">
        <v>24</v>
      </c>
      <c r="T228" s="196"/>
    </row>
    <row r="229" spans="1:20" ht="21.6" x14ac:dyDescent="0.3">
      <c r="A229" s="138">
        <v>2070</v>
      </c>
      <c r="B229" s="71" t="s">
        <v>20</v>
      </c>
      <c r="C229" s="72" t="s">
        <v>267</v>
      </c>
      <c r="D229" s="112" t="s">
        <v>121</v>
      </c>
      <c r="E229" s="71" t="s">
        <v>122</v>
      </c>
      <c r="F229" s="74" t="s">
        <v>123</v>
      </c>
      <c r="G229" s="188" t="s">
        <v>28</v>
      </c>
      <c r="H229" s="74" t="s">
        <v>385</v>
      </c>
      <c r="I229" s="75" t="s">
        <v>22</v>
      </c>
      <c r="J229" s="76">
        <v>0.7</v>
      </c>
      <c r="K229" s="101" t="s">
        <v>513</v>
      </c>
      <c r="L229" s="105" t="s">
        <v>511</v>
      </c>
      <c r="M229" s="101" t="s">
        <v>411</v>
      </c>
      <c r="N229" s="76">
        <v>0.95</v>
      </c>
      <c r="O229" s="76">
        <v>0.15</v>
      </c>
      <c r="P229" s="76"/>
      <c r="Q229" s="76">
        <f t="shared" si="11"/>
        <v>0</v>
      </c>
      <c r="R229" s="80">
        <f t="shared" si="12"/>
        <v>0</v>
      </c>
      <c r="S229" s="76" t="s">
        <v>23</v>
      </c>
      <c r="T229" s="194">
        <f>SUM(R229:R236)%</f>
        <v>0</v>
      </c>
    </row>
    <row r="230" spans="1:20" ht="21.6" x14ac:dyDescent="0.3">
      <c r="A230" s="139">
        <v>2072</v>
      </c>
      <c r="B230" s="42" t="s">
        <v>20</v>
      </c>
      <c r="C230" s="43" t="s">
        <v>267</v>
      </c>
      <c r="D230" s="50" t="s">
        <v>121</v>
      </c>
      <c r="E230" s="42" t="s">
        <v>122</v>
      </c>
      <c r="F230" s="45" t="s">
        <v>123</v>
      </c>
      <c r="G230" s="207" t="s">
        <v>28</v>
      </c>
      <c r="H230" s="45" t="s">
        <v>385</v>
      </c>
      <c r="I230" s="7" t="s">
        <v>22</v>
      </c>
      <c r="J230" s="3">
        <v>0.7</v>
      </c>
      <c r="K230" s="1" t="s">
        <v>124</v>
      </c>
      <c r="L230" s="8" t="s">
        <v>125</v>
      </c>
      <c r="M230" s="7" t="s">
        <v>126</v>
      </c>
      <c r="N230" s="3">
        <v>0.95</v>
      </c>
      <c r="O230" s="3">
        <v>0.15</v>
      </c>
      <c r="P230" s="6"/>
      <c r="Q230" s="3">
        <f t="shared" si="11"/>
        <v>0</v>
      </c>
      <c r="R230" s="4">
        <f t="shared" si="12"/>
        <v>0</v>
      </c>
      <c r="S230" s="3" t="s">
        <v>23</v>
      </c>
      <c r="T230" s="195"/>
    </row>
    <row r="231" spans="1:20" ht="21.6" x14ac:dyDescent="0.3">
      <c r="A231" s="139">
        <v>2073</v>
      </c>
      <c r="B231" s="42" t="s">
        <v>20</v>
      </c>
      <c r="C231" s="43" t="s">
        <v>267</v>
      </c>
      <c r="D231" s="50" t="s">
        <v>121</v>
      </c>
      <c r="E231" s="42" t="s">
        <v>122</v>
      </c>
      <c r="F231" s="45" t="s">
        <v>123</v>
      </c>
      <c r="G231" s="207" t="s">
        <v>28</v>
      </c>
      <c r="H231" s="45" t="s">
        <v>385</v>
      </c>
      <c r="I231" s="7" t="s">
        <v>22</v>
      </c>
      <c r="J231" s="3">
        <v>0.7</v>
      </c>
      <c r="K231" s="1" t="s">
        <v>51</v>
      </c>
      <c r="L231" s="8" t="s">
        <v>127</v>
      </c>
      <c r="M231" s="7" t="s">
        <v>128</v>
      </c>
      <c r="N231" s="6">
        <v>0.05</v>
      </c>
      <c r="O231" s="3">
        <v>0.1</v>
      </c>
      <c r="P231" s="11"/>
      <c r="Q231" s="3">
        <f t="shared" si="11"/>
        <v>0</v>
      </c>
      <c r="R231" s="4">
        <f>IF(AND(Q231&gt;=60%,Q231&lt;100%),Q231*((O231*J231)),IF(Q231=100%,((O231*J231)*Q231)*100%,IF(Q231&gt;100%,((J231*O231)*100%)*100%,0)))*100</f>
        <v>0</v>
      </c>
      <c r="S231" s="3" t="s">
        <v>24</v>
      </c>
      <c r="T231" s="195"/>
    </row>
    <row r="232" spans="1:20" ht="21.6" x14ac:dyDescent="0.3">
      <c r="A232" s="139">
        <v>2074</v>
      </c>
      <c r="B232" s="42" t="s">
        <v>20</v>
      </c>
      <c r="C232" s="43" t="s">
        <v>267</v>
      </c>
      <c r="D232" s="50" t="s">
        <v>121</v>
      </c>
      <c r="E232" s="42" t="s">
        <v>122</v>
      </c>
      <c r="F232" s="45" t="s">
        <v>123</v>
      </c>
      <c r="G232" s="207" t="s">
        <v>28</v>
      </c>
      <c r="H232" s="45" t="s">
        <v>385</v>
      </c>
      <c r="I232" s="7" t="s">
        <v>22</v>
      </c>
      <c r="J232" s="3">
        <v>0.7</v>
      </c>
      <c r="K232" s="1" t="s">
        <v>305</v>
      </c>
      <c r="L232" s="8" t="s">
        <v>257</v>
      </c>
      <c r="M232" s="13" t="s">
        <v>306</v>
      </c>
      <c r="N232" s="3">
        <v>0.95</v>
      </c>
      <c r="O232" s="3">
        <v>0.1</v>
      </c>
      <c r="P232" s="3"/>
      <c r="Q232" s="3">
        <f t="shared" si="11"/>
        <v>0</v>
      </c>
      <c r="R232" s="4">
        <f t="shared" si="12"/>
        <v>0</v>
      </c>
      <c r="S232" s="3" t="s">
        <v>23</v>
      </c>
      <c r="T232" s="195"/>
    </row>
    <row r="233" spans="1:20" ht="21.6" x14ac:dyDescent="0.3">
      <c r="A233" s="139">
        <v>2075</v>
      </c>
      <c r="B233" s="42" t="s">
        <v>20</v>
      </c>
      <c r="C233" s="43" t="s">
        <v>267</v>
      </c>
      <c r="D233" s="50" t="s">
        <v>121</v>
      </c>
      <c r="E233" s="42" t="s">
        <v>122</v>
      </c>
      <c r="F233" s="45" t="s">
        <v>123</v>
      </c>
      <c r="G233" s="207" t="s">
        <v>28</v>
      </c>
      <c r="H233" s="45" t="s">
        <v>385</v>
      </c>
      <c r="I233" s="47" t="s">
        <v>22</v>
      </c>
      <c r="J233" s="3">
        <v>0.7</v>
      </c>
      <c r="K233" s="49" t="s">
        <v>129</v>
      </c>
      <c r="L233" s="30" t="s">
        <v>130</v>
      </c>
      <c r="M233" s="47" t="s">
        <v>131</v>
      </c>
      <c r="N233" s="3">
        <v>0.9</v>
      </c>
      <c r="O233" s="10">
        <v>0.2</v>
      </c>
      <c r="P233" s="3"/>
      <c r="Q233" s="3">
        <f t="shared" si="11"/>
        <v>0</v>
      </c>
      <c r="R233" s="48">
        <f t="shared" si="12"/>
        <v>0</v>
      </c>
      <c r="S233" s="10" t="s">
        <v>23</v>
      </c>
      <c r="T233" s="193"/>
    </row>
    <row r="234" spans="1:20" ht="21.6" x14ac:dyDescent="0.3">
      <c r="A234" s="139">
        <v>2076</v>
      </c>
      <c r="B234" s="42" t="s">
        <v>20</v>
      </c>
      <c r="C234" s="43" t="s">
        <v>267</v>
      </c>
      <c r="D234" s="50" t="s">
        <v>121</v>
      </c>
      <c r="E234" s="42" t="s">
        <v>122</v>
      </c>
      <c r="F234" s="45" t="s">
        <v>123</v>
      </c>
      <c r="G234" s="207" t="s">
        <v>28</v>
      </c>
      <c r="H234" s="45" t="s">
        <v>385</v>
      </c>
      <c r="I234" s="47" t="s">
        <v>22</v>
      </c>
      <c r="J234" s="3">
        <v>0.7</v>
      </c>
      <c r="K234" s="49" t="s">
        <v>132</v>
      </c>
      <c r="L234" s="30" t="s">
        <v>133</v>
      </c>
      <c r="M234" s="47" t="s">
        <v>134</v>
      </c>
      <c r="N234" s="3">
        <v>0</v>
      </c>
      <c r="O234" s="10">
        <v>0.1</v>
      </c>
      <c r="P234" s="3"/>
      <c r="Q234" s="3">
        <f t="shared" si="11"/>
        <v>0</v>
      </c>
      <c r="R234" s="48">
        <f t="shared" si="12"/>
        <v>0</v>
      </c>
      <c r="S234" s="10" t="s">
        <v>24</v>
      </c>
      <c r="T234" s="193"/>
    </row>
    <row r="235" spans="1:20" ht="21.6" x14ac:dyDescent="0.3">
      <c r="A235" s="139">
        <v>2077</v>
      </c>
      <c r="B235" s="42" t="s">
        <v>20</v>
      </c>
      <c r="C235" s="43" t="s">
        <v>267</v>
      </c>
      <c r="D235" s="50" t="s">
        <v>121</v>
      </c>
      <c r="E235" s="42" t="s">
        <v>122</v>
      </c>
      <c r="F235" s="45" t="s">
        <v>123</v>
      </c>
      <c r="G235" s="207" t="s">
        <v>28</v>
      </c>
      <c r="H235" s="45" t="s">
        <v>385</v>
      </c>
      <c r="I235" s="47" t="s">
        <v>22</v>
      </c>
      <c r="J235" s="3">
        <v>0.7</v>
      </c>
      <c r="K235" s="49" t="s">
        <v>135</v>
      </c>
      <c r="L235" s="30" t="s">
        <v>136</v>
      </c>
      <c r="M235" s="49" t="s">
        <v>137</v>
      </c>
      <c r="N235" s="3">
        <v>0.9</v>
      </c>
      <c r="O235" s="10">
        <v>0.2</v>
      </c>
      <c r="P235" s="51"/>
      <c r="Q235" s="3">
        <f t="shared" si="11"/>
        <v>0</v>
      </c>
      <c r="R235" s="48">
        <f t="shared" si="12"/>
        <v>0</v>
      </c>
      <c r="S235" s="10" t="s">
        <v>23</v>
      </c>
      <c r="T235" s="193"/>
    </row>
    <row r="236" spans="1:20" ht="22.2" thickBot="1" x14ac:dyDescent="0.35">
      <c r="A236" s="142">
        <v>2078</v>
      </c>
      <c r="B236" s="81" t="s">
        <v>20</v>
      </c>
      <c r="C236" s="82" t="s">
        <v>267</v>
      </c>
      <c r="D236" s="113" t="s">
        <v>121</v>
      </c>
      <c r="E236" s="81" t="s">
        <v>122</v>
      </c>
      <c r="F236" s="84" t="s">
        <v>123</v>
      </c>
      <c r="G236" s="209" t="s">
        <v>28</v>
      </c>
      <c r="H236" s="84" t="s">
        <v>385</v>
      </c>
      <c r="I236" s="85" t="s">
        <v>26</v>
      </c>
      <c r="J236" s="86">
        <v>0.3</v>
      </c>
      <c r="K236" s="115" t="s">
        <v>138</v>
      </c>
      <c r="L236" s="114" t="s">
        <v>139</v>
      </c>
      <c r="M236" s="115" t="s">
        <v>140</v>
      </c>
      <c r="N236" s="86">
        <v>1</v>
      </c>
      <c r="O236" s="91">
        <v>1</v>
      </c>
      <c r="P236" s="86"/>
      <c r="Q236" s="86">
        <f t="shared" ref="Q236:Q299" si="13">ROUND(IF(OR(N236="",P236=""),0,IF(AND(N236=0,P236=0),1,IF(S236="+",P236/N236,N236/P236))),2)</f>
        <v>0</v>
      </c>
      <c r="R236" s="104">
        <f t="shared" si="12"/>
        <v>0</v>
      </c>
      <c r="S236" s="91" t="s">
        <v>23</v>
      </c>
      <c r="T236" s="147"/>
    </row>
    <row r="237" spans="1:20" ht="21.6" x14ac:dyDescent="0.3">
      <c r="A237" s="138">
        <v>2070</v>
      </c>
      <c r="B237" s="71" t="s">
        <v>20</v>
      </c>
      <c r="C237" s="72" t="s">
        <v>267</v>
      </c>
      <c r="D237" s="112">
        <v>3752</v>
      </c>
      <c r="E237" s="71" t="s">
        <v>141</v>
      </c>
      <c r="F237" s="74" t="s">
        <v>145</v>
      </c>
      <c r="G237" s="188" t="s">
        <v>28</v>
      </c>
      <c r="H237" s="74" t="s">
        <v>385</v>
      </c>
      <c r="I237" s="75" t="s">
        <v>22</v>
      </c>
      <c r="J237" s="76">
        <v>0.7</v>
      </c>
      <c r="K237" s="101" t="s">
        <v>513</v>
      </c>
      <c r="L237" s="105" t="s">
        <v>511</v>
      </c>
      <c r="M237" s="101" t="s">
        <v>411</v>
      </c>
      <c r="N237" s="76">
        <v>0.95</v>
      </c>
      <c r="O237" s="76">
        <v>0.15</v>
      </c>
      <c r="P237" s="76"/>
      <c r="Q237" s="76">
        <f t="shared" si="13"/>
        <v>0</v>
      </c>
      <c r="R237" s="80">
        <f t="shared" si="12"/>
        <v>0</v>
      </c>
      <c r="S237" s="76" t="s">
        <v>23</v>
      </c>
      <c r="T237" s="194">
        <f>SUM(R237:R244)%</f>
        <v>0</v>
      </c>
    </row>
    <row r="238" spans="1:20" ht="21.6" x14ac:dyDescent="0.3">
      <c r="A238" s="139">
        <v>2072</v>
      </c>
      <c r="B238" s="42" t="s">
        <v>20</v>
      </c>
      <c r="C238" s="43" t="s">
        <v>267</v>
      </c>
      <c r="D238" s="50">
        <v>3752</v>
      </c>
      <c r="E238" s="42" t="s">
        <v>141</v>
      </c>
      <c r="F238" s="45" t="s">
        <v>145</v>
      </c>
      <c r="G238" s="207" t="s">
        <v>28</v>
      </c>
      <c r="H238" s="45" t="s">
        <v>385</v>
      </c>
      <c r="I238" s="7" t="s">
        <v>22</v>
      </c>
      <c r="J238" s="3">
        <v>0.7</v>
      </c>
      <c r="K238" s="1" t="s">
        <v>124</v>
      </c>
      <c r="L238" s="8" t="s">
        <v>125</v>
      </c>
      <c r="M238" s="7" t="s">
        <v>126</v>
      </c>
      <c r="N238" s="3">
        <v>0.95</v>
      </c>
      <c r="O238" s="3">
        <v>0.15</v>
      </c>
      <c r="P238" s="6"/>
      <c r="Q238" s="3">
        <f t="shared" si="13"/>
        <v>0</v>
      </c>
      <c r="R238" s="4">
        <f t="shared" si="12"/>
        <v>0</v>
      </c>
      <c r="S238" s="3" t="s">
        <v>23</v>
      </c>
      <c r="T238" s="195"/>
    </row>
    <row r="239" spans="1:20" ht="21.6" x14ac:dyDescent="0.3">
      <c r="A239" s="139">
        <v>2073</v>
      </c>
      <c r="B239" s="42" t="s">
        <v>20</v>
      </c>
      <c r="C239" s="43" t="s">
        <v>267</v>
      </c>
      <c r="D239" s="50">
        <v>3752</v>
      </c>
      <c r="E239" s="42" t="s">
        <v>141</v>
      </c>
      <c r="F239" s="45" t="s">
        <v>145</v>
      </c>
      <c r="G239" s="207" t="s">
        <v>28</v>
      </c>
      <c r="H239" s="45" t="s">
        <v>385</v>
      </c>
      <c r="I239" s="7" t="s">
        <v>22</v>
      </c>
      <c r="J239" s="3">
        <v>0.7</v>
      </c>
      <c r="K239" s="1" t="s">
        <v>51</v>
      </c>
      <c r="L239" s="8" t="s">
        <v>127</v>
      </c>
      <c r="M239" s="7" t="s">
        <v>128</v>
      </c>
      <c r="N239" s="6">
        <v>0.05</v>
      </c>
      <c r="O239" s="3">
        <v>0.1</v>
      </c>
      <c r="P239" s="11"/>
      <c r="Q239" s="3">
        <f t="shared" si="13"/>
        <v>0</v>
      </c>
      <c r="R239" s="4">
        <f t="shared" si="12"/>
        <v>0</v>
      </c>
      <c r="S239" s="3" t="s">
        <v>24</v>
      </c>
      <c r="T239" s="195"/>
    </row>
    <row r="240" spans="1:20" ht="21.6" x14ac:dyDescent="0.3">
      <c r="A240" s="139">
        <v>2074</v>
      </c>
      <c r="B240" s="42" t="s">
        <v>20</v>
      </c>
      <c r="C240" s="43" t="s">
        <v>267</v>
      </c>
      <c r="D240" s="50">
        <v>3752</v>
      </c>
      <c r="E240" s="42" t="s">
        <v>141</v>
      </c>
      <c r="F240" s="45" t="s">
        <v>145</v>
      </c>
      <c r="G240" s="207" t="s">
        <v>28</v>
      </c>
      <c r="H240" s="45" t="s">
        <v>385</v>
      </c>
      <c r="I240" s="7" t="s">
        <v>22</v>
      </c>
      <c r="J240" s="3">
        <v>0.7</v>
      </c>
      <c r="K240" s="1" t="s">
        <v>305</v>
      </c>
      <c r="L240" s="8" t="s">
        <v>257</v>
      </c>
      <c r="M240" s="13" t="s">
        <v>306</v>
      </c>
      <c r="N240" s="3">
        <v>0.95</v>
      </c>
      <c r="O240" s="3">
        <v>0.1</v>
      </c>
      <c r="P240" s="3"/>
      <c r="Q240" s="3">
        <f t="shared" si="13"/>
        <v>0</v>
      </c>
      <c r="R240" s="4">
        <f t="shared" si="12"/>
        <v>0</v>
      </c>
      <c r="S240" s="3" t="s">
        <v>23</v>
      </c>
      <c r="T240" s="195"/>
    </row>
    <row r="241" spans="1:20" ht="21.6" x14ac:dyDescent="0.3">
      <c r="A241" s="139">
        <v>2075</v>
      </c>
      <c r="B241" s="42" t="s">
        <v>20</v>
      </c>
      <c r="C241" s="43" t="s">
        <v>267</v>
      </c>
      <c r="D241" s="50">
        <v>3752</v>
      </c>
      <c r="E241" s="42" t="s">
        <v>141</v>
      </c>
      <c r="F241" s="45" t="s">
        <v>145</v>
      </c>
      <c r="G241" s="207" t="s">
        <v>28</v>
      </c>
      <c r="H241" s="45" t="s">
        <v>385</v>
      </c>
      <c r="I241" s="47" t="s">
        <v>22</v>
      </c>
      <c r="J241" s="3">
        <v>0.7</v>
      </c>
      <c r="K241" s="49" t="s">
        <v>129</v>
      </c>
      <c r="L241" s="30" t="s">
        <v>130</v>
      </c>
      <c r="M241" s="47" t="s">
        <v>131</v>
      </c>
      <c r="N241" s="3">
        <v>0.9</v>
      </c>
      <c r="O241" s="10">
        <v>0.2</v>
      </c>
      <c r="P241" s="3"/>
      <c r="Q241" s="3">
        <f t="shared" si="13"/>
        <v>0</v>
      </c>
      <c r="R241" s="48">
        <f t="shared" si="12"/>
        <v>0</v>
      </c>
      <c r="S241" s="10" t="s">
        <v>23</v>
      </c>
      <c r="T241" s="193"/>
    </row>
    <row r="242" spans="1:20" ht="21.6" x14ac:dyDescent="0.3">
      <c r="A242" s="139">
        <v>2076</v>
      </c>
      <c r="B242" s="42" t="s">
        <v>20</v>
      </c>
      <c r="C242" s="43" t="s">
        <v>267</v>
      </c>
      <c r="D242" s="50">
        <v>3752</v>
      </c>
      <c r="E242" s="42" t="s">
        <v>141</v>
      </c>
      <c r="F242" s="45" t="s">
        <v>145</v>
      </c>
      <c r="G242" s="207" t="s">
        <v>28</v>
      </c>
      <c r="H242" s="45" t="s">
        <v>385</v>
      </c>
      <c r="I242" s="47" t="s">
        <v>22</v>
      </c>
      <c r="J242" s="3">
        <v>0.7</v>
      </c>
      <c r="K242" s="49" t="s">
        <v>132</v>
      </c>
      <c r="L242" s="30" t="s">
        <v>133</v>
      </c>
      <c r="M242" s="47" t="s">
        <v>134</v>
      </c>
      <c r="N242" s="4">
        <v>0</v>
      </c>
      <c r="O242" s="10">
        <v>0.1</v>
      </c>
      <c r="P242" s="3"/>
      <c r="Q242" s="3">
        <f t="shared" si="13"/>
        <v>0</v>
      </c>
      <c r="R242" s="48">
        <f t="shared" si="12"/>
        <v>0</v>
      </c>
      <c r="S242" s="10" t="s">
        <v>24</v>
      </c>
      <c r="T242" s="193"/>
    </row>
    <row r="243" spans="1:20" ht="21.6" x14ac:dyDescent="0.3">
      <c r="A243" s="139">
        <v>2077</v>
      </c>
      <c r="B243" s="42" t="s">
        <v>20</v>
      </c>
      <c r="C243" s="43" t="s">
        <v>267</v>
      </c>
      <c r="D243" s="50">
        <v>3752</v>
      </c>
      <c r="E243" s="42" t="s">
        <v>141</v>
      </c>
      <c r="F243" s="45" t="s">
        <v>145</v>
      </c>
      <c r="G243" s="207" t="s">
        <v>28</v>
      </c>
      <c r="H243" s="45" t="s">
        <v>385</v>
      </c>
      <c r="I243" s="47" t="s">
        <v>22</v>
      </c>
      <c r="J243" s="3">
        <v>0.7</v>
      </c>
      <c r="K243" s="49" t="s">
        <v>135</v>
      </c>
      <c r="L243" s="30" t="s">
        <v>136</v>
      </c>
      <c r="M243" s="49" t="s">
        <v>137</v>
      </c>
      <c r="N243" s="3">
        <v>0.9</v>
      </c>
      <c r="O243" s="10">
        <v>0.2</v>
      </c>
      <c r="P243" s="51"/>
      <c r="Q243" s="3">
        <f t="shared" si="13"/>
        <v>0</v>
      </c>
      <c r="R243" s="48">
        <f t="shared" si="12"/>
        <v>0</v>
      </c>
      <c r="S243" s="10" t="s">
        <v>23</v>
      </c>
      <c r="T243" s="193"/>
    </row>
    <row r="244" spans="1:20" ht="22.2" thickBot="1" x14ac:dyDescent="0.35">
      <c r="A244" s="142">
        <v>2078</v>
      </c>
      <c r="B244" s="81" t="s">
        <v>20</v>
      </c>
      <c r="C244" s="82" t="s">
        <v>267</v>
      </c>
      <c r="D244" s="113">
        <v>3752</v>
      </c>
      <c r="E244" s="81" t="s">
        <v>141</v>
      </c>
      <c r="F244" s="84" t="s">
        <v>145</v>
      </c>
      <c r="G244" s="209" t="s">
        <v>28</v>
      </c>
      <c r="H244" s="84" t="s">
        <v>385</v>
      </c>
      <c r="I244" s="85" t="s">
        <v>26</v>
      </c>
      <c r="J244" s="86">
        <v>0.3</v>
      </c>
      <c r="K244" s="115" t="s">
        <v>138</v>
      </c>
      <c r="L244" s="114" t="s">
        <v>139</v>
      </c>
      <c r="M244" s="115" t="s">
        <v>140</v>
      </c>
      <c r="N244" s="86">
        <v>1</v>
      </c>
      <c r="O244" s="91">
        <v>1</v>
      </c>
      <c r="P244" s="86"/>
      <c r="Q244" s="86">
        <f t="shared" si="13"/>
        <v>0</v>
      </c>
      <c r="R244" s="104">
        <f t="shared" si="12"/>
        <v>0</v>
      </c>
      <c r="S244" s="91" t="s">
        <v>23</v>
      </c>
      <c r="T244" s="147"/>
    </row>
    <row r="245" spans="1:20" ht="21.6" x14ac:dyDescent="0.3">
      <c r="A245" s="138">
        <v>2070</v>
      </c>
      <c r="B245" s="71" t="s">
        <v>20</v>
      </c>
      <c r="C245" s="72" t="s">
        <v>267</v>
      </c>
      <c r="D245" s="112">
        <v>3838</v>
      </c>
      <c r="E245" s="71" t="s">
        <v>142</v>
      </c>
      <c r="F245" s="74" t="s">
        <v>143</v>
      </c>
      <c r="G245" s="188" t="s">
        <v>28</v>
      </c>
      <c r="H245" s="74" t="s">
        <v>385</v>
      </c>
      <c r="I245" s="75" t="s">
        <v>22</v>
      </c>
      <c r="J245" s="76">
        <v>0.7</v>
      </c>
      <c r="K245" s="101" t="s">
        <v>513</v>
      </c>
      <c r="L245" s="105" t="s">
        <v>511</v>
      </c>
      <c r="M245" s="101" t="s">
        <v>411</v>
      </c>
      <c r="N245" s="76">
        <v>0.95</v>
      </c>
      <c r="O245" s="76">
        <v>0.15</v>
      </c>
      <c r="P245" s="76"/>
      <c r="Q245" s="76">
        <f t="shared" si="13"/>
        <v>0</v>
      </c>
      <c r="R245" s="80">
        <f t="shared" si="12"/>
        <v>0</v>
      </c>
      <c r="S245" s="76" t="s">
        <v>23</v>
      </c>
      <c r="T245" s="194">
        <f>SUM(R245:R252)%</f>
        <v>0</v>
      </c>
    </row>
    <row r="246" spans="1:20" ht="21.6" x14ac:dyDescent="0.3">
      <c r="A246" s="139">
        <v>2072</v>
      </c>
      <c r="B246" s="42" t="s">
        <v>20</v>
      </c>
      <c r="C246" s="43" t="s">
        <v>267</v>
      </c>
      <c r="D246" s="50">
        <v>3838</v>
      </c>
      <c r="E246" s="42" t="s">
        <v>142</v>
      </c>
      <c r="F246" s="45" t="s">
        <v>143</v>
      </c>
      <c r="G246" s="207" t="s">
        <v>28</v>
      </c>
      <c r="H246" s="45" t="s">
        <v>385</v>
      </c>
      <c r="I246" s="7" t="s">
        <v>22</v>
      </c>
      <c r="J246" s="3">
        <v>0.7</v>
      </c>
      <c r="K246" s="1" t="s">
        <v>124</v>
      </c>
      <c r="L246" s="8" t="s">
        <v>125</v>
      </c>
      <c r="M246" s="7" t="s">
        <v>126</v>
      </c>
      <c r="N246" s="3">
        <v>0.95</v>
      </c>
      <c r="O246" s="3">
        <v>0.15</v>
      </c>
      <c r="P246" s="6"/>
      <c r="Q246" s="3">
        <f t="shared" si="13"/>
        <v>0</v>
      </c>
      <c r="R246" s="4">
        <f t="shared" si="12"/>
        <v>0</v>
      </c>
      <c r="S246" s="3" t="s">
        <v>23</v>
      </c>
      <c r="T246" s="195"/>
    </row>
    <row r="247" spans="1:20" ht="21.6" x14ac:dyDescent="0.3">
      <c r="A247" s="139">
        <v>2073</v>
      </c>
      <c r="B247" s="42" t="s">
        <v>20</v>
      </c>
      <c r="C247" s="43" t="s">
        <v>267</v>
      </c>
      <c r="D247" s="50">
        <v>3838</v>
      </c>
      <c r="E247" s="42" t="s">
        <v>142</v>
      </c>
      <c r="F247" s="45" t="s">
        <v>143</v>
      </c>
      <c r="G247" s="207" t="s">
        <v>28</v>
      </c>
      <c r="H247" s="45" t="s">
        <v>385</v>
      </c>
      <c r="I247" s="7" t="s">
        <v>22</v>
      </c>
      <c r="J247" s="3">
        <v>0.7</v>
      </c>
      <c r="K247" s="1" t="s">
        <v>51</v>
      </c>
      <c r="L247" s="8" t="s">
        <v>127</v>
      </c>
      <c r="M247" s="7" t="s">
        <v>128</v>
      </c>
      <c r="N247" s="6">
        <v>0.05</v>
      </c>
      <c r="O247" s="3">
        <v>0.1</v>
      </c>
      <c r="P247" s="11"/>
      <c r="Q247" s="3">
        <f t="shared" si="13"/>
        <v>0</v>
      </c>
      <c r="R247" s="4">
        <f t="shared" si="12"/>
        <v>0</v>
      </c>
      <c r="S247" s="3" t="s">
        <v>24</v>
      </c>
      <c r="T247" s="195"/>
    </row>
    <row r="248" spans="1:20" ht="21.6" x14ac:dyDescent="0.3">
      <c r="A248" s="139">
        <v>2074</v>
      </c>
      <c r="B248" s="42" t="s">
        <v>20</v>
      </c>
      <c r="C248" s="43" t="s">
        <v>267</v>
      </c>
      <c r="D248" s="50">
        <v>3838</v>
      </c>
      <c r="E248" s="42" t="s">
        <v>142</v>
      </c>
      <c r="F248" s="45" t="s">
        <v>143</v>
      </c>
      <c r="G248" s="207" t="s">
        <v>28</v>
      </c>
      <c r="H248" s="45" t="s">
        <v>385</v>
      </c>
      <c r="I248" s="7" t="s">
        <v>22</v>
      </c>
      <c r="J248" s="3">
        <v>0.7</v>
      </c>
      <c r="K248" s="1" t="s">
        <v>305</v>
      </c>
      <c r="L248" s="8" t="s">
        <v>257</v>
      </c>
      <c r="M248" s="13" t="s">
        <v>306</v>
      </c>
      <c r="N248" s="3">
        <v>0.95</v>
      </c>
      <c r="O248" s="3">
        <v>0.1</v>
      </c>
      <c r="P248" s="3"/>
      <c r="Q248" s="3">
        <f t="shared" si="13"/>
        <v>0</v>
      </c>
      <c r="R248" s="4">
        <f t="shared" si="12"/>
        <v>0</v>
      </c>
      <c r="S248" s="3" t="s">
        <v>23</v>
      </c>
      <c r="T248" s="195"/>
    </row>
    <row r="249" spans="1:20" ht="21.6" x14ac:dyDescent="0.3">
      <c r="A249" s="139">
        <v>2075</v>
      </c>
      <c r="B249" s="42" t="s">
        <v>20</v>
      </c>
      <c r="C249" s="43" t="s">
        <v>267</v>
      </c>
      <c r="D249" s="50">
        <v>3838</v>
      </c>
      <c r="E249" s="42" t="s">
        <v>142</v>
      </c>
      <c r="F249" s="45" t="s">
        <v>143</v>
      </c>
      <c r="G249" s="207" t="s">
        <v>28</v>
      </c>
      <c r="H249" s="45" t="s">
        <v>385</v>
      </c>
      <c r="I249" s="47" t="s">
        <v>22</v>
      </c>
      <c r="J249" s="3">
        <v>0.7</v>
      </c>
      <c r="K249" s="49" t="s">
        <v>129</v>
      </c>
      <c r="L249" s="30" t="s">
        <v>130</v>
      </c>
      <c r="M249" s="47" t="s">
        <v>131</v>
      </c>
      <c r="N249" s="3">
        <v>0.9</v>
      </c>
      <c r="O249" s="10">
        <v>0.2</v>
      </c>
      <c r="P249" s="3"/>
      <c r="Q249" s="3">
        <f t="shared" si="13"/>
        <v>0</v>
      </c>
      <c r="R249" s="48">
        <f t="shared" si="12"/>
        <v>0</v>
      </c>
      <c r="S249" s="10" t="s">
        <v>23</v>
      </c>
      <c r="T249" s="193"/>
    </row>
    <row r="250" spans="1:20" ht="21.6" x14ac:dyDescent="0.3">
      <c r="A250" s="139">
        <v>2076</v>
      </c>
      <c r="B250" s="42" t="s">
        <v>20</v>
      </c>
      <c r="C250" s="43" t="s">
        <v>267</v>
      </c>
      <c r="D250" s="50">
        <v>3838</v>
      </c>
      <c r="E250" s="42" t="s">
        <v>142</v>
      </c>
      <c r="F250" s="45" t="s">
        <v>143</v>
      </c>
      <c r="G250" s="207" t="s">
        <v>28</v>
      </c>
      <c r="H250" s="45" t="s">
        <v>385</v>
      </c>
      <c r="I250" s="47" t="s">
        <v>22</v>
      </c>
      <c r="J250" s="3">
        <v>0.7</v>
      </c>
      <c r="K250" s="49" t="s">
        <v>132</v>
      </c>
      <c r="L250" s="30" t="s">
        <v>133</v>
      </c>
      <c r="M250" s="47" t="s">
        <v>134</v>
      </c>
      <c r="N250" s="4">
        <v>0</v>
      </c>
      <c r="O250" s="10">
        <v>0.1</v>
      </c>
      <c r="P250" s="3"/>
      <c r="Q250" s="3">
        <f t="shared" si="13"/>
        <v>0</v>
      </c>
      <c r="R250" s="48">
        <f t="shared" si="12"/>
        <v>0</v>
      </c>
      <c r="S250" s="10" t="s">
        <v>24</v>
      </c>
      <c r="T250" s="193"/>
    </row>
    <row r="251" spans="1:20" ht="21.6" x14ac:dyDescent="0.3">
      <c r="A251" s="139">
        <v>2077</v>
      </c>
      <c r="B251" s="42" t="s">
        <v>20</v>
      </c>
      <c r="C251" s="43" t="s">
        <v>267</v>
      </c>
      <c r="D251" s="50">
        <v>3838</v>
      </c>
      <c r="E251" s="42" t="s">
        <v>142</v>
      </c>
      <c r="F251" s="45" t="s">
        <v>143</v>
      </c>
      <c r="G251" s="207" t="s">
        <v>28</v>
      </c>
      <c r="H251" s="45" t="s">
        <v>385</v>
      </c>
      <c r="I251" s="47" t="s">
        <v>22</v>
      </c>
      <c r="J251" s="3">
        <v>0.7</v>
      </c>
      <c r="K251" s="49" t="s">
        <v>135</v>
      </c>
      <c r="L251" s="30" t="s">
        <v>136</v>
      </c>
      <c r="M251" s="49" t="s">
        <v>137</v>
      </c>
      <c r="N251" s="3">
        <v>0.9</v>
      </c>
      <c r="O251" s="10">
        <v>0.2</v>
      </c>
      <c r="P251" s="51"/>
      <c r="Q251" s="3">
        <f t="shared" si="13"/>
        <v>0</v>
      </c>
      <c r="R251" s="48">
        <f t="shared" si="12"/>
        <v>0</v>
      </c>
      <c r="S251" s="10" t="s">
        <v>23</v>
      </c>
      <c r="T251" s="193"/>
    </row>
    <row r="252" spans="1:20" ht="22.2" thickBot="1" x14ac:dyDescent="0.35">
      <c r="A252" s="142">
        <v>2078</v>
      </c>
      <c r="B252" s="81" t="s">
        <v>20</v>
      </c>
      <c r="C252" s="82" t="s">
        <v>267</v>
      </c>
      <c r="D252" s="113">
        <v>3838</v>
      </c>
      <c r="E252" s="81" t="s">
        <v>142</v>
      </c>
      <c r="F252" s="84" t="s">
        <v>143</v>
      </c>
      <c r="G252" s="209" t="s">
        <v>28</v>
      </c>
      <c r="H252" s="84" t="s">
        <v>385</v>
      </c>
      <c r="I252" s="85" t="s">
        <v>26</v>
      </c>
      <c r="J252" s="86">
        <v>0.3</v>
      </c>
      <c r="K252" s="115" t="s">
        <v>138</v>
      </c>
      <c r="L252" s="114" t="s">
        <v>139</v>
      </c>
      <c r="M252" s="115" t="s">
        <v>140</v>
      </c>
      <c r="N252" s="86">
        <v>1</v>
      </c>
      <c r="O252" s="91">
        <v>1</v>
      </c>
      <c r="P252" s="86"/>
      <c r="Q252" s="86">
        <f t="shared" si="13"/>
        <v>0</v>
      </c>
      <c r="R252" s="104">
        <f t="shared" si="12"/>
        <v>0</v>
      </c>
      <c r="S252" s="91" t="s">
        <v>23</v>
      </c>
      <c r="T252" s="147"/>
    </row>
    <row r="253" spans="1:20" ht="21.6" x14ac:dyDescent="0.3">
      <c r="A253" s="138">
        <v>2070</v>
      </c>
      <c r="B253" s="71" t="s">
        <v>20</v>
      </c>
      <c r="C253" s="72" t="s">
        <v>267</v>
      </c>
      <c r="D253" s="112">
        <v>5318</v>
      </c>
      <c r="E253" s="71" t="s">
        <v>169</v>
      </c>
      <c r="F253" s="74" t="s">
        <v>145</v>
      </c>
      <c r="G253" s="188" t="s">
        <v>28</v>
      </c>
      <c r="H253" s="74" t="s">
        <v>385</v>
      </c>
      <c r="I253" s="75" t="s">
        <v>22</v>
      </c>
      <c r="J253" s="76">
        <v>0.7</v>
      </c>
      <c r="K253" s="101" t="s">
        <v>513</v>
      </c>
      <c r="L253" s="105" t="s">
        <v>511</v>
      </c>
      <c r="M253" s="101" t="s">
        <v>411</v>
      </c>
      <c r="N253" s="76">
        <v>0.95</v>
      </c>
      <c r="O253" s="76">
        <v>0.15</v>
      </c>
      <c r="P253" s="76"/>
      <c r="Q253" s="76">
        <f t="shared" si="13"/>
        <v>0</v>
      </c>
      <c r="R253" s="80">
        <f t="shared" ref="R253:R316" si="14">IF(AND(Q253&gt;=60%,Q253&lt;100%),Q253*((O253*J253)),IF(Q253=100%,((O253*J253)*Q253)*100%,IF(Q253&gt;100%,((J253*O253)*100%)*100%,0)))*100</f>
        <v>0</v>
      </c>
      <c r="S253" s="76" t="s">
        <v>23</v>
      </c>
      <c r="T253" s="194">
        <f>SUM(R253:R260)%</f>
        <v>0</v>
      </c>
    </row>
    <row r="254" spans="1:20" ht="21.6" x14ac:dyDescent="0.3">
      <c r="A254" s="139">
        <v>2072</v>
      </c>
      <c r="B254" s="42" t="s">
        <v>20</v>
      </c>
      <c r="C254" s="43" t="s">
        <v>267</v>
      </c>
      <c r="D254" s="50">
        <v>5318</v>
      </c>
      <c r="E254" s="42" t="s">
        <v>169</v>
      </c>
      <c r="F254" s="45" t="s">
        <v>145</v>
      </c>
      <c r="G254" s="207" t="s">
        <v>28</v>
      </c>
      <c r="H254" s="45" t="s">
        <v>385</v>
      </c>
      <c r="I254" s="7" t="s">
        <v>22</v>
      </c>
      <c r="J254" s="3">
        <v>0.7</v>
      </c>
      <c r="K254" s="1" t="s">
        <v>124</v>
      </c>
      <c r="L254" s="8" t="s">
        <v>125</v>
      </c>
      <c r="M254" s="7" t="s">
        <v>126</v>
      </c>
      <c r="N254" s="3">
        <v>0.95</v>
      </c>
      <c r="O254" s="3">
        <v>0.15</v>
      </c>
      <c r="P254" s="6"/>
      <c r="Q254" s="3">
        <f t="shared" si="13"/>
        <v>0</v>
      </c>
      <c r="R254" s="4">
        <f t="shared" si="14"/>
        <v>0</v>
      </c>
      <c r="S254" s="3" t="s">
        <v>23</v>
      </c>
      <c r="T254" s="195"/>
    </row>
    <row r="255" spans="1:20" ht="21.6" x14ac:dyDescent="0.3">
      <c r="A255" s="139">
        <v>2073</v>
      </c>
      <c r="B255" s="42" t="s">
        <v>20</v>
      </c>
      <c r="C255" s="43" t="s">
        <v>267</v>
      </c>
      <c r="D255" s="50">
        <v>5318</v>
      </c>
      <c r="E255" s="42" t="s">
        <v>169</v>
      </c>
      <c r="F255" s="45" t="s">
        <v>145</v>
      </c>
      <c r="G255" s="207" t="s">
        <v>28</v>
      </c>
      <c r="H255" s="45" t="s">
        <v>385</v>
      </c>
      <c r="I255" s="7" t="s">
        <v>22</v>
      </c>
      <c r="J255" s="3">
        <v>0.7</v>
      </c>
      <c r="K255" s="1" t="s">
        <v>51</v>
      </c>
      <c r="L255" s="8" t="s">
        <v>127</v>
      </c>
      <c r="M255" s="7" t="s">
        <v>128</v>
      </c>
      <c r="N255" s="6">
        <v>0.05</v>
      </c>
      <c r="O255" s="3">
        <v>0.1</v>
      </c>
      <c r="P255" s="11"/>
      <c r="Q255" s="3">
        <f t="shared" si="13"/>
        <v>0</v>
      </c>
      <c r="R255" s="4">
        <f t="shared" si="14"/>
        <v>0</v>
      </c>
      <c r="S255" s="3" t="s">
        <v>24</v>
      </c>
      <c r="T255" s="195"/>
    </row>
    <row r="256" spans="1:20" ht="21.6" x14ac:dyDescent="0.3">
      <c r="A256" s="139">
        <v>2074</v>
      </c>
      <c r="B256" s="42" t="s">
        <v>20</v>
      </c>
      <c r="C256" s="43" t="s">
        <v>267</v>
      </c>
      <c r="D256" s="50">
        <v>5318</v>
      </c>
      <c r="E256" s="42" t="s">
        <v>169</v>
      </c>
      <c r="F256" s="45" t="s">
        <v>145</v>
      </c>
      <c r="G256" s="207" t="s">
        <v>28</v>
      </c>
      <c r="H256" s="45" t="s">
        <v>385</v>
      </c>
      <c r="I256" s="7" t="s">
        <v>22</v>
      </c>
      <c r="J256" s="3">
        <v>0.7</v>
      </c>
      <c r="K256" s="1" t="s">
        <v>305</v>
      </c>
      <c r="L256" s="8" t="s">
        <v>257</v>
      </c>
      <c r="M256" s="13" t="s">
        <v>306</v>
      </c>
      <c r="N256" s="3">
        <v>0.95</v>
      </c>
      <c r="O256" s="3">
        <v>0.1</v>
      </c>
      <c r="P256" s="3"/>
      <c r="Q256" s="3">
        <f t="shared" si="13"/>
        <v>0</v>
      </c>
      <c r="R256" s="4">
        <f t="shared" si="14"/>
        <v>0</v>
      </c>
      <c r="S256" s="3" t="s">
        <v>23</v>
      </c>
      <c r="T256" s="195"/>
    </row>
    <row r="257" spans="1:20" ht="21.6" x14ac:dyDescent="0.3">
      <c r="A257" s="139">
        <v>2075</v>
      </c>
      <c r="B257" s="42" t="s">
        <v>20</v>
      </c>
      <c r="C257" s="43" t="s">
        <v>267</v>
      </c>
      <c r="D257" s="50">
        <v>5318</v>
      </c>
      <c r="E257" s="42" t="s">
        <v>169</v>
      </c>
      <c r="F257" s="45" t="s">
        <v>145</v>
      </c>
      <c r="G257" s="207" t="s">
        <v>28</v>
      </c>
      <c r="H257" s="45" t="s">
        <v>385</v>
      </c>
      <c r="I257" s="47" t="s">
        <v>22</v>
      </c>
      <c r="J257" s="3">
        <v>0.7</v>
      </c>
      <c r="K257" s="49" t="s">
        <v>129</v>
      </c>
      <c r="L257" s="30" t="s">
        <v>130</v>
      </c>
      <c r="M257" s="47" t="s">
        <v>131</v>
      </c>
      <c r="N257" s="3">
        <v>0.9</v>
      </c>
      <c r="O257" s="10">
        <v>0.2</v>
      </c>
      <c r="P257" s="3"/>
      <c r="Q257" s="3">
        <f t="shared" si="13"/>
        <v>0</v>
      </c>
      <c r="R257" s="48">
        <f t="shared" si="14"/>
        <v>0</v>
      </c>
      <c r="S257" s="10" t="s">
        <v>23</v>
      </c>
      <c r="T257" s="193"/>
    </row>
    <row r="258" spans="1:20" ht="21.6" x14ac:dyDescent="0.3">
      <c r="A258" s="139">
        <v>2076</v>
      </c>
      <c r="B258" s="42" t="s">
        <v>20</v>
      </c>
      <c r="C258" s="43" t="s">
        <v>267</v>
      </c>
      <c r="D258" s="50">
        <v>5318</v>
      </c>
      <c r="E258" s="42" t="s">
        <v>169</v>
      </c>
      <c r="F258" s="45" t="s">
        <v>145</v>
      </c>
      <c r="G258" s="207" t="s">
        <v>28</v>
      </c>
      <c r="H258" s="45" t="s">
        <v>385</v>
      </c>
      <c r="I258" s="47" t="s">
        <v>22</v>
      </c>
      <c r="J258" s="3">
        <v>0.7</v>
      </c>
      <c r="K258" s="49" t="s">
        <v>132</v>
      </c>
      <c r="L258" s="30" t="s">
        <v>133</v>
      </c>
      <c r="M258" s="47" t="s">
        <v>134</v>
      </c>
      <c r="N258" s="4">
        <v>0</v>
      </c>
      <c r="O258" s="10">
        <v>0.1</v>
      </c>
      <c r="P258" s="3"/>
      <c r="Q258" s="3">
        <f t="shared" si="13"/>
        <v>0</v>
      </c>
      <c r="R258" s="48">
        <f t="shared" si="14"/>
        <v>0</v>
      </c>
      <c r="S258" s="10" t="s">
        <v>24</v>
      </c>
      <c r="T258" s="193"/>
    </row>
    <row r="259" spans="1:20" ht="21.6" x14ac:dyDescent="0.3">
      <c r="A259" s="139">
        <v>2077</v>
      </c>
      <c r="B259" s="42" t="s">
        <v>20</v>
      </c>
      <c r="C259" s="43" t="s">
        <v>267</v>
      </c>
      <c r="D259" s="50">
        <v>5318</v>
      </c>
      <c r="E259" s="42" t="s">
        <v>169</v>
      </c>
      <c r="F259" s="45" t="s">
        <v>145</v>
      </c>
      <c r="G259" s="207" t="s">
        <v>28</v>
      </c>
      <c r="H259" s="45" t="s">
        <v>385</v>
      </c>
      <c r="I259" s="47" t="s">
        <v>22</v>
      </c>
      <c r="J259" s="3">
        <v>0.7</v>
      </c>
      <c r="K259" s="49" t="s">
        <v>135</v>
      </c>
      <c r="L259" s="30" t="s">
        <v>136</v>
      </c>
      <c r="M259" s="49" t="s">
        <v>137</v>
      </c>
      <c r="N259" s="3">
        <v>0.9</v>
      </c>
      <c r="O259" s="10">
        <v>0.2</v>
      </c>
      <c r="P259" s="51"/>
      <c r="Q259" s="3">
        <f t="shared" si="13"/>
        <v>0</v>
      </c>
      <c r="R259" s="48">
        <f t="shared" si="14"/>
        <v>0</v>
      </c>
      <c r="S259" s="10" t="s">
        <v>23</v>
      </c>
      <c r="T259" s="193"/>
    </row>
    <row r="260" spans="1:20" ht="22.2" thickBot="1" x14ac:dyDescent="0.35">
      <c r="A260" s="142">
        <v>2078</v>
      </c>
      <c r="B260" s="81" t="s">
        <v>20</v>
      </c>
      <c r="C260" s="82" t="s">
        <v>267</v>
      </c>
      <c r="D260" s="113">
        <v>5318</v>
      </c>
      <c r="E260" s="81" t="s">
        <v>169</v>
      </c>
      <c r="F260" s="84" t="s">
        <v>145</v>
      </c>
      <c r="G260" s="209" t="s">
        <v>28</v>
      </c>
      <c r="H260" s="84" t="s">
        <v>385</v>
      </c>
      <c r="I260" s="85" t="s">
        <v>26</v>
      </c>
      <c r="J260" s="86">
        <v>0.3</v>
      </c>
      <c r="K260" s="115" t="s">
        <v>138</v>
      </c>
      <c r="L260" s="114" t="s">
        <v>139</v>
      </c>
      <c r="M260" s="115" t="s">
        <v>140</v>
      </c>
      <c r="N260" s="86">
        <v>1</v>
      </c>
      <c r="O260" s="91">
        <v>1</v>
      </c>
      <c r="P260" s="86"/>
      <c r="Q260" s="86">
        <f t="shared" si="13"/>
        <v>0</v>
      </c>
      <c r="R260" s="104">
        <f t="shared" si="14"/>
        <v>0</v>
      </c>
      <c r="S260" s="91" t="s">
        <v>23</v>
      </c>
      <c r="T260" s="147"/>
    </row>
    <row r="261" spans="1:20" ht="21.6" x14ac:dyDescent="0.3">
      <c r="A261" s="138">
        <v>2070</v>
      </c>
      <c r="B261" s="71" t="s">
        <v>20</v>
      </c>
      <c r="C261" s="72" t="s">
        <v>267</v>
      </c>
      <c r="D261" s="112">
        <v>5569</v>
      </c>
      <c r="E261" s="71" t="s">
        <v>172</v>
      </c>
      <c r="F261" s="74" t="s">
        <v>143</v>
      </c>
      <c r="G261" s="188" t="s">
        <v>28</v>
      </c>
      <c r="H261" s="74" t="s">
        <v>385</v>
      </c>
      <c r="I261" s="75" t="s">
        <v>22</v>
      </c>
      <c r="J261" s="76">
        <v>0.7</v>
      </c>
      <c r="K261" s="101" t="s">
        <v>513</v>
      </c>
      <c r="L261" s="105" t="s">
        <v>511</v>
      </c>
      <c r="M261" s="101" t="s">
        <v>411</v>
      </c>
      <c r="N261" s="76">
        <v>0.95</v>
      </c>
      <c r="O261" s="76">
        <v>0.15</v>
      </c>
      <c r="P261" s="76"/>
      <c r="Q261" s="76">
        <f t="shared" si="13"/>
        <v>0</v>
      </c>
      <c r="R261" s="80">
        <f t="shared" si="14"/>
        <v>0</v>
      </c>
      <c r="S261" s="76" t="s">
        <v>23</v>
      </c>
      <c r="T261" s="194">
        <f>SUM(R261:R268)%</f>
        <v>0</v>
      </c>
    </row>
    <row r="262" spans="1:20" ht="21.6" x14ac:dyDescent="0.3">
      <c r="A262" s="139">
        <v>2072</v>
      </c>
      <c r="B262" s="42" t="s">
        <v>20</v>
      </c>
      <c r="C262" s="43" t="s">
        <v>267</v>
      </c>
      <c r="D262" s="50">
        <v>5569</v>
      </c>
      <c r="E262" s="42" t="s">
        <v>172</v>
      </c>
      <c r="F262" s="45" t="s">
        <v>143</v>
      </c>
      <c r="G262" s="207" t="s">
        <v>28</v>
      </c>
      <c r="H262" s="45" t="s">
        <v>385</v>
      </c>
      <c r="I262" s="7" t="s">
        <v>22</v>
      </c>
      <c r="J262" s="3">
        <v>0.7</v>
      </c>
      <c r="K262" s="1" t="s">
        <v>124</v>
      </c>
      <c r="L262" s="8" t="s">
        <v>125</v>
      </c>
      <c r="M262" s="7" t="s">
        <v>126</v>
      </c>
      <c r="N262" s="3">
        <v>0.95</v>
      </c>
      <c r="O262" s="3">
        <v>0.15</v>
      </c>
      <c r="P262" s="6"/>
      <c r="Q262" s="3">
        <f t="shared" si="13"/>
        <v>0</v>
      </c>
      <c r="R262" s="4">
        <f t="shared" si="14"/>
        <v>0</v>
      </c>
      <c r="S262" s="3" t="s">
        <v>23</v>
      </c>
      <c r="T262" s="195"/>
    </row>
    <row r="263" spans="1:20" ht="21.6" x14ac:dyDescent="0.3">
      <c r="A263" s="139">
        <v>2073</v>
      </c>
      <c r="B263" s="42" t="s">
        <v>20</v>
      </c>
      <c r="C263" s="43" t="s">
        <v>267</v>
      </c>
      <c r="D263" s="50">
        <v>5569</v>
      </c>
      <c r="E263" s="42" t="s">
        <v>172</v>
      </c>
      <c r="F263" s="45" t="s">
        <v>143</v>
      </c>
      <c r="G263" s="207" t="s">
        <v>28</v>
      </c>
      <c r="H263" s="45" t="s">
        <v>385</v>
      </c>
      <c r="I263" s="7" t="s">
        <v>22</v>
      </c>
      <c r="J263" s="3">
        <v>0.7</v>
      </c>
      <c r="K263" s="1" t="s">
        <v>51</v>
      </c>
      <c r="L263" s="8" t="s">
        <v>127</v>
      </c>
      <c r="M263" s="7" t="s">
        <v>128</v>
      </c>
      <c r="N263" s="6">
        <v>0.05</v>
      </c>
      <c r="O263" s="3">
        <v>0.1</v>
      </c>
      <c r="P263" s="11"/>
      <c r="Q263" s="3">
        <f t="shared" si="13"/>
        <v>0</v>
      </c>
      <c r="R263" s="4">
        <f t="shared" si="14"/>
        <v>0</v>
      </c>
      <c r="S263" s="3" t="s">
        <v>24</v>
      </c>
      <c r="T263" s="195"/>
    </row>
    <row r="264" spans="1:20" ht="21.6" x14ac:dyDescent="0.3">
      <c r="A264" s="139">
        <v>2074</v>
      </c>
      <c r="B264" s="42" t="s">
        <v>20</v>
      </c>
      <c r="C264" s="43" t="s">
        <v>267</v>
      </c>
      <c r="D264" s="50">
        <v>5569</v>
      </c>
      <c r="E264" s="42" t="s">
        <v>172</v>
      </c>
      <c r="F264" s="45" t="s">
        <v>143</v>
      </c>
      <c r="G264" s="207" t="s">
        <v>28</v>
      </c>
      <c r="H264" s="45" t="s">
        <v>385</v>
      </c>
      <c r="I264" s="7" t="s">
        <v>22</v>
      </c>
      <c r="J264" s="3">
        <v>0.7</v>
      </c>
      <c r="K264" s="1" t="s">
        <v>305</v>
      </c>
      <c r="L264" s="8" t="s">
        <v>257</v>
      </c>
      <c r="M264" s="13" t="s">
        <v>306</v>
      </c>
      <c r="N264" s="3">
        <v>0.95</v>
      </c>
      <c r="O264" s="3">
        <v>0.1</v>
      </c>
      <c r="P264" s="3"/>
      <c r="Q264" s="3">
        <f t="shared" si="13"/>
        <v>0</v>
      </c>
      <c r="R264" s="4">
        <f t="shared" si="14"/>
        <v>0</v>
      </c>
      <c r="S264" s="3" t="s">
        <v>23</v>
      </c>
      <c r="T264" s="195"/>
    </row>
    <row r="265" spans="1:20" ht="21.6" x14ac:dyDescent="0.3">
      <c r="A265" s="139">
        <v>2075</v>
      </c>
      <c r="B265" s="42" t="s">
        <v>20</v>
      </c>
      <c r="C265" s="43" t="s">
        <v>267</v>
      </c>
      <c r="D265" s="50">
        <v>5569</v>
      </c>
      <c r="E265" s="42" t="s">
        <v>172</v>
      </c>
      <c r="F265" s="45" t="s">
        <v>143</v>
      </c>
      <c r="G265" s="207" t="s">
        <v>28</v>
      </c>
      <c r="H265" s="45" t="s">
        <v>385</v>
      </c>
      <c r="I265" s="47" t="s">
        <v>22</v>
      </c>
      <c r="J265" s="3">
        <v>0.7</v>
      </c>
      <c r="K265" s="49" t="s">
        <v>129</v>
      </c>
      <c r="L265" s="30" t="s">
        <v>130</v>
      </c>
      <c r="M265" s="47" t="s">
        <v>131</v>
      </c>
      <c r="N265" s="3">
        <v>0.9</v>
      </c>
      <c r="O265" s="10">
        <v>0.2</v>
      </c>
      <c r="P265" s="3"/>
      <c r="Q265" s="3">
        <f t="shared" si="13"/>
        <v>0</v>
      </c>
      <c r="R265" s="48">
        <f t="shared" si="14"/>
        <v>0</v>
      </c>
      <c r="S265" s="10" t="s">
        <v>23</v>
      </c>
      <c r="T265" s="193"/>
    </row>
    <row r="266" spans="1:20" ht="21.6" x14ac:dyDescent="0.3">
      <c r="A266" s="139">
        <v>2076</v>
      </c>
      <c r="B266" s="42" t="s">
        <v>20</v>
      </c>
      <c r="C266" s="43" t="s">
        <v>267</v>
      </c>
      <c r="D266" s="50">
        <v>5569</v>
      </c>
      <c r="E266" s="42" t="s">
        <v>172</v>
      </c>
      <c r="F266" s="45" t="s">
        <v>143</v>
      </c>
      <c r="G266" s="207" t="s">
        <v>28</v>
      </c>
      <c r="H266" s="45" t="s">
        <v>385</v>
      </c>
      <c r="I266" s="47" t="s">
        <v>22</v>
      </c>
      <c r="J266" s="3">
        <v>0.7</v>
      </c>
      <c r="K266" s="49" t="s">
        <v>132</v>
      </c>
      <c r="L266" s="30" t="s">
        <v>133</v>
      </c>
      <c r="M266" s="47" t="s">
        <v>134</v>
      </c>
      <c r="N266" s="4">
        <v>0</v>
      </c>
      <c r="O266" s="10">
        <v>0.1</v>
      </c>
      <c r="P266" s="3"/>
      <c r="Q266" s="3">
        <f t="shared" si="13"/>
        <v>0</v>
      </c>
      <c r="R266" s="48">
        <f t="shared" si="14"/>
        <v>0</v>
      </c>
      <c r="S266" s="10" t="s">
        <v>24</v>
      </c>
      <c r="T266" s="193"/>
    </row>
    <row r="267" spans="1:20" ht="21.6" x14ac:dyDescent="0.3">
      <c r="A267" s="139">
        <v>2077</v>
      </c>
      <c r="B267" s="42" t="s">
        <v>20</v>
      </c>
      <c r="C267" s="43" t="s">
        <v>267</v>
      </c>
      <c r="D267" s="50">
        <v>5569</v>
      </c>
      <c r="E267" s="42" t="s">
        <v>172</v>
      </c>
      <c r="F267" s="45" t="s">
        <v>143</v>
      </c>
      <c r="G267" s="207" t="s">
        <v>28</v>
      </c>
      <c r="H267" s="45" t="s">
        <v>385</v>
      </c>
      <c r="I267" s="47" t="s">
        <v>22</v>
      </c>
      <c r="J267" s="3">
        <v>0.7</v>
      </c>
      <c r="K267" s="49" t="s">
        <v>135</v>
      </c>
      <c r="L267" s="30" t="s">
        <v>136</v>
      </c>
      <c r="M267" s="49" t="s">
        <v>137</v>
      </c>
      <c r="N267" s="3">
        <v>0.9</v>
      </c>
      <c r="O267" s="10">
        <v>0.2</v>
      </c>
      <c r="P267" s="51"/>
      <c r="Q267" s="3">
        <f t="shared" si="13"/>
        <v>0</v>
      </c>
      <c r="R267" s="48">
        <f t="shared" si="14"/>
        <v>0</v>
      </c>
      <c r="S267" s="10" t="s">
        <v>23</v>
      </c>
      <c r="T267" s="193"/>
    </row>
    <row r="268" spans="1:20" ht="22.2" thickBot="1" x14ac:dyDescent="0.35">
      <c r="A268" s="142">
        <v>2078</v>
      </c>
      <c r="B268" s="81" t="s">
        <v>20</v>
      </c>
      <c r="C268" s="82" t="s">
        <v>267</v>
      </c>
      <c r="D268" s="113">
        <v>5569</v>
      </c>
      <c r="E268" s="81" t="s">
        <v>172</v>
      </c>
      <c r="F268" s="84" t="s">
        <v>143</v>
      </c>
      <c r="G268" s="209" t="s">
        <v>28</v>
      </c>
      <c r="H268" s="84" t="s">
        <v>385</v>
      </c>
      <c r="I268" s="85" t="s">
        <v>26</v>
      </c>
      <c r="J268" s="86">
        <v>0.3</v>
      </c>
      <c r="K268" s="115" t="s">
        <v>138</v>
      </c>
      <c r="L268" s="114" t="s">
        <v>139</v>
      </c>
      <c r="M268" s="115" t="s">
        <v>140</v>
      </c>
      <c r="N268" s="86">
        <v>1</v>
      </c>
      <c r="O268" s="91">
        <v>1</v>
      </c>
      <c r="P268" s="86"/>
      <c r="Q268" s="86">
        <f t="shared" si="13"/>
        <v>0</v>
      </c>
      <c r="R268" s="104">
        <f t="shared" si="14"/>
        <v>0</v>
      </c>
      <c r="S268" s="91" t="s">
        <v>23</v>
      </c>
      <c r="T268" s="147"/>
    </row>
    <row r="269" spans="1:20" ht="21.6" x14ac:dyDescent="0.3">
      <c r="A269" s="138">
        <v>2070</v>
      </c>
      <c r="B269" s="71" t="s">
        <v>20</v>
      </c>
      <c r="C269" s="72" t="s">
        <v>267</v>
      </c>
      <c r="D269" s="112">
        <v>6019</v>
      </c>
      <c r="E269" s="71" t="s">
        <v>173</v>
      </c>
      <c r="F269" s="74" t="s">
        <v>143</v>
      </c>
      <c r="G269" s="188" t="s">
        <v>28</v>
      </c>
      <c r="H269" s="74" t="s">
        <v>385</v>
      </c>
      <c r="I269" s="75" t="s">
        <v>22</v>
      </c>
      <c r="J269" s="76">
        <v>0.7</v>
      </c>
      <c r="K269" s="101" t="s">
        <v>513</v>
      </c>
      <c r="L269" s="105" t="s">
        <v>511</v>
      </c>
      <c r="M269" s="101" t="s">
        <v>411</v>
      </c>
      <c r="N269" s="76">
        <v>0.95</v>
      </c>
      <c r="O269" s="76">
        <v>0.15</v>
      </c>
      <c r="P269" s="76"/>
      <c r="Q269" s="76">
        <f t="shared" si="13"/>
        <v>0</v>
      </c>
      <c r="R269" s="80">
        <f t="shared" si="14"/>
        <v>0</v>
      </c>
      <c r="S269" s="76" t="s">
        <v>23</v>
      </c>
      <c r="T269" s="194">
        <f>SUM(R269:R276)%</f>
        <v>0</v>
      </c>
    </row>
    <row r="270" spans="1:20" ht="21.6" x14ac:dyDescent="0.3">
      <c r="A270" s="139">
        <v>2072</v>
      </c>
      <c r="B270" s="42" t="s">
        <v>20</v>
      </c>
      <c r="C270" s="43" t="s">
        <v>267</v>
      </c>
      <c r="D270" s="50">
        <v>6019</v>
      </c>
      <c r="E270" s="42" t="s">
        <v>173</v>
      </c>
      <c r="F270" s="45" t="s">
        <v>143</v>
      </c>
      <c r="G270" s="207" t="s">
        <v>28</v>
      </c>
      <c r="H270" s="45" t="s">
        <v>385</v>
      </c>
      <c r="I270" s="7" t="s">
        <v>22</v>
      </c>
      <c r="J270" s="3">
        <v>0.7</v>
      </c>
      <c r="K270" s="1" t="s">
        <v>124</v>
      </c>
      <c r="L270" s="8" t="s">
        <v>125</v>
      </c>
      <c r="M270" s="7" t="s">
        <v>126</v>
      </c>
      <c r="N270" s="3">
        <v>0.95</v>
      </c>
      <c r="O270" s="3">
        <v>0.15</v>
      </c>
      <c r="P270" s="6"/>
      <c r="Q270" s="3">
        <f t="shared" si="13"/>
        <v>0</v>
      </c>
      <c r="R270" s="4">
        <f t="shared" si="14"/>
        <v>0</v>
      </c>
      <c r="S270" s="3" t="s">
        <v>23</v>
      </c>
      <c r="T270" s="195"/>
    </row>
    <row r="271" spans="1:20" ht="21.6" x14ac:dyDescent="0.3">
      <c r="A271" s="139">
        <v>2073</v>
      </c>
      <c r="B271" s="42" t="s">
        <v>20</v>
      </c>
      <c r="C271" s="43" t="s">
        <v>267</v>
      </c>
      <c r="D271" s="50">
        <v>6019</v>
      </c>
      <c r="E271" s="42" t="s">
        <v>173</v>
      </c>
      <c r="F271" s="45" t="s">
        <v>143</v>
      </c>
      <c r="G271" s="207" t="s">
        <v>28</v>
      </c>
      <c r="H271" s="45" t="s">
        <v>385</v>
      </c>
      <c r="I271" s="7" t="s">
        <v>22</v>
      </c>
      <c r="J271" s="3">
        <v>0.7</v>
      </c>
      <c r="K271" s="1" t="s">
        <v>51</v>
      </c>
      <c r="L271" s="8" t="s">
        <v>127</v>
      </c>
      <c r="M271" s="7" t="s">
        <v>128</v>
      </c>
      <c r="N271" s="6">
        <v>0.05</v>
      </c>
      <c r="O271" s="3">
        <v>0.1</v>
      </c>
      <c r="P271" s="11"/>
      <c r="Q271" s="3">
        <f t="shared" si="13"/>
        <v>0</v>
      </c>
      <c r="R271" s="4">
        <f t="shared" si="14"/>
        <v>0</v>
      </c>
      <c r="S271" s="3" t="s">
        <v>24</v>
      </c>
      <c r="T271" s="195"/>
    </row>
    <row r="272" spans="1:20" ht="21.6" x14ac:dyDescent="0.3">
      <c r="A272" s="139">
        <v>2074</v>
      </c>
      <c r="B272" s="42" t="s">
        <v>20</v>
      </c>
      <c r="C272" s="43" t="s">
        <v>267</v>
      </c>
      <c r="D272" s="50">
        <v>6019</v>
      </c>
      <c r="E272" s="42" t="s">
        <v>173</v>
      </c>
      <c r="F272" s="45" t="s">
        <v>143</v>
      </c>
      <c r="G272" s="207" t="s">
        <v>28</v>
      </c>
      <c r="H272" s="45" t="s">
        <v>385</v>
      </c>
      <c r="I272" s="7" t="s">
        <v>22</v>
      </c>
      <c r="J272" s="3">
        <v>0.7</v>
      </c>
      <c r="K272" s="1" t="s">
        <v>305</v>
      </c>
      <c r="L272" s="8" t="s">
        <v>257</v>
      </c>
      <c r="M272" s="13" t="s">
        <v>306</v>
      </c>
      <c r="N272" s="3">
        <v>0.95</v>
      </c>
      <c r="O272" s="3">
        <v>0.1</v>
      </c>
      <c r="P272" s="3"/>
      <c r="Q272" s="3">
        <f t="shared" si="13"/>
        <v>0</v>
      </c>
      <c r="R272" s="4">
        <f t="shared" si="14"/>
        <v>0</v>
      </c>
      <c r="S272" s="3" t="s">
        <v>23</v>
      </c>
      <c r="T272" s="195"/>
    </row>
    <row r="273" spans="1:20" ht="21.6" x14ac:dyDescent="0.3">
      <c r="A273" s="139">
        <v>2075</v>
      </c>
      <c r="B273" s="42" t="s">
        <v>20</v>
      </c>
      <c r="C273" s="43" t="s">
        <v>267</v>
      </c>
      <c r="D273" s="50">
        <v>6019</v>
      </c>
      <c r="E273" s="42" t="s">
        <v>173</v>
      </c>
      <c r="F273" s="45" t="s">
        <v>143</v>
      </c>
      <c r="G273" s="207" t="s">
        <v>28</v>
      </c>
      <c r="H273" s="45" t="s">
        <v>385</v>
      </c>
      <c r="I273" s="47" t="s">
        <v>22</v>
      </c>
      <c r="J273" s="3">
        <v>0.7</v>
      </c>
      <c r="K273" s="49" t="s">
        <v>129</v>
      </c>
      <c r="L273" s="30" t="s">
        <v>130</v>
      </c>
      <c r="M273" s="47" t="s">
        <v>131</v>
      </c>
      <c r="N273" s="3">
        <v>0.9</v>
      </c>
      <c r="O273" s="10">
        <v>0.2</v>
      </c>
      <c r="P273" s="3"/>
      <c r="Q273" s="3">
        <f t="shared" si="13"/>
        <v>0</v>
      </c>
      <c r="R273" s="48">
        <f t="shared" si="14"/>
        <v>0</v>
      </c>
      <c r="S273" s="10" t="s">
        <v>23</v>
      </c>
      <c r="T273" s="193"/>
    </row>
    <row r="274" spans="1:20" ht="21.6" x14ac:dyDescent="0.3">
      <c r="A274" s="139">
        <v>2076</v>
      </c>
      <c r="B274" s="42" t="s">
        <v>20</v>
      </c>
      <c r="C274" s="43" t="s">
        <v>267</v>
      </c>
      <c r="D274" s="50">
        <v>6019</v>
      </c>
      <c r="E274" s="42" t="s">
        <v>173</v>
      </c>
      <c r="F274" s="45" t="s">
        <v>143</v>
      </c>
      <c r="G274" s="207" t="s">
        <v>28</v>
      </c>
      <c r="H274" s="45" t="s">
        <v>385</v>
      </c>
      <c r="I274" s="47" t="s">
        <v>22</v>
      </c>
      <c r="J274" s="3">
        <v>0.7</v>
      </c>
      <c r="K274" s="49" t="s">
        <v>132</v>
      </c>
      <c r="L274" s="30" t="s">
        <v>133</v>
      </c>
      <c r="M274" s="47" t="s">
        <v>134</v>
      </c>
      <c r="N274" s="4">
        <v>0</v>
      </c>
      <c r="O274" s="10">
        <v>0.1</v>
      </c>
      <c r="P274" s="3"/>
      <c r="Q274" s="3">
        <f t="shared" si="13"/>
        <v>0</v>
      </c>
      <c r="R274" s="48">
        <f t="shared" si="14"/>
        <v>0</v>
      </c>
      <c r="S274" s="10" t="s">
        <v>24</v>
      </c>
      <c r="T274" s="193"/>
    </row>
    <row r="275" spans="1:20" ht="21.6" x14ac:dyDescent="0.3">
      <c r="A275" s="139">
        <v>2077</v>
      </c>
      <c r="B275" s="42" t="s">
        <v>20</v>
      </c>
      <c r="C275" s="43" t="s">
        <v>267</v>
      </c>
      <c r="D275" s="50">
        <v>6019</v>
      </c>
      <c r="E275" s="42" t="s">
        <v>173</v>
      </c>
      <c r="F275" s="45" t="s">
        <v>143</v>
      </c>
      <c r="G275" s="207" t="s">
        <v>28</v>
      </c>
      <c r="H275" s="45" t="s">
        <v>385</v>
      </c>
      <c r="I275" s="47" t="s">
        <v>22</v>
      </c>
      <c r="J275" s="3">
        <v>0.7</v>
      </c>
      <c r="K275" s="49" t="s">
        <v>135</v>
      </c>
      <c r="L275" s="30" t="s">
        <v>136</v>
      </c>
      <c r="M275" s="49" t="s">
        <v>137</v>
      </c>
      <c r="N275" s="3">
        <v>0.9</v>
      </c>
      <c r="O275" s="10">
        <v>0.2</v>
      </c>
      <c r="P275" s="51"/>
      <c r="Q275" s="3">
        <f t="shared" si="13"/>
        <v>0</v>
      </c>
      <c r="R275" s="48">
        <f t="shared" si="14"/>
        <v>0</v>
      </c>
      <c r="S275" s="10" t="s">
        <v>23</v>
      </c>
      <c r="T275" s="193"/>
    </row>
    <row r="276" spans="1:20" ht="22.2" thickBot="1" x14ac:dyDescent="0.35">
      <c r="A276" s="142">
        <v>2078</v>
      </c>
      <c r="B276" s="81" t="s">
        <v>20</v>
      </c>
      <c r="C276" s="82" t="s">
        <v>267</v>
      </c>
      <c r="D276" s="113">
        <v>6019</v>
      </c>
      <c r="E276" s="81" t="s">
        <v>173</v>
      </c>
      <c r="F276" s="84" t="s">
        <v>143</v>
      </c>
      <c r="G276" s="209" t="s">
        <v>28</v>
      </c>
      <c r="H276" s="84" t="s">
        <v>385</v>
      </c>
      <c r="I276" s="85" t="s">
        <v>26</v>
      </c>
      <c r="J276" s="86">
        <v>0.3</v>
      </c>
      <c r="K276" s="115" t="s">
        <v>138</v>
      </c>
      <c r="L276" s="114" t="s">
        <v>139</v>
      </c>
      <c r="M276" s="115" t="s">
        <v>140</v>
      </c>
      <c r="N276" s="86">
        <v>1</v>
      </c>
      <c r="O276" s="91">
        <v>1</v>
      </c>
      <c r="P276" s="86"/>
      <c r="Q276" s="86">
        <f t="shared" si="13"/>
        <v>0</v>
      </c>
      <c r="R276" s="104">
        <f t="shared" si="14"/>
        <v>0</v>
      </c>
      <c r="S276" s="91" t="s">
        <v>23</v>
      </c>
      <c r="T276" s="147"/>
    </row>
    <row r="277" spans="1:20" ht="21.6" x14ac:dyDescent="0.3">
      <c r="A277" s="138">
        <v>2070</v>
      </c>
      <c r="B277" s="71" t="s">
        <v>20</v>
      </c>
      <c r="C277" s="72" t="s">
        <v>267</v>
      </c>
      <c r="D277" s="112">
        <v>6149</v>
      </c>
      <c r="E277" s="71" t="s">
        <v>175</v>
      </c>
      <c r="F277" s="74" t="s">
        <v>123</v>
      </c>
      <c r="G277" s="188" t="s">
        <v>28</v>
      </c>
      <c r="H277" s="74" t="s">
        <v>385</v>
      </c>
      <c r="I277" s="75" t="s">
        <v>22</v>
      </c>
      <c r="J277" s="76">
        <v>0.7</v>
      </c>
      <c r="K277" s="101" t="s">
        <v>513</v>
      </c>
      <c r="L277" s="105" t="s">
        <v>511</v>
      </c>
      <c r="M277" s="101" t="s">
        <v>411</v>
      </c>
      <c r="N277" s="76">
        <v>0.95</v>
      </c>
      <c r="O277" s="76">
        <v>0.15</v>
      </c>
      <c r="P277" s="76"/>
      <c r="Q277" s="76">
        <f t="shared" si="13"/>
        <v>0</v>
      </c>
      <c r="R277" s="80">
        <f t="shared" si="14"/>
        <v>0</v>
      </c>
      <c r="S277" s="76" t="s">
        <v>23</v>
      </c>
      <c r="T277" s="194">
        <f>SUM(R277:R284)%</f>
        <v>0</v>
      </c>
    </row>
    <row r="278" spans="1:20" ht="21.6" x14ac:dyDescent="0.3">
      <c r="A278" s="139">
        <v>2072</v>
      </c>
      <c r="B278" s="42" t="s">
        <v>20</v>
      </c>
      <c r="C278" s="43" t="s">
        <v>267</v>
      </c>
      <c r="D278" s="50">
        <v>6149</v>
      </c>
      <c r="E278" s="42" t="s">
        <v>175</v>
      </c>
      <c r="F278" s="45" t="s">
        <v>123</v>
      </c>
      <c r="G278" s="207" t="s">
        <v>28</v>
      </c>
      <c r="H278" s="45" t="s">
        <v>385</v>
      </c>
      <c r="I278" s="7" t="s">
        <v>22</v>
      </c>
      <c r="J278" s="3">
        <v>0.7</v>
      </c>
      <c r="K278" s="1" t="s">
        <v>124</v>
      </c>
      <c r="L278" s="8" t="s">
        <v>125</v>
      </c>
      <c r="M278" s="7" t="s">
        <v>126</v>
      </c>
      <c r="N278" s="3">
        <v>0.95</v>
      </c>
      <c r="O278" s="3">
        <v>0.15</v>
      </c>
      <c r="P278" s="6"/>
      <c r="Q278" s="3">
        <f t="shared" si="13"/>
        <v>0</v>
      </c>
      <c r="R278" s="4">
        <f t="shared" si="14"/>
        <v>0</v>
      </c>
      <c r="S278" s="3" t="s">
        <v>23</v>
      </c>
      <c r="T278" s="195"/>
    </row>
    <row r="279" spans="1:20" ht="21.6" x14ac:dyDescent="0.3">
      <c r="A279" s="139">
        <v>2073</v>
      </c>
      <c r="B279" s="42" t="s">
        <v>20</v>
      </c>
      <c r="C279" s="43" t="s">
        <v>267</v>
      </c>
      <c r="D279" s="50">
        <v>6149</v>
      </c>
      <c r="E279" s="42" t="s">
        <v>175</v>
      </c>
      <c r="F279" s="45" t="s">
        <v>123</v>
      </c>
      <c r="G279" s="207" t="s">
        <v>28</v>
      </c>
      <c r="H279" s="45" t="s">
        <v>385</v>
      </c>
      <c r="I279" s="7" t="s">
        <v>22</v>
      </c>
      <c r="J279" s="3">
        <v>0.7</v>
      </c>
      <c r="K279" s="1" t="s">
        <v>51</v>
      </c>
      <c r="L279" s="8" t="s">
        <v>127</v>
      </c>
      <c r="M279" s="7" t="s">
        <v>128</v>
      </c>
      <c r="N279" s="6">
        <v>0.05</v>
      </c>
      <c r="O279" s="3">
        <v>0.1</v>
      </c>
      <c r="P279" s="11"/>
      <c r="Q279" s="3">
        <f t="shared" si="13"/>
        <v>0</v>
      </c>
      <c r="R279" s="4">
        <f t="shared" si="14"/>
        <v>0</v>
      </c>
      <c r="S279" s="3" t="s">
        <v>24</v>
      </c>
      <c r="T279" s="195"/>
    </row>
    <row r="280" spans="1:20" ht="21.6" x14ac:dyDescent="0.3">
      <c r="A280" s="139">
        <v>2074</v>
      </c>
      <c r="B280" s="42" t="s">
        <v>20</v>
      </c>
      <c r="C280" s="43" t="s">
        <v>267</v>
      </c>
      <c r="D280" s="50">
        <v>6149</v>
      </c>
      <c r="E280" s="42" t="s">
        <v>175</v>
      </c>
      <c r="F280" s="45" t="s">
        <v>123</v>
      </c>
      <c r="G280" s="207" t="s">
        <v>28</v>
      </c>
      <c r="H280" s="45" t="s">
        <v>385</v>
      </c>
      <c r="I280" s="7" t="s">
        <v>22</v>
      </c>
      <c r="J280" s="3">
        <v>0.7</v>
      </c>
      <c r="K280" s="1" t="s">
        <v>305</v>
      </c>
      <c r="L280" s="8" t="s">
        <v>257</v>
      </c>
      <c r="M280" s="13" t="s">
        <v>306</v>
      </c>
      <c r="N280" s="3">
        <v>0.95</v>
      </c>
      <c r="O280" s="3">
        <v>0.1</v>
      </c>
      <c r="P280" s="3"/>
      <c r="Q280" s="3">
        <f t="shared" si="13"/>
        <v>0</v>
      </c>
      <c r="R280" s="4">
        <f t="shared" si="14"/>
        <v>0</v>
      </c>
      <c r="S280" s="3" t="s">
        <v>23</v>
      </c>
      <c r="T280" s="195"/>
    </row>
    <row r="281" spans="1:20" ht="21.6" x14ac:dyDescent="0.3">
      <c r="A281" s="139">
        <v>2075</v>
      </c>
      <c r="B281" s="42" t="s">
        <v>20</v>
      </c>
      <c r="C281" s="43" t="s">
        <v>267</v>
      </c>
      <c r="D281" s="50">
        <v>6149</v>
      </c>
      <c r="E281" s="42" t="s">
        <v>175</v>
      </c>
      <c r="F281" s="45" t="s">
        <v>123</v>
      </c>
      <c r="G281" s="207" t="s">
        <v>28</v>
      </c>
      <c r="H281" s="45" t="s">
        <v>385</v>
      </c>
      <c r="I281" s="47" t="s">
        <v>22</v>
      </c>
      <c r="J281" s="3">
        <v>0.7</v>
      </c>
      <c r="K281" s="49" t="s">
        <v>129</v>
      </c>
      <c r="L281" s="30" t="s">
        <v>130</v>
      </c>
      <c r="M281" s="47" t="s">
        <v>131</v>
      </c>
      <c r="N281" s="3">
        <v>0.9</v>
      </c>
      <c r="O281" s="10">
        <v>0.2</v>
      </c>
      <c r="P281" s="3"/>
      <c r="Q281" s="3">
        <f t="shared" si="13"/>
        <v>0</v>
      </c>
      <c r="R281" s="48">
        <f t="shared" si="14"/>
        <v>0</v>
      </c>
      <c r="S281" s="10" t="s">
        <v>23</v>
      </c>
      <c r="T281" s="193"/>
    </row>
    <row r="282" spans="1:20" ht="21.6" x14ac:dyDescent="0.3">
      <c r="A282" s="139">
        <v>2076</v>
      </c>
      <c r="B282" s="42" t="s">
        <v>20</v>
      </c>
      <c r="C282" s="43" t="s">
        <v>267</v>
      </c>
      <c r="D282" s="50">
        <v>6149</v>
      </c>
      <c r="E282" s="42" t="s">
        <v>175</v>
      </c>
      <c r="F282" s="45" t="s">
        <v>123</v>
      </c>
      <c r="G282" s="207" t="s">
        <v>28</v>
      </c>
      <c r="H282" s="45" t="s">
        <v>385</v>
      </c>
      <c r="I282" s="47" t="s">
        <v>22</v>
      </c>
      <c r="J282" s="3">
        <v>0.7</v>
      </c>
      <c r="K282" s="49" t="s">
        <v>132</v>
      </c>
      <c r="L282" s="30" t="s">
        <v>133</v>
      </c>
      <c r="M282" s="47" t="s">
        <v>134</v>
      </c>
      <c r="N282" s="4">
        <v>0</v>
      </c>
      <c r="O282" s="10">
        <v>0.1</v>
      </c>
      <c r="P282" s="3"/>
      <c r="Q282" s="3">
        <f t="shared" si="13"/>
        <v>0</v>
      </c>
      <c r="R282" s="48">
        <f t="shared" si="14"/>
        <v>0</v>
      </c>
      <c r="S282" s="10" t="s">
        <v>24</v>
      </c>
      <c r="T282" s="193"/>
    </row>
    <row r="283" spans="1:20" ht="21.6" x14ac:dyDescent="0.3">
      <c r="A283" s="139">
        <v>2077</v>
      </c>
      <c r="B283" s="42" t="s">
        <v>20</v>
      </c>
      <c r="C283" s="43" t="s">
        <v>267</v>
      </c>
      <c r="D283" s="50">
        <v>6149</v>
      </c>
      <c r="E283" s="42" t="s">
        <v>175</v>
      </c>
      <c r="F283" s="45" t="s">
        <v>123</v>
      </c>
      <c r="G283" s="207" t="s">
        <v>28</v>
      </c>
      <c r="H283" s="45" t="s">
        <v>385</v>
      </c>
      <c r="I283" s="47" t="s">
        <v>22</v>
      </c>
      <c r="J283" s="3">
        <v>0.7</v>
      </c>
      <c r="K283" s="49" t="s">
        <v>135</v>
      </c>
      <c r="L283" s="30" t="s">
        <v>136</v>
      </c>
      <c r="M283" s="49" t="s">
        <v>137</v>
      </c>
      <c r="N283" s="3">
        <v>0.9</v>
      </c>
      <c r="O283" s="10">
        <v>0.2</v>
      </c>
      <c r="P283" s="51"/>
      <c r="Q283" s="3">
        <f t="shared" si="13"/>
        <v>0</v>
      </c>
      <c r="R283" s="48">
        <f t="shared" si="14"/>
        <v>0</v>
      </c>
      <c r="S283" s="10" t="s">
        <v>23</v>
      </c>
      <c r="T283" s="193"/>
    </row>
    <row r="284" spans="1:20" ht="22.2" thickBot="1" x14ac:dyDescent="0.35">
      <c r="A284" s="142">
        <v>2078</v>
      </c>
      <c r="B284" s="81" t="s">
        <v>20</v>
      </c>
      <c r="C284" s="82" t="s">
        <v>267</v>
      </c>
      <c r="D284" s="113">
        <v>6149</v>
      </c>
      <c r="E284" s="81" t="s">
        <v>175</v>
      </c>
      <c r="F284" s="84" t="s">
        <v>123</v>
      </c>
      <c r="G284" s="209" t="s">
        <v>28</v>
      </c>
      <c r="H284" s="84" t="s">
        <v>385</v>
      </c>
      <c r="I284" s="85" t="s">
        <v>26</v>
      </c>
      <c r="J284" s="86">
        <v>0.3</v>
      </c>
      <c r="K284" s="115" t="s">
        <v>138</v>
      </c>
      <c r="L284" s="114" t="s">
        <v>139</v>
      </c>
      <c r="M284" s="115" t="s">
        <v>140</v>
      </c>
      <c r="N284" s="86">
        <v>1</v>
      </c>
      <c r="O284" s="91">
        <v>1</v>
      </c>
      <c r="P284" s="86"/>
      <c r="Q284" s="86">
        <f t="shared" si="13"/>
        <v>0</v>
      </c>
      <c r="R284" s="104">
        <f t="shared" si="14"/>
        <v>0</v>
      </c>
      <c r="S284" s="91" t="s">
        <v>23</v>
      </c>
      <c r="T284" s="147"/>
    </row>
    <row r="285" spans="1:20" ht="21.6" x14ac:dyDescent="0.3">
      <c r="A285" s="138">
        <v>2070</v>
      </c>
      <c r="B285" s="71" t="s">
        <v>20</v>
      </c>
      <c r="C285" s="72" t="s">
        <v>267</v>
      </c>
      <c r="D285" s="112">
        <v>6234</v>
      </c>
      <c r="E285" s="71" t="s">
        <v>176</v>
      </c>
      <c r="F285" s="74" t="s">
        <v>145</v>
      </c>
      <c r="G285" s="188" t="s">
        <v>28</v>
      </c>
      <c r="H285" s="74" t="s">
        <v>385</v>
      </c>
      <c r="I285" s="75" t="s">
        <v>22</v>
      </c>
      <c r="J285" s="76">
        <v>0.7</v>
      </c>
      <c r="K285" s="101" t="s">
        <v>513</v>
      </c>
      <c r="L285" s="105" t="s">
        <v>511</v>
      </c>
      <c r="M285" s="101" t="s">
        <v>411</v>
      </c>
      <c r="N285" s="76">
        <v>0.95</v>
      </c>
      <c r="O285" s="76">
        <v>0.15</v>
      </c>
      <c r="P285" s="76"/>
      <c r="Q285" s="76">
        <f t="shared" si="13"/>
        <v>0</v>
      </c>
      <c r="R285" s="80">
        <f t="shared" si="14"/>
        <v>0</v>
      </c>
      <c r="S285" s="76" t="s">
        <v>23</v>
      </c>
      <c r="T285" s="194">
        <f>SUM(R285:R292)%</f>
        <v>0</v>
      </c>
    </row>
    <row r="286" spans="1:20" ht="21.6" x14ac:dyDescent="0.3">
      <c r="A286" s="139">
        <v>2072</v>
      </c>
      <c r="B286" s="42" t="s">
        <v>20</v>
      </c>
      <c r="C286" s="43" t="s">
        <v>267</v>
      </c>
      <c r="D286" s="50">
        <v>6234</v>
      </c>
      <c r="E286" s="42" t="s">
        <v>176</v>
      </c>
      <c r="F286" s="45" t="s">
        <v>145</v>
      </c>
      <c r="G286" s="207" t="s">
        <v>28</v>
      </c>
      <c r="H286" s="45" t="s">
        <v>385</v>
      </c>
      <c r="I286" s="7" t="s">
        <v>22</v>
      </c>
      <c r="J286" s="3">
        <v>0.7</v>
      </c>
      <c r="K286" s="1" t="s">
        <v>124</v>
      </c>
      <c r="L286" s="8" t="s">
        <v>125</v>
      </c>
      <c r="M286" s="7" t="s">
        <v>126</v>
      </c>
      <c r="N286" s="3">
        <v>0.95</v>
      </c>
      <c r="O286" s="3">
        <v>0.15</v>
      </c>
      <c r="P286" s="6"/>
      <c r="Q286" s="3">
        <f t="shared" si="13"/>
        <v>0</v>
      </c>
      <c r="R286" s="4">
        <f t="shared" si="14"/>
        <v>0</v>
      </c>
      <c r="S286" s="3" t="s">
        <v>23</v>
      </c>
      <c r="T286" s="195"/>
    </row>
    <row r="287" spans="1:20" ht="21.6" x14ac:dyDescent="0.3">
      <c r="A287" s="139">
        <v>2073</v>
      </c>
      <c r="B287" s="42" t="s">
        <v>20</v>
      </c>
      <c r="C287" s="43" t="s">
        <v>267</v>
      </c>
      <c r="D287" s="50">
        <v>6234</v>
      </c>
      <c r="E287" s="42" t="s">
        <v>176</v>
      </c>
      <c r="F287" s="45" t="s">
        <v>145</v>
      </c>
      <c r="G287" s="207" t="s">
        <v>28</v>
      </c>
      <c r="H287" s="45" t="s">
        <v>385</v>
      </c>
      <c r="I287" s="7" t="s">
        <v>22</v>
      </c>
      <c r="J287" s="3">
        <v>0.7</v>
      </c>
      <c r="K287" s="1" t="s">
        <v>51</v>
      </c>
      <c r="L287" s="8" t="s">
        <v>127</v>
      </c>
      <c r="M287" s="7" t="s">
        <v>128</v>
      </c>
      <c r="N287" s="6">
        <v>0.05</v>
      </c>
      <c r="O287" s="3">
        <v>0.1</v>
      </c>
      <c r="P287" s="11"/>
      <c r="Q287" s="3">
        <f t="shared" si="13"/>
        <v>0</v>
      </c>
      <c r="R287" s="4">
        <f t="shared" si="14"/>
        <v>0</v>
      </c>
      <c r="S287" s="3" t="s">
        <v>24</v>
      </c>
      <c r="T287" s="195"/>
    </row>
    <row r="288" spans="1:20" ht="21.6" x14ac:dyDescent="0.3">
      <c r="A288" s="139">
        <v>2074</v>
      </c>
      <c r="B288" s="42" t="s">
        <v>20</v>
      </c>
      <c r="C288" s="43" t="s">
        <v>267</v>
      </c>
      <c r="D288" s="50">
        <v>6234</v>
      </c>
      <c r="E288" s="42" t="s">
        <v>176</v>
      </c>
      <c r="F288" s="45" t="s">
        <v>145</v>
      </c>
      <c r="G288" s="207" t="s">
        <v>28</v>
      </c>
      <c r="H288" s="45" t="s">
        <v>385</v>
      </c>
      <c r="I288" s="7" t="s">
        <v>22</v>
      </c>
      <c r="J288" s="3">
        <v>0.7</v>
      </c>
      <c r="K288" s="1" t="s">
        <v>305</v>
      </c>
      <c r="L288" s="8" t="s">
        <v>257</v>
      </c>
      <c r="M288" s="13" t="s">
        <v>306</v>
      </c>
      <c r="N288" s="3">
        <v>0.95</v>
      </c>
      <c r="O288" s="3">
        <v>0.1</v>
      </c>
      <c r="P288" s="3"/>
      <c r="Q288" s="3">
        <f t="shared" si="13"/>
        <v>0</v>
      </c>
      <c r="R288" s="4">
        <f t="shared" si="14"/>
        <v>0</v>
      </c>
      <c r="S288" s="3" t="s">
        <v>23</v>
      </c>
      <c r="T288" s="195"/>
    </row>
    <row r="289" spans="1:20" ht="21.6" x14ac:dyDescent="0.3">
      <c r="A289" s="139">
        <v>2075</v>
      </c>
      <c r="B289" s="42" t="s">
        <v>20</v>
      </c>
      <c r="C289" s="43" t="s">
        <v>267</v>
      </c>
      <c r="D289" s="50">
        <v>6234</v>
      </c>
      <c r="E289" s="42" t="s">
        <v>176</v>
      </c>
      <c r="F289" s="45" t="s">
        <v>145</v>
      </c>
      <c r="G289" s="207" t="s">
        <v>28</v>
      </c>
      <c r="H289" s="45" t="s">
        <v>385</v>
      </c>
      <c r="I289" s="47" t="s">
        <v>22</v>
      </c>
      <c r="J289" s="3">
        <v>0.7</v>
      </c>
      <c r="K289" s="49" t="s">
        <v>129</v>
      </c>
      <c r="L289" s="30" t="s">
        <v>130</v>
      </c>
      <c r="M289" s="47" t="s">
        <v>131</v>
      </c>
      <c r="N289" s="3">
        <v>0.9</v>
      </c>
      <c r="O289" s="10">
        <v>0.2</v>
      </c>
      <c r="P289" s="3"/>
      <c r="Q289" s="3">
        <f t="shared" si="13"/>
        <v>0</v>
      </c>
      <c r="R289" s="48">
        <f t="shared" si="14"/>
        <v>0</v>
      </c>
      <c r="S289" s="10" t="s">
        <v>23</v>
      </c>
      <c r="T289" s="193"/>
    </row>
    <row r="290" spans="1:20" ht="21.6" x14ac:dyDescent="0.3">
      <c r="A290" s="139">
        <v>2076</v>
      </c>
      <c r="B290" s="42" t="s">
        <v>20</v>
      </c>
      <c r="C290" s="43" t="s">
        <v>267</v>
      </c>
      <c r="D290" s="50">
        <v>6234</v>
      </c>
      <c r="E290" s="42" t="s">
        <v>176</v>
      </c>
      <c r="F290" s="45" t="s">
        <v>145</v>
      </c>
      <c r="G290" s="207" t="s">
        <v>28</v>
      </c>
      <c r="H290" s="45" t="s">
        <v>385</v>
      </c>
      <c r="I290" s="47" t="s">
        <v>22</v>
      </c>
      <c r="J290" s="3">
        <v>0.7</v>
      </c>
      <c r="K290" s="49" t="s">
        <v>132</v>
      </c>
      <c r="L290" s="30" t="s">
        <v>133</v>
      </c>
      <c r="M290" s="47" t="s">
        <v>134</v>
      </c>
      <c r="N290" s="4">
        <v>0</v>
      </c>
      <c r="O290" s="10">
        <v>0.1</v>
      </c>
      <c r="P290" s="3"/>
      <c r="Q290" s="3">
        <f t="shared" si="13"/>
        <v>0</v>
      </c>
      <c r="R290" s="48">
        <f t="shared" si="14"/>
        <v>0</v>
      </c>
      <c r="S290" s="10" t="s">
        <v>24</v>
      </c>
      <c r="T290" s="193"/>
    </row>
    <row r="291" spans="1:20" ht="21.6" x14ac:dyDescent="0.3">
      <c r="A291" s="139">
        <v>2077</v>
      </c>
      <c r="B291" s="42" t="s">
        <v>20</v>
      </c>
      <c r="C291" s="43" t="s">
        <v>267</v>
      </c>
      <c r="D291" s="50">
        <v>6234</v>
      </c>
      <c r="E291" s="42" t="s">
        <v>176</v>
      </c>
      <c r="F291" s="45" t="s">
        <v>145</v>
      </c>
      <c r="G291" s="207" t="s">
        <v>28</v>
      </c>
      <c r="H291" s="45" t="s">
        <v>385</v>
      </c>
      <c r="I291" s="47" t="s">
        <v>22</v>
      </c>
      <c r="J291" s="3">
        <v>0.7</v>
      </c>
      <c r="K291" s="49" t="s">
        <v>135</v>
      </c>
      <c r="L291" s="30" t="s">
        <v>136</v>
      </c>
      <c r="M291" s="49" t="s">
        <v>137</v>
      </c>
      <c r="N291" s="3">
        <v>0.9</v>
      </c>
      <c r="O291" s="10">
        <v>0.2</v>
      </c>
      <c r="P291" s="51"/>
      <c r="Q291" s="3">
        <f t="shared" si="13"/>
        <v>0</v>
      </c>
      <c r="R291" s="48">
        <f t="shared" si="14"/>
        <v>0</v>
      </c>
      <c r="S291" s="10" t="s">
        <v>23</v>
      </c>
      <c r="T291" s="193"/>
    </row>
    <row r="292" spans="1:20" ht="22.2" thickBot="1" x14ac:dyDescent="0.35">
      <c r="A292" s="142">
        <v>2078</v>
      </c>
      <c r="B292" s="81" t="s">
        <v>20</v>
      </c>
      <c r="C292" s="82" t="s">
        <v>267</v>
      </c>
      <c r="D292" s="113">
        <v>6234</v>
      </c>
      <c r="E292" s="81" t="s">
        <v>176</v>
      </c>
      <c r="F292" s="84" t="s">
        <v>145</v>
      </c>
      <c r="G292" s="209" t="s">
        <v>28</v>
      </c>
      <c r="H292" s="84" t="s">
        <v>385</v>
      </c>
      <c r="I292" s="85" t="s">
        <v>26</v>
      </c>
      <c r="J292" s="86">
        <v>0.3</v>
      </c>
      <c r="K292" s="115" t="s">
        <v>138</v>
      </c>
      <c r="L292" s="114" t="s">
        <v>139</v>
      </c>
      <c r="M292" s="115" t="s">
        <v>140</v>
      </c>
      <c r="N292" s="86">
        <v>1</v>
      </c>
      <c r="O292" s="91">
        <v>1</v>
      </c>
      <c r="P292" s="86"/>
      <c r="Q292" s="86">
        <f t="shared" si="13"/>
        <v>0</v>
      </c>
      <c r="R292" s="104">
        <f t="shared" si="14"/>
        <v>0</v>
      </c>
      <c r="S292" s="91" t="s">
        <v>23</v>
      </c>
      <c r="T292" s="147"/>
    </row>
    <row r="293" spans="1:20" ht="21.6" x14ac:dyDescent="0.3">
      <c r="A293" s="138">
        <v>2070</v>
      </c>
      <c r="B293" s="71" t="s">
        <v>20</v>
      </c>
      <c r="C293" s="72" t="s">
        <v>267</v>
      </c>
      <c r="D293" s="112">
        <v>6273</v>
      </c>
      <c r="E293" s="71" t="s">
        <v>177</v>
      </c>
      <c r="F293" s="74" t="s">
        <v>123</v>
      </c>
      <c r="G293" s="188" t="s">
        <v>28</v>
      </c>
      <c r="H293" s="74" t="s">
        <v>385</v>
      </c>
      <c r="I293" s="75" t="s">
        <v>22</v>
      </c>
      <c r="J293" s="76">
        <v>0.7</v>
      </c>
      <c r="K293" s="101" t="s">
        <v>513</v>
      </c>
      <c r="L293" s="105" t="s">
        <v>511</v>
      </c>
      <c r="M293" s="101" t="s">
        <v>411</v>
      </c>
      <c r="N293" s="76">
        <v>0.95</v>
      </c>
      <c r="O293" s="76">
        <v>0.15</v>
      </c>
      <c r="P293" s="76"/>
      <c r="Q293" s="76">
        <f t="shared" si="13"/>
        <v>0</v>
      </c>
      <c r="R293" s="80">
        <f t="shared" si="14"/>
        <v>0</v>
      </c>
      <c r="S293" s="76" t="s">
        <v>23</v>
      </c>
      <c r="T293" s="194">
        <f>SUM(R293:R300)%</f>
        <v>0</v>
      </c>
    </row>
    <row r="294" spans="1:20" ht="21.6" x14ac:dyDescent="0.3">
      <c r="A294" s="139">
        <v>2072</v>
      </c>
      <c r="B294" s="42" t="s">
        <v>20</v>
      </c>
      <c r="C294" s="43" t="s">
        <v>267</v>
      </c>
      <c r="D294" s="50">
        <v>6273</v>
      </c>
      <c r="E294" s="42" t="s">
        <v>177</v>
      </c>
      <c r="F294" s="45" t="s">
        <v>123</v>
      </c>
      <c r="G294" s="207" t="s">
        <v>28</v>
      </c>
      <c r="H294" s="45" t="s">
        <v>385</v>
      </c>
      <c r="I294" s="7" t="s">
        <v>22</v>
      </c>
      <c r="J294" s="3">
        <v>0.7</v>
      </c>
      <c r="K294" s="1" t="s">
        <v>124</v>
      </c>
      <c r="L294" s="8" t="s">
        <v>125</v>
      </c>
      <c r="M294" s="7" t="s">
        <v>126</v>
      </c>
      <c r="N294" s="3">
        <v>0.95</v>
      </c>
      <c r="O294" s="3">
        <v>0.15</v>
      </c>
      <c r="P294" s="6"/>
      <c r="Q294" s="3">
        <f t="shared" si="13"/>
        <v>0</v>
      </c>
      <c r="R294" s="4">
        <f t="shared" si="14"/>
        <v>0</v>
      </c>
      <c r="S294" s="3" t="s">
        <v>23</v>
      </c>
      <c r="T294" s="195"/>
    </row>
    <row r="295" spans="1:20" ht="21.6" x14ac:dyDescent="0.3">
      <c r="A295" s="139">
        <v>2073</v>
      </c>
      <c r="B295" s="42" t="s">
        <v>20</v>
      </c>
      <c r="C295" s="43" t="s">
        <v>267</v>
      </c>
      <c r="D295" s="50">
        <v>6273</v>
      </c>
      <c r="E295" s="42" t="s">
        <v>177</v>
      </c>
      <c r="F295" s="45" t="s">
        <v>123</v>
      </c>
      <c r="G295" s="207" t="s">
        <v>28</v>
      </c>
      <c r="H295" s="45" t="s">
        <v>385</v>
      </c>
      <c r="I295" s="7" t="s">
        <v>22</v>
      </c>
      <c r="J295" s="3">
        <v>0.7</v>
      </c>
      <c r="K295" s="1" t="s">
        <v>51</v>
      </c>
      <c r="L295" s="8" t="s">
        <v>127</v>
      </c>
      <c r="M295" s="7" t="s">
        <v>128</v>
      </c>
      <c r="N295" s="6">
        <v>0.05</v>
      </c>
      <c r="O295" s="3">
        <v>0.1</v>
      </c>
      <c r="P295" s="11"/>
      <c r="Q295" s="3">
        <f t="shared" si="13"/>
        <v>0</v>
      </c>
      <c r="R295" s="4">
        <f t="shared" si="14"/>
        <v>0</v>
      </c>
      <c r="S295" s="3" t="s">
        <v>24</v>
      </c>
      <c r="T295" s="195"/>
    </row>
    <row r="296" spans="1:20" ht="21.6" x14ac:dyDescent="0.3">
      <c r="A296" s="139">
        <v>2074</v>
      </c>
      <c r="B296" s="42" t="s">
        <v>20</v>
      </c>
      <c r="C296" s="43" t="s">
        <v>267</v>
      </c>
      <c r="D296" s="50">
        <v>6273</v>
      </c>
      <c r="E296" s="42" t="s">
        <v>177</v>
      </c>
      <c r="F296" s="45" t="s">
        <v>123</v>
      </c>
      <c r="G296" s="207" t="s">
        <v>28</v>
      </c>
      <c r="H296" s="45" t="s">
        <v>385</v>
      </c>
      <c r="I296" s="7" t="s">
        <v>22</v>
      </c>
      <c r="J296" s="3">
        <v>0.7</v>
      </c>
      <c r="K296" s="1" t="s">
        <v>305</v>
      </c>
      <c r="L296" s="8" t="s">
        <v>257</v>
      </c>
      <c r="M296" s="13" t="s">
        <v>306</v>
      </c>
      <c r="N296" s="3">
        <v>0.95</v>
      </c>
      <c r="O296" s="3">
        <v>0.1</v>
      </c>
      <c r="P296" s="3"/>
      <c r="Q296" s="3">
        <f t="shared" si="13"/>
        <v>0</v>
      </c>
      <c r="R296" s="4">
        <f t="shared" si="14"/>
        <v>0</v>
      </c>
      <c r="S296" s="3" t="s">
        <v>23</v>
      </c>
      <c r="T296" s="195"/>
    </row>
    <row r="297" spans="1:20" ht="21.6" x14ac:dyDescent="0.3">
      <c r="A297" s="139">
        <v>2075</v>
      </c>
      <c r="B297" s="42" t="s">
        <v>20</v>
      </c>
      <c r="C297" s="43" t="s">
        <v>267</v>
      </c>
      <c r="D297" s="50">
        <v>6273</v>
      </c>
      <c r="E297" s="42" t="s">
        <v>177</v>
      </c>
      <c r="F297" s="45" t="s">
        <v>123</v>
      </c>
      <c r="G297" s="207" t="s">
        <v>28</v>
      </c>
      <c r="H297" s="45" t="s">
        <v>385</v>
      </c>
      <c r="I297" s="47" t="s">
        <v>22</v>
      </c>
      <c r="J297" s="3">
        <v>0.7</v>
      </c>
      <c r="K297" s="49" t="s">
        <v>129</v>
      </c>
      <c r="L297" s="30" t="s">
        <v>130</v>
      </c>
      <c r="M297" s="47" t="s">
        <v>131</v>
      </c>
      <c r="N297" s="3">
        <v>0.9</v>
      </c>
      <c r="O297" s="10">
        <v>0.2</v>
      </c>
      <c r="P297" s="3"/>
      <c r="Q297" s="3">
        <f t="shared" si="13"/>
        <v>0</v>
      </c>
      <c r="R297" s="48">
        <f t="shared" si="14"/>
        <v>0</v>
      </c>
      <c r="S297" s="10" t="s">
        <v>23</v>
      </c>
      <c r="T297" s="193"/>
    </row>
    <row r="298" spans="1:20" ht="21.6" x14ac:dyDescent="0.3">
      <c r="A298" s="139">
        <v>2076</v>
      </c>
      <c r="B298" s="42" t="s">
        <v>20</v>
      </c>
      <c r="C298" s="43" t="s">
        <v>267</v>
      </c>
      <c r="D298" s="50">
        <v>6273</v>
      </c>
      <c r="E298" s="42" t="s">
        <v>177</v>
      </c>
      <c r="F298" s="45" t="s">
        <v>123</v>
      </c>
      <c r="G298" s="207" t="s">
        <v>28</v>
      </c>
      <c r="H298" s="45" t="s">
        <v>385</v>
      </c>
      <c r="I298" s="47" t="s">
        <v>22</v>
      </c>
      <c r="J298" s="3">
        <v>0.7</v>
      </c>
      <c r="K298" s="49" t="s">
        <v>132</v>
      </c>
      <c r="L298" s="30" t="s">
        <v>133</v>
      </c>
      <c r="M298" s="47" t="s">
        <v>134</v>
      </c>
      <c r="N298" s="4">
        <v>0</v>
      </c>
      <c r="O298" s="10">
        <v>0.1</v>
      </c>
      <c r="P298" s="3"/>
      <c r="Q298" s="3">
        <f t="shared" si="13"/>
        <v>0</v>
      </c>
      <c r="R298" s="48">
        <f t="shared" si="14"/>
        <v>0</v>
      </c>
      <c r="S298" s="10" t="s">
        <v>24</v>
      </c>
      <c r="T298" s="193"/>
    </row>
    <row r="299" spans="1:20" ht="21.6" x14ac:dyDescent="0.3">
      <c r="A299" s="139">
        <v>2077</v>
      </c>
      <c r="B299" s="42" t="s">
        <v>20</v>
      </c>
      <c r="C299" s="43" t="s">
        <v>267</v>
      </c>
      <c r="D299" s="50">
        <v>6273</v>
      </c>
      <c r="E299" s="42" t="s">
        <v>177</v>
      </c>
      <c r="F299" s="45" t="s">
        <v>123</v>
      </c>
      <c r="G299" s="207" t="s">
        <v>28</v>
      </c>
      <c r="H299" s="45" t="s">
        <v>385</v>
      </c>
      <c r="I299" s="47" t="s">
        <v>22</v>
      </c>
      <c r="J299" s="3">
        <v>0.7</v>
      </c>
      <c r="K299" s="49" t="s">
        <v>135</v>
      </c>
      <c r="L299" s="30" t="s">
        <v>136</v>
      </c>
      <c r="M299" s="49" t="s">
        <v>137</v>
      </c>
      <c r="N299" s="3">
        <v>0.9</v>
      </c>
      <c r="O299" s="10">
        <v>0.2</v>
      </c>
      <c r="P299" s="51"/>
      <c r="Q299" s="3">
        <f t="shared" si="13"/>
        <v>0</v>
      </c>
      <c r="R299" s="48">
        <f t="shared" si="14"/>
        <v>0</v>
      </c>
      <c r="S299" s="10" t="s">
        <v>23</v>
      </c>
      <c r="T299" s="193"/>
    </row>
    <row r="300" spans="1:20" ht="22.2" thickBot="1" x14ac:dyDescent="0.35">
      <c r="A300" s="142">
        <v>2078</v>
      </c>
      <c r="B300" s="81" t="s">
        <v>20</v>
      </c>
      <c r="C300" s="82" t="s">
        <v>267</v>
      </c>
      <c r="D300" s="113">
        <v>6273</v>
      </c>
      <c r="E300" s="81" t="s">
        <v>177</v>
      </c>
      <c r="F300" s="84" t="s">
        <v>123</v>
      </c>
      <c r="G300" s="209" t="s">
        <v>28</v>
      </c>
      <c r="H300" s="84" t="s">
        <v>385</v>
      </c>
      <c r="I300" s="85" t="s">
        <v>26</v>
      </c>
      <c r="J300" s="86">
        <v>0.3</v>
      </c>
      <c r="K300" s="115" t="s">
        <v>138</v>
      </c>
      <c r="L300" s="114" t="s">
        <v>139</v>
      </c>
      <c r="M300" s="115" t="s">
        <v>140</v>
      </c>
      <c r="N300" s="86">
        <v>1</v>
      </c>
      <c r="O300" s="91">
        <v>1</v>
      </c>
      <c r="P300" s="86"/>
      <c r="Q300" s="86">
        <f t="shared" ref="Q300:Q363" si="15">ROUND(IF(OR(N300="",P300=""),0,IF(AND(N300=0,P300=0),1,IF(S300="+",P300/N300,N300/P300))),2)</f>
        <v>0</v>
      </c>
      <c r="R300" s="104">
        <f t="shared" si="14"/>
        <v>0</v>
      </c>
      <c r="S300" s="91" t="s">
        <v>23</v>
      </c>
      <c r="T300" s="147"/>
    </row>
    <row r="301" spans="1:20" ht="21.6" x14ac:dyDescent="0.3">
      <c r="A301" s="138">
        <v>2070</v>
      </c>
      <c r="B301" s="71" t="s">
        <v>20</v>
      </c>
      <c r="C301" s="72" t="s">
        <v>267</v>
      </c>
      <c r="D301" s="112">
        <v>6424</v>
      </c>
      <c r="E301" s="71" t="s">
        <v>178</v>
      </c>
      <c r="F301" s="74" t="s">
        <v>123</v>
      </c>
      <c r="G301" s="188" t="s">
        <v>28</v>
      </c>
      <c r="H301" s="74" t="s">
        <v>385</v>
      </c>
      <c r="I301" s="75" t="s">
        <v>22</v>
      </c>
      <c r="J301" s="76">
        <v>0.7</v>
      </c>
      <c r="K301" s="101" t="s">
        <v>513</v>
      </c>
      <c r="L301" s="105" t="s">
        <v>511</v>
      </c>
      <c r="M301" s="101" t="s">
        <v>411</v>
      </c>
      <c r="N301" s="76">
        <v>0.95</v>
      </c>
      <c r="O301" s="76">
        <v>0.15</v>
      </c>
      <c r="P301" s="76"/>
      <c r="Q301" s="76">
        <f t="shared" si="15"/>
        <v>0</v>
      </c>
      <c r="R301" s="80">
        <f t="shared" si="14"/>
        <v>0</v>
      </c>
      <c r="S301" s="76" t="s">
        <v>23</v>
      </c>
      <c r="T301" s="194">
        <f>SUM(R301:R308)%</f>
        <v>0</v>
      </c>
    </row>
    <row r="302" spans="1:20" ht="21.6" x14ac:dyDescent="0.3">
      <c r="A302" s="139">
        <v>2072</v>
      </c>
      <c r="B302" s="42" t="s">
        <v>20</v>
      </c>
      <c r="C302" s="43" t="s">
        <v>267</v>
      </c>
      <c r="D302" s="50">
        <v>6426</v>
      </c>
      <c r="E302" s="42" t="s">
        <v>178</v>
      </c>
      <c r="F302" s="45" t="s">
        <v>123</v>
      </c>
      <c r="G302" s="207" t="s">
        <v>28</v>
      </c>
      <c r="H302" s="45" t="s">
        <v>385</v>
      </c>
      <c r="I302" s="7" t="s">
        <v>22</v>
      </c>
      <c r="J302" s="3">
        <v>0.7</v>
      </c>
      <c r="K302" s="1" t="s">
        <v>124</v>
      </c>
      <c r="L302" s="8" t="s">
        <v>125</v>
      </c>
      <c r="M302" s="7" t="s">
        <v>126</v>
      </c>
      <c r="N302" s="3">
        <v>0.95</v>
      </c>
      <c r="O302" s="3">
        <v>0.15</v>
      </c>
      <c r="P302" s="6"/>
      <c r="Q302" s="3">
        <f t="shared" si="15"/>
        <v>0</v>
      </c>
      <c r="R302" s="4">
        <f t="shared" si="14"/>
        <v>0</v>
      </c>
      <c r="S302" s="3" t="s">
        <v>23</v>
      </c>
      <c r="T302" s="195"/>
    </row>
    <row r="303" spans="1:20" ht="21.6" x14ac:dyDescent="0.3">
      <c r="A303" s="139">
        <v>2073</v>
      </c>
      <c r="B303" s="42" t="s">
        <v>20</v>
      </c>
      <c r="C303" s="43" t="s">
        <v>267</v>
      </c>
      <c r="D303" s="50">
        <v>6427</v>
      </c>
      <c r="E303" s="42" t="s">
        <v>178</v>
      </c>
      <c r="F303" s="45" t="s">
        <v>123</v>
      </c>
      <c r="G303" s="207" t="s">
        <v>28</v>
      </c>
      <c r="H303" s="45" t="s">
        <v>385</v>
      </c>
      <c r="I303" s="7" t="s">
        <v>22</v>
      </c>
      <c r="J303" s="3">
        <v>0.7</v>
      </c>
      <c r="K303" s="1" t="s">
        <v>51</v>
      </c>
      <c r="L303" s="8" t="s">
        <v>127</v>
      </c>
      <c r="M303" s="7" t="s">
        <v>128</v>
      </c>
      <c r="N303" s="6">
        <v>0.05</v>
      </c>
      <c r="O303" s="3">
        <v>0.1</v>
      </c>
      <c r="P303" s="11"/>
      <c r="Q303" s="3">
        <f t="shared" si="15"/>
        <v>0</v>
      </c>
      <c r="R303" s="4">
        <f t="shared" si="14"/>
        <v>0</v>
      </c>
      <c r="S303" s="3" t="s">
        <v>24</v>
      </c>
      <c r="T303" s="195"/>
    </row>
    <row r="304" spans="1:20" ht="21.6" x14ac:dyDescent="0.3">
      <c r="A304" s="139">
        <v>2074</v>
      </c>
      <c r="B304" s="42" t="s">
        <v>20</v>
      </c>
      <c r="C304" s="43" t="s">
        <v>267</v>
      </c>
      <c r="D304" s="50">
        <v>6428</v>
      </c>
      <c r="E304" s="42" t="s">
        <v>178</v>
      </c>
      <c r="F304" s="45" t="s">
        <v>123</v>
      </c>
      <c r="G304" s="207" t="s">
        <v>28</v>
      </c>
      <c r="H304" s="45" t="s">
        <v>385</v>
      </c>
      <c r="I304" s="7" t="s">
        <v>22</v>
      </c>
      <c r="J304" s="3">
        <v>0.7</v>
      </c>
      <c r="K304" s="1" t="s">
        <v>305</v>
      </c>
      <c r="L304" s="8" t="s">
        <v>257</v>
      </c>
      <c r="M304" s="13" t="s">
        <v>306</v>
      </c>
      <c r="N304" s="3">
        <v>0.95</v>
      </c>
      <c r="O304" s="3">
        <v>0.1</v>
      </c>
      <c r="P304" s="3"/>
      <c r="Q304" s="3">
        <f t="shared" si="15"/>
        <v>0</v>
      </c>
      <c r="R304" s="4">
        <f t="shared" si="14"/>
        <v>0</v>
      </c>
      <c r="S304" s="3" t="s">
        <v>23</v>
      </c>
      <c r="T304" s="195"/>
    </row>
    <row r="305" spans="1:20" ht="21.6" x14ac:dyDescent="0.3">
      <c r="A305" s="139">
        <v>2075</v>
      </c>
      <c r="B305" s="42" t="s">
        <v>20</v>
      </c>
      <c r="C305" s="43" t="s">
        <v>267</v>
      </c>
      <c r="D305" s="50">
        <v>6429</v>
      </c>
      <c r="E305" s="42" t="s">
        <v>178</v>
      </c>
      <c r="F305" s="45" t="s">
        <v>123</v>
      </c>
      <c r="G305" s="207" t="s">
        <v>28</v>
      </c>
      <c r="H305" s="45" t="s">
        <v>385</v>
      </c>
      <c r="I305" s="47" t="s">
        <v>22</v>
      </c>
      <c r="J305" s="3">
        <v>0.7</v>
      </c>
      <c r="K305" s="49" t="s">
        <v>129</v>
      </c>
      <c r="L305" s="30" t="s">
        <v>130</v>
      </c>
      <c r="M305" s="47" t="s">
        <v>131</v>
      </c>
      <c r="N305" s="3">
        <v>0.9</v>
      </c>
      <c r="O305" s="10">
        <v>0.2</v>
      </c>
      <c r="P305" s="3"/>
      <c r="Q305" s="3">
        <f t="shared" si="15"/>
        <v>0</v>
      </c>
      <c r="R305" s="48">
        <f t="shared" si="14"/>
        <v>0</v>
      </c>
      <c r="S305" s="10" t="s">
        <v>23</v>
      </c>
      <c r="T305" s="193"/>
    </row>
    <row r="306" spans="1:20" ht="21.6" x14ac:dyDescent="0.3">
      <c r="A306" s="139">
        <v>2076</v>
      </c>
      <c r="B306" s="42" t="s">
        <v>20</v>
      </c>
      <c r="C306" s="43" t="s">
        <v>267</v>
      </c>
      <c r="D306" s="50">
        <v>6430</v>
      </c>
      <c r="E306" s="42" t="s">
        <v>178</v>
      </c>
      <c r="F306" s="45" t="s">
        <v>123</v>
      </c>
      <c r="G306" s="207" t="s">
        <v>28</v>
      </c>
      <c r="H306" s="45" t="s">
        <v>385</v>
      </c>
      <c r="I306" s="47" t="s">
        <v>22</v>
      </c>
      <c r="J306" s="3">
        <v>0.7</v>
      </c>
      <c r="K306" s="49" t="s">
        <v>132</v>
      </c>
      <c r="L306" s="30" t="s">
        <v>133</v>
      </c>
      <c r="M306" s="47" t="s">
        <v>134</v>
      </c>
      <c r="N306" s="4">
        <v>0</v>
      </c>
      <c r="O306" s="10">
        <v>0.1</v>
      </c>
      <c r="P306" s="3"/>
      <c r="Q306" s="3">
        <f t="shared" si="15"/>
        <v>0</v>
      </c>
      <c r="R306" s="48">
        <f t="shared" si="14"/>
        <v>0</v>
      </c>
      <c r="S306" s="10" t="s">
        <v>24</v>
      </c>
      <c r="T306" s="193"/>
    </row>
    <row r="307" spans="1:20" ht="21.6" x14ac:dyDescent="0.3">
      <c r="A307" s="139">
        <v>2077</v>
      </c>
      <c r="B307" s="42" t="s">
        <v>20</v>
      </c>
      <c r="C307" s="43" t="s">
        <v>267</v>
      </c>
      <c r="D307" s="50">
        <v>6431</v>
      </c>
      <c r="E307" s="42" t="s">
        <v>178</v>
      </c>
      <c r="F307" s="45" t="s">
        <v>123</v>
      </c>
      <c r="G307" s="207" t="s">
        <v>28</v>
      </c>
      <c r="H307" s="45" t="s">
        <v>385</v>
      </c>
      <c r="I307" s="47" t="s">
        <v>22</v>
      </c>
      <c r="J307" s="3">
        <v>0.7</v>
      </c>
      <c r="K307" s="49" t="s">
        <v>135</v>
      </c>
      <c r="L307" s="30" t="s">
        <v>136</v>
      </c>
      <c r="M307" s="49" t="s">
        <v>137</v>
      </c>
      <c r="N307" s="3">
        <v>0.9</v>
      </c>
      <c r="O307" s="10">
        <v>0.2</v>
      </c>
      <c r="P307" s="51"/>
      <c r="Q307" s="3">
        <f t="shared" si="15"/>
        <v>0</v>
      </c>
      <c r="R307" s="48">
        <f t="shared" si="14"/>
        <v>0</v>
      </c>
      <c r="S307" s="10" t="s">
        <v>23</v>
      </c>
      <c r="T307" s="193"/>
    </row>
    <row r="308" spans="1:20" ht="22.2" thickBot="1" x14ac:dyDescent="0.35">
      <c r="A308" s="142">
        <v>2078</v>
      </c>
      <c r="B308" s="81" t="s">
        <v>20</v>
      </c>
      <c r="C308" s="82" t="s">
        <v>267</v>
      </c>
      <c r="D308" s="113">
        <v>6432</v>
      </c>
      <c r="E308" s="81" t="s">
        <v>178</v>
      </c>
      <c r="F308" s="84" t="s">
        <v>123</v>
      </c>
      <c r="G308" s="209" t="s">
        <v>28</v>
      </c>
      <c r="H308" s="84" t="s">
        <v>385</v>
      </c>
      <c r="I308" s="85" t="s">
        <v>26</v>
      </c>
      <c r="J308" s="86">
        <v>0.3</v>
      </c>
      <c r="K308" s="115" t="s">
        <v>138</v>
      </c>
      <c r="L308" s="114" t="s">
        <v>139</v>
      </c>
      <c r="M308" s="115" t="s">
        <v>140</v>
      </c>
      <c r="N308" s="86">
        <v>1</v>
      </c>
      <c r="O308" s="91">
        <v>1</v>
      </c>
      <c r="P308" s="86"/>
      <c r="Q308" s="86">
        <f t="shared" si="15"/>
        <v>0</v>
      </c>
      <c r="R308" s="104">
        <f t="shared" si="14"/>
        <v>0</v>
      </c>
      <c r="S308" s="91" t="s">
        <v>23</v>
      </c>
      <c r="T308" s="147"/>
    </row>
    <row r="309" spans="1:20" ht="21.6" x14ac:dyDescent="0.3">
      <c r="A309" s="138">
        <v>2070</v>
      </c>
      <c r="B309" s="71" t="s">
        <v>20</v>
      </c>
      <c r="C309" s="72" t="s">
        <v>267</v>
      </c>
      <c r="D309" s="112">
        <v>6523</v>
      </c>
      <c r="E309" s="71" t="s">
        <v>183</v>
      </c>
      <c r="F309" s="74" t="s">
        <v>145</v>
      </c>
      <c r="G309" s="188" t="s">
        <v>28</v>
      </c>
      <c r="H309" s="74" t="s">
        <v>385</v>
      </c>
      <c r="I309" s="75" t="s">
        <v>22</v>
      </c>
      <c r="J309" s="76">
        <v>0.7</v>
      </c>
      <c r="K309" s="101" t="s">
        <v>513</v>
      </c>
      <c r="L309" s="105" t="s">
        <v>511</v>
      </c>
      <c r="M309" s="101" t="s">
        <v>411</v>
      </c>
      <c r="N309" s="76">
        <v>0.95</v>
      </c>
      <c r="O309" s="76">
        <v>0.15</v>
      </c>
      <c r="P309" s="76"/>
      <c r="Q309" s="76">
        <f t="shared" si="15"/>
        <v>0</v>
      </c>
      <c r="R309" s="80">
        <f t="shared" si="14"/>
        <v>0</v>
      </c>
      <c r="S309" s="76" t="s">
        <v>23</v>
      </c>
      <c r="T309" s="194">
        <f>SUM(R309:R316)%</f>
        <v>0</v>
      </c>
    </row>
    <row r="310" spans="1:20" ht="21.6" x14ac:dyDescent="0.3">
      <c r="A310" s="139">
        <v>2072</v>
      </c>
      <c r="B310" s="42" t="s">
        <v>20</v>
      </c>
      <c r="C310" s="43" t="s">
        <v>267</v>
      </c>
      <c r="D310" s="50">
        <v>6523</v>
      </c>
      <c r="E310" s="42" t="s">
        <v>183</v>
      </c>
      <c r="F310" s="45" t="s">
        <v>145</v>
      </c>
      <c r="G310" s="207" t="s">
        <v>28</v>
      </c>
      <c r="H310" s="45" t="s">
        <v>385</v>
      </c>
      <c r="I310" s="7" t="s">
        <v>22</v>
      </c>
      <c r="J310" s="3">
        <v>0.7</v>
      </c>
      <c r="K310" s="1" t="s">
        <v>124</v>
      </c>
      <c r="L310" s="8" t="s">
        <v>125</v>
      </c>
      <c r="M310" s="7" t="s">
        <v>126</v>
      </c>
      <c r="N310" s="3">
        <v>0.95</v>
      </c>
      <c r="O310" s="3">
        <v>0.15</v>
      </c>
      <c r="P310" s="6"/>
      <c r="Q310" s="3">
        <f t="shared" si="15"/>
        <v>0</v>
      </c>
      <c r="R310" s="4">
        <f t="shared" si="14"/>
        <v>0</v>
      </c>
      <c r="S310" s="3" t="s">
        <v>23</v>
      </c>
      <c r="T310" s="195"/>
    </row>
    <row r="311" spans="1:20" ht="21.6" x14ac:dyDescent="0.3">
      <c r="A311" s="139">
        <v>2073</v>
      </c>
      <c r="B311" s="42" t="s">
        <v>20</v>
      </c>
      <c r="C311" s="43" t="s">
        <v>267</v>
      </c>
      <c r="D311" s="50">
        <v>6523</v>
      </c>
      <c r="E311" s="42" t="s">
        <v>183</v>
      </c>
      <c r="F311" s="45" t="s">
        <v>145</v>
      </c>
      <c r="G311" s="207" t="s">
        <v>28</v>
      </c>
      <c r="H311" s="45" t="s">
        <v>385</v>
      </c>
      <c r="I311" s="7" t="s">
        <v>22</v>
      </c>
      <c r="J311" s="3">
        <v>0.7</v>
      </c>
      <c r="K311" s="1" t="s">
        <v>51</v>
      </c>
      <c r="L311" s="8" t="s">
        <v>127</v>
      </c>
      <c r="M311" s="7" t="s">
        <v>128</v>
      </c>
      <c r="N311" s="6">
        <v>0.05</v>
      </c>
      <c r="O311" s="3">
        <v>0.1</v>
      </c>
      <c r="P311" s="11"/>
      <c r="Q311" s="3">
        <f t="shared" si="15"/>
        <v>0</v>
      </c>
      <c r="R311" s="4">
        <f t="shared" si="14"/>
        <v>0</v>
      </c>
      <c r="S311" s="3" t="s">
        <v>24</v>
      </c>
      <c r="T311" s="195"/>
    </row>
    <row r="312" spans="1:20" ht="21.6" x14ac:dyDescent="0.3">
      <c r="A312" s="139">
        <v>2074</v>
      </c>
      <c r="B312" s="42" t="s">
        <v>20</v>
      </c>
      <c r="C312" s="43" t="s">
        <v>267</v>
      </c>
      <c r="D312" s="50">
        <v>6523</v>
      </c>
      <c r="E312" s="42" t="s">
        <v>183</v>
      </c>
      <c r="F312" s="45" t="s">
        <v>145</v>
      </c>
      <c r="G312" s="207" t="s">
        <v>28</v>
      </c>
      <c r="H312" s="45" t="s">
        <v>385</v>
      </c>
      <c r="I312" s="7" t="s">
        <v>22</v>
      </c>
      <c r="J312" s="3">
        <v>0.7</v>
      </c>
      <c r="K312" s="1" t="s">
        <v>305</v>
      </c>
      <c r="L312" s="8" t="s">
        <v>257</v>
      </c>
      <c r="M312" s="13" t="s">
        <v>306</v>
      </c>
      <c r="N312" s="3">
        <v>0.95</v>
      </c>
      <c r="O312" s="3">
        <v>0.1</v>
      </c>
      <c r="P312" s="3"/>
      <c r="Q312" s="3">
        <f t="shared" si="15"/>
        <v>0</v>
      </c>
      <c r="R312" s="4">
        <f t="shared" si="14"/>
        <v>0</v>
      </c>
      <c r="S312" s="3" t="s">
        <v>23</v>
      </c>
      <c r="T312" s="195"/>
    </row>
    <row r="313" spans="1:20" ht="21.6" x14ac:dyDescent="0.3">
      <c r="A313" s="139">
        <v>2075</v>
      </c>
      <c r="B313" s="42" t="s">
        <v>20</v>
      </c>
      <c r="C313" s="43" t="s">
        <v>267</v>
      </c>
      <c r="D313" s="50">
        <v>6523</v>
      </c>
      <c r="E313" s="42" t="s">
        <v>183</v>
      </c>
      <c r="F313" s="45" t="s">
        <v>145</v>
      </c>
      <c r="G313" s="207" t="s">
        <v>28</v>
      </c>
      <c r="H313" s="45" t="s">
        <v>385</v>
      </c>
      <c r="I313" s="47" t="s">
        <v>22</v>
      </c>
      <c r="J313" s="3">
        <v>0.7</v>
      </c>
      <c r="K313" s="49" t="s">
        <v>129</v>
      </c>
      <c r="L313" s="30" t="s">
        <v>130</v>
      </c>
      <c r="M313" s="47" t="s">
        <v>131</v>
      </c>
      <c r="N313" s="3">
        <v>0.9</v>
      </c>
      <c r="O313" s="10">
        <v>0.2</v>
      </c>
      <c r="P313" s="3"/>
      <c r="Q313" s="3">
        <f t="shared" si="15"/>
        <v>0</v>
      </c>
      <c r="R313" s="48">
        <f t="shared" si="14"/>
        <v>0</v>
      </c>
      <c r="S313" s="10" t="s">
        <v>23</v>
      </c>
      <c r="T313" s="193"/>
    </row>
    <row r="314" spans="1:20" ht="21.6" x14ac:dyDescent="0.3">
      <c r="A314" s="139">
        <v>2076</v>
      </c>
      <c r="B314" s="42" t="s">
        <v>20</v>
      </c>
      <c r="C314" s="43" t="s">
        <v>267</v>
      </c>
      <c r="D314" s="50">
        <v>6523</v>
      </c>
      <c r="E314" s="42" t="s">
        <v>183</v>
      </c>
      <c r="F314" s="45" t="s">
        <v>145</v>
      </c>
      <c r="G314" s="207" t="s">
        <v>28</v>
      </c>
      <c r="H314" s="45" t="s">
        <v>385</v>
      </c>
      <c r="I314" s="47" t="s">
        <v>22</v>
      </c>
      <c r="J314" s="3">
        <v>0.7</v>
      </c>
      <c r="K314" s="49" t="s">
        <v>132</v>
      </c>
      <c r="L314" s="30" t="s">
        <v>133</v>
      </c>
      <c r="M314" s="47" t="s">
        <v>134</v>
      </c>
      <c r="N314" s="4">
        <v>0</v>
      </c>
      <c r="O314" s="10">
        <v>0.1</v>
      </c>
      <c r="P314" s="3"/>
      <c r="Q314" s="3">
        <f t="shared" si="15"/>
        <v>0</v>
      </c>
      <c r="R314" s="48">
        <f t="shared" si="14"/>
        <v>0</v>
      </c>
      <c r="S314" s="10" t="s">
        <v>24</v>
      </c>
      <c r="T314" s="193"/>
    </row>
    <row r="315" spans="1:20" ht="21.6" x14ac:dyDescent="0.3">
      <c r="A315" s="139">
        <v>2077</v>
      </c>
      <c r="B315" s="42" t="s">
        <v>20</v>
      </c>
      <c r="C315" s="43" t="s">
        <v>267</v>
      </c>
      <c r="D315" s="50">
        <v>6523</v>
      </c>
      <c r="E315" s="42" t="s">
        <v>183</v>
      </c>
      <c r="F315" s="45" t="s">
        <v>145</v>
      </c>
      <c r="G315" s="207" t="s">
        <v>28</v>
      </c>
      <c r="H315" s="45" t="s">
        <v>385</v>
      </c>
      <c r="I315" s="47" t="s">
        <v>22</v>
      </c>
      <c r="J315" s="3">
        <v>0.7</v>
      </c>
      <c r="K315" s="49" t="s">
        <v>135</v>
      </c>
      <c r="L315" s="30" t="s">
        <v>136</v>
      </c>
      <c r="M315" s="49" t="s">
        <v>137</v>
      </c>
      <c r="N315" s="3">
        <v>0.9</v>
      </c>
      <c r="O315" s="10">
        <v>0.2</v>
      </c>
      <c r="P315" s="51"/>
      <c r="Q315" s="3">
        <f t="shared" si="15"/>
        <v>0</v>
      </c>
      <c r="R315" s="48">
        <f t="shared" si="14"/>
        <v>0</v>
      </c>
      <c r="S315" s="10" t="s">
        <v>23</v>
      </c>
      <c r="T315" s="193"/>
    </row>
    <row r="316" spans="1:20" ht="22.2" thickBot="1" x14ac:dyDescent="0.35">
      <c r="A316" s="142">
        <v>2078</v>
      </c>
      <c r="B316" s="81" t="s">
        <v>20</v>
      </c>
      <c r="C316" s="82" t="s">
        <v>267</v>
      </c>
      <c r="D316" s="113">
        <v>6523</v>
      </c>
      <c r="E316" s="81" t="s">
        <v>183</v>
      </c>
      <c r="F316" s="84" t="s">
        <v>145</v>
      </c>
      <c r="G316" s="209" t="s">
        <v>28</v>
      </c>
      <c r="H316" s="84" t="s">
        <v>385</v>
      </c>
      <c r="I316" s="85" t="s">
        <v>26</v>
      </c>
      <c r="J316" s="86">
        <v>0.3</v>
      </c>
      <c r="K316" s="115" t="s">
        <v>138</v>
      </c>
      <c r="L316" s="114" t="s">
        <v>139</v>
      </c>
      <c r="M316" s="115" t="s">
        <v>140</v>
      </c>
      <c r="N316" s="86">
        <v>1</v>
      </c>
      <c r="O316" s="91">
        <v>1</v>
      </c>
      <c r="P316" s="86"/>
      <c r="Q316" s="86">
        <f t="shared" si="15"/>
        <v>0</v>
      </c>
      <c r="R316" s="104">
        <f t="shared" si="14"/>
        <v>0</v>
      </c>
      <c r="S316" s="91" t="s">
        <v>23</v>
      </c>
      <c r="T316" s="147"/>
    </row>
    <row r="317" spans="1:20" ht="21.6" x14ac:dyDescent="0.3">
      <c r="A317" s="138">
        <v>2070</v>
      </c>
      <c r="B317" s="71" t="s">
        <v>20</v>
      </c>
      <c r="C317" s="72" t="s">
        <v>267</v>
      </c>
      <c r="D317" s="112">
        <v>6544</v>
      </c>
      <c r="E317" s="71" t="s">
        <v>258</v>
      </c>
      <c r="F317" s="74" t="s">
        <v>123</v>
      </c>
      <c r="G317" s="188" t="s">
        <v>28</v>
      </c>
      <c r="H317" s="74" t="s">
        <v>385</v>
      </c>
      <c r="I317" s="75" t="s">
        <v>22</v>
      </c>
      <c r="J317" s="76">
        <v>0.7</v>
      </c>
      <c r="K317" s="101" t="s">
        <v>513</v>
      </c>
      <c r="L317" s="105" t="s">
        <v>511</v>
      </c>
      <c r="M317" s="101" t="s">
        <v>411</v>
      </c>
      <c r="N317" s="76">
        <v>0.95</v>
      </c>
      <c r="O317" s="76">
        <v>0.15</v>
      </c>
      <c r="P317" s="76"/>
      <c r="Q317" s="76">
        <f t="shared" si="15"/>
        <v>0</v>
      </c>
      <c r="R317" s="80">
        <f t="shared" ref="R317:R380" si="16">IF(AND(Q317&gt;=60%,Q317&lt;100%),Q317*((O317*J317)),IF(Q317=100%,((O317*J317)*Q317)*100%,IF(Q317&gt;100%,((J317*O317)*100%)*100%,0)))*100</f>
        <v>0</v>
      </c>
      <c r="S317" s="76" t="s">
        <v>23</v>
      </c>
      <c r="T317" s="194">
        <f>SUM(R317:R324)%</f>
        <v>0</v>
      </c>
    </row>
    <row r="318" spans="1:20" ht="21.6" x14ac:dyDescent="0.3">
      <c r="A318" s="139">
        <v>2072</v>
      </c>
      <c r="B318" s="42" t="s">
        <v>20</v>
      </c>
      <c r="C318" s="43" t="s">
        <v>267</v>
      </c>
      <c r="D318" s="50">
        <v>6544</v>
      </c>
      <c r="E318" s="42" t="s">
        <v>258</v>
      </c>
      <c r="F318" s="45" t="s">
        <v>123</v>
      </c>
      <c r="G318" s="207" t="s">
        <v>28</v>
      </c>
      <c r="H318" s="45" t="s">
        <v>385</v>
      </c>
      <c r="I318" s="7" t="s">
        <v>22</v>
      </c>
      <c r="J318" s="3">
        <v>0.7</v>
      </c>
      <c r="K318" s="1" t="s">
        <v>124</v>
      </c>
      <c r="L318" s="8" t="s">
        <v>125</v>
      </c>
      <c r="M318" s="7" t="s">
        <v>126</v>
      </c>
      <c r="N318" s="3">
        <v>0.95</v>
      </c>
      <c r="O318" s="3">
        <v>0.15</v>
      </c>
      <c r="P318" s="6"/>
      <c r="Q318" s="3">
        <f t="shared" si="15"/>
        <v>0</v>
      </c>
      <c r="R318" s="4">
        <f t="shared" si="16"/>
        <v>0</v>
      </c>
      <c r="S318" s="3" t="s">
        <v>23</v>
      </c>
      <c r="T318" s="195"/>
    </row>
    <row r="319" spans="1:20" ht="21.6" x14ac:dyDescent="0.3">
      <c r="A319" s="139">
        <v>2073</v>
      </c>
      <c r="B319" s="42" t="s">
        <v>20</v>
      </c>
      <c r="C319" s="43" t="s">
        <v>267</v>
      </c>
      <c r="D319" s="50">
        <v>6544</v>
      </c>
      <c r="E319" s="42" t="s">
        <v>258</v>
      </c>
      <c r="F319" s="45" t="s">
        <v>123</v>
      </c>
      <c r="G319" s="207" t="s">
        <v>28</v>
      </c>
      <c r="H319" s="45" t="s">
        <v>385</v>
      </c>
      <c r="I319" s="7" t="s">
        <v>22</v>
      </c>
      <c r="J319" s="3">
        <v>0.7</v>
      </c>
      <c r="K319" s="1" t="s">
        <v>51</v>
      </c>
      <c r="L319" s="8" t="s">
        <v>127</v>
      </c>
      <c r="M319" s="7" t="s">
        <v>128</v>
      </c>
      <c r="N319" s="6">
        <v>0.05</v>
      </c>
      <c r="O319" s="3">
        <v>0.1</v>
      </c>
      <c r="P319" s="11"/>
      <c r="Q319" s="3">
        <f t="shared" si="15"/>
        <v>0</v>
      </c>
      <c r="R319" s="4">
        <f t="shared" si="16"/>
        <v>0</v>
      </c>
      <c r="S319" s="3" t="s">
        <v>24</v>
      </c>
      <c r="T319" s="195"/>
    </row>
    <row r="320" spans="1:20" ht="21.6" x14ac:dyDescent="0.3">
      <c r="A320" s="139">
        <v>2074</v>
      </c>
      <c r="B320" s="42" t="s">
        <v>20</v>
      </c>
      <c r="C320" s="43" t="s">
        <v>267</v>
      </c>
      <c r="D320" s="50">
        <v>6544</v>
      </c>
      <c r="E320" s="42" t="s">
        <v>258</v>
      </c>
      <c r="F320" s="45" t="s">
        <v>123</v>
      </c>
      <c r="G320" s="207" t="s">
        <v>28</v>
      </c>
      <c r="H320" s="45" t="s">
        <v>385</v>
      </c>
      <c r="I320" s="7" t="s">
        <v>22</v>
      </c>
      <c r="J320" s="3">
        <v>0.7</v>
      </c>
      <c r="K320" s="1" t="s">
        <v>305</v>
      </c>
      <c r="L320" s="8" t="s">
        <v>257</v>
      </c>
      <c r="M320" s="13" t="s">
        <v>306</v>
      </c>
      <c r="N320" s="3">
        <v>0.95</v>
      </c>
      <c r="O320" s="3">
        <v>0.1</v>
      </c>
      <c r="P320" s="3"/>
      <c r="Q320" s="3">
        <f t="shared" si="15"/>
        <v>0</v>
      </c>
      <c r="R320" s="4">
        <f t="shared" si="16"/>
        <v>0</v>
      </c>
      <c r="S320" s="3" t="s">
        <v>23</v>
      </c>
      <c r="T320" s="195"/>
    </row>
    <row r="321" spans="1:20" ht="21.6" x14ac:dyDescent="0.3">
      <c r="A321" s="139">
        <v>2075</v>
      </c>
      <c r="B321" s="42" t="s">
        <v>20</v>
      </c>
      <c r="C321" s="43" t="s">
        <v>267</v>
      </c>
      <c r="D321" s="50">
        <v>6544</v>
      </c>
      <c r="E321" s="42" t="s">
        <v>258</v>
      </c>
      <c r="F321" s="45" t="s">
        <v>123</v>
      </c>
      <c r="G321" s="207" t="s">
        <v>28</v>
      </c>
      <c r="H321" s="45" t="s">
        <v>385</v>
      </c>
      <c r="I321" s="47" t="s">
        <v>22</v>
      </c>
      <c r="J321" s="3">
        <v>0.7</v>
      </c>
      <c r="K321" s="49" t="s">
        <v>129</v>
      </c>
      <c r="L321" s="30" t="s">
        <v>130</v>
      </c>
      <c r="M321" s="47" t="s">
        <v>131</v>
      </c>
      <c r="N321" s="3">
        <v>0.9</v>
      </c>
      <c r="O321" s="10">
        <v>0.2</v>
      </c>
      <c r="P321" s="3"/>
      <c r="Q321" s="3">
        <f t="shared" si="15"/>
        <v>0</v>
      </c>
      <c r="R321" s="48">
        <f t="shared" si="16"/>
        <v>0</v>
      </c>
      <c r="S321" s="10" t="s">
        <v>23</v>
      </c>
      <c r="T321" s="193"/>
    </row>
    <row r="322" spans="1:20" ht="21.6" x14ac:dyDescent="0.3">
      <c r="A322" s="139">
        <v>2076</v>
      </c>
      <c r="B322" s="42" t="s">
        <v>20</v>
      </c>
      <c r="C322" s="43" t="s">
        <v>267</v>
      </c>
      <c r="D322" s="50">
        <v>6544</v>
      </c>
      <c r="E322" s="42" t="s">
        <v>258</v>
      </c>
      <c r="F322" s="45" t="s">
        <v>123</v>
      </c>
      <c r="G322" s="207" t="s">
        <v>28</v>
      </c>
      <c r="H322" s="45" t="s">
        <v>385</v>
      </c>
      <c r="I322" s="47" t="s">
        <v>22</v>
      </c>
      <c r="J322" s="3">
        <v>0.7</v>
      </c>
      <c r="K322" s="49" t="s">
        <v>132</v>
      </c>
      <c r="L322" s="30" t="s">
        <v>133</v>
      </c>
      <c r="M322" s="47" t="s">
        <v>134</v>
      </c>
      <c r="N322" s="4">
        <v>0</v>
      </c>
      <c r="O322" s="10">
        <v>0.1</v>
      </c>
      <c r="P322" s="3"/>
      <c r="Q322" s="3">
        <f t="shared" si="15"/>
        <v>0</v>
      </c>
      <c r="R322" s="48">
        <f t="shared" si="16"/>
        <v>0</v>
      </c>
      <c r="S322" s="10" t="s">
        <v>24</v>
      </c>
      <c r="T322" s="193"/>
    </row>
    <row r="323" spans="1:20" ht="21.6" x14ac:dyDescent="0.3">
      <c r="A323" s="139">
        <v>2077</v>
      </c>
      <c r="B323" s="42" t="s">
        <v>20</v>
      </c>
      <c r="C323" s="43" t="s">
        <v>267</v>
      </c>
      <c r="D323" s="50">
        <v>6544</v>
      </c>
      <c r="E323" s="42" t="s">
        <v>258</v>
      </c>
      <c r="F323" s="45" t="s">
        <v>123</v>
      </c>
      <c r="G323" s="207" t="s">
        <v>28</v>
      </c>
      <c r="H323" s="45" t="s">
        <v>385</v>
      </c>
      <c r="I323" s="47" t="s">
        <v>22</v>
      </c>
      <c r="J323" s="3">
        <v>0.7</v>
      </c>
      <c r="K323" s="49" t="s">
        <v>135</v>
      </c>
      <c r="L323" s="30" t="s">
        <v>136</v>
      </c>
      <c r="M323" s="49" t="s">
        <v>137</v>
      </c>
      <c r="N323" s="3">
        <v>0.9</v>
      </c>
      <c r="O323" s="10">
        <v>0.2</v>
      </c>
      <c r="P323" s="51"/>
      <c r="Q323" s="3">
        <f t="shared" si="15"/>
        <v>0</v>
      </c>
      <c r="R323" s="48">
        <f t="shared" si="16"/>
        <v>0</v>
      </c>
      <c r="S323" s="10" t="s">
        <v>23</v>
      </c>
      <c r="T323" s="193"/>
    </row>
    <row r="324" spans="1:20" ht="22.2" thickBot="1" x14ac:dyDescent="0.35">
      <c r="A324" s="142">
        <v>2078</v>
      </c>
      <c r="B324" s="81" t="s">
        <v>20</v>
      </c>
      <c r="C324" s="82" t="s">
        <v>267</v>
      </c>
      <c r="D324" s="113">
        <v>6544</v>
      </c>
      <c r="E324" s="81" t="s">
        <v>258</v>
      </c>
      <c r="F324" s="84" t="s">
        <v>123</v>
      </c>
      <c r="G324" s="209" t="s">
        <v>28</v>
      </c>
      <c r="H324" s="84" t="s">
        <v>385</v>
      </c>
      <c r="I324" s="85" t="s">
        <v>26</v>
      </c>
      <c r="J324" s="86">
        <v>0.3</v>
      </c>
      <c r="K324" s="115" t="s">
        <v>138</v>
      </c>
      <c r="L324" s="114" t="s">
        <v>139</v>
      </c>
      <c r="M324" s="115" t="s">
        <v>140</v>
      </c>
      <c r="N324" s="86">
        <v>1</v>
      </c>
      <c r="O324" s="91">
        <v>1</v>
      </c>
      <c r="P324" s="86"/>
      <c r="Q324" s="86">
        <f t="shared" si="15"/>
        <v>0</v>
      </c>
      <c r="R324" s="104">
        <f t="shared" si="16"/>
        <v>0</v>
      </c>
      <c r="S324" s="91" t="s">
        <v>23</v>
      </c>
      <c r="T324" s="147"/>
    </row>
    <row r="325" spans="1:20" ht="21.6" x14ac:dyDescent="0.3">
      <c r="A325" s="138">
        <v>2070</v>
      </c>
      <c r="B325" s="71" t="s">
        <v>20</v>
      </c>
      <c r="C325" s="72" t="s">
        <v>267</v>
      </c>
      <c r="D325" s="112">
        <v>6546</v>
      </c>
      <c r="E325" s="71" t="s">
        <v>259</v>
      </c>
      <c r="F325" s="74" t="s">
        <v>123</v>
      </c>
      <c r="G325" s="188" t="s">
        <v>28</v>
      </c>
      <c r="H325" s="74" t="s">
        <v>385</v>
      </c>
      <c r="I325" s="75" t="s">
        <v>22</v>
      </c>
      <c r="J325" s="76">
        <v>0.7</v>
      </c>
      <c r="K325" s="101" t="s">
        <v>513</v>
      </c>
      <c r="L325" s="105" t="s">
        <v>511</v>
      </c>
      <c r="M325" s="101" t="s">
        <v>411</v>
      </c>
      <c r="N325" s="76">
        <v>0.95</v>
      </c>
      <c r="O325" s="76">
        <v>0.15</v>
      </c>
      <c r="P325" s="76"/>
      <c r="Q325" s="76">
        <f t="shared" si="15"/>
        <v>0</v>
      </c>
      <c r="R325" s="80">
        <f t="shared" si="16"/>
        <v>0</v>
      </c>
      <c r="S325" s="76" t="s">
        <v>23</v>
      </c>
      <c r="T325" s="194">
        <f>SUM(R325:R332)%</f>
        <v>0</v>
      </c>
    </row>
    <row r="326" spans="1:20" ht="21.6" x14ac:dyDescent="0.3">
      <c r="A326" s="139">
        <v>2072</v>
      </c>
      <c r="B326" s="42" t="s">
        <v>20</v>
      </c>
      <c r="C326" s="43" t="s">
        <v>267</v>
      </c>
      <c r="D326" s="50">
        <v>6546</v>
      </c>
      <c r="E326" s="42" t="s">
        <v>259</v>
      </c>
      <c r="F326" s="45" t="s">
        <v>123</v>
      </c>
      <c r="G326" s="207" t="s">
        <v>28</v>
      </c>
      <c r="H326" s="45" t="s">
        <v>385</v>
      </c>
      <c r="I326" s="7" t="s">
        <v>22</v>
      </c>
      <c r="J326" s="3">
        <v>0.7</v>
      </c>
      <c r="K326" s="1" t="s">
        <v>124</v>
      </c>
      <c r="L326" s="8" t="s">
        <v>125</v>
      </c>
      <c r="M326" s="7" t="s">
        <v>126</v>
      </c>
      <c r="N326" s="3">
        <v>0.95</v>
      </c>
      <c r="O326" s="3">
        <v>0.15</v>
      </c>
      <c r="P326" s="6"/>
      <c r="Q326" s="3">
        <f t="shared" si="15"/>
        <v>0</v>
      </c>
      <c r="R326" s="4">
        <f t="shared" si="16"/>
        <v>0</v>
      </c>
      <c r="S326" s="3" t="s">
        <v>23</v>
      </c>
      <c r="T326" s="195"/>
    </row>
    <row r="327" spans="1:20" ht="21.6" x14ac:dyDescent="0.3">
      <c r="A327" s="139">
        <v>2073</v>
      </c>
      <c r="B327" s="42" t="s">
        <v>20</v>
      </c>
      <c r="C327" s="43" t="s">
        <v>267</v>
      </c>
      <c r="D327" s="50">
        <v>6546</v>
      </c>
      <c r="E327" s="42" t="s">
        <v>259</v>
      </c>
      <c r="F327" s="45" t="s">
        <v>123</v>
      </c>
      <c r="G327" s="207" t="s">
        <v>28</v>
      </c>
      <c r="H327" s="45" t="s">
        <v>385</v>
      </c>
      <c r="I327" s="7" t="s">
        <v>22</v>
      </c>
      <c r="J327" s="3">
        <v>0.7</v>
      </c>
      <c r="K327" s="1" t="s">
        <v>51</v>
      </c>
      <c r="L327" s="8" t="s">
        <v>127</v>
      </c>
      <c r="M327" s="7" t="s">
        <v>128</v>
      </c>
      <c r="N327" s="6">
        <v>0.05</v>
      </c>
      <c r="O327" s="3">
        <v>0.1</v>
      </c>
      <c r="P327" s="11"/>
      <c r="Q327" s="3">
        <f t="shared" si="15"/>
        <v>0</v>
      </c>
      <c r="R327" s="4">
        <f t="shared" si="16"/>
        <v>0</v>
      </c>
      <c r="S327" s="3" t="s">
        <v>24</v>
      </c>
      <c r="T327" s="195"/>
    </row>
    <row r="328" spans="1:20" ht="21.6" x14ac:dyDescent="0.3">
      <c r="A328" s="139">
        <v>2074</v>
      </c>
      <c r="B328" s="42" t="s">
        <v>20</v>
      </c>
      <c r="C328" s="43" t="s">
        <v>267</v>
      </c>
      <c r="D328" s="50">
        <v>6546</v>
      </c>
      <c r="E328" s="42" t="s">
        <v>259</v>
      </c>
      <c r="F328" s="45" t="s">
        <v>123</v>
      </c>
      <c r="G328" s="207" t="s">
        <v>28</v>
      </c>
      <c r="H328" s="45" t="s">
        <v>385</v>
      </c>
      <c r="I328" s="7" t="s">
        <v>22</v>
      </c>
      <c r="J328" s="3">
        <v>0.7</v>
      </c>
      <c r="K328" s="1" t="s">
        <v>305</v>
      </c>
      <c r="L328" s="8" t="s">
        <v>257</v>
      </c>
      <c r="M328" s="13" t="s">
        <v>306</v>
      </c>
      <c r="N328" s="3">
        <v>0.95</v>
      </c>
      <c r="O328" s="3">
        <v>0.1</v>
      </c>
      <c r="P328" s="3"/>
      <c r="Q328" s="3">
        <f t="shared" si="15"/>
        <v>0</v>
      </c>
      <c r="R328" s="4">
        <f t="shared" si="16"/>
        <v>0</v>
      </c>
      <c r="S328" s="3" t="s">
        <v>23</v>
      </c>
      <c r="T328" s="195"/>
    </row>
    <row r="329" spans="1:20" ht="21.6" x14ac:dyDescent="0.3">
      <c r="A329" s="139">
        <v>2075</v>
      </c>
      <c r="B329" s="42" t="s">
        <v>20</v>
      </c>
      <c r="C329" s="43" t="s">
        <v>267</v>
      </c>
      <c r="D329" s="50">
        <v>6546</v>
      </c>
      <c r="E329" s="42" t="s">
        <v>259</v>
      </c>
      <c r="F329" s="45" t="s">
        <v>123</v>
      </c>
      <c r="G329" s="207" t="s">
        <v>28</v>
      </c>
      <c r="H329" s="45" t="s">
        <v>385</v>
      </c>
      <c r="I329" s="47" t="s">
        <v>22</v>
      </c>
      <c r="J329" s="3">
        <v>0.7</v>
      </c>
      <c r="K329" s="49" t="s">
        <v>129</v>
      </c>
      <c r="L329" s="30" t="s">
        <v>130</v>
      </c>
      <c r="M329" s="47" t="s">
        <v>131</v>
      </c>
      <c r="N329" s="3">
        <v>0.9</v>
      </c>
      <c r="O329" s="10">
        <v>0.2</v>
      </c>
      <c r="P329" s="3"/>
      <c r="Q329" s="3">
        <f t="shared" si="15"/>
        <v>0</v>
      </c>
      <c r="R329" s="48">
        <f t="shared" si="16"/>
        <v>0</v>
      </c>
      <c r="S329" s="10" t="s">
        <v>23</v>
      </c>
      <c r="T329" s="193"/>
    </row>
    <row r="330" spans="1:20" ht="21.6" x14ac:dyDescent="0.3">
      <c r="A330" s="139">
        <v>2076</v>
      </c>
      <c r="B330" s="42" t="s">
        <v>20</v>
      </c>
      <c r="C330" s="43" t="s">
        <v>267</v>
      </c>
      <c r="D330" s="50">
        <v>6546</v>
      </c>
      <c r="E330" s="42" t="s">
        <v>259</v>
      </c>
      <c r="F330" s="45" t="s">
        <v>123</v>
      </c>
      <c r="G330" s="207" t="s">
        <v>28</v>
      </c>
      <c r="H330" s="45" t="s">
        <v>385</v>
      </c>
      <c r="I330" s="47" t="s">
        <v>22</v>
      </c>
      <c r="J330" s="3">
        <v>0.7</v>
      </c>
      <c r="K330" s="49" t="s">
        <v>132</v>
      </c>
      <c r="L330" s="30" t="s">
        <v>133</v>
      </c>
      <c r="M330" s="47" t="s">
        <v>134</v>
      </c>
      <c r="N330" s="4">
        <v>0</v>
      </c>
      <c r="O330" s="10">
        <v>0.1</v>
      </c>
      <c r="P330" s="3"/>
      <c r="Q330" s="3">
        <f t="shared" si="15"/>
        <v>0</v>
      </c>
      <c r="R330" s="48">
        <f t="shared" si="16"/>
        <v>0</v>
      </c>
      <c r="S330" s="10" t="s">
        <v>24</v>
      </c>
      <c r="T330" s="193"/>
    </row>
    <row r="331" spans="1:20" ht="21.6" x14ac:dyDescent="0.3">
      <c r="A331" s="139">
        <v>2077</v>
      </c>
      <c r="B331" s="42" t="s">
        <v>20</v>
      </c>
      <c r="C331" s="43" t="s">
        <v>267</v>
      </c>
      <c r="D331" s="50">
        <v>6546</v>
      </c>
      <c r="E331" s="42" t="s">
        <v>259</v>
      </c>
      <c r="F331" s="45" t="s">
        <v>123</v>
      </c>
      <c r="G331" s="207" t="s">
        <v>28</v>
      </c>
      <c r="H331" s="45" t="s">
        <v>385</v>
      </c>
      <c r="I331" s="47" t="s">
        <v>22</v>
      </c>
      <c r="J331" s="3">
        <v>0.7</v>
      </c>
      <c r="K331" s="49" t="s">
        <v>135</v>
      </c>
      <c r="L331" s="30" t="s">
        <v>136</v>
      </c>
      <c r="M331" s="49" t="s">
        <v>137</v>
      </c>
      <c r="N331" s="3">
        <v>0.9</v>
      </c>
      <c r="O331" s="10">
        <v>0.2</v>
      </c>
      <c r="P331" s="51"/>
      <c r="Q331" s="3">
        <f t="shared" si="15"/>
        <v>0</v>
      </c>
      <c r="R331" s="48">
        <f t="shared" si="16"/>
        <v>0</v>
      </c>
      <c r="S331" s="10" t="s">
        <v>23</v>
      </c>
      <c r="T331" s="193"/>
    </row>
    <row r="332" spans="1:20" ht="22.2" thickBot="1" x14ac:dyDescent="0.35">
      <c r="A332" s="142">
        <v>2078</v>
      </c>
      <c r="B332" s="81" t="s">
        <v>20</v>
      </c>
      <c r="C332" s="82" t="s">
        <v>267</v>
      </c>
      <c r="D332" s="113">
        <v>6546</v>
      </c>
      <c r="E332" s="81" t="s">
        <v>259</v>
      </c>
      <c r="F332" s="84" t="s">
        <v>123</v>
      </c>
      <c r="G332" s="209" t="s">
        <v>28</v>
      </c>
      <c r="H332" s="84" t="s">
        <v>385</v>
      </c>
      <c r="I332" s="85" t="s">
        <v>26</v>
      </c>
      <c r="J332" s="86">
        <v>0.3</v>
      </c>
      <c r="K332" s="115" t="s">
        <v>138</v>
      </c>
      <c r="L332" s="114" t="s">
        <v>139</v>
      </c>
      <c r="M332" s="115" t="s">
        <v>140</v>
      </c>
      <c r="N332" s="86">
        <v>1</v>
      </c>
      <c r="O332" s="91">
        <v>1</v>
      </c>
      <c r="P332" s="86"/>
      <c r="Q332" s="86">
        <f t="shared" si="15"/>
        <v>0</v>
      </c>
      <c r="R332" s="104">
        <f t="shared" si="16"/>
        <v>0</v>
      </c>
      <c r="S332" s="91" t="s">
        <v>23</v>
      </c>
      <c r="T332" s="147"/>
    </row>
    <row r="333" spans="1:20" ht="21.6" x14ac:dyDescent="0.3">
      <c r="A333" s="138">
        <v>2070</v>
      </c>
      <c r="B333" s="71" t="s">
        <v>20</v>
      </c>
      <c r="C333" s="72" t="s">
        <v>267</v>
      </c>
      <c r="D333" s="112">
        <v>6567</v>
      </c>
      <c r="E333" s="71" t="s">
        <v>506</v>
      </c>
      <c r="F333" s="74" t="s">
        <v>123</v>
      </c>
      <c r="G333" s="188" t="s">
        <v>28</v>
      </c>
      <c r="H333" s="74" t="s">
        <v>385</v>
      </c>
      <c r="I333" s="75" t="s">
        <v>22</v>
      </c>
      <c r="J333" s="76">
        <v>0.7</v>
      </c>
      <c r="K333" s="101" t="s">
        <v>513</v>
      </c>
      <c r="L333" s="105" t="s">
        <v>511</v>
      </c>
      <c r="M333" s="101" t="s">
        <v>411</v>
      </c>
      <c r="N333" s="76">
        <v>0.95</v>
      </c>
      <c r="O333" s="76">
        <v>0.15</v>
      </c>
      <c r="P333" s="76"/>
      <c r="Q333" s="76">
        <f t="shared" si="15"/>
        <v>0</v>
      </c>
      <c r="R333" s="80">
        <f t="shared" si="16"/>
        <v>0</v>
      </c>
      <c r="S333" s="76" t="s">
        <v>23</v>
      </c>
      <c r="T333" s="194">
        <f>SUM(R333:R340)%</f>
        <v>0</v>
      </c>
    </row>
    <row r="334" spans="1:20" ht="21.6" x14ac:dyDescent="0.3">
      <c r="A334" s="139">
        <v>2072</v>
      </c>
      <c r="B334" s="42" t="s">
        <v>20</v>
      </c>
      <c r="C334" s="43" t="s">
        <v>267</v>
      </c>
      <c r="D334" s="50">
        <v>6567</v>
      </c>
      <c r="E334" s="42" t="s">
        <v>506</v>
      </c>
      <c r="F334" s="45" t="s">
        <v>123</v>
      </c>
      <c r="G334" s="207" t="s">
        <v>28</v>
      </c>
      <c r="H334" s="45" t="s">
        <v>385</v>
      </c>
      <c r="I334" s="7" t="s">
        <v>22</v>
      </c>
      <c r="J334" s="3">
        <v>0.7</v>
      </c>
      <c r="K334" s="1" t="s">
        <v>124</v>
      </c>
      <c r="L334" s="8" t="s">
        <v>125</v>
      </c>
      <c r="M334" s="7" t="s">
        <v>126</v>
      </c>
      <c r="N334" s="3">
        <v>0.95</v>
      </c>
      <c r="O334" s="3">
        <v>0.15</v>
      </c>
      <c r="P334" s="6"/>
      <c r="Q334" s="3">
        <f t="shared" si="15"/>
        <v>0</v>
      </c>
      <c r="R334" s="4">
        <f t="shared" si="16"/>
        <v>0</v>
      </c>
      <c r="S334" s="3" t="s">
        <v>23</v>
      </c>
      <c r="T334" s="195"/>
    </row>
    <row r="335" spans="1:20" ht="21.6" x14ac:dyDescent="0.3">
      <c r="A335" s="139">
        <v>2073</v>
      </c>
      <c r="B335" s="42" t="s">
        <v>20</v>
      </c>
      <c r="C335" s="43" t="s">
        <v>267</v>
      </c>
      <c r="D335" s="50">
        <v>6567</v>
      </c>
      <c r="E335" s="42" t="s">
        <v>506</v>
      </c>
      <c r="F335" s="45" t="s">
        <v>123</v>
      </c>
      <c r="G335" s="207" t="s">
        <v>28</v>
      </c>
      <c r="H335" s="45" t="s">
        <v>385</v>
      </c>
      <c r="I335" s="7" t="s">
        <v>22</v>
      </c>
      <c r="J335" s="3">
        <v>0.7</v>
      </c>
      <c r="K335" s="1" t="s">
        <v>51</v>
      </c>
      <c r="L335" s="8" t="s">
        <v>127</v>
      </c>
      <c r="M335" s="7" t="s">
        <v>128</v>
      </c>
      <c r="N335" s="6">
        <v>0.05</v>
      </c>
      <c r="O335" s="3">
        <v>0.1</v>
      </c>
      <c r="P335" s="11"/>
      <c r="Q335" s="3">
        <f t="shared" si="15"/>
        <v>0</v>
      </c>
      <c r="R335" s="4">
        <f t="shared" si="16"/>
        <v>0</v>
      </c>
      <c r="S335" s="3" t="s">
        <v>24</v>
      </c>
      <c r="T335" s="195"/>
    </row>
    <row r="336" spans="1:20" ht="21.6" x14ac:dyDescent="0.3">
      <c r="A336" s="139">
        <v>2074</v>
      </c>
      <c r="B336" s="42" t="s">
        <v>20</v>
      </c>
      <c r="C336" s="43" t="s">
        <v>267</v>
      </c>
      <c r="D336" s="50">
        <v>6567</v>
      </c>
      <c r="E336" s="42" t="s">
        <v>506</v>
      </c>
      <c r="F336" s="45" t="s">
        <v>123</v>
      </c>
      <c r="G336" s="207" t="s">
        <v>28</v>
      </c>
      <c r="H336" s="45" t="s">
        <v>385</v>
      </c>
      <c r="I336" s="7" t="s">
        <v>22</v>
      </c>
      <c r="J336" s="3">
        <v>0.7</v>
      </c>
      <c r="K336" s="1" t="s">
        <v>305</v>
      </c>
      <c r="L336" s="8" t="s">
        <v>257</v>
      </c>
      <c r="M336" s="13" t="s">
        <v>306</v>
      </c>
      <c r="N336" s="3">
        <v>0.95</v>
      </c>
      <c r="O336" s="3">
        <v>0.1</v>
      </c>
      <c r="P336" s="3"/>
      <c r="Q336" s="3">
        <f t="shared" si="15"/>
        <v>0</v>
      </c>
      <c r="R336" s="4">
        <f t="shared" si="16"/>
        <v>0</v>
      </c>
      <c r="S336" s="3" t="s">
        <v>23</v>
      </c>
      <c r="T336" s="195"/>
    </row>
    <row r="337" spans="1:20" ht="21.6" x14ac:dyDescent="0.3">
      <c r="A337" s="139">
        <v>2075</v>
      </c>
      <c r="B337" s="42" t="s">
        <v>20</v>
      </c>
      <c r="C337" s="43" t="s">
        <v>267</v>
      </c>
      <c r="D337" s="50">
        <v>6567</v>
      </c>
      <c r="E337" s="42" t="s">
        <v>506</v>
      </c>
      <c r="F337" s="45" t="s">
        <v>123</v>
      </c>
      <c r="G337" s="207" t="s">
        <v>28</v>
      </c>
      <c r="H337" s="45" t="s">
        <v>385</v>
      </c>
      <c r="I337" s="47" t="s">
        <v>22</v>
      </c>
      <c r="J337" s="3">
        <v>0.7</v>
      </c>
      <c r="K337" s="49" t="s">
        <v>129</v>
      </c>
      <c r="L337" s="30" t="s">
        <v>130</v>
      </c>
      <c r="M337" s="47" t="s">
        <v>131</v>
      </c>
      <c r="N337" s="3">
        <v>0.9</v>
      </c>
      <c r="O337" s="10">
        <v>0.2</v>
      </c>
      <c r="P337" s="3"/>
      <c r="Q337" s="3">
        <f t="shared" si="15"/>
        <v>0</v>
      </c>
      <c r="R337" s="48">
        <f t="shared" si="16"/>
        <v>0</v>
      </c>
      <c r="S337" s="10" t="s">
        <v>23</v>
      </c>
      <c r="T337" s="193"/>
    </row>
    <row r="338" spans="1:20" ht="21.6" x14ac:dyDescent="0.3">
      <c r="A338" s="139">
        <v>2076</v>
      </c>
      <c r="B338" s="42" t="s">
        <v>20</v>
      </c>
      <c r="C338" s="43" t="s">
        <v>267</v>
      </c>
      <c r="D338" s="50">
        <v>6567</v>
      </c>
      <c r="E338" s="42" t="s">
        <v>506</v>
      </c>
      <c r="F338" s="45" t="s">
        <v>123</v>
      </c>
      <c r="G338" s="207" t="s">
        <v>28</v>
      </c>
      <c r="H338" s="45" t="s">
        <v>385</v>
      </c>
      <c r="I338" s="47" t="s">
        <v>22</v>
      </c>
      <c r="J338" s="3">
        <v>0.7</v>
      </c>
      <c r="K338" s="49" t="s">
        <v>132</v>
      </c>
      <c r="L338" s="30" t="s">
        <v>133</v>
      </c>
      <c r="M338" s="47" t="s">
        <v>134</v>
      </c>
      <c r="N338" s="4">
        <v>0</v>
      </c>
      <c r="O338" s="10">
        <v>0.1</v>
      </c>
      <c r="P338" s="3"/>
      <c r="Q338" s="3">
        <f t="shared" si="15"/>
        <v>0</v>
      </c>
      <c r="R338" s="48">
        <f t="shared" si="16"/>
        <v>0</v>
      </c>
      <c r="S338" s="10" t="s">
        <v>24</v>
      </c>
      <c r="T338" s="193"/>
    </row>
    <row r="339" spans="1:20" ht="21.6" x14ac:dyDescent="0.3">
      <c r="A339" s="139">
        <v>2077</v>
      </c>
      <c r="B339" s="42" t="s">
        <v>20</v>
      </c>
      <c r="C339" s="43" t="s">
        <v>267</v>
      </c>
      <c r="D339" s="50">
        <v>6567</v>
      </c>
      <c r="E339" s="42" t="s">
        <v>506</v>
      </c>
      <c r="F339" s="45" t="s">
        <v>123</v>
      </c>
      <c r="G339" s="207" t="s">
        <v>28</v>
      </c>
      <c r="H339" s="45" t="s">
        <v>385</v>
      </c>
      <c r="I339" s="47" t="s">
        <v>22</v>
      </c>
      <c r="J339" s="3">
        <v>0.7</v>
      </c>
      <c r="K339" s="49" t="s">
        <v>135</v>
      </c>
      <c r="L339" s="30" t="s">
        <v>136</v>
      </c>
      <c r="M339" s="49" t="s">
        <v>137</v>
      </c>
      <c r="N339" s="3">
        <v>0.9</v>
      </c>
      <c r="O339" s="10">
        <v>0.2</v>
      </c>
      <c r="P339" s="51"/>
      <c r="Q339" s="3">
        <f t="shared" si="15"/>
        <v>0</v>
      </c>
      <c r="R339" s="48">
        <f t="shared" si="16"/>
        <v>0</v>
      </c>
      <c r="S339" s="10" t="s">
        <v>23</v>
      </c>
      <c r="T339" s="193"/>
    </row>
    <row r="340" spans="1:20" ht="22.2" thickBot="1" x14ac:dyDescent="0.35">
      <c r="A340" s="142">
        <v>2078</v>
      </c>
      <c r="B340" s="81" t="s">
        <v>20</v>
      </c>
      <c r="C340" s="82" t="s">
        <v>267</v>
      </c>
      <c r="D340" s="113">
        <v>6567</v>
      </c>
      <c r="E340" s="81" t="s">
        <v>506</v>
      </c>
      <c r="F340" s="84" t="s">
        <v>123</v>
      </c>
      <c r="G340" s="209" t="s">
        <v>28</v>
      </c>
      <c r="H340" s="84" t="s">
        <v>385</v>
      </c>
      <c r="I340" s="85" t="s">
        <v>26</v>
      </c>
      <c r="J340" s="86">
        <v>0.3</v>
      </c>
      <c r="K340" s="115" t="s">
        <v>138</v>
      </c>
      <c r="L340" s="114" t="s">
        <v>139</v>
      </c>
      <c r="M340" s="115" t="s">
        <v>140</v>
      </c>
      <c r="N340" s="86">
        <v>1</v>
      </c>
      <c r="O340" s="91">
        <v>1</v>
      </c>
      <c r="P340" s="86"/>
      <c r="Q340" s="86">
        <f t="shared" si="15"/>
        <v>0</v>
      </c>
      <c r="R340" s="104">
        <f t="shared" si="16"/>
        <v>0</v>
      </c>
      <c r="S340" s="91" t="s">
        <v>23</v>
      </c>
      <c r="T340" s="147"/>
    </row>
    <row r="341" spans="1:20" ht="21.6" x14ac:dyDescent="0.3">
      <c r="A341" s="138">
        <v>2070</v>
      </c>
      <c r="B341" s="71" t="s">
        <v>20</v>
      </c>
      <c r="C341" s="72" t="s">
        <v>267</v>
      </c>
      <c r="D341" s="112">
        <v>6105</v>
      </c>
      <c r="E341" s="71" t="s">
        <v>325</v>
      </c>
      <c r="F341" s="74" t="s">
        <v>123</v>
      </c>
      <c r="G341" s="188" t="s">
        <v>311</v>
      </c>
      <c r="H341" s="74" t="s">
        <v>386</v>
      </c>
      <c r="I341" s="75" t="s">
        <v>22</v>
      </c>
      <c r="J341" s="76">
        <v>0.7</v>
      </c>
      <c r="K341" s="101" t="s">
        <v>513</v>
      </c>
      <c r="L341" s="105" t="s">
        <v>511</v>
      </c>
      <c r="M341" s="101" t="s">
        <v>411</v>
      </c>
      <c r="N341" s="76">
        <v>0.95</v>
      </c>
      <c r="O341" s="76">
        <v>0.15</v>
      </c>
      <c r="P341" s="76"/>
      <c r="Q341" s="76">
        <f t="shared" si="15"/>
        <v>0</v>
      </c>
      <c r="R341" s="80">
        <f t="shared" si="16"/>
        <v>0</v>
      </c>
      <c r="S341" s="76" t="s">
        <v>23</v>
      </c>
      <c r="T341" s="194">
        <f>SUM(R341:R348)%</f>
        <v>0</v>
      </c>
    </row>
    <row r="342" spans="1:20" ht="21.6" x14ac:dyDescent="0.3">
      <c r="A342" s="139">
        <v>2072</v>
      </c>
      <c r="B342" s="42" t="s">
        <v>20</v>
      </c>
      <c r="C342" s="43" t="s">
        <v>267</v>
      </c>
      <c r="D342" s="50">
        <v>6105</v>
      </c>
      <c r="E342" s="42" t="s">
        <v>325</v>
      </c>
      <c r="F342" s="45" t="s">
        <v>123</v>
      </c>
      <c r="G342" s="207" t="s">
        <v>311</v>
      </c>
      <c r="H342" s="45" t="s">
        <v>386</v>
      </c>
      <c r="I342" s="7" t="s">
        <v>22</v>
      </c>
      <c r="J342" s="3">
        <v>0.7</v>
      </c>
      <c r="K342" s="1" t="s">
        <v>124</v>
      </c>
      <c r="L342" s="8" t="s">
        <v>125</v>
      </c>
      <c r="M342" s="7" t="s">
        <v>126</v>
      </c>
      <c r="N342" s="3">
        <v>0.95</v>
      </c>
      <c r="O342" s="3">
        <v>0.15</v>
      </c>
      <c r="P342" s="6"/>
      <c r="Q342" s="3">
        <f t="shared" si="15"/>
        <v>0</v>
      </c>
      <c r="R342" s="4">
        <f t="shared" si="16"/>
        <v>0</v>
      </c>
      <c r="S342" s="3" t="s">
        <v>23</v>
      </c>
      <c r="T342" s="195"/>
    </row>
    <row r="343" spans="1:20" ht="21.6" x14ac:dyDescent="0.3">
      <c r="A343" s="139">
        <v>2073</v>
      </c>
      <c r="B343" s="42" t="s">
        <v>20</v>
      </c>
      <c r="C343" s="43" t="s">
        <v>267</v>
      </c>
      <c r="D343" s="50">
        <v>6105</v>
      </c>
      <c r="E343" s="42" t="s">
        <v>325</v>
      </c>
      <c r="F343" s="45" t="s">
        <v>123</v>
      </c>
      <c r="G343" s="207" t="s">
        <v>311</v>
      </c>
      <c r="H343" s="45" t="s">
        <v>386</v>
      </c>
      <c r="I343" s="7" t="s">
        <v>22</v>
      </c>
      <c r="J343" s="3">
        <v>0.7</v>
      </c>
      <c r="K343" s="1" t="s">
        <v>51</v>
      </c>
      <c r="L343" s="8" t="s">
        <v>127</v>
      </c>
      <c r="M343" s="7" t="s">
        <v>128</v>
      </c>
      <c r="N343" s="6">
        <v>0.05</v>
      </c>
      <c r="O343" s="3">
        <v>0.1</v>
      </c>
      <c r="P343" s="11"/>
      <c r="Q343" s="3">
        <f t="shared" si="15"/>
        <v>0</v>
      </c>
      <c r="R343" s="4">
        <f>IF(AND(Q343&gt;=60%,Q343&lt;100%),Q343*((O343*J343)),IF(Q343=100%,((O343*J343)*Q343)*100%,IF(Q343&gt;100%,((J343*O343)*100%)*100%,0)))*100</f>
        <v>0</v>
      </c>
      <c r="S343" s="3" t="s">
        <v>24</v>
      </c>
      <c r="T343" s="195"/>
    </row>
    <row r="344" spans="1:20" ht="21.6" x14ac:dyDescent="0.3">
      <c r="A344" s="139">
        <v>2074</v>
      </c>
      <c r="B344" s="42" t="s">
        <v>20</v>
      </c>
      <c r="C344" s="43" t="s">
        <v>267</v>
      </c>
      <c r="D344" s="50">
        <v>6105</v>
      </c>
      <c r="E344" s="42" t="s">
        <v>325</v>
      </c>
      <c r="F344" s="45" t="s">
        <v>123</v>
      </c>
      <c r="G344" s="207" t="s">
        <v>311</v>
      </c>
      <c r="H344" s="45" t="s">
        <v>386</v>
      </c>
      <c r="I344" s="7" t="s">
        <v>22</v>
      </c>
      <c r="J344" s="3">
        <v>0.7</v>
      </c>
      <c r="K344" s="1" t="s">
        <v>305</v>
      </c>
      <c r="L344" s="8" t="s">
        <v>257</v>
      </c>
      <c r="M344" s="13" t="s">
        <v>306</v>
      </c>
      <c r="N344" s="3">
        <v>0.95</v>
      </c>
      <c r="O344" s="3">
        <v>0.1</v>
      </c>
      <c r="P344" s="3"/>
      <c r="Q344" s="3">
        <f t="shared" si="15"/>
        <v>0</v>
      </c>
      <c r="R344" s="4">
        <f t="shared" si="16"/>
        <v>0</v>
      </c>
      <c r="S344" s="3" t="s">
        <v>23</v>
      </c>
      <c r="T344" s="195"/>
    </row>
    <row r="345" spans="1:20" ht="21.6" x14ac:dyDescent="0.3">
      <c r="A345" s="139">
        <v>2075</v>
      </c>
      <c r="B345" s="42" t="s">
        <v>20</v>
      </c>
      <c r="C345" s="43" t="s">
        <v>267</v>
      </c>
      <c r="D345" s="50">
        <v>6105</v>
      </c>
      <c r="E345" s="42" t="s">
        <v>325</v>
      </c>
      <c r="F345" s="45" t="s">
        <v>123</v>
      </c>
      <c r="G345" s="207" t="s">
        <v>311</v>
      </c>
      <c r="H345" s="45" t="s">
        <v>386</v>
      </c>
      <c r="I345" s="47" t="s">
        <v>22</v>
      </c>
      <c r="J345" s="3">
        <v>0.7</v>
      </c>
      <c r="K345" s="49" t="s">
        <v>129</v>
      </c>
      <c r="L345" s="30" t="s">
        <v>130</v>
      </c>
      <c r="M345" s="47" t="s">
        <v>131</v>
      </c>
      <c r="N345" s="3">
        <v>0.9</v>
      </c>
      <c r="O345" s="10">
        <v>0.2</v>
      </c>
      <c r="P345" s="3"/>
      <c r="Q345" s="3">
        <f t="shared" si="15"/>
        <v>0</v>
      </c>
      <c r="R345" s="48">
        <f t="shared" si="16"/>
        <v>0</v>
      </c>
      <c r="S345" s="10" t="s">
        <v>23</v>
      </c>
      <c r="T345" s="193"/>
    </row>
    <row r="346" spans="1:20" ht="21.6" x14ac:dyDescent="0.3">
      <c r="A346" s="139">
        <v>2076</v>
      </c>
      <c r="B346" s="42" t="s">
        <v>20</v>
      </c>
      <c r="C346" s="43" t="s">
        <v>267</v>
      </c>
      <c r="D346" s="50">
        <v>6105</v>
      </c>
      <c r="E346" s="42" t="s">
        <v>325</v>
      </c>
      <c r="F346" s="45" t="s">
        <v>123</v>
      </c>
      <c r="G346" s="207" t="s">
        <v>311</v>
      </c>
      <c r="H346" s="45" t="s">
        <v>386</v>
      </c>
      <c r="I346" s="47" t="s">
        <v>22</v>
      </c>
      <c r="J346" s="3">
        <v>0.7</v>
      </c>
      <c r="K346" s="49" t="s">
        <v>132</v>
      </c>
      <c r="L346" s="30" t="s">
        <v>133</v>
      </c>
      <c r="M346" s="47" t="s">
        <v>134</v>
      </c>
      <c r="N346" s="4">
        <v>0</v>
      </c>
      <c r="O346" s="10">
        <v>0.1</v>
      </c>
      <c r="P346" s="3"/>
      <c r="Q346" s="3">
        <f t="shared" si="15"/>
        <v>0</v>
      </c>
      <c r="R346" s="48">
        <f t="shared" si="16"/>
        <v>0</v>
      </c>
      <c r="S346" s="10" t="s">
        <v>24</v>
      </c>
      <c r="T346" s="193"/>
    </row>
    <row r="347" spans="1:20" ht="21.6" x14ac:dyDescent="0.3">
      <c r="A347" s="139">
        <v>2077</v>
      </c>
      <c r="B347" s="42" t="s">
        <v>20</v>
      </c>
      <c r="C347" s="43" t="s">
        <v>267</v>
      </c>
      <c r="D347" s="50">
        <v>6105</v>
      </c>
      <c r="E347" s="42" t="s">
        <v>325</v>
      </c>
      <c r="F347" s="45" t="s">
        <v>123</v>
      </c>
      <c r="G347" s="207" t="s">
        <v>311</v>
      </c>
      <c r="H347" s="45" t="s">
        <v>386</v>
      </c>
      <c r="I347" s="47" t="s">
        <v>22</v>
      </c>
      <c r="J347" s="3">
        <v>0.7</v>
      </c>
      <c r="K347" s="49" t="s">
        <v>135</v>
      </c>
      <c r="L347" s="30" t="s">
        <v>136</v>
      </c>
      <c r="M347" s="49" t="s">
        <v>137</v>
      </c>
      <c r="N347" s="3">
        <v>0.9</v>
      </c>
      <c r="O347" s="10">
        <v>0.2</v>
      </c>
      <c r="P347" s="51"/>
      <c r="Q347" s="3">
        <f t="shared" si="15"/>
        <v>0</v>
      </c>
      <c r="R347" s="48">
        <f t="shared" si="16"/>
        <v>0</v>
      </c>
      <c r="S347" s="10" t="s">
        <v>23</v>
      </c>
      <c r="T347" s="193"/>
    </row>
    <row r="348" spans="1:20" ht="22.2" thickBot="1" x14ac:dyDescent="0.35">
      <c r="A348" s="142">
        <v>2078</v>
      </c>
      <c r="B348" s="81" t="s">
        <v>20</v>
      </c>
      <c r="C348" s="82" t="s">
        <v>267</v>
      </c>
      <c r="D348" s="113">
        <v>6105</v>
      </c>
      <c r="E348" s="81" t="s">
        <v>325</v>
      </c>
      <c r="F348" s="84" t="s">
        <v>123</v>
      </c>
      <c r="G348" s="209" t="s">
        <v>311</v>
      </c>
      <c r="H348" s="84" t="s">
        <v>386</v>
      </c>
      <c r="I348" s="85" t="s">
        <v>26</v>
      </c>
      <c r="J348" s="86">
        <v>0.3</v>
      </c>
      <c r="K348" s="115" t="s">
        <v>138</v>
      </c>
      <c r="L348" s="114" t="s">
        <v>139</v>
      </c>
      <c r="M348" s="115" t="s">
        <v>140</v>
      </c>
      <c r="N348" s="86">
        <v>1</v>
      </c>
      <c r="O348" s="91">
        <v>1</v>
      </c>
      <c r="P348" s="86"/>
      <c r="Q348" s="86">
        <f t="shared" si="15"/>
        <v>0</v>
      </c>
      <c r="R348" s="104">
        <f t="shared" si="16"/>
        <v>0</v>
      </c>
      <c r="S348" s="91" t="s">
        <v>23</v>
      </c>
      <c r="T348" s="147"/>
    </row>
    <row r="349" spans="1:20" ht="21.6" x14ac:dyDescent="0.3">
      <c r="A349" s="138">
        <v>2070</v>
      </c>
      <c r="B349" s="71" t="s">
        <v>20</v>
      </c>
      <c r="C349" s="72" t="s">
        <v>267</v>
      </c>
      <c r="D349" s="112">
        <v>5501</v>
      </c>
      <c r="E349" s="71" t="s">
        <v>315</v>
      </c>
      <c r="F349" s="74" t="s">
        <v>145</v>
      </c>
      <c r="G349" s="188" t="s">
        <v>311</v>
      </c>
      <c r="H349" s="74" t="s">
        <v>386</v>
      </c>
      <c r="I349" s="75" t="s">
        <v>22</v>
      </c>
      <c r="J349" s="76">
        <v>0.7</v>
      </c>
      <c r="K349" s="101" t="s">
        <v>513</v>
      </c>
      <c r="L349" s="105" t="s">
        <v>511</v>
      </c>
      <c r="M349" s="101" t="s">
        <v>411</v>
      </c>
      <c r="N349" s="76">
        <v>0.95</v>
      </c>
      <c r="O349" s="76">
        <v>0.15</v>
      </c>
      <c r="P349" s="76"/>
      <c r="Q349" s="76">
        <f t="shared" si="15"/>
        <v>0</v>
      </c>
      <c r="R349" s="80">
        <f t="shared" si="16"/>
        <v>0</v>
      </c>
      <c r="S349" s="76" t="s">
        <v>23</v>
      </c>
      <c r="T349" s="194">
        <f>SUM(R349:R356)%</f>
        <v>0</v>
      </c>
    </row>
    <row r="350" spans="1:20" ht="21.6" x14ac:dyDescent="0.3">
      <c r="A350" s="139">
        <v>2072</v>
      </c>
      <c r="B350" s="42" t="s">
        <v>20</v>
      </c>
      <c r="C350" s="43" t="s">
        <v>267</v>
      </c>
      <c r="D350" s="50">
        <v>5501</v>
      </c>
      <c r="E350" s="42" t="s">
        <v>315</v>
      </c>
      <c r="F350" s="45" t="s">
        <v>145</v>
      </c>
      <c r="G350" s="207" t="s">
        <v>311</v>
      </c>
      <c r="H350" s="45" t="s">
        <v>386</v>
      </c>
      <c r="I350" s="7" t="s">
        <v>22</v>
      </c>
      <c r="J350" s="3">
        <v>0.7</v>
      </c>
      <c r="K350" s="1" t="s">
        <v>124</v>
      </c>
      <c r="L350" s="8" t="s">
        <v>125</v>
      </c>
      <c r="M350" s="7" t="s">
        <v>126</v>
      </c>
      <c r="N350" s="3">
        <v>0.95</v>
      </c>
      <c r="O350" s="3">
        <v>0.15</v>
      </c>
      <c r="P350" s="6"/>
      <c r="Q350" s="3">
        <f t="shared" si="15"/>
        <v>0</v>
      </c>
      <c r="R350" s="4">
        <f t="shared" si="16"/>
        <v>0</v>
      </c>
      <c r="S350" s="3" t="s">
        <v>23</v>
      </c>
      <c r="T350" s="195"/>
    </row>
    <row r="351" spans="1:20" ht="21.6" x14ac:dyDescent="0.3">
      <c r="A351" s="139">
        <v>2073</v>
      </c>
      <c r="B351" s="42" t="s">
        <v>20</v>
      </c>
      <c r="C351" s="43" t="s">
        <v>267</v>
      </c>
      <c r="D351" s="50">
        <v>5501</v>
      </c>
      <c r="E351" s="42" t="s">
        <v>315</v>
      </c>
      <c r="F351" s="45" t="s">
        <v>145</v>
      </c>
      <c r="G351" s="207" t="s">
        <v>311</v>
      </c>
      <c r="H351" s="45" t="s">
        <v>386</v>
      </c>
      <c r="I351" s="7" t="s">
        <v>22</v>
      </c>
      <c r="J351" s="3">
        <v>0.7</v>
      </c>
      <c r="K351" s="1" t="s">
        <v>51</v>
      </c>
      <c r="L351" s="8" t="s">
        <v>127</v>
      </c>
      <c r="M351" s="7" t="s">
        <v>128</v>
      </c>
      <c r="N351" s="6">
        <v>0.05</v>
      </c>
      <c r="O351" s="3">
        <v>0.1</v>
      </c>
      <c r="P351" s="11"/>
      <c r="Q351" s="3">
        <f t="shared" si="15"/>
        <v>0</v>
      </c>
      <c r="R351" s="4">
        <f t="shared" si="16"/>
        <v>0</v>
      </c>
      <c r="S351" s="3" t="s">
        <v>24</v>
      </c>
      <c r="T351" s="195"/>
    </row>
    <row r="352" spans="1:20" ht="21.6" x14ac:dyDescent="0.3">
      <c r="A352" s="139">
        <v>2074</v>
      </c>
      <c r="B352" s="42" t="s">
        <v>20</v>
      </c>
      <c r="C352" s="43" t="s">
        <v>267</v>
      </c>
      <c r="D352" s="50">
        <v>5501</v>
      </c>
      <c r="E352" s="42" t="s">
        <v>315</v>
      </c>
      <c r="F352" s="45" t="s">
        <v>145</v>
      </c>
      <c r="G352" s="207" t="s">
        <v>311</v>
      </c>
      <c r="H352" s="45" t="s">
        <v>386</v>
      </c>
      <c r="I352" s="7" t="s">
        <v>22</v>
      </c>
      <c r="J352" s="3">
        <v>0.7</v>
      </c>
      <c r="K352" s="1" t="s">
        <v>305</v>
      </c>
      <c r="L352" s="8" t="s">
        <v>257</v>
      </c>
      <c r="M352" s="13" t="s">
        <v>306</v>
      </c>
      <c r="N352" s="3">
        <v>0.95</v>
      </c>
      <c r="O352" s="3">
        <v>0.1</v>
      </c>
      <c r="P352" s="3"/>
      <c r="Q352" s="3">
        <f t="shared" si="15"/>
        <v>0</v>
      </c>
      <c r="R352" s="4">
        <f t="shared" si="16"/>
        <v>0</v>
      </c>
      <c r="S352" s="3" t="s">
        <v>23</v>
      </c>
      <c r="T352" s="195"/>
    </row>
    <row r="353" spans="1:20" ht="21.6" x14ac:dyDescent="0.3">
      <c r="A353" s="139">
        <v>2075</v>
      </c>
      <c r="B353" s="42" t="s">
        <v>20</v>
      </c>
      <c r="C353" s="43" t="s">
        <v>267</v>
      </c>
      <c r="D353" s="50">
        <v>5501</v>
      </c>
      <c r="E353" s="42" t="s">
        <v>315</v>
      </c>
      <c r="F353" s="45" t="s">
        <v>145</v>
      </c>
      <c r="G353" s="207" t="s">
        <v>311</v>
      </c>
      <c r="H353" s="45" t="s">
        <v>386</v>
      </c>
      <c r="I353" s="47" t="s">
        <v>22</v>
      </c>
      <c r="J353" s="3">
        <v>0.7</v>
      </c>
      <c r="K353" s="49" t="s">
        <v>129</v>
      </c>
      <c r="L353" s="30" t="s">
        <v>130</v>
      </c>
      <c r="M353" s="47" t="s">
        <v>131</v>
      </c>
      <c r="N353" s="3">
        <v>0.9</v>
      </c>
      <c r="O353" s="10">
        <v>0.2</v>
      </c>
      <c r="P353" s="3"/>
      <c r="Q353" s="3">
        <f t="shared" si="15"/>
        <v>0</v>
      </c>
      <c r="R353" s="48">
        <f t="shared" si="16"/>
        <v>0</v>
      </c>
      <c r="S353" s="10" t="s">
        <v>23</v>
      </c>
      <c r="T353" s="193"/>
    </row>
    <row r="354" spans="1:20" ht="21.6" x14ac:dyDescent="0.3">
      <c r="A354" s="139">
        <v>2076</v>
      </c>
      <c r="B354" s="42" t="s">
        <v>20</v>
      </c>
      <c r="C354" s="43" t="s">
        <v>267</v>
      </c>
      <c r="D354" s="50">
        <v>5501</v>
      </c>
      <c r="E354" s="42" t="s">
        <v>315</v>
      </c>
      <c r="F354" s="45" t="s">
        <v>145</v>
      </c>
      <c r="G354" s="207" t="s">
        <v>311</v>
      </c>
      <c r="H354" s="45" t="s">
        <v>386</v>
      </c>
      <c r="I354" s="47" t="s">
        <v>22</v>
      </c>
      <c r="J354" s="3">
        <v>0.7</v>
      </c>
      <c r="K354" s="49" t="s">
        <v>132</v>
      </c>
      <c r="L354" s="30" t="s">
        <v>133</v>
      </c>
      <c r="M354" s="47" t="s">
        <v>134</v>
      </c>
      <c r="N354" s="4">
        <v>0</v>
      </c>
      <c r="O354" s="10">
        <v>0.1</v>
      </c>
      <c r="P354" s="3"/>
      <c r="Q354" s="3">
        <f t="shared" si="15"/>
        <v>0</v>
      </c>
      <c r="R354" s="48">
        <f t="shared" si="16"/>
        <v>0</v>
      </c>
      <c r="S354" s="10" t="s">
        <v>24</v>
      </c>
      <c r="T354" s="193"/>
    </row>
    <row r="355" spans="1:20" ht="21.6" x14ac:dyDescent="0.3">
      <c r="A355" s="139">
        <v>2077</v>
      </c>
      <c r="B355" s="42" t="s">
        <v>20</v>
      </c>
      <c r="C355" s="43" t="s">
        <v>267</v>
      </c>
      <c r="D355" s="50">
        <v>5501</v>
      </c>
      <c r="E355" s="42" t="s">
        <v>315</v>
      </c>
      <c r="F355" s="45" t="s">
        <v>145</v>
      </c>
      <c r="G355" s="207" t="s">
        <v>311</v>
      </c>
      <c r="H355" s="45" t="s">
        <v>386</v>
      </c>
      <c r="I355" s="47" t="s">
        <v>22</v>
      </c>
      <c r="J355" s="3">
        <v>0.7</v>
      </c>
      <c r="K355" s="49" t="s">
        <v>135</v>
      </c>
      <c r="L355" s="30" t="s">
        <v>136</v>
      </c>
      <c r="M355" s="49" t="s">
        <v>137</v>
      </c>
      <c r="N355" s="3">
        <v>0.9</v>
      </c>
      <c r="O355" s="10">
        <v>0.2</v>
      </c>
      <c r="P355" s="51"/>
      <c r="Q355" s="3">
        <f t="shared" si="15"/>
        <v>0</v>
      </c>
      <c r="R355" s="48">
        <f t="shared" si="16"/>
        <v>0</v>
      </c>
      <c r="S355" s="10" t="s">
        <v>23</v>
      </c>
      <c r="T355" s="193"/>
    </row>
    <row r="356" spans="1:20" ht="22.2" thickBot="1" x14ac:dyDescent="0.35">
      <c r="A356" s="142">
        <v>2078</v>
      </c>
      <c r="B356" s="81" t="s">
        <v>20</v>
      </c>
      <c r="C356" s="82" t="s">
        <v>267</v>
      </c>
      <c r="D356" s="113">
        <v>5501</v>
      </c>
      <c r="E356" s="81" t="s">
        <v>315</v>
      </c>
      <c r="F356" s="84" t="s">
        <v>145</v>
      </c>
      <c r="G356" s="209" t="s">
        <v>311</v>
      </c>
      <c r="H356" s="84" t="s">
        <v>386</v>
      </c>
      <c r="I356" s="85" t="s">
        <v>26</v>
      </c>
      <c r="J356" s="86">
        <v>0.3</v>
      </c>
      <c r="K356" s="115" t="s">
        <v>138</v>
      </c>
      <c r="L356" s="114" t="s">
        <v>139</v>
      </c>
      <c r="M356" s="115" t="s">
        <v>140</v>
      </c>
      <c r="N356" s="86">
        <v>1</v>
      </c>
      <c r="O356" s="91">
        <v>1</v>
      </c>
      <c r="P356" s="86"/>
      <c r="Q356" s="86">
        <f t="shared" si="15"/>
        <v>0</v>
      </c>
      <c r="R356" s="104">
        <f t="shared" si="16"/>
        <v>0</v>
      </c>
      <c r="S356" s="91" t="s">
        <v>23</v>
      </c>
      <c r="T356" s="147"/>
    </row>
    <row r="357" spans="1:20" ht="21.6" x14ac:dyDescent="0.3">
      <c r="A357" s="138">
        <v>2070</v>
      </c>
      <c r="B357" s="71" t="s">
        <v>20</v>
      </c>
      <c r="C357" s="72" t="s">
        <v>267</v>
      </c>
      <c r="D357" s="112">
        <v>3065</v>
      </c>
      <c r="E357" s="71" t="s">
        <v>312</v>
      </c>
      <c r="F357" s="74" t="s">
        <v>143</v>
      </c>
      <c r="G357" s="188" t="s">
        <v>311</v>
      </c>
      <c r="H357" s="74" t="s">
        <v>386</v>
      </c>
      <c r="I357" s="75" t="s">
        <v>22</v>
      </c>
      <c r="J357" s="76">
        <v>0.7</v>
      </c>
      <c r="K357" s="101" t="s">
        <v>513</v>
      </c>
      <c r="L357" s="105" t="s">
        <v>511</v>
      </c>
      <c r="M357" s="101" t="s">
        <v>411</v>
      </c>
      <c r="N357" s="76">
        <v>0.95</v>
      </c>
      <c r="O357" s="76">
        <v>0.15</v>
      </c>
      <c r="P357" s="76"/>
      <c r="Q357" s="76">
        <f t="shared" si="15"/>
        <v>0</v>
      </c>
      <c r="R357" s="80">
        <f t="shared" si="16"/>
        <v>0</v>
      </c>
      <c r="S357" s="76" t="s">
        <v>23</v>
      </c>
      <c r="T357" s="194">
        <f>SUM(R357:R364)%</f>
        <v>0</v>
      </c>
    </row>
    <row r="358" spans="1:20" ht="21.6" x14ac:dyDescent="0.3">
      <c r="A358" s="139">
        <v>2072</v>
      </c>
      <c r="B358" s="42" t="s">
        <v>20</v>
      </c>
      <c r="C358" s="43" t="s">
        <v>267</v>
      </c>
      <c r="D358" s="50">
        <v>3065</v>
      </c>
      <c r="E358" s="42" t="s">
        <v>312</v>
      </c>
      <c r="F358" s="45" t="s">
        <v>143</v>
      </c>
      <c r="G358" s="207" t="s">
        <v>311</v>
      </c>
      <c r="H358" s="45" t="s">
        <v>386</v>
      </c>
      <c r="I358" s="7" t="s">
        <v>22</v>
      </c>
      <c r="J358" s="3">
        <v>0.7</v>
      </c>
      <c r="K358" s="1" t="s">
        <v>124</v>
      </c>
      <c r="L358" s="8" t="s">
        <v>125</v>
      </c>
      <c r="M358" s="7" t="s">
        <v>126</v>
      </c>
      <c r="N358" s="3">
        <v>0.95</v>
      </c>
      <c r="O358" s="3">
        <v>0.15</v>
      </c>
      <c r="P358" s="6"/>
      <c r="Q358" s="3">
        <f t="shared" si="15"/>
        <v>0</v>
      </c>
      <c r="R358" s="4">
        <f t="shared" si="16"/>
        <v>0</v>
      </c>
      <c r="S358" s="3" t="s">
        <v>23</v>
      </c>
      <c r="T358" s="195"/>
    </row>
    <row r="359" spans="1:20" ht="21.6" x14ac:dyDescent="0.3">
      <c r="A359" s="139">
        <v>2073</v>
      </c>
      <c r="B359" s="42" t="s">
        <v>20</v>
      </c>
      <c r="C359" s="43" t="s">
        <v>267</v>
      </c>
      <c r="D359" s="50">
        <v>3065</v>
      </c>
      <c r="E359" s="42" t="s">
        <v>312</v>
      </c>
      <c r="F359" s="45" t="s">
        <v>143</v>
      </c>
      <c r="G359" s="207" t="s">
        <v>311</v>
      </c>
      <c r="H359" s="45" t="s">
        <v>386</v>
      </c>
      <c r="I359" s="7" t="s">
        <v>22</v>
      </c>
      <c r="J359" s="3">
        <v>0.7</v>
      </c>
      <c r="K359" s="1" t="s">
        <v>51</v>
      </c>
      <c r="L359" s="8" t="s">
        <v>127</v>
      </c>
      <c r="M359" s="7" t="s">
        <v>128</v>
      </c>
      <c r="N359" s="6">
        <v>0.05</v>
      </c>
      <c r="O359" s="3">
        <v>0.1</v>
      </c>
      <c r="P359" s="11"/>
      <c r="Q359" s="3">
        <f t="shared" si="15"/>
        <v>0</v>
      </c>
      <c r="R359" s="4">
        <f t="shared" si="16"/>
        <v>0</v>
      </c>
      <c r="S359" s="3" t="s">
        <v>24</v>
      </c>
      <c r="T359" s="195"/>
    </row>
    <row r="360" spans="1:20" ht="21.6" x14ac:dyDescent="0.3">
      <c r="A360" s="139">
        <v>2074</v>
      </c>
      <c r="B360" s="42" t="s">
        <v>20</v>
      </c>
      <c r="C360" s="43" t="s">
        <v>267</v>
      </c>
      <c r="D360" s="50">
        <v>3065</v>
      </c>
      <c r="E360" s="42" t="s">
        <v>312</v>
      </c>
      <c r="F360" s="45" t="s">
        <v>143</v>
      </c>
      <c r="G360" s="207" t="s">
        <v>311</v>
      </c>
      <c r="H360" s="45" t="s">
        <v>386</v>
      </c>
      <c r="I360" s="7" t="s">
        <v>22</v>
      </c>
      <c r="J360" s="3">
        <v>0.7</v>
      </c>
      <c r="K360" s="1" t="s">
        <v>305</v>
      </c>
      <c r="L360" s="8" t="s">
        <v>257</v>
      </c>
      <c r="M360" s="13" t="s">
        <v>306</v>
      </c>
      <c r="N360" s="3">
        <v>0.95</v>
      </c>
      <c r="O360" s="3">
        <v>0.1</v>
      </c>
      <c r="P360" s="3"/>
      <c r="Q360" s="3">
        <f t="shared" si="15"/>
        <v>0</v>
      </c>
      <c r="R360" s="4">
        <f t="shared" si="16"/>
        <v>0</v>
      </c>
      <c r="S360" s="3" t="s">
        <v>23</v>
      </c>
      <c r="T360" s="195"/>
    </row>
    <row r="361" spans="1:20" ht="21.6" x14ac:dyDescent="0.3">
      <c r="A361" s="139">
        <v>2075</v>
      </c>
      <c r="B361" s="42" t="s">
        <v>20</v>
      </c>
      <c r="C361" s="43" t="s">
        <v>267</v>
      </c>
      <c r="D361" s="50">
        <v>3065</v>
      </c>
      <c r="E361" s="42" t="s">
        <v>312</v>
      </c>
      <c r="F361" s="45" t="s">
        <v>143</v>
      </c>
      <c r="G361" s="207" t="s">
        <v>311</v>
      </c>
      <c r="H361" s="45" t="s">
        <v>386</v>
      </c>
      <c r="I361" s="47" t="s">
        <v>22</v>
      </c>
      <c r="J361" s="3">
        <v>0.7</v>
      </c>
      <c r="K361" s="49" t="s">
        <v>129</v>
      </c>
      <c r="L361" s="30" t="s">
        <v>130</v>
      </c>
      <c r="M361" s="47" t="s">
        <v>131</v>
      </c>
      <c r="N361" s="3">
        <v>0.9</v>
      </c>
      <c r="O361" s="10">
        <v>0.2</v>
      </c>
      <c r="P361" s="3"/>
      <c r="Q361" s="3">
        <f t="shared" si="15"/>
        <v>0</v>
      </c>
      <c r="R361" s="48">
        <f t="shared" si="16"/>
        <v>0</v>
      </c>
      <c r="S361" s="10" t="s">
        <v>23</v>
      </c>
      <c r="T361" s="193"/>
    </row>
    <row r="362" spans="1:20" ht="21.6" x14ac:dyDescent="0.3">
      <c r="A362" s="139">
        <v>2076</v>
      </c>
      <c r="B362" s="42" t="s">
        <v>20</v>
      </c>
      <c r="C362" s="43" t="s">
        <v>267</v>
      </c>
      <c r="D362" s="50">
        <v>3065</v>
      </c>
      <c r="E362" s="42" t="s">
        <v>312</v>
      </c>
      <c r="F362" s="45" t="s">
        <v>143</v>
      </c>
      <c r="G362" s="207" t="s">
        <v>311</v>
      </c>
      <c r="H362" s="45" t="s">
        <v>386</v>
      </c>
      <c r="I362" s="47" t="s">
        <v>22</v>
      </c>
      <c r="J362" s="3">
        <v>0.7</v>
      </c>
      <c r="K362" s="49" t="s">
        <v>132</v>
      </c>
      <c r="L362" s="30" t="s">
        <v>133</v>
      </c>
      <c r="M362" s="47" t="s">
        <v>134</v>
      </c>
      <c r="N362" s="4">
        <v>0</v>
      </c>
      <c r="O362" s="10">
        <v>0.1</v>
      </c>
      <c r="P362" s="3"/>
      <c r="Q362" s="3">
        <f t="shared" si="15"/>
        <v>0</v>
      </c>
      <c r="R362" s="48">
        <f t="shared" si="16"/>
        <v>0</v>
      </c>
      <c r="S362" s="10" t="s">
        <v>24</v>
      </c>
      <c r="T362" s="193"/>
    </row>
    <row r="363" spans="1:20" ht="21.6" x14ac:dyDescent="0.3">
      <c r="A363" s="139">
        <v>2077</v>
      </c>
      <c r="B363" s="42" t="s">
        <v>20</v>
      </c>
      <c r="C363" s="43" t="s">
        <v>267</v>
      </c>
      <c r="D363" s="50">
        <v>3065</v>
      </c>
      <c r="E363" s="42" t="s">
        <v>312</v>
      </c>
      <c r="F363" s="45" t="s">
        <v>143</v>
      </c>
      <c r="G363" s="207" t="s">
        <v>311</v>
      </c>
      <c r="H363" s="45" t="s">
        <v>386</v>
      </c>
      <c r="I363" s="47" t="s">
        <v>22</v>
      </c>
      <c r="J363" s="3">
        <v>0.7</v>
      </c>
      <c r="K363" s="49" t="s">
        <v>135</v>
      </c>
      <c r="L363" s="30" t="s">
        <v>136</v>
      </c>
      <c r="M363" s="49" t="s">
        <v>137</v>
      </c>
      <c r="N363" s="3">
        <v>0.9</v>
      </c>
      <c r="O363" s="10">
        <v>0.2</v>
      </c>
      <c r="P363" s="51"/>
      <c r="Q363" s="3">
        <f t="shared" si="15"/>
        <v>0</v>
      </c>
      <c r="R363" s="48">
        <f t="shared" si="16"/>
        <v>0</v>
      </c>
      <c r="S363" s="10" t="s">
        <v>23</v>
      </c>
      <c r="T363" s="193"/>
    </row>
    <row r="364" spans="1:20" ht="22.2" thickBot="1" x14ac:dyDescent="0.35">
      <c r="A364" s="142">
        <v>2078</v>
      </c>
      <c r="B364" s="81" t="s">
        <v>20</v>
      </c>
      <c r="C364" s="82" t="s">
        <v>267</v>
      </c>
      <c r="D364" s="113">
        <v>3065</v>
      </c>
      <c r="E364" s="81" t="s">
        <v>312</v>
      </c>
      <c r="F364" s="84" t="s">
        <v>143</v>
      </c>
      <c r="G364" s="209" t="s">
        <v>311</v>
      </c>
      <c r="H364" s="84" t="s">
        <v>386</v>
      </c>
      <c r="I364" s="85" t="s">
        <v>26</v>
      </c>
      <c r="J364" s="86">
        <v>0.3</v>
      </c>
      <c r="K364" s="115" t="s">
        <v>138</v>
      </c>
      <c r="L364" s="114" t="s">
        <v>139</v>
      </c>
      <c r="M364" s="115" t="s">
        <v>140</v>
      </c>
      <c r="N364" s="86">
        <v>1</v>
      </c>
      <c r="O364" s="91">
        <v>1</v>
      </c>
      <c r="P364" s="86"/>
      <c r="Q364" s="86">
        <f t="shared" ref="Q364:Q435" si="17">ROUND(IF(OR(N364="",P364=""),0,IF(AND(N364=0,P364=0),1,IF(S364="+",P364/N364,N364/P364))),2)</f>
        <v>0</v>
      </c>
      <c r="R364" s="104">
        <f t="shared" si="16"/>
        <v>0</v>
      </c>
      <c r="S364" s="91" t="s">
        <v>23</v>
      </c>
      <c r="T364" s="147"/>
    </row>
    <row r="365" spans="1:20" ht="21.6" x14ac:dyDescent="0.3">
      <c r="A365" s="138">
        <v>2070</v>
      </c>
      <c r="B365" s="71" t="s">
        <v>20</v>
      </c>
      <c r="C365" s="72" t="s">
        <v>267</v>
      </c>
      <c r="D365" s="112">
        <v>5637</v>
      </c>
      <c r="E365" s="71" t="s">
        <v>316</v>
      </c>
      <c r="F365" s="74" t="s">
        <v>145</v>
      </c>
      <c r="G365" s="188" t="s">
        <v>311</v>
      </c>
      <c r="H365" s="74" t="s">
        <v>386</v>
      </c>
      <c r="I365" s="75" t="s">
        <v>22</v>
      </c>
      <c r="J365" s="76">
        <v>0.7</v>
      </c>
      <c r="K365" s="101" t="s">
        <v>513</v>
      </c>
      <c r="L365" s="105" t="s">
        <v>511</v>
      </c>
      <c r="M365" s="101" t="s">
        <v>411</v>
      </c>
      <c r="N365" s="76">
        <v>0.95</v>
      </c>
      <c r="O365" s="76">
        <v>0.15</v>
      </c>
      <c r="P365" s="76"/>
      <c r="Q365" s="76">
        <f t="shared" si="17"/>
        <v>0</v>
      </c>
      <c r="R365" s="80">
        <f t="shared" si="16"/>
        <v>0</v>
      </c>
      <c r="S365" s="76" t="s">
        <v>23</v>
      </c>
      <c r="T365" s="194">
        <f>SUM(R365:R372)%</f>
        <v>0</v>
      </c>
    </row>
    <row r="366" spans="1:20" ht="21.6" x14ac:dyDescent="0.3">
      <c r="A366" s="139">
        <v>2072</v>
      </c>
      <c r="B366" s="42" t="s">
        <v>20</v>
      </c>
      <c r="C366" s="43" t="s">
        <v>267</v>
      </c>
      <c r="D366" s="50">
        <v>5637</v>
      </c>
      <c r="E366" s="42" t="s">
        <v>316</v>
      </c>
      <c r="F366" s="45" t="s">
        <v>145</v>
      </c>
      <c r="G366" s="207" t="s">
        <v>311</v>
      </c>
      <c r="H366" s="45" t="s">
        <v>386</v>
      </c>
      <c r="I366" s="7" t="s">
        <v>22</v>
      </c>
      <c r="J366" s="3">
        <v>0.7</v>
      </c>
      <c r="K366" s="1" t="s">
        <v>124</v>
      </c>
      <c r="L366" s="8" t="s">
        <v>125</v>
      </c>
      <c r="M366" s="7" t="s">
        <v>126</v>
      </c>
      <c r="N366" s="3">
        <v>0.95</v>
      </c>
      <c r="O366" s="3">
        <v>0.15</v>
      </c>
      <c r="P366" s="6"/>
      <c r="Q366" s="3">
        <f t="shared" si="17"/>
        <v>0</v>
      </c>
      <c r="R366" s="4">
        <f t="shared" si="16"/>
        <v>0</v>
      </c>
      <c r="S366" s="3" t="s">
        <v>23</v>
      </c>
      <c r="T366" s="195"/>
    </row>
    <row r="367" spans="1:20" ht="21.6" x14ac:dyDescent="0.3">
      <c r="A367" s="139">
        <v>2073</v>
      </c>
      <c r="B367" s="42" t="s">
        <v>20</v>
      </c>
      <c r="C367" s="43" t="s">
        <v>267</v>
      </c>
      <c r="D367" s="50">
        <v>5637</v>
      </c>
      <c r="E367" s="42" t="s">
        <v>316</v>
      </c>
      <c r="F367" s="45" t="s">
        <v>145</v>
      </c>
      <c r="G367" s="207" t="s">
        <v>311</v>
      </c>
      <c r="H367" s="45" t="s">
        <v>386</v>
      </c>
      <c r="I367" s="7" t="s">
        <v>22</v>
      </c>
      <c r="J367" s="3">
        <v>0.7</v>
      </c>
      <c r="K367" s="1" t="s">
        <v>51</v>
      </c>
      <c r="L367" s="8" t="s">
        <v>127</v>
      </c>
      <c r="M367" s="7" t="s">
        <v>128</v>
      </c>
      <c r="N367" s="6">
        <v>0.05</v>
      </c>
      <c r="O367" s="3">
        <v>0.1</v>
      </c>
      <c r="P367" s="11"/>
      <c r="Q367" s="3">
        <f t="shared" si="17"/>
        <v>0</v>
      </c>
      <c r="R367" s="4">
        <f t="shared" si="16"/>
        <v>0</v>
      </c>
      <c r="S367" s="3" t="s">
        <v>24</v>
      </c>
      <c r="T367" s="195"/>
    </row>
    <row r="368" spans="1:20" ht="21.6" x14ac:dyDescent="0.3">
      <c r="A368" s="139">
        <v>2074</v>
      </c>
      <c r="B368" s="42" t="s">
        <v>20</v>
      </c>
      <c r="C368" s="43" t="s">
        <v>267</v>
      </c>
      <c r="D368" s="50">
        <v>5637</v>
      </c>
      <c r="E368" s="42" t="s">
        <v>316</v>
      </c>
      <c r="F368" s="45" t="s">
        <v>145</v>
      </c>
      <c r="G368" s="207" t="s">
        <v>311</v>
      </c>
      <c r="H368" s="45" t="s">
        <v>386</v>
      </c>
      <c r="I368" s="7" t="s">
        <v>22</v>
      </c>
      <c r="J368" s="3">
        <v>0.7</v>
      </c>
      <c r="K368" s="1" t="s">
        <v>305</v>
      </c>
      <c r="L368" s="8" t="s">
        <v>257</v>
      </c>
      <c r="M368" s="13" t="s">
        <v>306</v>
      </c>
      <c r="N368" s="3">
        <v>0.95</v>
      </c>
      <c r="O368" s="3">
        <v>0.1</v>
      </c>
      <c r="P368" s="3"/>
      <c r="Q368" s="3">
        <f t="shared" si="17"/>
        <v>0</v>
      </c>
      <c r="R368" s="4">
        <f t="shared" si="16"/>
        <v>0</v>
      </c>
      <c r="S368" s="3" t="s">
        <v>23</v>
      </c>
      <c r="T368" s="195"/>
    </row>
    <row r="369" spans="1:20" ht="21.6" x14ac:dyDescent="0.3">
      <c r="A369" s="139">
        <v>2075</v>
      </c>
      <c r="B369" s="42" t="s">
        <v>20</v>
      </c>
      <c r="C369" s="43" t="s">
        <v>267</v>
      </c>
      <c r="D369" s="50">
        <v>5637</v>
      </c>
      <c r="E369" s="42" t="s">
        <v>316</v>
      </c>
      <c r="F369" s="45" t="s">
        <v>145</v>
      </c>
      <c r="G369" s="207" t="s">
        <v>311</v>
      </c>
      <c r="H369" s="45" t="s">
        <v>386</v>
      </c>
      <c r="I369" s="47" t="s">
        <v>22</v>
      </c>
      <c r="J369" s="3">
        <v>0.7</v>
      </c>
      <c r="K369" s="49" t="s">
        <v>129</v>
      </c>
      <c r="L369" s="30" t="s">
        <v>130</v>
      </c>
      <c r="M369" s="47" t="s">
        <v>131</v>
      </c>
      <c r="N369" s="3">
        <v>0.9</v>
      </c>
      <c r="O369" s="10">
        <v>0.2</v>
      </c>
      <c r="P369" s="3"/>
      <c r="Q369" s="3">
        <f t="shared" si="17"/>
        <v>0</v>
      </c>
      <c r="R369" s="48">
        <f t="shared" si="16"/>
        <v>0</v>
      </c>
      <c r="S369" s="10" t="s">
        <v>23</v>
      </c>
      <c r="T369" s="193"/>
    </row>
    <row r="370" spans="1:20" ht="21.6" x14ac:dyDescent="0.3">
      <c r="A370" s="139">
        <v>2076</v>
      </c>
      <c r="B370" s="42" t="s">
        <v>20</v>
      </c>
      <c r="C370" s="43" t="s">
        <v>267</v>
      </c>
      <c r="D370" s="50">
        <v>5637</v>
      </c>
      <c r="E370" s="42" t="s">
        <v>316</v>
      </c>
      <c r="F370" s="45" t="s">
        <v>145</v>
      </c>
      <c r="G370" s="207" t="s">
        <v>311</v>
      </c>
      <c r="H370" s="45" t="s">
        <v>386</v>
      </c>
      <c r="I370" s="47" t="s">
        <v>22</v>
      </c>
      <c r="J370" s="3">
        <v>0.7</v>
      </c>
      <c r="K370" s="49" t="s">
        <v>132</v>
      </c>
      <c r="L370" s="30" t="s">
        <v>133</v>
      </c>
      <c r="M370" s="47" t="s">
        <v>134</v>
      </c>
      <c r="N370" s="4">
        <v>0</v>
      </c>
      <c r="O370" s="10">
        <v>0.1</v>
      </c>
      <c r="P370" s="3"/>
      <c r="Q370" s="3">
        <f t="shared" si="17"/>
        <v>0</v>
      </c>
      <c r="R370" s="48">
        <f t="shared" si="16"/>
        <v>0</v>
      </c>
      <c r="S370" s="10" t="s">
        <v>24</v>
      </c>
      <c r="T370" s="193"/>
    </row>
    <row r="371" spans="1:20" ht="21.6" x14ac:dyDescent="0.3">
      <c r="A371" s="139">
        <v>2077</v>
      </c>
      <c r="B371" s="42" t="s">
        <v>20</v>
      </c>
      <c r="C371" s="43" t="s">
        <v>267</v>
      </c>
      <c r="D371" s="50">
        <v>5637</v>
      </c>
      <c r="E371" s="42" t="s">
        <v>316</v>
      </c>
      <c r="F371" s="45" t="s">
        <v>145</v>
      </c>
      <c r="G371" s="207" t="s">
        <v>311</v>
      </c>
      <c r="H371" s="45" t="s">
        <v>386</v>
      </c>
      <c r="I371" s="47" t="s">
        <v>22</v>
      </c>
      <c r="J371" s="3">
        <v>0.7</v>
      </c>
      <c r="K371" s="49" t="s">
        <v>135</v>
      </c>
      <c r="L371" s="30" t="s">
        <v>136</v>
      </c>
      <c r="M371" s="49" t="s">
        <v>137</v>
      </c>
      <c r="N371" s="3">
        <v>0.9</v>
      </c>
      <c r="O371" s="10">
        <v>0.2</v>
      </c>
      <c r="P371" s="51"/>
      <c r="Q371" s="3">
        <f t="shared" si="17"/>
        <v>0</v>
      </c>
      <c r="R371" s="48">
        <f t="shared" si="16"/>
        <v>0</v>
      </c>
      <c r="S371" s="10" t="s">
        <v>23</v>
      </c>
      <c r="T371" s="193"/>
    </row>
    <row r="372" spans="1:20" ht="22.2" thickBot="1" x14ac:dyDescent="0.35">
      <c r="A372" s="142">
        <v>2078</v>
      </c>
      <c r="B372" s="81" t="s">
        <v>20</v>
      </c>
      <c r="C372" s="82" t="s">
        <v>267</v>
      </c>
      <c r="D372" s="113">
        <v>5637</v>
      </c>
      <c r="E372" s="81" t="s">
        <v>316</v>
      </c>
      <c r="F372" s="84" t="s">
        <v>145</v>
      </c>
      <c r="G372" s="209" t="s">
        <v>311</v>
      </c>
      <c r="H372" s="84" t="s">
        <v>386</v>
      </c>
      <c r="I372" s="85" t="s">
        <v>26</v>
      </c>
      <c r="J372" s="86">
        <v>0.3</v>
      </c>
      <c r="K372" s="115" t="s">
        <v>138</v>
      </c>
      <c r="L372" s="114" t="s">
        <v>139</v>
      </c>
      <c r="M372" s="115" t="s">
        <v>140</v>
      </c>
      <c r="N372" s="86">
        <v>1</v>
      </c>
      <c r="O372" s="91">
        <v>1</v>
      </c>
      <c r="P372" s="86"/>
      <c r="Q372" s="86">
        <f t="shared" si="17"/>
        <v>0</v>
      </c>
      <c r="R372" s="104">
        <f t="shared" si="16"/>
        <v>0</v>
      </c>
      <c r="S372" s="91" t="s">
        <v>23</v>
      </c>
      <c r="T372" s="147"/>
    </row>
    <row r="373" spans="1:20" ht="21.6" x14ac:dyDescent="0.3">
      <c r="A373" s="138">
        <v>2070</v>
      </c>
      <c r="B373" s="71" t="s">
        <v>20</v>
      </c>
      <c r="C373" s="72" t="s">
        <v>267</v>
      </c>
      <c r="D373" s="112">
        <v>3667</v>
      </c>
      <c r="E373" s="71" t="s">
        <v>313</v>
      </c>
      <c r="F373" s="74" t="s">
        <v>143</v>
      </c>
      <c r="G373" s="188" t="s">
        <v>311</v>
      </c>
      <c r="H373" s="74" t="s">
        <v>386</v>
      </c>
      <c r="I373" s="75" t="s">
        <v>22</v>
      </c>
      <c r="J373" s="76">
        <v>0.7</v>
      </c>
      <c r="K373" s="101" t="s">
        <v>513</v>
      </c>
      <c r="L373" s="105" t="s">
        <v>511</v>
      </c>
      <c r="M373" s="101" t="s">
        <v>411</v>
      </c>
      <c r="N373" s="76">
        <v>0.95</v>
      </c>
      <c r="O373" s="76">
        <v>0.15</v>
      </c>
      <c r="P373" s="76"/>
      <c r="Q373" s="76">
        <f t="shared" si="17"/>
        <v>0</v>
      </c>
      <c r="R373" s="80">
        <f t="shared" si="16"/>
        <v>0</v>
      </c>
      <c r="S373" s="76" t="s">
        <v>23</v>
      </c>
      <c r="T373" s="194">
        <f>SUM(R373:R380)%</f>
        <v>0</v>
      </c>
    </row>
    <row r="374" spans="1:20" ht="21.6" x14ac:dyDescent="0.3">
      <c r="A374" s="139">
        <v>2072</v>
      </c>
      <c r="B374" s="42" t="s">
        <v>20</v>
      </c>
      <c r="C374" s="43" t="s">
        <v>267</v>
      </c>
      <c r="D374" s="50">
        <v>3667</v>
      </c>
      <c r="E374" s="42" t="s">
        <v>313</v>
      </c>
      <c r="F374" s="45" t="s">
        <v>143</v>
      </c>
      <c r="G374" s="207" t="s">
        <v>311</v>
      </c>
      <c r="H374" s="45" t="s">
        <v>386</v>
      </c>
      <c r="I374" s="7" t="s">
        <v>22</v>
      </c>
      <c r="J374" s="3">
        <v>0.7</v>
      </c>
      <c r="K374" s="1" t="s">
        <v>124</v>
      </c>
      <c r="L374" s="8" t="s">
        <v>125</v>
      </c>
      <c r="M374" s="7" t="s">
        <v>126</v>
      </c>
      <c r="N374" s="3">
        <v>0.95</v>
      </c>
      <c r="O374" s="3">
        <v>0.15</v>
      </c>
      <c r="P374" s="6"/>
      <c r="Q374" s="3">
        <f t="shared" si="17"/>
        <v>0</v>
      </c>
      <c r="R374" s="4">
        <f t="shared" si="16"/>
        <v>0</v>
      </c>
      <c r="S374" s="3" t="s">
        <v>23</v>
      </c>
      <c r="T374" s="195"/>
    </row>
    <row r="375" spans="1:20" ht="21.6" x14ac:dyDescent="0.3">
      <c r="A375" s="139">
        <v>2073</v>
      </c>
      <c r="B375" s="42" t="s">
        <v>20</v>
      </c>
      <c r="C375" s="43" t="s">
        <v>267</v>
      </c>
      <c r="D375" s="50">
        <v>3667</v>
      </c>
      <c r="E375" s="42" t="s">
        <v>313</v>
      </c>
      <c r="F375" s="45" t="s">
        <v>143</v>
      </c>
      <c r="G375" s="207" t="s">
        <v>311</v>
      </c>
      <c r="H375" s="45" t="s">
        <v>386</v>
      </c>
      <c r="I375" s="7" t="s">
        <v>22</v>
      </c>
      <c r="J375" s="3">
        <v>0.7</v>
      </c>
      <c r="K375" s="1" t="s">
        <v>51</v>
      </c>
      <c r="L375" s="8" t="s">
        <v>127</v>
      </c>
      <c r="M375" s="7" t="s">
        <v>128</v>
      </c>
      <c r="N375" s="6">
        <v>0.05</v>
      </c>
      <c r="O375" s="3">
        <v>0.1</v>
      </c>
      <c r="P375" s="11"/>
      <c r="Q375" s="3">
        <f t="shared" si="17"/>
        <v>0</v>
      </c>
      <c r="R375" s="4">
        <f t="shared" si="16"/>
        <v>0</v>
      </c>
      <c r="S375" s="3" t="s">
        <v>24</v>
      </c>
      <c r="T375" s="195"/>
    </row>
    <row r="376" spans="1:20" ht="21.6" x14ac:dyDescent="0.3">
      <c r="A376" s="139">
        <v>2074</v>
      </c>
      <c r="B376" s="42" t="s">
        <v>20</v>
      </c>
      <c r="C376" s="43" t="s">
        <v>267</v>
      </c>
      <c r="D376" s="50">
        <v>3667</v>
      </c>
      <c r="E376" s="42" t="s">
        <v>313</v>
      </c>
      <c r="F376" s="45" t="s">
        <v>143</v>
      </c>
      <c r="G376" s="207" t="s">
        <v>311</v>
      </c>
      <c r="H376" s="45" t="s">
        <v>386</v>
      </c>
      <c r="I376" s="7" t="s">
        <v>22</v>
      </c>
      <c r="J376" s="3">
        <v>0.7</v>
      </c>
      <c r="K376" s="1" t="s">
        <v>305</v>
      </c>
      <c r="L376" s="8" t="s">
        <v>257</v>
      </c>
      <c r="M376" s="13" t="s">
        <v>306</v>
      </c>
      <c r="N376" s="3">
        <v>0.95</v>
      </c>
      <c r="O376" s="3">
        <v>0.1</v>
      </c>
      <c r="P376" s="3"/>
      <c r="Q376" s="3">
        <f t="shared" si="17"/>
        <v>0</v>
      </c>
      <c r="R376" s="4">
        <f t="shared" si="16"/>
        <v>0</v>
      </c>
      <c r="S376" s="3" t="s">
        <v>23</v>
      </c>
      <c r="T376" s="195"/>
    </row>
    <row r="377" spans="1:20" ht="21.6" x14ac:dyDescent="0.3">
      <c r="A377" s="139">
        <v>2075</v>
      </c>
      <c r="B377" s="42" t="s">
        <v>20</v>
      </c>
      <c r="C377" s="43" t="s">
        <v>267</v>
      </c>
      <c r="D377" s="50">
        <v>3667</v>
      </c>
      <c r="E377" s="42" t="s">
        <v>313</v>
      </c>
      <c r="F377" s="45" t="s">
        <v>143</v>
      </c>
      <c r="G377" s="207" t="s">
        <v>311</v>
      </c>
      <c r="H377" s="45" t="s">
        <v>386</v>
      </c>
      <c r="I377" s="47" t="s">
        <v>22</v>
      </c>
      <c r="J377" s="3">
        <v>0.7</v>
      </c>
      <c r="K377" s="49" t="s">
        <v>129</v>
      </c>
      <c r="L377" s="30" t="s">
        <v>130</v>
      </c>
      <c r="M377" s="47" t="s">
        <v>131</v>
      </c>
      <c r="N377" s="3">
        <v>0.9</v>
      </c>
      <c r="O377" s="10">
        <v>0.2</v>
      </c>
      <c r="P377" s="3"/>
      <c r="Q377" s="3">
        <f t="shared" si="17"/>
        <v>0</v>
      </c>
      <c r="R377" s="48">
        <f t="shared" si="16"/>
        <v>0</v>
      </c>
      <c r="S377" s="10" t="s">
        <v>23</v>
      </c>
      <c r="T377" s="193"/>
    </row>
    <row r="378" spans="1:20" ht="21.6" x14ac:dyDescent="0.3">
      <c r="A378" s="139">
        <v>2076</v>
      </c>
      <c r="B378" s="42" t="s">
        <v>20</v>
      </c>
      <c r="C378" s="43" t="s">
        <v>267</v>
      </c>
      <c r="D378" s="50">
        <v>3667</v>
      </c>
      <c r="E378" s="42" t="s">
        <v>313</v>
      </c>
      <c r="F378" s="45" t="s">
        <v>143</v>
      </c>
      <c r="G378" s="207" t="s">
        <v>311</v>
      </c>
      <c r="H378" s="45" t="s">
        <v>386</v>
      </c>
      <c r="I378" s="47" t="s">
        <v>22</v>
      </c>
      <c r="J378" s="3">
        <v>0.7</v>
      </c>
      <c r="K378" s="49" t="s">
        <v>132</v>
      </c>
      <c r="L378" s="30" t="s">
        <v>133</v>
      </c>
      <c r="M378" s="47" t="s">
        <v>134</v>
      </c>
      <c r="N378" s="4">
        <v>0</v>
      </c>
      <c r="O378" s="10">
        <v>0.1</v>
      </c>
      <c r="P378" s="3"/>
      <c r="Q378" s="3">
        <f t="shared" si="17"/>
        <v>0</v>
      </c>
      <c r="R378" s="48">
        <f t="shared" si="16"/>
        <v>0</v>
      </c>
      <c r="S378" s="10" t="s">
        <v>24</v>
      </c>
      <c r="T378" s="193"/>
    </row>
    <row r="379" spans="1:20" ht="21.6" x14ac:dyDescent="0.3">
      <c r="A379" s="139">
        <v>2077</v>
      </c>
      <c r="B379" s="42" t="s">
        <v>20</v>
      </c>
      <c r="C379" s="43" t="s">
        <v>267</v>
      </c>
      <c r="D379" s="50">
        <v>3667</v>
      </c>
      <c r="E379" s="42" t="s">
        <v>313</v>
      </c>
      <c r="F379" s="45" t="s">
        <v>143</v>
      </c>
      <c r="G379" s="207" t="s">
        <v>311</v>
      </c>
      <c r="H379" s="45" t="s">
        <v>386</v>
      </c>
      <c r="I379" s="47" t="s">
        <v>22</v>
      </c>
      <c r="J379" s="3">
        <v>0.7</v>
      </c>
      <c r="K379" s="49" t="s">
        <v>135</v>
      </c>
      <c r="L379" s="30" t="s">
        <v>136</v>
      </c>
      <c r="M379" s="49" t="s">
        <v>137</v>
      </c>
      <c r="N379" s="3">
        <v>0.9</v>
      </c>
      <c r="O379" s="10">
        <v>0.2</v>
      </c>
      <c r="P379" s="51"/>
      <c r="Q379" s="3">
        <f t="shared" si="17"/>
        <v>0</v>
      </c>
      <c r="R379" s="48">
        <f t="shared" si="16"/>
        <v>0</v>
      </c>
      <c r="S379" s="10" t="s">
        <v>23</v>
      </c>
      <c r="T379" s="193"/>
    </row>
    <row r="380" spans="1:20" ht="22.2" thickBot="1" x14ac:dyDescent="0.35">
      <c r="A380" s="142">
        <v>2078</v>
      </c>
      <c r="B380" s="81" t="s">
        <v>20</v>
      </c>
      <c r="C380" s="82" t="s">
        <v>267</v>
      </c>
      <c r="D380" s="113">
        <v>3667</v>
      </c>
      <c r="E380" s="81" t="s">
        <v>313</v>
      </c>
      <c r="F380" s="84" t="s">
        <v>143</v>
      </c>
      <c r="G380" s="209" t="s">
        <v>311</v>
      </c>
      <c r="H380" s="84" t="s">
        <v>386</v>
      </c>
      <c r="I380" s="85" t="s">
        <v>26</v>
      </c>
      <c r="J380" s="86">
        <v>0.3</v>
      </c>
      <c r="K380" s="115" t="s">
        <v>138</v>
      </c>
      <c r="L380" s="114" t="s">
        <v>139</v>
      </c>
      <c r="M380" s="115" t="s">
        <v>140</v>
      </c>
      <c r="N380" s="86">
        <v>1</v>
      </c>
      <c r="O380" s="91">
        <v>1</v>
      </c>
      <c r="P380" s="86"/>
      <c r="Q380" s="86">
        <f t="shared" si="17"/>
        <v>0</v>
      </c>
      <c r="R380" s="104">
        <f t="shared" si="16"/>
        <v>0</v>
      </c>
      <c r="S380" s="91" t="s">
        <v>23</v>
      </c>
      <c r="T380" s="147"/>
    </row>
    <row r="381" spans="1:20" ht="21.6" x14ac:dyDescent="0.3">
      <c r="A381" s="138">
        <v>2070</v>
      </c>
      <c r="B381" s="71" t="s">
        <v>20</v>
      </c>
      <c r="C381" s="72" t="s">
        <v>267</v>
      </c>
      <c r="D381" s="112">
        <v>3667</v>
      </c>
      <c r="E381" s="71" t="s">
        <v>314</v>
      </c>
      <c r="F381" s="74" t="s">
        <v>143</v>
      </c>
      <c r="G381" s="188" t="s">
        <v>311</v>
      </c>
      <c r="H381" s="74" t="s">
        <v>386</v>
      </c>
      <c r="I381" s="75" t="s">
        <v>22</v>
      </c>
      <c r="J381" s="76">
        <v>0.7</v>
      </c>
      <c r="K381" s="101" t="s">
        <v>513</v>
      </c>
      <c r="L381" s="105" t="s">
        <v>511</v>
      </c>
      <c r="M381" s="101" t="s">
        <v>411</v>
      </c>
      <c r="N381" s="76">
        <v>0.95</v>
      </c>
      <c r="O381" s="76">
        <v>0.15</v>
      </c>
      <c r="P381" s="76"/>
      <c r="Q381" s="76">
        <f t="shared" si="17"/>
        <v>0</v>
      </c>
      <c r="R381" s="80">
        <f t="shared" ref="R381:R452" si="18">IF(AND(Q381&gt;=60%,Q381&lt;100%),Q381*((O381*J381)),IF(Q381=100%,((O381*J381)*Q381)*100%,IF(Q381&gt;100%,((J381*O381)*100%)*100%,0)))*100</f>
        <v>0</v>
      </c>
      <c r="S381" s="76" t="s">
        <v>23</v>
      </c>
      <c r="T381" s="194">
        <f>SUM(R381:R388)%</f>
        <v>0</v>
      </c>
    </row>
    <row r="382" spans="1:20" ht="21.6" x14ac:dyDescent="0.3">
      <c r="A382" s="139">
        <v>2072</v>
      </c>
      <c r="B382" s="42" t="s">
        <v>20</v>
      </c>
      <c r="C382" s="43" t="s">
        <v>267</v>
      </c>
      <c r="D382" s="50">
        <v>3667</v>
      </c>
      <c r="E382" s="42" t="s">
        <v>314</v>
      </c>
      <c r="F382" s="45" t="s">
        <v>143</v>
      </c>
      <c r="G382" s="207" t="s">
        <v>311</v>
      </c>
      <c r="H382" s="45" t="s">
        <v>386</v>
      </c>
      <c r="I382" s="7" t="s">
        <v>22</v>
      </c>
      <c r="J382" s="3">
        <v>0.7</v>
      </c>
      <c r="K382" s="1" t="s">
        <v>124</v>
      </c>
      <c r="L382" s="8" t="s">
        <v>125</v>
      </c>
      <c r="M382" s="7" t="s">
        <v>126</v>
      </c>
      <c r="N382" s="3">
        <v>0.95</v>
      </c>
      <c r="O382" s="3">
        <v>0.15</v>
      </c>
      <c r="P382" s="6"/>
      <c r="Q382" s="3">
        <f t="shared" si="17"/>
        <v>0</v>
      </c>
      <c r="R382" s="4">
        <f t="shared" si="18"/>
        <v>0</v>
      </c>
      <c r="S382" s="3" t="s">
        <v>23</v>
      </c>
      <c r="T382" s="195"/>
    </row>
    <row r="383" spans="1:20" ht="21.6" x14ac:dyDescent="0.3">
      <c r="A383" s="139">
        <v>2073</v>
      </c>
      <c r="B383" s="42" t="s">
        <v>20</v>
      </c>
      <c r="C383" s="43" t="s">
        <v>267</v>
      </c>
      <c r="D383" s="50">
        <v>3667</v>
      </c>
      <c r="E383" s="42" t="s">
        <v>314</v>
      </c>
      <c r="F383" s="45" t="s">
        <v>143</v>
      </c>
      <c r="G383" s="207" t="s">
        <v>311</v>
      </c>
      <c r="H383" s="45" t="s">
        <v>386</v>
      </c>
      <c r="I383" s="7" t="s">
        <v>22</v>
      </c>
      <c r="J383" s="3">
        <v>0.7</v>
      </c>
      <c r="K383" s="1" t="s">
        <v>51</v>
      </c>
      <c r="L383" s="8" t="s">
        <v>127</v>
      </c>
      <c r="M383" s="7" t="s">
        <v>128</v>
      </c>
      <c r="N383" s="6">
        <v>0.05</v>
      </c>
      <c r="O383" s="3">
        <v>0.1</v>
      </c>
      <c r="P383" s="11"/>
      <c r="Q383" s="3">
        <f t="shared" si="17"/>
        <v>0</v>
      </c>
      <c r="R383" s="4">
        <f t="shared" si="18"/>
        <v>0</v>
      </c>
      <c r="S383" s="3" t="s">
        <v>24</v>
      </c>
      <c r="T383" s="195"/>
    </row>
    <row r="384" spans="1:20" ht="21.6" x14ac:dyDescent="0.3">
      <c r="A384" s="139">
        <v>2074</v>
      </c>
      <c r="B384" s="42" t="s">
        <v>20</v>
      </c>
      <c r="C384" s="43" t="s">
        <v>267</v>
      </c>
      <c r="D384" s="50">
        <v>3667</v>
      </c>
      <c r="E384" s="42" t="s">
        <v>314</v>
      </c>
      <c r="F384" s="45" t="s">
        <v>143</v>
      </c>
      <c r="G384" s="207" t="s">
        <v>311</v>
      </c>
      <c r="H384" s="45" t="s">
        <v>386</v>
      </c>
      <c r="I384" s="7" t="s">
        <v>22</v>
      </c>
      <c r="J384" s="3">
        <v>0.7</v>
      </c>
      <c r="K384" s="1" t="s">
        <v>305</v>
      </c>
      <c r="L384" s="8" t="s">
        <v>257</v>
      </c>
      <c r="M384" s="13" t="s">
        <v>306</v>
      </c>
      <c r="N384" s="3">
        <v>0.95</v>
      </c>
      <c r="O384" s="3">
        <v>0.1</v>
      </c>
      <c r="P384" s="3"/>
      <c r="Q384" s="3">
        <f t="shared" si="17"/>
        <v>0</v>
      </c>
      <c r="R384" s="4">
        <f t="shared" si="18"/>
        <v>0</v>
      </c>
      <c r="S384" s="3" t="s">
        <v>23</v>
      </c>
      <c r="T384" s="195"/>
    </row>
    <row r="385" spans="1:20" ht="21.6" x14ac:dyDescent="0.3">
      <c r="A385" s="139">
        <v>2075</v>
      </c>
      <c r="B385" s="42" t="s">
        <v>20</v>
      </c>
      <c r="C385" s="43" t="s">
        <v>267</v>
      </c>
      <c r="D385" s="50">
        <v>3667</v>
      </c>
      <c r="E385" s="42" t="s">
        <v>314</v>
      </c>
      <c r="F385" s="45" t="s">
        <v>143</v>
      </c>
      <c r="G385" s="207" t="s">
        <v>311</v>
      </c>
      <c r="H385" s="45" t="s">
        <v>386</v>
      </c>
      <c r="I385" s="47" t="s">
        <v>22</v>
      </c>
      <c r="J385" s="3">
        <v>0.7</v>
      </c>
      <c r="K385" s="49" t="s">
        <v>129</v>
      </c>
      <c r="L385" s="30" t="s">
        <v>130</v>
      </c>
      <c r="M385" s="47" t="s">
        <v>131</v>
      </c>
      <c r="N385" s="3">
        <v>0.9</v>
      </c>
      <c r="O385" s="10">
        <v>0.2</v>
      </c>
      <c r="P385" s="3"/>
      <c r="Q385" s="3">
        <f t="shared" si="17"/>
        <v>0</v>
      </c>
      <c r="R385" s="48">
        <f t="shared" si="18"/>
        <v>0</v>
      </c>
      <c r="S385" s="10" t="s">
        <v>23</v>
      </c>
      <c r="T385" s="193"/>
    </row>
    <row r="386" spans="1:20" ht="21.6" x14ac:dyDescent="0.3">
      <c r="A386" s="139">
        <v>2076</v>
      </c>
      <c r="B386" s="42" t="s">
        <v>20</v>
      </c>
      <c r="C386" s="43" t="s">
        <v>267</v>
      </c>
      <c r="D386" s="50">
        <v>3667</v>
      </c>
      <c r="E386" s="42" t="s">
        <v>314</v>
      </c>
      <c r="F386" s="45" t="s">
        <v>143</v>
      </c>
      <c r="G386" s="207" t="s">
        <v>311</v>
      </c>
      <c r="H386" s="45" t="s">
        <v>386</v>
      </c>
      <c r="I386" s="47" t="s">
        <v>22</v>
      </c>
      <c r="J386" s="3">
        <v>0.7</v>
      </c>
      <c r="K386" s="49" t="s">
        <v>132</v>
      </c>
      <c r="L386" s="30" t="s">
        <v>133</v>
      </c>
      <c r="M386" s="47" t="s">
        <v>134</v>
      </c>
      <c r="N386" s="4">
        <v>0</v>
      </c>
      <c r="O386" s="10">
        <v>0.1</v>
      </c>
      <c r="P386" s="3"/>
      <c r="Q386" s="3">
        <f t="shared" si="17"/>
        <v>0</v>
      </c>
      <c r="R386" s="48">
        <f t="shared" si="18"/>
        <v>0</v>
      </c>
      <c r="S386" s="10" t="s">
        <v>24</v>
      </c>
      <c r="T386" s="193"/>
    </row>
    <row r="387" spans="1:20" ht="21.6" x14ac:dyDescent="0.3">
      <c r="A387" s="139">
        <v>2077</v>
      </c>
      <c r="B387" s="42" t="s">
        <v>20</v>
      </c>
      <c r="C387" s="43" t="s">
        <v>267</v>
      </c>
      <c r="D387" s="50">
        <v>3667</v>
      </c>
      <c r="E387" s="42" t="s">
        <v>314</v>
      </c>
      <c r="F387" s="45" t="s">
        <v>143</v>
      </c>
      <c r="G387" s="207" t="s">
        <v>311</v>
      </c>
      <c r="H387" s="45" t="s">
        <v>386</v>
      </c>
      <c r="I387" s="47" t="s">
        <v>22</v>
      </c>
      <c r="J387" s="3">
        <v>0.7</v>
      </c>
      <c r="K387" s="49" t="s">
        <v>135</v>
      </c>
      <c r="L387" s="30" t="s">
        <v>136</v>
      </c>
      <c r="M387" s="49" t="s">
        <v>137</v>
      </c>
      <c r="N387" s="3">
        <v>0.9</v>
      </c>
      <c r="O387" s="10">
        <v>0.2</v>
      </c>
      <c r="P387" s="51"/>
      <c r="Q387" s="3">
        <f t="shared" si="17"/>
        <v>0</v>
      </c>
      <c r="R387" s="48">
        <f t="shared" si="18"/>
        <v>0</v>
      </c>
      <c r="S387" s="10" t="s">
        <v>23</v>
      </c>
      <c r="T387" s="193"/>
    </row>
    <row r="388" spans="1:20" ht="22.2" thickBot="1" x14ac:dyDescent="0.35">
      <c r="A388" s="142">
        <v>2078</v>
      </c>
      <c r="B388" s="81" t="s">
        <v>20</v>
      </c>
      <c r="C388" s="82" t="s">
        <v>267</v>
      </c>
      <c r="D388" s="113">
        <v>3667</v>
      </c>
      <c r="E388" s="81" t="s">
        <v>314</v>
      </c>
      <c r="F388" s="84" t="s">
        <v>143</v>
      </c>
      <c r="G388" s="209" t="s">
        <v>311</v>
      </c>
      <c r="H388" s="84" t="s">
        <v>386</v>
      </c>
      <c r="I388" s="85" t="s">
        <v>26</v>
      </c>
      <c r="J388" s="86">
        <v>0.3</v>
      </c>
      <c r="K388" s="115" t="s">
        <v>138</v>
      </c>
      <c r="L388" s="114" t="s">
        <v>139</v>
      </c>
      <c r="M388" s="115" t="s">
        <v>140</v>
      </c>
      <c r="N388" s="86">
        <v>1</v>
      </c>
      <c r="O388" s="91">
        <v>1</v>
      </c>
      <c r="P388" s="86"/>
      <c r="Q388" s="86">
        <f t="shared" si="17"/>
        <v>0</v>
      </c>
      <c r="R388" s="104">
        <f t="shared" si="18"/>
        <v>0</v>
      </c>
      <c r="S388" s="91" t="s">
        <v>23</v>
      </c>
      <c r="T388" s="147"/>
    </row>
    <row r="389" spans="1:20" ht="21.6" x14ac:dyDescent="0.3">
      <c r="A389" s="138">
        <v>2070</v>
      </c>
      <c r="B389" s="71" t="s">
        <v>20</v>
      </c>
      <c r="C389" s="72" t="s">
        <v>267</v>
      </c>
      <c r="D389" s="112">
        <v>5488</v>
      </c>
      <c r="E389" s="71" t="s">
        <v>507</v>
      </c>
      <c r="F389" s="74" t="s">
        <v>143</v>
      </c>
      <c r="G389" s="188" t="s">
        <v>311</v>
      </c>
      <c r="H389" s="74" t="s">
        <v>386</v>
      </c>
      <c r="I389" s="75" t="s">
        <v>22</v>
      </c>
      <c r="J389" s="76">
        <v>0.7</v>
      </c>
      <c r="K389" s="101" t="s">
        <v>513</v>
      </c>
      <c r="L389" s="105" t="s">
        <v>511</v>
      </c>
      <c r="M389" s="101" t="s">
        <v>411</v>
      </c>
      <c r="N389" s="76">
        <v>0.95</v>
      </c>
      <c r="O389" s="76">
        <v>0.15</v>
      </c>
      <c r="P389" s="76"/>
      <c r="Q389" s="76">
        <f t="shared" si="17"/>
        <v>0</v>
      </c>
      <c r="R389" s="80">
        <f t="shared" si="18"/>
        <v>0</v>
      </c>
      <c r="S389" s="76" t="s">
        <v>23</v>
      </c>
      <c r="T389" s="194">
        <f>SUM(R389:R396)%</f>
        <v>0</v>
      </c>
    </row>
    <row r="390" spans="1:20" ht="21.6" x14ac:dyDescent="0.3">
      <c r="A390" s="139">
        <v>2072</v>
      </c>
      <c r="B390" s="42" t="s">
        <v>20</v>
      </c>
      <c r="C390" s="43" t="s">
        <v>267</v>
      </c>
      <c r="D390" s="50">
        <v>5488</v>
      </c>
      <c r="E390" s="42" t="s">
        <v>507</v>
      </c>
      <c r="F390" s="45" t="s">
        <v>143</v>
      </c>
      <c r="G390" s="207" t="s">
        <v>311</v>
      </c>
      <c r="H390" s="45" t="s">
        <v>386</v>
      </c>
      <c r="I390" s="7" t="s">
        <v>22</v>
      </c>
      <c r="J390" s="3">
        <v>0.7</v>
      </c>
      <c r="K390" s="1" t="s">
        <v>124</v>
      </c>
      <c r="L390" s="8" t="s">
        <v>125</v>
      </c>
      <c r="M390" s="7" t="s">
        <v>126</v>
      </c>
      <c r="N390" s="3">
        <v>0.95</v>
      </c>
      <c r="O390" s="3">
        <v>0.15</v>
      </c>
      <c r="P390" s="6"/>
      <c r="Q390" s="3">
        <f t="shared" si="17"/>
        <v>0</v>
      </c>
      <c r="R390" s="4">
        <f t="shared" si="18"/>
        <v>0</v>
      </c>
      <c r="S390" s="3" t="s">
        <v>23</v>
      </c>
      <c r="T390" s="195"/>
    </row>
    <row r="391" spans="1:20" ht="21.6" x14ac:dyDescent="0.3">
      <c r="A391" s="139">
        <v>2073</v>
      </c>
      <c r="B391" s="42" t="s">
        <v>20</v>
      </c>
      <c r="C391" s="43" t="s">
        <v>267</v>
      </c>
      <c r="D391" s="50">
        <v>5488</v>
      </c>
      <c r="E391" s="42" t="s">
        <v>507</v>
      </c>
      <c r="F391" s="45" t="s">
        <v>143</v>
      </c>
      <c r="G391" s="207" t="s">
        <v>311</v>
      </c>
      <c r="H391" s="45" t="s">
        <v>386</v>
      </c>
      <c r="I391" s="7" t="s">
        <v>22</v>
      </c>
      <c r="J391" s="3">
        <v>0.7</v>
      </c>
      <c r="K391" s="1" t="s">
        <v>51</v>
      </c>
      <c r="L391" s="8" t="s">
        <v>127</v>
      </c>
      <c r="M391" s="7" t="s">
        <v>128</v>
      </c>
      <c r="N391" s="6">
        <v>0.05</v>
      </c>
      <c r="O391" s="3">
        <v>0.1</v>
      </c>
      <c r="P391" s="11"/>
      <c r="Q391" s="3">
        <f t="shared" si="17"/>
        <v>0</v>
      </c>
      <c r="R391" s="4">
        <f t="shared" si="18"/>
        <v>0</v>
      </c>
      <c r="S391" s="3" t="s">
        <v>24</v>
      </c>
      <c r="T391" s="195"/>
    </row>
    <row r="392" spans="1:20" ht="21.6" x14ac:dyDescent="0.3">
      <c r="A392" s="139">
        <v>2074</v>
      </c>
      <c r="B392" s="42" t="s">
        <v>20</v>
      </c>
      <c r="C392" s="43" t="s">
        <v>267</v>
      </c>
      <c r="D392" s="50">
        <v>5488</v>
      </c>
      <c r="E392" s="42" t="s">
        <v>507</v>
      </c>
      <c r="F392" s="45" t="s">
        <v>143</v>
      </c>
      <c r="G392" s="207" t="s">
        <v>311</v>
      </c>
      <c r="H392" s="45" t="s">
        <v>386</v>
      </c>
      <c r="I392" s="7" t="s">
        <v>22</v>
      </c>
      <c r="J392" s="3">
        <v>0.7</v>
      </c>
      <c r="K392" s="1" t="s">
        <v>305</v>
      </c>
      <c r="L392" s="8" t="s">
        <v>257</v>
      </c>
      <c r="M392" s="13" t="s">
        <v>306</v>
      </c>
      <c r="N392" s="3">
        <v>0.95</v>
      </c>
      <c r="O392" s="3">
        <v>0.1</v>
      </c>
      <c r="P392" s="3"/>
      <c r="Q392" s="3">
        <f t="shared" si="17"/>
        <v>0</v>
      </c>
      <c r="R392" s="4">
        <f t="shared" si="18"/>
        <v>0</v>
      </c>
      <c r="S392" s="3" t="s">
        <v>23</v>
      </c>
      <c r="T392" s="195"/>
    </row>
    <row r="393" spans="1:20" ht="21.6" x14ac:dyDescent="0.3">
      <c r="A393" s="139">
        <v>2075</v>
      </c>
      <c r="B393" s="42" t="s">
        <v>20</v>
      </c>
      <c r="C393" s="43" t="s">
        <v>267</v>
      </c>
      <c r="D393" s="50">
        <v>5488</v>
      </c>
      <c r="E393" s="42" t="s">
        <v>507</v>
      </c>
      <c r="F393" s="45" t="s">
        <v>143</v>
      </c>
      <c r="G393" s="207" t="s">
        <v>311</v>
      </c>
      <c r="H393" s="45" t="s">
        <v>386</v>
      </c>
      <c r="I393" s="47" t="s">
        <v>22</v>
      </c>
      <c r="J393" s="3">
        <v>0.7</v>
      </c>
      <c r="K393" s="49" t="s">
        <v>129</v>
      </c>
      <c r="L393" s="30" t="s">
        <v>130</v>
      </c>
      <c r="M393" s="47" t="s">
        <v>131</v>
      </c>
      <c r="N393" s="3">
        <v>0.9</v>
      </c>
      <c r="O393" s="10">
        <v>0.2</v>
      </c>
      <c r="P393" s="3"/>
      <c r="Q393" s="3">
        <f t="shared" si="17"/>
        <v>0</v>
      </c>
      <c r="R393" s="48">
        <f t="shared" si="18"/>
        <v>0</v>
      </c>
      <c r="S393" s="10" t="s">
        <v>23</v>
      </c>
      <c r="T393" s="193"/>
    </row>
    <row r="394" spans="1:20" ht="21.6" x14ac:dyDescent="0.3">
      <c r="A394" s="139">
        <v>2076</v>
      </c>
      <c r="B394" s="42" t="s">
        <v>20</v>
      </c>
      <c r="C394" s="43" t="s">
        <v>267</v>
      </c>
      <c r="D394" s="50">
        <v>5488</v>
      </c>
      <c r="E394" s="42" t="s">
        <v>507</v>
      </c>
      <c r="F394" s="45" t="s">
        <v>143</v>
      </c>
      <c r="G394" s="207" t="s">
        <v>311</v>
      </c>
      <c r="H394" s="45" t="s">
        <v>386</v>
      </c>
      <c r="I394" s="47" t="s">
        <v>22</v>
      </c>
      <c r="J394" s="3">
        <v>0.7</v>
      </c>
      <c r="K394" s="49" t="s">
        <v>132</v>
      </c>
      <c r="L394" s="30" t="s">
        <v>133</v>
      </c>
      <c r="M394" s="47" t="s">
        <v>134</v>
      </c>
      <c r="N394" s="4">
        <v>0</v>
      </c>
      <c r="O394" s="10">
        <v>0.1</v>
      </c>
      <c r="P394" s="3"/>
      <c r="Q394" s="3">
        <f t="shared" si="17"/>
        <v>0</v>
      </c>
      <c r="R394" s="48">
        <f t="shared" si="18"/>
        <v>0</v>
      </c>
      <c r="S394" s="10" t="s">
        <v>24</v>
      </c>
      <c r="T394" s="193"/>
    </row>
    <row r="395" spans="1:20" ht="21.6" x14ac:dyDescent="0.3">
      <c r="A395" s="139">
        <v>2077</v>
      </c>
      <c r="B395" s="42" t="s">
        <v>20</v>
      </c>
      <c r="C395" s="43" t="s">
        <v>267</v>
      </c>
      <c r="D395" s="50">
        <v>5488</v>
      </c>
      <c r="E395" s="42" t="s">
        <v>507</v>
      </c>
      <c r="F395" s="45" t="s">
        <v>143</v>
      </c>
      <c r="G395" s="207" t="s">
        <v>311</v>
      </c>
      <c r="H395" s="45" t="s">
        <v>386</v>
      </c>
      <c r="I395" s="47" t="s">
        <v>22</v>
      </c>
      <c r="J395" s="3">
        <v>0.7</v>
      </c>
      <c r="K395" s="49" t="s">
        <v>135</v>
      </c>
      <c r="L395" s="30" t="s">
        <v>136</v>
      </c>
      <c r="M395" s="49" t="s">
        <v>137</v>
      </c>
      <c r="N395" s="3">
        <v>0.9</v>
      </c>
      <c r="O395" s="10">
        <v>0.2</v>
      </c>
      <c r="P395" s="51"/>
      <c r="Q395" s="3">
        <f t="shared" si="17"/>
        <v>0</v>
      </c>
      <c r="R395" s="48">
        <f t="shared" si="18"/>
        <v>0</v>
      </c>
      <c r="S395" s="10" t="s">
        <v>23</v>
      </c>
      <c r="T395" s="193"/>
    </row>
    <row r="396" spans="1:20" ht="22.2" thickBot="1" x14ac:dyDescent="0.35">
      <c r="A396" s="142">
        <v>2078</v>
      </c>
      <c r="B396" s="81" t="s">
        <v>20</v>
      </c>
      <c r="C396" s="82" t="s">
        <v>267</v>
      </c>
      <c r="D396" s="113">
        <v>5488</v>
      </c>
      <c r="E396" s="81" t="s">
        <v>507</v>
      </c>
      <c r="F396" s="84" t="s">
        <v>143</v>
      </c>
      <c r="G396" s="209" t="s">
        <v>311</v>
      </c>
      <c r="H396" s="84" t="s">
        <v>386</v>
      </c>
      <c r="I396" s="85" t="s">
        <v>26</v>
      </c>
      <c r="J396" s="86">
        <v>0.3</v>
      </c>
      <c r="K396" s="115" t="s">
        <v>138</v>
      </c>
      <c r="L396" s="114" t="s">
        <v>139</v>
      </c>
      <c r="M396" s="115" t="s">
        <v>140</v>
      </c>
      <c r="N396" s="86">
        <v>1</v>
      </c>
      <c r="O396" s="91">
        <v>1</v>
      </c>
      <c r="P396" s="86"/>
      <c r="Q396" s="86">
        <f t="shared" si="17"/>
        <v>0</v>
      </c>
      <c r="R396" s="104">
        <f t="shared" si="18"/>
        <v>0</v>
      </c>
      <c r="S396" s="91" t="s">
        <v>23</v>
      </c>
      <c r="T396" s="147"/>
    </row>
    <row r="397" spans="1:20" ht="21.6" x14ac:dyDescent="0.3">
      <c r="A397" s="138">
        <v>2070</v>
      </c>
      <c r="B397" s="71" t="s">
        <v>20</v>
      </c>
      <c r="C397" s="72" t="s">
        <v>267</v>
      </c>
      <c r="D397" s="112">
        <v>6299</v>
      </c>
      <c r="E397" s="71" t="s">
        <v>326</v>
      </c>
      <c r="F397" s="74" t="s">
        <v>123</v>
      </c>
      <c r="G397" s="188" t="s">
        <v>311</v>
      </c>
      <c r="H397" s="74" t="s">
        <v>386</v>
      </c>
      <c r="I397" s="75" t="s">
        <v>22</v>
      </c>
      <c r="J397" s="76">
        <v>0.7</v>
      </c>
      <c r="K397" s="101" t="s">
        <v>513</v>
      </c>
      <c r="L397" s="105" t="s">
        <v>511</v>
      </c>
      <c r="M397" s="101" t="s">
        <v>411</v>
      </c>
      <c r="N397" s="76">
        <v>0.95</v>
      </c>
      <c r="O397" s="76">
        <v>0.15</v>
      </c>
      <c r="P397" s="76"/>
      <c r="Q397" s="76">
        <f t="shared" si="17"/>
        <v>0</v>
      </c>
      <c r="R397" s="80">
        <f t="shared" si="18"/>
        <v>0</v>
      </c>
      <c r="S397" s="76" t="s">
        <v>23</v>
      </c>
      <c r="T397" s="194">
        <f>SUM(R397:R404)%</f>
        <v>0</v>
      </c>
    </row>
    <row r="398" spans="1:20" ht="21.6" x14ac:dyDescent="0.3">
      <c r="A398" s="139">
        <v>2072</v>
      </c>
      <c r="B398" s="42" t="s">
        <v>20</v>
      </c>
      <c r="C398" s="43" t="s">
        <v>267</v>
      </c>
      <c r="D398" s="50">
        <v>6299</v>
      </c>
      <c r="E398" s="42" t="s">
        <v>326</v>
      </c>
      <c r="F398" s="45" t="s">
        <v>123</v>
      </c>
      <c r="G398" s="207" t="s">
        <v>311</v>
      </c>
      <c r="H398" s="45" t="s">
        <v>386</v>
      </c>
      <c r="I398" s="7" t="s">
        <v>22</v>
      </c>
      <c r="J398" s="3">
        <v>0.7</v>
      </c>
      <c r="K398" s="1" t="s">
        <v>124</v>
      </c>
      <c r="L398" s="8" t="s">
        <v>125</v>
      </c>
      <c r="M398" s="7" t="s">
        <v>126</v>
      </c>
      <c r="N398" s="3">
        <v>0.95</v>
      </c>
      <c r="O398" s="3">
        <v>0.15</v>
      </c>
      <c r="P398" s="6"/>
      <c r="Q398" s="3">
        <f t="shared" si="17"/>
        <v>0</v>
      </c>
      <c r="R398" s="4">
        <f t="shared" si="18"/>
        <v>0</v>
      </c>
      <c r="S398" s="3" t="s">
        <v>23</v>
      </c>
      <c r="T398" s="195"/>
    </row>
    <row r="399" spans="1:20" ht="21.6" x14ac:dyDescent="0.3">
      <c r="A399" s="139">
        <v>2073</v>
      </c>
      <c r="B399" s="42" t="s">
        <v>20</v>
      </c>
      <c r="C399" s="43" t="s">
        <v>267</v>
      </c>
      <c r="D399" s="50">
        <v>6299</v>
      </c>
      <c r="E399" s="42" t="s">
        <v>326</v>
      </c>
      <c r="F399" s="45" t="s">
        <v>123</v>
      </c>
      <c r="G399" s="207" t="s">
        <v>311</v>
      </c>
      <c r="H399" s="45" t="s">
        <v>386</v>
      </c>
      <c r="I399" s="7" t="s">
        <v>22</v>
      </c>
      <c r="J399" s="3">
        <v>0.7</v>
      </c>
      <c r="K399" s="1" t="s">
        <v>51</v>
      </c>
      <c r="L399" s="8" t="s">
        <v>127</v>
      </c>
      <c r="M399" s="7" t="s">
        <v>128</v>
      </c>
      <c r="N399" s="6">
        <v>0.05</v>
      </c>
      <c r="O399" s="3">
        <v>0.1</v>
      </c>
      <c r="P399" s="11"/>
      <c r="Q399" s="3">
        <f t="shared" si="17"/>
        <v>0</v>
      </c>
      <c r="R399" s="4">
        <f t="shared" si="18"/>
        <v>0</v>
      </c>
      <c r="S399" s="3" t="s">
        <v>24</v>
      </c>
      <c r="T399" s="195"/>
    </row>
    <row r="400" spans="1:20" ht="21.6" x14ac:dyDescent="0.3">
      <c r="A400" s="139">
        <v>2074</v>
      </c>
      <c r="B400" s="42" t="s">
        <v>20</v>
      </c>
      <c r="C400" s="43" t="s">
        <v>267</v>
      </c>
      <c r="D400" s="50">
        <v>6299</v>
      </c>
      <c r="E400" s="42" t="s">
        <v>326</v>
      </c>
      <c r="F400" s="45" t="s">
        <v>123</v>
      </c>
      <c r="G400" s="207" t="s">
        <v>311</v>
      </c>
      <c r="H400" s="45" t="s">
        <v>386</v>
      </c>
      <c r="I400" s="7" t="s">
        <v>22</v>
      </c>
      <c r="J400" s="3">
        <v>0.7</v>
      </c>
      <c r="K400" s="1" t="s">
        <v>305</v>
      </c>
      <c r="L400" s="8" t="s">
        <v>257</v>
      </c>
      <c r="M400" s="13" t="s">
        <v>306</v>
      </c>
      <c r="N400" s="3">
        <v>0.95</v>
      </c>
      <c r="O400" s="3">
        <v>0.1</v>
      </c>
      <c r="P400" s="3"/>
      <c r="Q400" s="3">
        <f t="shared" si="17"/>
        <v>0</v>
      </c>
      <c r="R400" s="4">
        <f t="shared" si="18"/>
        <v>0</v>
      </c>
      <c r="S400" s="3" t="s">
        <v>23</v>
      </c>
      <c r="T400" s="195"/>
    </row>
    <row r="401" spans="1:20" ht="21.6" x14ac:dyDescent="0.3">
      <c r="A401" s="139">
        <v>2075</v>
      </c>
      <c r="B401" s="42" t="s">
        <v>20</v>
      </c>
      <c r="C401" s="43" t="s">
        <v>267</v>
      </c>
      <c r="D401" s="50">
        <v>6299</v>
      </c>
      <c r="E401" s="42" t="s">
        <v>326</v>
      </c>
      <c r="F401" s="45" t="s">
        <v>123</v>
      </c>
      <c r="G401" s="207" t="s">
        <v>311</v>
      </c>
      <c r="H401" s="45" t="s">
        <v>386</v>
      </c>
      <c r="I401" s="47" t="s">
        <v>22</v>
      </c>
      <c r="J401" s="3">
        <v>0.7</v>
      </c>
      <c r="K401" s="49" t="s">
        <v>129</v>
      </c>
      <c r="L401" s="30" t="s">
        <v>130</v>
      </c>
      <c r="M401" s="47" t="s">
        <v>131</v>
      </c>
      <c r="N401" s="3">
        <v>0.9</v>
      </c>
      <c r="O401" s="10">
        <v>0.2</v>
      </c>
      <c r="P401" s="3"/>
      <c r="Q401" s="3">
        <f t="shared" si="17"/>
        <v>0</v>
      </c>
      <c r="R401" s="48">
        <f t="shared" si="18"/>
        <v>0</v>
      </c>
      <c r="S401" s="10" t="s">
        <v>23</v>
      </c>
      <c r="T401" s="193"/>
    </row>
    <row r="402" spans="1:20" ht="21.6" x14ac:dyDescent="0.3">
      <c r="A402" s="139">
        <v>2076</v>
      </c>
      <c r="B402" s="42" t="s">
        <v>20</v>
      </c>
      <c r="C402" s="43" t="s">
        <v>267</v>
      </c>
      <c r="D402" s="50">
        <v>6299</v>
      </c>
      <c r="E402" s="42" t="s">
        <v>326</v>
      </c>
      <c r="F402" s="45" t="s">
        <v>123</v>
      </c>
      <c r="G402" s="207" t="s">
        <v>311</v>
      </c>
      <c r="H402" s="45" t="s">
        <v>386</v>
      </c>
      <c r="I402" s="47" t="s">
        <v>22</v>
      </c>
      <c r="J402" s="3">
        <v>0.7</v>
      </c>
      <c r="K402" s="49" t="s">
        <v>132</v>
      </c>
      <c r="L402" s="30" t="s">
        <v>133</v>
      </c>
      <c r="M402" s="47" t="s">
        <v>134</v>
      </c>
      <c r="N402" s="4">
        <v>0</v>
      </c>
      <c r="O402" s="10">
        <v>0.1</v>
      </c>
      <c r="P402" s="3"/>
      <c r="Q402" s="3">
        <f t="shared" si="17"/>
        <v>0</v>
      </c>
      <c r="R402" s="48">
        <f t="shared" si="18"/>
        <v>0</v>
      </c>
      <c r="S402" s="10" t="s">
        <v>24</v>
      </c>
      <c r="T402" s="193"/>
    </row>
    <row r="403" spans="1:20" ht="21.6" x14ac:dyDescent="0.3">
      <c r="A403" s="139">
        <v>2077</v>
      </c>
      <c r="B403" s="42" t="s">
        <v>20</v>
      </c>
      <c r="C403" s="43" t="s">
        <v>267</v>
      </c>
      <c r="D403" s="50">
        <v>6299</v>
      </c>
      <c r="E403" s="42" t="s">
        <v>326</v>
      </c>
      <c r="F403" s="45" t="s">
        <v>123</v>
      </c>
      <c r="G403" s="207" t="s">
        <v>311</v>
      </c>
      <c r="H403" s="45" t="s">
        <v>386</v>
      </c>
      <c r="I403" s="47" t="s">
        <v>22</v>
      </c>
      <c r="J403" s="3">
        <v>0.7</v>
      </c>
      <c r="K403" s="49" t="s">
        <v>135</v>
      </c>
      <c r="L403" s="30" t="s">
        <v>136</v>
      </c>
      <c r="M403" s="49" t="s">
        <v>137</v>
      </c>
      <c r="N403" s="3">
        <v>0.9</v>
      </c>
      <c r="O403" s="10">
        <v>0.2</v>
      </c>
      <c r="P403" s="51"/>
      <c r="Q403" s="3">
        <f t="shared" si="17"/>
        <v>0</v>
      </c>
      <c r="R403" s="48">
        <f t="shared" si="18"/>
        <v>0</v>
      </c>
      <c r="S403" s="10" t="s">
        <v>23</v>
      </c>
      <c r="T403" s="193"/>
    </row>
    <row r="404" spans="1:20" ht="22.2" thickBot="1" x14ac:dyDescent="0.35">
      <c r="A404" s="142">
        <v>2078</v>
      </c>
      <c r="B404" s="81" t="s">
        <v>20</v>
      </c>
      <c r="C404" s="82" t="s">
        <v>267</v>
      </c>
      <c r="D404" s="113">
        <v>6299</v>
      </c>
      <c r="E404" s="81" t="s">
        <v>326</v>
      </c>
      <c r="F404" s="84" t="s">
        <v>123</v>
      </c>
      <c r="G404" s="209" t="s">
        <v>311</v>
      </c>
      <c r="H404" s="84" t="s">
        <v>386</v>
      </c>
      <c r="I404" s="85" t="s">
        <v>26</v>
      </c>
      <c r="J404" s="86">
        <v>0.3</v>
      </c>
      <c r="K404" s="115" t="s">
        <v>138</v>
      </c>
      <c r="L404" s="114" t="s">
        <v>139</v>
      </c>
      <c r="M404" s="115" t="s">
        <v>140</v>
      </c>
      <c r="N404" s="86">
        <v>1</v>
      </c>
      <c r="O404" s="91">
        <v>1</v>
      </c>
      <c r="P404" s="86"/>
      <c r="Q404" s="86">
        <f t="shared" si="17"/>
        <v>0</v>
      </c>
      <c r="R404" s="104">
        <f t="shared" si="18"/>
        <v>0</v>
      </c>
      <c r="S404" s="91" t="s">
        <v>23</v>
      </c>
      <c r="T404" s="147"/>
    </row>
    <row r="405" spans="1:20" ht="21.6" x14ac:dyDescent="0.3">
      <c r="A405" s="138">
        <v>2070</v>
      </c>
      <c r="B405" s="71" t="s">
        <v>20</v>
      </c>
      <c r="C405" s="72" t="s">
        <v>267</v>
      </c>
      <c r="D405" s="112"/>
      <c r="E405" s="135" t="s">
        <v>509</v>
      </c>
      <c r="F405" s="74" t="s">
        <v>145</v>
      </c>
      <c r="G405" s="188" t="s">
        <v>311</v>
      </c>
      <c r="H405" s="74" t="s">
        <v>386</v>
      </c>
      <c r="I405" s="75" t="s">
        <v>22</v>
      </c>
      <c r="J405" s="76">
        <v>0.7</v>
      </c>
      <c r="K405" s="101" t="s">
        <v>513</v>
      </c>
      <c r="L405" s="105" t="s">
        <v>511</v>
      </c>
      <c r="M405" s="101" t="s">
        <v>411</v>
      </c>
      <c r="N405" s="76">
        <v>0.95</v>
      </c>
      <c r="O405" s="76">
        <v>0.15</v>
      </c>
      <c r="P405" s="76"/>
      <c r="Q405" s="76">
        <f t="shared" ref="Q405:Q412" si="19">ROUND(IF(OR(N405="",P405=""),0,IF(AND(N405=0,P405=0),1,IF(S405="+",P405/N405,N405/P405))),2)</f>
        <v>0</v>
      </c>
      <c r="R405" s="80">
        <f t="shared" ref="R405:R412" si="20">IF(AND(Q405&gt;=60%,Q405&lt;100%),Q405*((O405*J405)),IF(Q405=100%,((O405*J405)*Q405)*100%,IF(Q405&gt;100%,((J405*O405)*100%)*100%,0)))*100</f>
        <v>0</v>
      </c>
      <c r="S405" s="76" t="s">
        <v>23</v>
      </c>
      <c r="T405" s="194">
        <f>SUM(R405:R412)%</f>
        <v>0</v>
      </c>
    </row>
    <row r="406" spans="1:20" ht="21.6" x14ac:dyDescent="0.3">
      <c r="A406" s="139">
        <v>2072</v>
      </c>
      <c r="B406" s="42" t="s">
        <v>20</v>
      </c>
      <c r="C406" s="43" t="s">
        <v>267</v>
      </c>
      <c r="D406" s="50"/>
      <c r="E406" s="136" t="s">
        <v>509</v>
      </c>
      <c r="F406" s="45" t="s">
        <v>145</v>
      </c>
      <c r="G406" s="207" t="s">
        <v>311</v>
      </c>
      <c r="H406" s="45" t="s">
        <v>386</v>
      </c>
      <c r="I406" s="7" t="s">
        <v>22</v>
      </c>
      <c r="J406" s="3">
        <v>0.7</v>
      </c>
      <c r="K406" s="1" t="s">
        <v>124</v>
      </c>
      <c r="L406" s="8" t="s">
        <v>125</v>
      </c>
      <c r="M406" s="7" t="s">
        <v>126</v>
      </c>
      <c r="N406" s="3">
        <v>0.95</v>
      </c>
      <c r="O406" s="3">
        <v>0.15</v>
      </c>
      <c r="P406" s="6"/>
      <c r="Q406" s="3">
        <f t="shared" si="19"/>
        <v>0</v>
      </c>
      <c r="R406" s="4">
        <f t="shared" si="20"/>
        <v>0</v>
      </c>
      <c r="S406" s="3" t="s">
        <v>23</v>
      </c>
      <c r="T406" s="195"/>
    </row>
    <row r="407" spans="1:20" ht="21.6" x14ac:dyDescent="0.3">
      <c r="A407" s="139">
        <v>2073</v>
      </c>
      <c r="B407" s="42" t="s">
        <v>20</v>
      </c>
      <c r="C407" s="43" t="s">
        <v>267</v>
      </c>
      <c r="D407" s="50"/>
      <c r="E407" s="136" t="s">
        <v>509</v>
      </c>
      <c r="F407" s="45" t="s">
        <v>145</v>
      </c>
      <c r="G407" s="207" t="s">
        <v>311</v>
      </c>
      <c r="H407" s="45" t="s">
        <v>386</v>
      </c>
      <c r="I407" s="7" t="s">
        <v>22</v>
      </c>
      <c r="J407" s="3">
        <v>0.7</v>
      </c>
      <c r="K407" s="1" t="s">
        <v>51</v>
      </c>
      <c r="L407" s="8" t="s">
        <v>127</v>
      </c>
      <c r="M407" s="7" t="s">
        <v>128</v>
      </c>
      <c r="N407" s="6">
        <v>0.05</v>
      </c>
      <c r="O407" s="3">
        <v>0.1</v>
      </c>
      <c r="P407" s="11"/>
      <c r="Q407" s="3">
        <f t="shared" si="19"/>
        <v>0</v>
      </c>
      <c r="R407" s="4">
        <f t="shared" si="20"/>
        <v>0</v>
      </c>
      <c r="S407" s="3" t="s">
        <v>24</v>
      </c>
      <c r="T407" s="195"/>
    </row>
    <row r="408" spans="1:20" ht="21.6" x14ac:dyDescent="0.3">
      <c r="A408" s="139">
        <v>2074</v>
      </c>
      <c r="B408" s="42" t="s">
        <v>20</v>
      </c>
      <c r="C408" s="43" t="s">
        <v>267</v>
      </c>
      <c r="D408" s="50"/>
      <c r="E408" s="136" t="s">
        <v>509</v>
      </c>
      <c r="F408" s="45" t="s">
        <v>145</v>
      </c>
      <c r="G408" s="207" t="s">
        <v>311</v>
      </c>
      <c r="H408" s="45" t="s">
        <v>386</v>
      </c>
      <c r="I408" s="7" t="s">
        <v>22</v>
      </c>
      <c r="J408" s="3">
        <v>0.7</v>
      </c>
      <c r="K408" s="1" t="s">
        <v>305</v>
      </c>
      <c r="L408" s="8" t="s">
        <v>257</v>
      </c>
      <c r="M408" s="13" t="s">
        <v>306</v>
      </c>
      <c r="N408" s="3">
        <v>0.95</v>
      </c>
      <c r="O408" s="3">
        <v>0.1</v>
      </c>
      <c r="P408" s="3"/>
      <c r="Q408" s="3">
        <f t="shared" si="19"/>
        <v>0</v>
      </c>
      <c r="R408" s="4">
        <f t="shared" si="20"/>
        <v>0</v>
      </c>
      <c r="S408" s="3" t="s">
        <v>23</v>
      </c>
      <c r="T408" s="195"/>
    </row>
    <row r="409" spans="1:20" ht="21.6" x14ac:dyDescent="0.3">
      <c r="A409" s="139">
        <v>2075</v>
      </c>
      <c r="B409" s="42" t="s">
        <v>20</v>
      </c>
      <c r="C409" s="43" t="s">
        <v>267</v>
      </c>
      <c r="D409" s="50"/>
      <c r="E409" s="136" t="s">
        <v>509</v>
      </c>
      <c r="F409" s="45" t="s">
        <v>145</v>
      </c>
      <c r="G409" s="207" t="s">
        <v>311</v>
      </c>
      <c r="H409" s="45" t="s">
        <v>386</v>
      </c>
      <c r="I409" s="47" t="s">
        <v>22</v>
      </c>
      <c r="J409" s="3">
        <v>0.7</v>
      </c>
      <c r="K409" s="49" t="s">
        <v>129</v>
      </c>
      <c r="L409" s="30" t="s">
        <v>130</v>
      </c>
      <c r="M409" s="47" t="s">
        <v>131</v>
      </c>
      <c r="N409" s="3">
        <v>0.9</v>
      </c>
      <c r="O409" s="10">
        <v>0.2</v>
      </c>
      <c r="P409" s="3"/>
      <c r="Q409" s="3">
        <f t="shared" si="19"/>
        <v>0</v>
      </c>
      <c r="R409" s="48">
        <f t="shared" si="20"/>
        <v>0</v>
      </c>
      <c r="S409" s="10" t="s">
        <v>23</v>
      </c>
      <c r="T409" s="193"/>
    </row>
    <row r="410" spans="1:20" ht="21.6" x14ac:dyDescent="0.3">
      <c r="A410" s="139">
        <v>2076</v>
      </c>
      <c r="B410" s="42" t="s">
        <v>20</v>
      </c>
      <c r="C410" s="43" t="s">
        <v>267</v>
      </c>
      <c r="D410" s="50"/>
      <c r="E410" s="136" t="s">
        <v>509</v>
      </c>
      <c r="F410" s="45" t="s">
        <v>145</v>
      </c>
      <c r="G410" s="207" t="s">
        <v>311</v>
      </c>
      <c r="H410" s="45" t="s">
        <v>386</v>
      </c>
      <c r="I410" s="47" t="s">
        <v>22</v>
      </c>
      <c r="J410" s="3">
        <v>0.7</v>
      </c>
      <c r="K410" s="49" t="s">
        <v>132</v>
      </c>
      <c r="L410" s="30" t="s">
        <v>133</v>
      </c>
      <c r="M410" s="47" t="s">
        <v>134</v>
      </c>
      <c r="N410" s="4">
        <v>0</v>
      </c>
      <c r="O410" s="10">
        <v>0.1</v>
      </c>
      <c r="P410" s="3"/>
      <c r="Q410" s="3">
        <f t="shared" si="19"/>
        <v>0</v>
      </c>
      <c r="R410" s="48">
        <f t="shared" si="20"/>
        <v>0</v>
      </c>
      <c r="S410" s="10" t="s">
        <v>24</v>
      </c>
      <c r="T410" s="193"/>
    </row>
    <row r="411" spans="1:20" ht="21.6" x14ac:dyDescent="0.3">
      <c r="A411" s="139">
        <v>2077</v>
      </c>
      <c r="B411" s="42" t="s">
        <v>20</v>
      </c>
      <c r="C411" s="43" t="s">
        <v>267</v>
      </c>
      <c r="D411" s="50"/>
      <c r="E411" s="136" t="s">
        <v>509</v>
      </c>
      <c r="F411" s="45" t="s">
        <v>145</v>
      </c>
      <c r="G411" s="207" t="s">
        <v>311</v>
      </c>
      <c r="H411" s="45" t="s">
        <v>386</v>
      </c>
      <c r="I411" s="47" t="s">
        <v>22</v>
      </c>
      <c r="J411" s="3">
        <v>0.7</v>
      </c>
      <c r="K411" s="49" t="s">
        <v>135</v>
      </c>
      <c r="L411" s="30" t="s">
        <v>136</v>
      </c>
      <c r="M411" s="49" t="s">
        <v>137</v>
      </c>
      <c r="N411" s="3">
        <v>0.9</v>
      </c>
      <c r="O411" s="10">
        <v>0.2</v>
      </c>
      <c r="P411" s="51"/>
      <c r="Q411" s="3">
        <f t="shared" si="19"/>
        <v>0</v>
      </c>
      <c r="R411" s="48">
        <f t="shared" si="20"/>
        <v>0</v>
      </c>
      <c r="S411" s="10" t="s">
        <v>23</v>
      </c>
      <c r="T411" s="193"/>
    </row>
    <row r="412" spans="1:20" ht="22.2" thickBot="1" x14ac:dyDescent="0.35">
      <c r="A412" s="142">
        <v>2078</v>
      </c>
      <c r="B412" s="81" t="s">
        <v>20</v>
      </c>
      <c r="C412" s="82" t="s">
        <v>267</v>
      </c>
      <c r="D412" s="113"/>
      <c r="E412" s="137" t="s">
        <v>509</v>
      </c>
      <c r="F412" s="84" t="s">
        <v>145</v>
      </c>
      <c r="G412" s="209" t="s">
        <v>311</v>
      </c>
      <c r="H412" s="84" t="s">
        <v>386</v>
      </c>
      <c r="I412" s="85" t="s">
        <v>26</v>
      </c>
      <c r="J412" s="86">
        <v>0.3</v>
      </c>
      <c r="K412" s="115" t="s">
        <v>138</v>
      </c>
      <c r="L412" s="114" t="s">
        <v>139</v>
      </c>
      <c r="M412" s="115" t="s">
        <v>140</v>
      </c>
      <c r="N412" s="86">
        <v>1</v>
      </c>
      <c r="O412" s="91">
        <v>1</v>
      </c>
      <c r="P412" s="86"/>
      <c r="Q412" s="86">
        <f t="shared" si="19"/>
        <v>0</v>
      </c>
      <c r="R412" s="104">
        <f t="shared" si="20"/>
        <v>0</v>
      </c>
      <c r="S412" s="91" t="s">
        <v>23</v>
      </c>
      <c r="T412" s="147"/>
    </row>
    <row r="413" spans="1:20" ht="21.6" x14ac:dyDescent="0.3">
      <c r="A413" s="138">
        <v>2070</v>
      </c>
      <c r="B413" s="71" t="s">
        <v>20</v>
      </c>
      <c r="C413" s="72" t="s">
        <v>267</v>
      </c>
      <c r="D413" s="112">
        <v>5942</v>
      </c>
      <c r="E413" s="71" t="s">
        <v>317</v>
      </c>
      <c r="F413" s="74" t="s">
        <v>145</v>
      </c>
      <c r="G413" s="188" t="s">
        <v>311</v>
      </c>
      <c r="H413" s="74" t="s">
        <v>386</v>
      </c>
      <c r="I413" s="75" t="s">
        <v>22</v>
      </c>
      <c r="J413" s="76">
        <v>0.7</v>
      </c>
      <c r="K413" s="101" t="s">
        <v>513</v>
      </c>
      <c r="L413" s="105" t="s">
        <v>511</v>
      </c>
      <c r="M413" s="101" t="s">
        <v>411</v>
      </c>
      <c r="N413" s="76">
        <v>0.95</v>
      </c>
      <c r="O413" s="76">
        <v>0.15</v>
      </c>
      <c r="P413" s="76"/>
      <c r="Q413" s="76">
        <f t="shared" si="17"/>
        <v>0</v>
      </c>
      <c r="R413" s="80">
        <f t="shared" si="18"/>
        <v>0</v>
      </c>
      <c r="S413" s="76" t="s">
        <v>23</v>
      </c>
      <c r="T413" s="194">
        <f>SUM(R413:R420)%</f>
        <v>0</v>
      </c>
    </row>
    <row r="414" spans="1:20" ht="21.6" x14ac:dyDescent="0.3">
      <c r="A414" s="139">
        <v>2072</v>
      </c>
      <c r="B414" s="42" t="s">
        <v>20</v>
      </c>
      <c r="C414" s="43" t="s">
        <v>267</v>
      </c>
      <c r="D414" s="50">
        <v>5942</v>
      </c>
      <c r="E414" s="42" t="s">
        <v>317</v>
      </c>
      <c r="F414" s="45" t="s">
        <v>145</v>
      </c>
      <c r="G414" s="207" t="s">
        <v>311</v>
      </c>
      <c r="H414" s="45" t="s">
        <v>386</v>
      </c>
      <c r="I414" s="7" t="s">
        <v>22</v>
      </c>
      <c r="J414" s="3">
        <v>0.7</v>
      </c>
      <c r="K414" s="1" t="s">
        <v>124</v>
      </c>
      <c r="L414" s="8" t="s">
        <v>125</v>
      </c>
      <c r="M414" s="7" t="s">
        <v>126</v>
      </c>
      <c r="N414" s="3">
        <v>0.95</v>
      </c>
      <c r="O414" s="3">
        <v>0.15</v>
      </c>
      <c r="P414" s="6"/>
      <c r="Q414" s="3">
        <f t="shared" si="17"/>
        <v>0</v>
      </c>
      <c r="R414" s="4">
        <f t="shared" si="18"/>
        <v>0</v>
      </c>
      <c r="S414" s="3" t="s">
        <v>23</v>
      </c>
      <c r="T414" s="195"/>
    </row>
    <row r="415" spans="1:20" ht="21.6" x14ac:dyDescent="0.3">
      <c r="A415" s="139">
        <v>2073</v>
      </c>
      <c r="B415" s="42" t="s">
        <v>20</v>
      </c>
      <c r="C415" s="43" t="s">
        <v>267</v>
      </c>
      <c r="D415" s="50">
        <v>5942</v>
      </c>
      <c r="E415" s="42" t="s">
        <v>317</v>
      </c>
      <c r="F415" s="45" t="s">
        <v>145</v>
      </c>
      <c r="G415" s="207" t="s">
        <v>311</v>
      </c>
      <c r="H415" s="45" t="s">
        <v>386</v>
      </c>
      <c r="I415" s="7" t="s">
        <v>22</v>
      </c>
      <c r="J415" s="3">
        <v>0.7</v>
      </c>
      <c r="K415" s="1" t="s">
        <v>51</v>
      </c>
      <c r="L415" s="8" t="s">
        <v>127</v>
      </c>
      <c r="M415" s="7" t="s">
        <v>128</v>
      </c>
      <c r="N415" s="6">
        <v>0.05</v>
      </c>
      <c r="O415" s="3">
        <v>0.1</v>
      </c>
      <c r="P415" s="11"/>
      <c r="Q415" s="3">
        <f t="shared" si="17"/>
        <v>0</v>
      </c>
      <c r="R415" s="4">
        <f t="shared" si="18"/>
        <v>0</v>
      </c>
      <c r="S415" s="3" t="s">
        <v>24</v>
      </c>
      <c r="T415" s="195"/>
    </row>
    <row r="416" spans="1:20" ht="21.6" x14ac:dyDescent="0.3">
      <c r="A416" s="139">
        <v>2074</v>
      </c>
      <c r="B416" s="42" t="s">
        <v>20</v>
      </c>
      <c r="C416" s="43" t="s">
        <v>267</v>
      </c>
      <c r="D416" s="50">
        <v>5942</v>
      </c>
      <c r="E416" s="42" t="s">
        <v>317</v>
      </c>
      <c r="F416" s="45" t="s">
        <v>145</v>
      </c>
      <c r="G416" s="207" t="s">
        <v>311</v>
      </c>
      <c r="H416" s="45" t="s">
        <v>386</v>
      </c>
      <c r="I416" s="7" t="s">
        <v>22</v>
      </c>
      <c r="J416" s="3">
        <v>0.7</v>
      </c>
      <c r="K416" s="1" t="s">
        <v>305</v>
      </c>
      <c r="L416" s="8" t="s">
        <v>257</v>
      </c>
      <c r="M416" s="13" t="s">
        <v>306</v>
      </c>
      <c r="N416" s="3">
        <v>0.95</v>
      </c>
      <c r="O416" s="3">
        <v>0.1</v>
      </c>
      <c r="P416" s="3"/>
      <c r="Q416" s="3">
        <f t="shared" si="17"/>
        <v>0</v>
      </c>
      <c r="R416" s="4">
        <f t="shared" si="18"/>
        <v>0</v>
      </c>
      <c r="S416" s="3" t="s">
        <v>23</v>
      </c>
      <c r="T416" s="195"/>
    </row>
    <row r="417" spans="1:20" ht="21.6" x14ac:dyDescent="0.3">
      <c r="A417" s="139">
        <v>2075</v>
      </c>
      <c r="B417" s="42" t="s">
        <v>20</v>
      </c>
      <c r="C417" s="43" t="s">
        <v>267</v>
      </c>
      <c r="D417" s="50">
        <v>5942</v>
      </c>
      <c r="E417" s="42" t="s">
        <v>317</v>
      </c>
      <c r="F417" s="45" t="s">
        <v>145</v>
      </c>
      <c r="G417" s="207" t="s">
        <v>311</v>
      </c>
      <c r="H417" s="45" t="s">
        <v>386</v>
      </c>
      <c r="I417" s="47" t="s">
        <v>22</v>
      </c>
      <c r="J417" s="3">
        <v>0.7</v>
      </c>
      <c r="K417" s="49" t="s">
        <v>129</v>
      </c>
      <c r="L417" s="30" t="s">
        <v>130</v>
      </c>
      <c r="M417" s="47" t="s">
        <v>131</v>
      </c>
      <c r="N417" s="3">
        <v>0.9</v>
      </c>
      <c r="O417" s="10">
        <v>0.2</v>
      </c>
      <c r="P417" s="3"/>
      <c r="Q417" s="3">
        <f t="shared" si="17"/>
        <v>0</v>
      </c>
      <c r="R417" s="48">
        <f t="shared" si="18"/>
        <v>0</v>
      </c>
      <c r="S417" s="10" t="s">
        <v>23</v>
      </c>
      <c r="T417" s="193"/>
    </row>
    <row r="418" spans="1:20" ht="21.6" x14ac:dyDescent="0.3">
      <c r="A418" s="139">
        <v>2076</v>
      </c>
      <c r="B418" s="42" t="s">
        <v>20</v>
      </c>
      <c r="C418" s="43" t="s">
        <v>267</v>
      </c>
      <c r="D418" s="50">
        <v>5942</v>
      </c>
      <c r="E418" s="42" t="s">
        <v>317</v>
      </c>
      <c r="F418" s="45" t="s">
        <v>145</v>
      </c>
      <c r="G418" s="207" t="s">
        <v>311</v>
      </c>
      <c r="H418" s="45" t="s">
        <v>386</v>
      </c>
      <c r="I418" s="47" t="s">
        <v>22</v>
      </c>
      <c r="J418" s="3">
        <v>0.7</v>
      </c>
      <c r="K418" s="49" t="s">
        <v>132</v>
      </c>
      <c r="L418" s="30" t="s">
        <v>133</v>
      </c>
      <c r="M418" s="47" t="s">
        <v>134</v>
      </c>
      <c r="N418" s="4">
        <v>0</v>
      </c>
      <c r="O418" s="10">
        <v>0.1</v>
      </c>
      <c r="P418" s="3"/>
      <c r="Q418" s="3">
        <f t="shared" si="17"/>
        <v>0</v>
      </c>
      <c r="R418" s="48">
        <f t="shared" si="18"/>
        <v>0</v>
      </c>
      <c r="S418" s="10" t="s">
        <v>24</v>
      </c>
      <c r="T418" s="193"/>
    </row>
    <row r="419" spans="1:20" ht="21.6" x14ac:dyDescent="0.3">
      <c r="A419" s="139">
        <v>2077</v>
      </c>
      <c r="B419" s="42" t="s">
        <v>20</v>
      </c>
      <c r="C419" s="43" t="s">
        <v>267</v>
      </c>
      <c r="D419" s="50">
        <v>5942</v>
      </c>
      <c r="E419" s="42" t="s">
        <v>317</v>
      </c>
      <c r="F419" s="45" t="s">
        <v>145</v>
      </c>
      <c r="G419" s="207" t="s">
        <v>311</v>
      </c>
      <c r="H419" s="45" t="s">
        <v>386</v>
      </c>
      <c r="I419" s="47" t="s">
        <v>22</v>
      </c>
      <c r="J419" s="3">
        <v>0.7</v>
      </c>
      <c r="K419" s="49" t="s">
        <v>135</v>
      </c>
      <c r="L419" s="30" t="s">
        <v>136</v>
      </c>
      <c r="M419" s="49" t="s">
        <v>137</v>
      </c>
      <c r="N419" s="3">
        <v>0.9</v>
      </c>
      <c r="O419" s="10">
        <v>0.2</v>
      </c>
      <c r="P419" s="51"/>
      <c r="Q419" s="3">
        <f t="shared" si="17"/>
        <v>0</v>
      </c>
      <c r="R419" s="48">
        <f t="shared" si="18"/>
        <v>0</v>
      </c>
      <c r="S419" s="10" t="s">
        <v>23</v>
      </c>
      <c r="T419" s="193"/>
    </row>
    <row r="420" spans="1:20" ht="22.2" thickBot="1" x14ac:dyDescent="0.35">
      <c r="A420" s="142">
        <v>2078</v>
      </c>
      <c r="B420" s="81" t="s">
        <v>20</v>
      </c>
      <c r="C420" s="82" t="s">
        <v>267</v>
      </c>
      <c r="D420" s="113">
        <v>5942</v>
      </c>
      <c r="E420" s="81" t="s">
        <v>317</v>
      </c>
      <c r="F420" s="84" t="s">
        <v>145</v>
      </c>
      <c r="G420" s="209" t="s">
        <v>311</v>
      </c>
      <c r="H420" s="84" t="s">
        <v>386</v>
      </c>
      <c r="I420" s="85" t="s">
        <v>26</v>
      </c>
      <c r="J420" s="86">
        <v>0.3</v>
      </c>
      <c r="K420" s="115" t="s">
        <v>138</v>
      </c>
      <c r="L420" s="114" t="s">
        <v>139</v>
      </c>
      <c r="M420" s="115" t="s">
        <v>140</v>
      </c>
      <c r="N420" s="86">
        <v>1</v>
      </c>
      <c r="O420" s="91">
        <v>1</v>
      </c>
      <c r="P420" s="86"/>
      <c r="Q420" s="86">
        <f t="shared" si="17"/>
        <v>0</v>
      </c>
      <c r="R420" s="104">
        <f t="shared" si="18"/>
        <v>0</v>
      </c>
      <c r="S420" s="91" t="s">
        <v>23</v>
      </c>
      <c r="T420" s="147"/>
    </row>
    <row r="421" spans="1:20" ht="21.6" x14ac:dyDescent="0.3">
      <c r="A421" s="138">
        <v>2070</v>
      </c>
      <c r="B421" s="71" t="s">
        <v>20</v>
      </c>
      <c r="C421" s="72" t="s">
        <v>267</v>
      </c>
      <c r="D421" s="112">
        <v>6425</v>
      </c>
      <c r="E421" s="71" t="s">
        <v>327</v>
      </c>
      <c r="F421" s="74" t="s">
        <v>123</v>
      </c>
      <c r="G421" s="188" t="s">
        <v>311</v>
      </c>
      <c r="H421" s="74" t="s">
        <v>386</v>
      </c>
      <c r="I421" s="75" t="s">
        <v>22</v>
      </c>
      <c r="J421" s="76">
        <v>0.7</v>
      </c>
      <c r="K421" s="101" t="s">
        <v>513</v>
      </c>
      <c r="L421" s="105" t="s">
        <v>511</v>
      </c>
      <c r="M421" s="101" t="s">
        <v>411</v>
      </c>
      <c r="N421" s="76">
        <v>0.95</v>
      </c>
      <c r="O421" s="76">
        <v>0.15</v>
      </c>
      <c r="P421" s="76"/>
      <c r="Q421" s="76">
        <f t="shared" si="17"/>
        <v>0</v>
      </c>
      <c r="R421" s="80">
        <f t="shared" si="18"/>
        <v>0</v>
      </c>
      <c r="S421" s="76" t="s">
        <v>23</v>
      </c>
      <c r="T421" s="194">
        <f>SUM(R421:R428)%</f>
        <v>0</v>
      </c>
    </row>
    <row r="422" spans="1:20" ht="21.6" x14ac:dyDescent="0.3">
      <c r="A422" s="139">
        <v>2072</v>
      </c>
      <c r="B422" s="42" t="s">
        <v>20</v>
      </c>
      <c r="C422" s="43" t="s">
        <v>267</v>
      </c>
      <c r="D422" s="50">
        <v>6425</v>
      </c>
      <c r="E422" s="42" t="s">
        <v>327</v>
      </c>
      <c r="F422" s="45" t="s">
        <v>123</v>
      </c>
      <c r="G422" s="207" t="s">
        <v>311</v>
      </c>
      <c r="H422" s="45" t="s">
        <v>386</v>
      </c>
      <c r="I422" s="7" t="s">
        <v>22</v>
      </c>
      <c r="J422" s="3">
        <v>0.7</v>
      </c>
      <c r="K422" s="1" t="s">
        <v>124</v>
      </c>
      <c r="L422" s="8" t="s">
        <v>125</v>
      </c>
      <c r="M422" s="7" t="s">
        <v>126</v>
      </c>
      <c r="N422" s="3">
        <v>0.95</v>
      </c>
      <c r="O422" s="3">
        <v>0.15</v>
      </c>
      <c r="P422" s="6"/>
      <c r="Q422" s="3">
        <f t="shared" si="17"/>
        <v>0</v>
      </c>
      <c r="R422" s="4">
        <f t="shared" si="18"/>
        <v>0</v>
      </c>
      <c r="S422" s="3" t="s">
        <v>23</v>
      </c>
      <c r="T422" s="195"/>
    </row>
    <row r="423" spans="1:20" ht="21.6" x14ac:dyDescent="0.3">
      <c r="A423" s="139">
        <v>2073</v>
      </c>
      <c r="B423" s="42" t="s">
        <v>20</v>
      </c>
      <c r="C423" s="43" t="s">
        <v>267</v>
      </c>
      <c r="D423" s="50">
        <v>6425</v>
      </c>
      <c r="E423" s="42" t="s">
        <v>327</v>
      </c>
      <c r="F423" s="45" t="s">
        <v>123</v>
      </c>
      <c r="G423" s="207" t="s">
        <v>311</v>
      </c>
      <c r="H423" s="45" t="s">
        <v>386</v>
      </c>
      <c r="I423" s="7" t="s">
        <v>22</v>
      </c>
      <c r="J423" s="3">
        <v>0.7</v>
      </c>
      <c r="K423" s="1" t="s">
        <v>51</v>
      </c>
      <c r="L423" s="8" t="s">
        <v>127</v>
      </c>
      <c r="M423" s="7" t="s">
        <v>128</v>
      </c>
      <c r="N423" s="6">
        <v>0.05</v>
      </c>
      <c r="O423" s="3">
        <v>0.1</v>
      </c>
      <c r="P423" s="11"/>
      <c r="Q423" s="3">
        <f t="shared" si="17"/>
        <v>0</v>
      </c>
      <c r="R423" s="4">
        <f t="shared" si="18"/>
        <v>0</v>
      </c>
      <c r="S423" s="3" t="s">
        <v>24</v>
      </c>
      <c r="T423" s="195"/>
    </row>
    <row r="424" spans="1:20" ht="21.6" x14ac:dyDescent="0.3">
      <c r="A424" s="139">
        <v>2074</v>
      </c>
      <c r="B424" s="42" t="s">
        <v>20</v>
      </c>
      <c r="C424" s="43" t="s">
        <v>267</v>
      </c>
      <c r="D424" s="50">
        <v>6425</v>
      </c>
      <c r="E424" s="42" t="s">
        <v>327</v>
      </c>
      <c r="F424" s="45" t="s">
        <v>123</v>
      </c>
      <c r="G424" s="207" t="s">
        <v>311</v>
      </c>
      <c r="H424" s="45" t="s">
        <v>386</v>
      </c>
      <c r="I424" s="7" t="s">
        <v>22</v>
      </c>
      <c r="J424" s="3">
        <v>0.7</v>
      </c>
      <c r="K424" s="1" t="s">
        <v>305</v>
      </c>
      <c r="L424" s="8" t="s">
        <v>257</v>
      </c>
      <c r="M424" s="13" t="s">
        <v>306</v>
      </c>
      <c r="N424" s="3">
        <v>0.95</v>
      </c>
      <c r="O424" s="3">
        <v>0.1</v>
      </c>
      <c r="P424" s="3"/>
      <c r="Q424" s="3">
        <f t="shared" si="17"/>
        <v>0</v>
      </c>
      <c r="R424" s="4">
        <f t="shared" si="18"/>
        <v>0</v>
      </c>
      <c r="S424" s="3" t="s">
        <v>23</v>
      </c>
      <c r="T424" s="195"/>
    </row>
    <row r="425" spans="1:20" ht="21.6" x14ac:dyDescent="0.3">
      <c r="A425" s="139">
        <v>2075</v>
      </c>
      <c r="B425" s="42" t="s">
        <v>20</v>
      </c>
      <c r="C425" s="43" t="s">
        <v>267</v>
      </c>
      <c r="D425" s="50">
        <v>6425</v>
      </c>
      <c r="E425" s="42" t="s">
        <v>327</v>
      </c>
      <c r="F425" s="45" t="s">
        <v>123</v>
      </c>
      <c r="G425" s="207" t="s">
        <v>311</v>
      </c>
      <c r="H425" s="45" t="s">
        <v>386</v>
      </c>
      <c r="I425" s="47" t="s">
        <v>22</v>
      </c>
      <c r="J425" s="3">
        <v>0.7</v>
      </c>
      <c r="K425" s="49" t="s">
        <v>129</v>
      </c>
      <c r="L425" s="30" t="s">
        <v>130</v>
      </c>
      <c r="M425" s="47" t="s">
        <v>131</v>
      </c>
      <c r="N425" s="3">
        <v>0.9</v>
      </c>
      <c r="O425" s="10">
        <v>0.2</v>
      </c>
      <c r="P425" s="3"/>
      <c r="Q425" s="3">
        <f t="shared" si="17"/>
        <v>0</v>
      </c>
      <c r="R425" s="48">
        <f t="shared" si="18"/>
        <v>0</v>
      </c>
      <c r="S425" s="10" t="s">
        <v>23</v>
      </c>
      <c r="T425" s="193"/>
    </row>
    <row r="426" spans="1:20" ht="21.6" x14ac:dyDescent="0.3">
      <c r="A426" s="139">
        <v>2076</v>
      </c>
      <c r="B426" s="42" t="s">
        <v>20</v>
      </c>
      <c r="C426" s="43" t="s">
        <v>267</v>
      </c>
      <c r="D426" s="50">
        <v>6425</v>
      </c>
      <c r="E426" s="42" t="s">
        <v>327</v>
      </c>
      <c r="F426" s="45" t="s">
        <v>123</v>
      </c>
      <c r="G426" s="207" t="s">
        <v>311</v>
      </c>
      <c r="H426" s="45" t="s">
        <v>386</v>
      </c>
      <c r="I426" s="47" t="s">
        <v>22</v>
      </c>
      <c r="J426" s="3">
        <v>0.7</v>
      </c>
      <c r="K426" s="49" t="s">
        <v>132</v>
      </c>
      <c r="L426" s="30" t="s">
        <v>133</v>
      </c>
      <c r="M426" s="47" t="s">
        <v>134</v>
      </c>
      <c r="N426" s="4">
        <v>0</v>
      </c>
      <c r="O426" s="10">
        <v>0.1</v>
      </c>
      <c r="P426" s="3"/>
      <c r="Q426" s="3">
        <f t="shared" si="17"/>
        <v>0</v>
      </c>
      <c r="R426" s="48">
        <f t="shared" si="18"/>
        <v>0</v>
      </c>
      <c r="S426" s="10" t="s">
        <v>24</v>
      </c>
      <c r="T426" s="193"/>
    </row>
    <row r="427" spans="1:20" ht="21.6" x14ac:dyDescent="0.3">
      <c r="A427" s="139">
        <v>2077</v>
      </c>
      <c r="B427" s="42" t="s">
        <v>20</v>
      </c>
      <c r="C427" s="43" t="s">
        <v>267</v>
      </c>
      <c r="D427" s="50">
        <v>6425</v>
      </c>
      <c r="E427" s="42" t="s">
        <v>327</v>
      </c>
      <c r="F427" s="45" t="s">
        <v>123</v>
      </c>
      <c r="G427" s="207" t="s">
        <v>311</v>
      </c>
      <c r="H427" s="45" t="s">
        <v>386</v>
      </c>
      <c r="I427" s="47" t="s">
        <v>22</v>
      </c>
      <c r="J427" s="3">
        <v>0.7</v>
      </c>
      <c r="K427" s="49" t="s">
        <v>135</v>
      </c>
      <c r="L427" s="30" t="s">
        <v>136</v>
      </c>
      <c r="M427" s="49" t="s">
        <v>137</v>
      </c>
      <c r="N427" s="3">
        <v>0.9</v>
      </c>
      <c r="O427" s="10">
        <v>0.2</v>
      </c>
      <c r="P427" s="51"/>
      <c r="Q427" s="3">
        <f t="shared" si="17"/>
        <v>0</v>
      </c>
      <c r="R427" s="48">
        <f t="shared" si="18"/>
        <v>0</v>
      </c>
      <c r="S427" s="10" t="s">
        <v>23</v>
      </c>
      <c r="T427" s="193"/>
    </row>
    <row r="428" spans="1:20" ht="22.2" thickBot="1" x14ac:dyDescent="0.35">
      <c r="A428" s="142">
        <v>2078</v>
      </c>
      <c r="B428" s="81" t="s">
        <v>20</v>
      </c>
      <c r="C428" s="82" t="s">
        <v>267</v>
      </c>
      <c r="D428" s="113">
        <v>6425</v>
      </c>
      <c r="E428" s="81" t="s">
        <v>327</v>
      </c>
      <c r="F428" s="84" t="s">
        <v>123</v>
      </c>
      <c r="G428" s="209" t="s">
        <v>311</v>
      </c>
      <c r="H428" s="84" t="s">
        <v>386</v>
      </c>
      <c r="I428" s="85" t="s">
        <v>26</v>
      </c>
      <c r="J428" s="86">
        <v>0.3</v>
      </c>
      <c r="K428" s="115" t="s">
        <v>138</v>
      </c>
      <c r="L428" s="114" t="s">
        <v>139</v>
      </c>
      <c r="M428" s="115" t="s">
        <v>140</v>
      </c>
      <c r="N428" s="86">
        <v>1</v>
      </c>
      <c r="O428" s="91">
        <v>1</v>
      </c>
      <c r="P428" s="86"/>
      <c r="Q428" s="86">
        <f t="shared" si="17"/>
        <v>0</v>
      </c>
      <c r="R428" s="104">
        <f t="shared" si="18"/>
        <v>0</v>
      </c>
      <c r="S428" s="91" t="s">
        <v>23</v>
      </c>
      <c r="T428" s="147"/>
    </row>
    <row r="429" spans="1:20" ht="21.6" x14ac:dyDescent="0.3">
      <c r="A429" s="138">
        <v>2070</v>
      </c>
      <c r="B429" s="71" t="s">
        <v>20</v>
      </c>
      <c r="C429" s="72" t="s">
        <v>267</v>
      </c>
      <c r="D429" s="112">
        <v>6520</v>
      </c>
      <c r="E429" s="71" t="s">
        <v>328</v>
      </c>
      <c r="F429" s="74" t="s">
        <v>123</v>
      </c>
      <c r="G429" s="188" t="s">
        <v>311</v>
      </c>
      <c r="H429" s="74" t="s">
        <v>386</v>
      </c>
      <c r="I429" s="75" t="s">
        <v>22</v>
      </c>
      <c r="J429" s="76">
        <v>0.7</v>
      </c>
      <c r="K429" s="101" t="s">
        <v>513</v>
      </c>
      <c r="L429" s="105" t="s">
        <v>511</v>
      </c>
      <c r="M429" s="101" t="s">
        <v>411</v>
      </c>
      <c r="N429" s="76">
        <v>0.95</v>
      </c>
      <c r="O429" s="76">
        <v>0.15</v>
      </c>
      <c r="P429" s="76"/>
      <c r="Q429" s="76">
        <f t="shared" si="17"/>
        <v>0</v>
      </c>
      <c r="R429" s="80">
        <f t="shared" si="18"/>
        <v>0</v>
      </c>
      <c r="S429" s="76" t="s">
        <v>23</v>
      </c>
      <c r="T429" s="194">
        <f>SUM(R429:R436)%</f>
        <v>0</v>
      </c>
    </row>
    <row r="430" spans="1:20" ht="21.6" x14ac:dyDescent="0.3">
      <c r="A430" s="139">
        <v>2072</v>
      </c>
      <c r="B430" s="42" t="s">
        <v>20</v>
      </c>
      <c r="C430" s="43" t="s">
        <v>267</v>
      </c>
      <c r="D430" s="50">
        <v>6520</v>
      </c>
      <c r="E430" s="42" t="s">
        <v>328</v>
      </c>
      <c r="F430" s="45" t="s">
        <v>123</v>
      </c>
      <c r="G430" s="207" t="s">
        <v>311</v>
      </c>
      <c r="H430" s="45" t="s">
        <v>386</v>
      </c>
      <c r="I430" s="7" t="s">
        <v>22</v>
      </c>
      <c r="J430" s="3">
        <v>0.7</v>
      </c>
      <c r="K430" s="1" t="s">
        <v>124</v>
      </c>
      <c r="L430" s="8" t="s">
        <v>125</v>
      </c>
      <c r="M430" s="7" t="s">
        <v>126</v>
      </c>
      <c r="N430" s="3">
        <v>0.95</v>
      </c>
      <c r="O430" s="3">
        <v>0.15</v>
      </c>
      <c r="P430" s="6"/>
      <c r="Q430" s="3">
        <f t="shared" si="17"/>
        <v>0</v>
      </c>
      <c r="R430" s="4">
        <f t="shared" si="18"/>
        <v>0</v>
      </c>
      <c r="S430" s="3" t="s">
        <v>23</v>
      </c>
      <c r="T430" s="195"/>
    </row>
    <row r="431" spans="1:20" ht="21.6" x14ac:dyDescent="0.3">
      <c r="A431" s="139">
        <v>2073</v>
      </c>
      <c r="B431" s="42" t="s">
        <v>20</v>
      </c>
      <c r="C431" s="43" t="s">
        <v>267</v>
      </c>
      <c r="D431" s="50">
        <v>6520</v>
      </c>
      <c r="E431" s="42" t="s">
        <v>328</v>
      </c>
      <c r="F431" s="45" t="s">
        <v>123</v>
      </c>
      <c r="G431" s="207" t="s">
        <v>311</v>
      </c>
      <c r="H431" s="45" t="s">
        <v>386</v>
      </c>
      <c r="I431" s="7" t="s">
        <v>22</v>
      </c>
      <c r="J431" s="3">
        <v>0.7</v>
      </c>
      <c r="K431" s="1" t="s">
        <v>51</v>
      </c>
      <c r="L431" s="8" t="s">
        <v>127</v>
      </c>
      <c r="M431" s="7" t="s">
        <v>128</v>
      </c>
      <c r="N431" s="6">
        <v>0.05</v>
      </c>
      <c r="O431" s="3">
        <v>0.1</v>
      </c>
      <c r="P431" s="11"/>
      <c r="Q431" s="3">
        <f t="shared" si="17"/>
        <v>0</v>
      </c>
      <c r="R431" s="4">
        <f t="shared" si="18"/>
        <v>0</v>
      </c>
      <c r="S431" s="3" t="s">
        <v>24</v>
      </c>
      <c r="T431" s="195"/>
    </row>
    <row r="432" spans="1:20" ht="21.6" x14ac:dyDescent="0.3">
      <c r="A432" s="139">
        <v>2074</v>
      </c>
      <c r="B432" s="42" t="s">
        <v>20</v>
      </c>
      <c r="C432" s="43" t="s">
        <v>267</v>
      </c>
      <c r="D432" s="50">
        <v>6520</v>
      </c>
      <c r="E432" s="42" t="s">
        <v>328</v>
      </c>
      <c r="F432" s="45" t="s">
        <v>123</v>
      </c>
      <c r="G432" s="207" t="s">
        <v>311</v>
      </c>
      <c r="H432" s="45" t="s">
        <v>386</v>
      </c>
      <c r="I432" s="7" t="s">
        <v>22</v>
      </c>
      <c r="J432" s="3">
        <v>0.7</v>
      </c>
      <c r="K432" s="1" t="s">
        <v>305</v>
      </c>
      <c r="L432" s="8" t="s">
        <v>257</v>
      </c>
      <c r="M432" s="13" t="s">
        <v>306</v>
      </c>
      <c r="N432" s="3">
        <v>0.95</v>
      </c>
      <c r="O432" s="3">
        <v>0.1</v>
      </c>
      <c r="P432" s="3"/>
      <c r="Q432" s="3">
        <f t="shared" si="17"/>
        <v>0</v>
      </c>
      <c r="R432" s="4">
        <f t="shared" si="18"/>
        <v>0</v>
      </c>
      <c r="S432" s="3" t="s">
        <v>23</v>
      </c>
      <c r="T432" s="195"/>
    </row>
    <row r="433" spans="1:20" ht="21.6" x14ac:dyDescent="0.3">
      <c r="A433" s="139">
        <v>2075</v>
      </c>
      <c r="B433" s="42" t="s">
        <v>20</v>
      </c>
      <c r="C433" s="43" t="s">
        <v>267</v>
      </c>
      <c r="D433" s="50">
        <v>6520</v>
      </c>
      <c r="E433" s="42" t="s">
        <v>328</v>
      </c>
      <c r="F433" s="45" t="s">
        <v>123</v>
      </c>
      <c r="G433" s="207" t="s">
        <v>311</v>
      </c>
      <c r="H433" s="45" t="s">
        <v>386</v>
      </c>
      <c r="I433" s="47" t="s">
        <v>22</v>
      </c>
      <c r="J433" s="3">
        <v>0.7</v>
      </c>
      <c r="K433" s="49" t="s">
        <v>129</v>
      </c>
      <c r="L433" s="30" t="s">
        <v>130</v>
      </c>
      <c r="M433" s="47" t="s">
        <v>131</v>
      </c>
      <c r="N433" s="3">
        <v>0.9</v>
      </c>
      <c r="O433" s="10">
        <v>0.2</v>
      </c>
      <c r="P433" s="3"/>
      <c r="Q433" s="3">
        <f t="shared" si="17"/>
        <v>0</v>
      </c>
      <c r="R433" s="48">
        <f t="shared" si="18"/>
        <v>0</v>
      </c>
      <c r="S433" s="10" t="s">
        <v>23</v>
      </c>
      <c r="T433" s="193"/>
    </row>
    <row r="434" spans="1:20" ht="21.6" x14ac:dyDescent="0.3">
      <c r="A434" s="139">
        <v>2076</v>
      </c>
      <c r="B434" s="42" t="s">
        <v>20</v>
      </c>
      <c r="C434" s="43" t="s">
        <v>267</v>
      </c>
      <c r="D434" s="50">
        <v>6520</v>
      </c>
      <c r="E434" s="42" t="s">
        <v>328</v>
      </c>
      <c r="F434" s="45" t="s">
        <v>123</v>
      </c>
      <c r="G434" s="207" t="s">
        <v>311</v>
      </c>
      <c r="H434" s="45" t="s">
        <v>386</v>
      </c>
      <c r="I434" s="47" t="s">
        <v>22</v>
      </c>
      <c r="J434" s="3">
        <v>0.7</v>
      </c>
      <c r="K434" s="49" t="s">
        <v>132</v>
      </c>
      <c r="L434" s="30" t="s">
        <v>133</v>
      </c>
      <c r="M434" s="47" t="s">
        <v>134</v>
      </c>
      <c r="N434" s="4">
        <v>0</v>
      </c>
      <c r="O434" s="10">
        <v>0.1</v>
      </c>
      <c r="P434" s="3"/>
      <c r="Q434" s="3">
        <f t="shared" si="17"/>
        <v>0</v>
      </c>
      <c r="R434" s="48">
        <f t="shared" si="18"/>
        <v>0</v>
      </c>
      <c r="S434" s="10" t="s">
        <v>24</v>
      </c>
      <c r="T434" s="193"/>
    </row>
    <row r="435" spans="1:20" ht="21.6" x14ac:dyDescent="0.3">
      <c r="A435" s="139">
        <v>2077</v>
      </c>
      <c r="B435" s="42" t="s">
        <v>20</v>
      </c>
      <c r="C435" s="43" t="s">
        <v>267</v>
      </c>
      <c r="D435" s="50">
        <v>6520</v>
      </c>
      <c r="E435" s="42" t="s">
        <v>328</v>
      </c>
      <c r="F435" s="45" t="s">
        <v>123</v>
      </c>
      <c r="G435" s="207" t="s">
        <v>311</v>
      </c>
      <c r="H435" s="45" t="s">
        <v>386</v>
      </c>
      <c r="I435" s="47" t="s">
        <v>22</v>
      </c>
      <c r="J435" s="3">
        <v>0.7</v>
      </c>
      <c r="K435" s="49" t="s">
        <v>135</v>
      </c>
      <c r="L435" s="30" t="s">
        <v>136</v>
      </c>
      <c r="M435" s="49" t="s">
        <v>137</v>
      </c>
      <c r="N435" s="3">
        <v>0.9</v>
      </c>
      <c r="O435" s="10">
        <v>0.2</v>
      </c>
      <c r="P435" s="51"/>
      <c r="Q435" s="3">
        <f t="shared" si="17"/>
        <v>0</v>
      </c>
      <c r="R435" s="48">
        <f t="shared" si="18"/>
        <v>0</v>
      </c>
      <c r="S435" s="10" t="s">
        <v>23</v>
      </c>
      <c r="T435" s="193"/>
    </row>
    <row r="436" spans="1:20" ht="22.2" thickBot="1" x14ac:dyDescent="0.35">
      <c r="A436" s="142">
        <v>2078</v>
      </c>
      <c r="B436" s="81" t="s">
        <v>20</v>
      </c>
      <c r="C436" s="82" t="s">
        <v>267</v>
      </c>
      <c r="D436" s="113">
        <v>6520</v>
      </c>
      <c r="E436" s="81" t="s">
        <v>328</v>
      </c>
      <c r="F436" s="84" t="s">
        <v>123</v>
      </c>
      <c r="G436" s="209" t="s">
        <v>311</v>
      </c>
      <c r="H436" s="84" t="s">
        <v>386</v>
      </c>
      <c r="I436" s="85" t="s">
        <v>26</v>
      </c>
      <c r="J436" s="86">
        <v>0.3</v>
      </c>
      <c r="K436" s="115" t="s">
        <v>138</v>
      </c>
      <c r="L436" s="114" t="s">
        <v>139</v>
      </c>
      <c r="M436" s="115" t="s">
        <v>140</v>
      </c>
      <c r="N436" s="86">
        <v>1</v>
      </c>
      <c r="O436" s="91">
        <v>1</v>
      </c>
      <c r="P436" s="86"/>
      <c r="Q436" s="86">
        <f t="shared" ref="Q436:Q499" si="21">ROUND(IF(OR(N436="",P436=""),0,IF(AND(N436=0,P436=0),1,IF(S436="+",P436/N436,N436/P436))),2)</f>
        <v>0</v>
      </c>
      <c r="R436" s="104">
        <f t="shared" si="18"/>
        <v>0</v>
      </c>
      <c r="S436" s="91" t="s">
        <v>23</v>
      </c>
      <c r="T436" s="147"/>
    </row>
    <row r="437" spans="1:20" ht="21.6" x14ac:dyDescent="0.3">
      <c r="A437" s="138">
        <v>2070</v>
      </c>
      <c r="B437" s="71" t="s">
        <v>20</v>
      </c>
      <c r="C437" s="72" t="s">
        <v>267</v>
      </c>
      <c r="D437" s="112">
        <v>6215</v>
      </c>
      <c r="E437" s="71" t="s">
        <v>319</v>
      </c>
      <c r="F437" s="74" t="s">
        <v>145</v>
      </c>
      <c r="G437" s="188" t="s">
        <v>311</v>
      </c>
      <c r="H437" s="74" t="s">
        <v>386</v>
      </c>
      <c r="I437" s="75" t="s">
        <v>22</v>
      </c>
      <c r="J437" s="76">
        <v>0.7</v>
      </c>
      <c r="K437" s="101" t="s">
        <v>513</v>
      </c>
      <c r="L437" s="105" t="s">
        <v>511</v>
      </c>
      <c r="M437" s="101" t="s">
        <v>411</v>
      </c>
      <c r="N437" s="76">
        <v>0.95</v>
      </c>
      <c r="O437" s="76">
        <v>0.15</v>
      </c>
      <c r="P437" s="76"/>
      <c r="Q437" s="76">
        <f t="shared" si="21"/>
        <v>0</v>
      </c>
      <c r="R437" s="80">
        <f t="shared" si="18"/>
        <v>0</v>
      </c>
      <c r="S437" s="76" t="s">
        <v>23</v>
      </c>
      <c r="T437" s="194">
        <f>SUM(R437:R444)%</f>
        <v>0</v>
      </c>
    </row>
    <row r="438" spans="1:20" ht="21.6" x14ac:dyDescent="0.3">
      <c r="A438" s="139">
        <v>2072</v>
      </c>
      <c r="B438" s="42" t="s">
        <v>20</v>
      </c>
      <c r="C438" s="43" t="s">
        <v>267</v>
      </c>
      <c r="D438" s="50">
        <v>6215</v>
      </c>
      <c r="E438" s="42" t="s">
        <v>319</v>
      </c>
      <c r="F438" s="45" t="s">
        <v>145</v>
      </c>
      <c r="G438" s="207" t="s">
        <v>311</v>
      </c>
      <c r="H438" s="45" t="s">
        <v>386</v>
      </c>
      <c r="I438" s="7" t="s">
        <v>22</v>
      </c>
      <c r="J438" s="3">
        <v>0.7</v>
      </c>
      <c r="K438" s="1" t="s">
        <v>124</v>
      </c>
      <c r="L438" s="8" t="s">
        <v>125</v>
      </c>
      <c r="M438" s="7" t="s">
        <v>126</v>
      </c>
      <c r="N438" s="3">
        <v>0.95</v>
      </c>
      <c r="O438" s="3">
        <v>0.15</v>
      </c>
      <c r="P438" s="6"/>
      <c r="Q438" s="3">
        <f t="shared" si="21"/>
        <v>0</v>
      </c>
      <c r="R438" s="4">
        <f t="shared" si="18"/>
        <v>0</v>
      </c>
      <c r="S438" s="3" t="s">
        <v>23</v>
      </c>
      <c r="T438" s="195"/>
    </row>
    <row r="439" spans="1:20" ht="21.6" x14ac:dyDescent="0.3">
      <c r="A439" s="139">
        <v>2073</v>
      </c>
      <c r="B439" s="42" t="s">
        <v>20</v>
      </c>
      <c r="C439" s="43" t="s">
        <v>267</v>
      </c>
      <c r="D439" s="50">
        <v>6215</v>
      </c>
      <c r="E439" s="42" t="s">
        <v>319</v>
      </c>
      <c r="F439" s="45" t="s">
        <v>145</v>
      </c>
      <c r="G439" s="207" t="s">
        <v>311</v>
      </c>
      <c r="H439" s="45" t="s">
        <v>386</v>
      </c>
      <c r="I439" s="7" t="s">
        <v>22</v>
      </c>
      <c r="J439" s="3">
        <v>0.7</v>
      </c>
      <c r="K439" s="1" t="s">
        <v>51</v>
      </c>
      <c r="L439" s="8" t="s">
        <v>127</v>
      </c>
      <c r="M439" s="7" t="s">
        <v>128</v>
      </c>
      <c r="N439" s="6">
        <v>0.05</v>
      </c>
      <c r="O439" s="3">
        <v>0.1</v>
      </c>
      <c r="P439" s="11"/>
      <c r="Q439" s="3">
        <f t="shared" si="21"/>
        <v>0</v>
      </c>
      <c r="R439" s="4">
        <f t="shared" si="18"/>
        <v>0</v>
      </c>
      <c r="S439" s="3" t="s">
        <v>24</v>
      </c>
      <c r="T439" s="195"/>
    </row>
    <row r="440" spans="1:20" ht="21.6" x14ac:dyDescent="0.3">
      <c r="A440" s="139">
        <v>2074</v>
      </c>
      <c r="B440" s="42" t="s">
        <v>20</v>
      </c>
      <c r="C440" s="43" t="s">
        <v>267</v>
      </c>
      <c r="D440" s="50">
        <v>6215</v>
      </c>
      <c r="E440" s="42" t="s">
        <v>319</v>
      </c>
      <c r="F440" s="45" t="s">
        <v>145</v>
      </c>
      <c r="G440" s="207" t="s">
        <v>311</v>
      </c>
      <c r="H440" s="45" t="s">
        <v>386</v>
      </c>
      <c r="I440" s="7" t="s">
        <v>22</v>
      </c>
      <c r="J440" s="3">
        <v>0.7</v>
      </c>
      <c r="K440" s="1" t="s">
        <v>305</v>
      </c>
      <c r="L440" s="8" t="s">
        <v>257</v>
      </c>
      <c r="M440" s="13" t="s">
        <v>306</v>
      </c>
      <c r="N440" s="3">
        <v>0.95</v>
      </c>
      <c r="O440" s="3">
        <v>0.1</v>
      </c>
      <c r="P440" s="3"/>
      <c r="Q440" s="3">
        <f t="shared" si="21"/>
        <v>0</v>
      </c>
      <c r="R440" s="4">
        <f t="shared" si="18"/>
        <v>0</v>
      </c>
      <c r="S440" s="3" t="s">
        <v>23</v>
      </c>
      <c r="T440" s="195"/>
    </row>
    <row r="441" spans="1:20" ht="21.6" x14ac:dyDescent="0.3">
      <c r="A441" s="139">
        <v>2075</v>
      </c>
      <c r="B441" s="42" t="s">
        <v>20</v>
      </c>
      <c r="C441" s="43" t="s">
        <v>267</v>
      </c>
      <c r="D441" s="50">
        <v>6215</v>
      </c>
      <c r="E441" s="42" t="s">
        <v>319</v>
      </c>
      <c r="F441" s="45" t="s">
        <v>145</v>
      </c>
      <c r="G441" s="207" t="s">
        <v>311</v>
      </c>
      <c r="H441" s="45" t="s">
        <v>386</v>
      </c>
      <c r="I441" s="47" t="s">
        <v>22</v>
      </c>
      <c r="J441" s="3">
        <v>0.7</v>
      </c>
      <c r="K441" s="49" t="s">
        <v>129</v>
      </c>
      <c r="L441" s="30" t="s">
        <v>130</v>
      </c>
      <c r="M441" s="47" t="s">
        <v>131</v>
      </c>
      <c r="N441" s="3">
        <v>0.9</v>
      </c>
      <c r="O441" s="10">
        <v>0.2</v>
      </c>
      <c r="P441" s="3"/>
      <c r="Q441" s="3">
        <f t="shared" si="21"/>
        <v>0</v>
      </c>
      <c r="R441" s="48">
        <f t="shared" si="18"/>
        <v>0</v>
      </c>
      <c r="S441" s="10" t="s">
        <v>23</v>
      </c>
      <c r="T441" s="193"/>
    </row>
    <row r="442" spans="1:20" ht="21.6" x14ac:dyDescent="0.3">
      <c r="A442" s="139">
        <v>2076</v>
      </c>
      <c r="B442" s="42" t="s">
        <v>20</v>
      </c>
      <c r="C442" s="43" t="s">
        <v>267</v>
      </c>
      <c r="D442" s="50">
        <v>6215</v>
      </c>
      <c r="E442" s="42" t="s">
        <v>319</v>
      </c>
      <c r="F442" s="45" t="s">
        <v>145</v>
      </c>
      <c r="G442" s="207" t="s">
        <v>311</v>
      </c>
      <c r="H442" s="45" t="s">
        <v>386</v>
      </c>
      <c r="I442" s="47" t="s">
        <v>22</v>
      </c>
      <c r="J442" s="3">
        <v>0.7</v>
      </c>
      <c r="K442" s="49" t="s">
        <v>132</v>
      </c>
      <c r="L442" s="30" t="s">
        <v>133</v>
      </c>
      <c r="M442" s="47" t="s">
        <v>134</v>
      </c>
      <c r="N442" s="4">
        <v>0</v>
      </c>
      <c r="O442" s="10">
        <v>0.1</v>
      </c>
      <c r="P442" s="3"/>
      <c r="Q442" s="3">
        <f t="shared" si="21"/>
        <v>0</v>
      </c>
      <c r="R442" s="48">
        <f t="shared" si="18"/>
        <v>0</v>
      </c>
      <c r="S442" s="10" t="s">
        <v>24</v>
      </c>
      <c r="T442" s="193"/>
    </row>
    <row r="443" spans="1:20" ht="21.6" x14ac:dyDescent="0.3">
      <c r="A443" s="139">
        <v>2077</v>
      </c>
      <c r="B443" s="42" t="s">
        <v>20</v>
      </c>
      <c r="C443" s="43" t="s">
        <v>267</v>
      </c>
      <c r="D443" s="50">
        <v>6215</v>
      </c>
      <c r="E443" s="42" t="s">
        <v>319</v>
      </c>
      <c r="F443" s="45" t="s">
        <v>145</v>
      </c>
      <c r="G443" s="207" t="s">
        <v>311</v>
      </c>
      <c r="H443" s="45" t="s">
        <v>386</v>
      </c>
      <c r="I443" s="47" t="s">
        <v>22</v>
      </c>
      <c r="J443" s="3">
        <v>0.7</v>
      </c>
      <c r="K443" s="49" t="s">
        <v>135</v>
      </c>
      <c r="L443" s="30" t="s">
        <v>136</v>
      </c>
      <c r="M443" s="49" t="s">
        <v>137</v>
      </c>
      <c r="N443" s="3">
        <v>0.9</v>
      </c>
      <c r="O443" s="10">
        <v>0.2</v>
      </c>
      <c r="P443" s="51"/>
      <c r="Q443" s="3">
        <f t="shared" si="21"/>
        <v>0</v>
      </c>
      <c r="R443" s="48">
        <f t="shared" si="18"/>
        <v>0</v>
      </c>
      <c r="S443" s="10" t="s">
        <v>23</v>
      </c>
      <c r="T443" s="193"/>
    </row>
    <row r="444" spans="1:20" ht="22.2" thickBot="1" x14ac:dyDescent="0.35">
      <c r="A444" s="142">
        <v>2078</v>
      </c>
      <c r="B444" s="81" t="s">
        <v>20</v>
      </c>
      <c r="C444" s="82" t="s">
        <v>267</v>
      </c>
      <c r="D444" s="113">
        <v>6215</v>
      </c>
      <c r="E444" s="81" t="s">
        <v>319</v>
      </c>
      <c r="F444" s="84" t="s">
        <v>145</v>
      </c>
      <c r="G444" s="209" t="s">
        <v>311</v>
      </c>
      <c r="H444" s="84" t="s">
        <v>386</v>
      </c>
      <c r="I444" s="85" t="s">
        <v>26</v>
      </c>
      <c r="J444" s="86">
        <v>0.3</v>
      </c>
      <c r="K444" s="115" t="s">
        <v>138</v>
      </c>
      <c r="L444" s="114" t="s">
        <v>139</v>
      </c>
      <c r="M444" s="115" t="s">
        <v>140</v>
      </c>
      <c r="N444" s="86">
        <v>1</v>
      </c>
      <c r="O444" s="91">
        <v>1</v>
      </c>
      <c r="P444" s="86"/>
      <c r="Q444" s="86">
        <f t="shared" si="21"/>
        <v>0</v>
      </c>
      <c r="R444" s="104">
        <f t="shared" si="18"/>
        <v>0</v>
      </c>
      <c r="S444" s="91" t="s">
        <v>23</v>
      </c>
      <c r="T444" s="147"/>
    </row>
    <row r="445" spans="1:20" ht="21.6" x14ac:dyDescent="0.3">
      <c r="A445" s="138">
        <v>2070</v>
      </c>
      <c r="B445" s="71" t="s">
        <v>20</v>
      </c>
      <c r="C445" s="72" t="s">
        <v>267</v>
      </c>
      <c r="D445" s="112">
        <v>6242</v>
      </c>
      <c r="E445" s="71" t="s">
        <v>320</v>
      </c>
      <c r="F445" s="74" t="s">
        <v>145</v>
      </c>
      <c r="G445" s="188" t="s">
        <v>311</v>
      </c>
      <c r="H445" s="74" t="s">
        <v>386</v>
      </c>
      <c r="I445" s="75" t="s">
        <v>22</v>
      </c>
      <c r="J445" s="76">
        <v>0.7</v>
      </c>
      <c r="K445" s="101" t="s">
        <v>513</v>
      </c>
      <c r="L445" s="105" t="s">
        <v>511</v>
      </c>
      <c r="M445" s="101" t="s">
        <v>411</v>
      </c>
      <c r="N445" s="76">
        <v>0.95</v>
      </c>
      <c r="O445" s="76">
        <v>0.15</v>
      </c>
      <c r="P445" s="76"/>
      <c r="Q445" s="76">
        <f t="shared" si="21"/>
        <v>0</v>
      </c>
      <c r="R445" s="80">
        <f t="shared" si="18"/>
        <v>0</v>
      </c>
      <c r="S445" s="76" t="s">
        <v>23</v>
      </c>
      <c r="T445" s="194">
        <f>SUM(R445:R452)%</f>
        <v>0</v>
      </c>
    </row>
    <row r="446" spans="1:20" ht="21.6" x14ac:dyDescent="0.3">
      <c r="A446" s="139">
        <v>2072</v>
      </c>
      <c r="B446" s="42" t="s">
        <v>20</v>
      </c>
      <c r="C446" s="43" t="s">
        <v>267</v>
      </c>
      <c r="D446" s="50">
        <v>6242</v>
      </c>
      <c r="E446" s="42" t="s">
        <v>320</v>
      </c>
      <c r="F446" s="45" t="s">
        <v>145</v>
      </c>
      <c r="G446" s="207" t="s">
        <v>311</v>
      </c>
      <c r="H446" s="45" t="s">
        <v>386</v>
      </c>
      <c r="I446" s="7" t="s">
        <v>22</v>
      </c>
      <c r="J446" s="3">
        <v>0.7</v>
      </c>
      <c r="K446" s="1" t="s">
        <v>124</v>
      </c>
      <c r="L446" s="8" t="s">
        <v>125</v>
      </c>
      <c r="M446" s="7" t="s">
        <v>126</v>
      </c>
      <c r="N446" s="3">
        <v>0.95</v>
      </c>
      <c r="O446" s="3">
        <v>0.15</v>
      </c>
      <c r="P446" s="6"/>
      <c r="Q446" s="3">
        <f t="shared" si="21"/>
        <v>0</v>
      </c>
      <c r="R446" s="4">
        <f t="shared" si="18"/>
        <v>0</v>
      </c>
      <c r="S446" s="3" t="s">
        <v>23</v>
      </c>
      <c r="T446" s="195"/>
    </row>
    <row r="447" spans="1:20" ht="21.6" x14ac:dyDescent="0.3">
      <c r="A447" s="139">
        <v>2073</v>
      </c>
      <c r="B447" s="42" t="s">
        <v>20</v>
      </c>
      <c r="C447" s="43" t="s">
        <v>267</v>
      </c>
      <c r="D447" s="50">
        <v>6242</v>
      </c>
      <c r="E447" s="42" t="s">
        <v>320</v>
      </c>
      <c r="F447" s="45" t="s">
        <v>145</v>
      </c>
      <c r="G447" s="207" t="s">
        <v>311</v>
      </c>
      <c r="H447" s="45" t="s">
        <v>386</v>
      </c>
      <c r="I447" s="7" t="s">
        <v>22</v>
      </c>
      <c r="J447" s="3">
        <v>0.7</v>
      </c>
      <c r="K447" s="1" t="s">
        <v>51</v>
      </c>
      <c r="L447" s="8" t="s">
        <v>127</v>
      </c>
      <c r="M447" s="7" t="s">
        <v>128</v>
      </c>
      <c r="N447" s="6">
        <v>0.05</v>
      </c>
      <c r="O447" s="3">
        <v>0.1</v>
      </c>
      <c r="P447" s="11"/>
      <c r="Q447" s="3">
        <f t="shared" si="21"/>
        <v>0</v>
      </c>
      <c r="R447" s="4">
        <f t="shared" si="18"/>
        <v>0</v>
      </c>
      <c r="S447" s="3" t="s">
        <v>24</v>
      </c>
      <c r="T447" s="195"/>
    </row>
    <row r="448" spans="1:20" ht="21.6" x14ac:dyDescent="0.3">
      <c r="A448" s="139">
        <v>2074</v>
      </c>
      <c r="B448" s="42" t="s">
        <v>20</v>
      </c>
      <c r="C448" s="43" t="s">
        <v>267</v>
      </c>
      <c r="D448" s="50">
        <v>6242</v>
      </c>
      <c r="E448" s="42" t="s">
        <v>320</v>
      </c>
      <c r="F448" s="45" t="s">
        <v>145</v>
      </c>
      <c r="G448" s="207" t="s">
        <v>311</v>
      </c>
      <c r="H448" s="45" t="s">
        <v>386</v>
      </c>
      <c r="I448" s="7" t="s">
        <v>22</v>
      </c>
      <c r="J448" s="3">
        <v>0.7</v>
      </c>
      <c r="K448" s="1" t="s">
        <v>305</v>
      </c>
      <c r="L448" s="8" t="s">
        <v>257</v>
      </c>
      <c r="M448" s="13" t="s">
        <v>306</v>
      </c>
      <c r="N448" s="3">
        <v>0.95</v>
      </c>
      <c r="O448" s="3">
        <v>0.1</v>
      </c>
      <c r="P448" s="3"/>
      <c r="Q448" s="3">
        <f t="shared" si="21"/>
        <v>0</v>
      </c>
      <c r="R448" s="4">
        <f t="shared" si="18"/>
        <v>0</v>
      </c>
      <c r="S448" s="3" t="s">
        <v>23</v>
      </c>
      <c r="T448" s="195"/>
    </row>
    <row r="449" spans="1:20" ht="21.6" x14ac:dyDescent="0.3">
      <c r="A449" s="139">
        <v>2075</v>
      </c>
      <c r="B449" s="42" t="s">
        <v>20</v>
      </c>
      <c r="C449" s="43" t="s">
        <v>267</v>
      </c>
      <c r="D449" s="50">
        <v>6242</v>
      </c>
      <c r="E449" s="42" t="s">
        <v>320</v>
      </c>
      <c r="F449" s="45" t="s">
        <v>145</v>
      </c>
      <c r="G449" s="207" t="s">
        <v>311</v>
      </c>
      <c r="H449" s="45" t="s">
        <v>386</v>
      </c>
      <c r="I449" s="47" t="s">
        <v>22</v>
      </c>
      <c r="J449" s="3">
        <v>0.7</v>
      </c>
      <c r="K449" s="49" t="s">
        <v>129</v>
      </c>
      <c r="L449" s="30" t="s">
        <v>130</v>
      </c>
      <c r="M449" s="47" t="s">
        <v>131</v>
      </c>
      <c r="N449" s="3">
        <v>0.9</v>
      </c>
      <c r="O449" s="10">
        <v>0.2</v>
      </c>
      <c r="P449" s="3"/>
      <c r="Q449" s="3">
        <f t="shared" si="21"/>
        <v>0</v>
      </c>
      <c r="R449" s="48">
        <f t="shared" si="18"/>
        <v>0</v>
      </c>
      <c r="S449" s="10" t="s">
        <v>23</v>
      </c>
      <c r="T449" s="193"/>
    </row>
    <row r="450" spans="1:20" ht="21.6" x14ac:dyDescent="0.3">
      <c r="A450" s="139">
        <v>2076</v>
      </c>
      <c r="B450" s="42" t="s">
        <v>20</v>
      </c>
      <c r="C450" s="43" t="s">
        <v>267</v>
      </c>
      <c r="D450" s="50">
        <v>6242</v>
      </c>
      <c r="E450" s="42" t="s">
        <v>320</v>
      </c>
      <c r="F450" s="45" t="s">
        <v>145</v>
      </c>
      <c r="G450" s="207" t="s">
        <v>311</v>
      </c>
      <c r="H450" s="45" t="s">
        <v>386</v>
      </c>
      <c r="I450" s="47" t="s">
        <v>22</v>
      </c>
      <c r="J450" s="3">
        <v>0.7</v>
      </c>
      <c r="K450" s="49" t="s">
        <v>132</v>
      </c>
      <c r="L450" s="30" t="s">
        <v>133</v>
      </c>
      <c r="M450" s="47" t="s">
        <v>134</v>
      </c>
      <c r="N450" s="4">
        <v>0</v>
      </c>
      <c r="O450" s="10">
        <v>0.1</v>
      </c>
      <c r="P450" s="3"/>
      <c r="Q450" s="3">
        <f t="shared" si="21"/>
        <v>0</v>
      </c>
      <c r="R450" s="48">
        <f t="shared" si="18"/>
        <v>0</v>
      </c>
      <c r="S450" s="10" t="s">
        <v>24</v>
      </c>
      <c r="T450" s="193"/>
    </row>
    <row r="451" spans="1:20" ht="21.6" x14ac:dyDescent="0.3">
      <c r="A451" s="139">
        <v>2077</v>
      </c>
      <c r="B451" s="42" t="s">
        <v>20</v>
      </c>
      <c r="C451" s="43" t="s">
        <v>267</v>
      </c>
      <c r="D451" s="50">
        <v>6242</v>
      </c>
      <c r="E451" s="42" t="s">
        <v>320</v>
      </c>
      <c r="F451" s="45" t="s">
        <v>145</v>
      </c>
      <c r="G451" s="207" t="s">
        <v>311</v>
      </c>
      <c r="H451" s="45" t="s">
        <v>386</v>
      </c>
      <c r="I451" s="47" t="s">
        <v>22</v>
      </c>
      <c r="J451" s="3">
        <v>0.7</v>
      </c>
      <c r="K451" s="49" t="s">
        <v>135</v>
      </c>
      <c r="L451" s="30" t="s">
        <v>136</v>
      </c>
      <c r="M451" s="49" t="s">
        <v>137</v>
      </c>
      <c r="N451" s="3">
        <v>0.9</v>
      </c>
      <c r="O451" s="10">
        <v>0.2</v>
      </c>
      <c r="P451" s="51"/>
      <c r="Q451" s="3">
        <f t="shared" si="21"/>
        <v>0</v>
      </c>
      <c r="R451" s="48">
        <f t="shared" si="18"/>
        <v>0</v>
      </c>
      <c r="S451" s="10" t="s">
        <v>23</v>
      </c>
      <c r="T451" s="193"/>
    </row>
    <row r="452" spans="1:20" ht="22.2" thickBot="1" x14ac:dyDescent="0.35">
      <c r="A452" s="142">
        <v>2078</v>
      </c>
      <c r="B452" s="81" t="s">
        <v>20</v>
      </c>
      <c r="C452" s="82" t="s">
        <v>267</v>
      </c>
      <c r="D452" s="113">
        <v>6242</v>
      </c>
      <c r="E452" s="81" t="s">
        <v>320</v>
      </c>
      <c r="F452" s="84" t="s">
        <v>145</v>
      </c>
      <c r="G452" s="209" t="s">
        <v>311</v>
      </c>
      <c r="H452" s="84" t="s">
        <v>386</v>
      </c>
      <c r="I452" s="85" t="s">
        <v>26</v>
      </c>
      <c r="J452" s="86">
        <v>0.3</v>
      </c>
      <c r="K452" s="115" t="s">
        <v>138</v>
      </c>
      <c r="L452" s="114" t="s">
        <v>139</v>
      </c>
      <c r="M452" s="115" t="s">
        <v>140</v>
      </c>
      <c r="N452" s="86">
        <v>1</v>
      </c>
      <c r="O452" s="91">
        <v>1</v>
      </c>
      <c r="P452" s="86"/>
      <c r="Q452" s="86">
        <f t="shared" si="21"/>
        <v>0</v>
      </c>
      <c r="R452" s="104">
        <f t="shared" si="18"/>
        <v>0</v>
      </c>
      <c r="S452" s="91" t="s">
        <v>23</v>
      </c>
      <c r="T452" s="147"/>
    </row>
    <row r="453" spans="1:20" ht="21.6" x14ac:dyDescent="0.3">
      <c r="A453" s="138">
        <v>2070</v>
      </c>
      <c r="B453" s="71" t="s">
        <v>20</v>
      </c>
      <c r="C453" s="72" t="s">
        <v>267</v>
      </c>
      <c r="D453" s="112">
        <v>6346</v>
      </c>
      <c r="E453" s="71" t="s">
        <v>321</v>
      </c>
      <c r="F453" s="74" t="s">
        <v>145</v>
      </c>
      <c r="G453" s="188" t="s">
        <v>311</v>
      </c>
      <c r="H453" s="74" t="s">
        <v>386</v>
      </c>
      <c r="I453" s="75" t="s">
        <v>22</v>
      </c>
      <c r="J453" s="76">
        <v>0.7</v>
      </c>
      <c r="K453" s="101" t="s">
        <v>513</v>
      </c>
      <c r="L453" s="105" t="s">
        <v>511</v>
      </c>
      <c r="M453" s="101" t="s">
        <v>411</v>
      </c>
      <c r="N453" s="76">
        <v>0.95</v>
      </c>
      <c r="O453" s="76">
        <v>0.15</v>
      </c>
      <c r="P453" s="76"/>
      <c r="Q453" s="76">
        <f t="shared" si="21"/>
        <v>0</v>
      </c>
      <c r="R453" s="80">
        <f t="shared" ref="R453:R524" si="22">IF(AND(Q453&gt;=60%,Q453&lt;100%),Q453*((O453*J453)),IF(Q453=100%,((O453*J453)*Q453)*100%,IF(Q453&gt;100%,((J453*O453)*100%)*100%,0)))*100</f>
        <v>0</v>
      </c>
      <c r="S453" s="76" t="s">
        <v>23</v>
      </c>
      <c r="T453" s="194">
        <f>SUM(R453:R460)%</f>
        <v>0</v>
      </c>
    </row>
    <row r="454" spans="1:20" ht="21.6" x14ac:dyDescent="0.3">
      <c r="A454" s="139">
        <v>2072</v>
      </c>
      <c r="B454" s="42" t="s">
        <v>20</v>
      </c>
      <c r="C454" s="43" t="s">
        <v>267</v>
      </c>
      <c r="D454" s="50">
        <v>6346</v>
      </c>
      <c r="E454" s="42" t="s">
        <v>321</v>
      </c>
      <c r="F454" s="45" t="s">
        <v>145</v>
      </c>
      <c r="G454" s="207" t="s">
        <v>311</v>
      </c>
      <c r="H454" s="45" t="s">
        <v>386</v>
      </c>
      <c r="I454" s="7" t="s">
        <v>22</v>
      </c>
      <c r="J454" s="3">
        <v>0.7</v>
      </c>
      <c r="K454" s="1" t="s">
        <v>124</v>
      </c>
      <c r="L454" s="8" t="s">
        <v>125</v>
      </c>
      <c r="M454" s="7" t="s">
        <v>126</v>
      </c>
      <c r="N454" s="3">
        <v>0.95</v>
      </c>
      <c r="O454" s="3">
        <v>0.15</v>
      </c>
      <c r="P454" s="6"/>
      <c r="Q454" s="3">
        <f t="shared" si="21"/>
        <v>0</v>
      </c>
      <c r="R454" s="4">
        <f t="shared" si="22"/>
        <v>0</v>
      </c>
      <c r="S454" s="3" t="s">
        <v>23</v>
      </c>
      <c r="T454" s="195"/>
    </row>
    <row r="455" spans="1:20" ht="21.6" x14ac:dyDescent="0.3">
      <c r="A455" s="139">
        <v>2073</v>
      </c>
      <c r="B455" s="42" t="s">
        <v>20</v>
      </c>
      <c r="C455" s="43" t="s">
        <v>267</v>
      </c>
      <c r="D455" s="50">
        <v>6346</v>
      </c>
      <c r="E455" s="42" t="s">
        <v>321</v>
      </c>
      <c r="F455" s="45" t="s">
        <v>145</v>
      </c>
      <c r="G455" s="207" t="s">
        <v>311</v>
      </c>
      <c r="H455" s="45" t="s">
        <v>386</v>
      </c>
      <c r="I455" s="7" t="s">
        <v>22</v>
      </c>
      <c r="J455" s="3">
        <v>0.7</v>
      </c>
      <c r="K455" s="1" t="s">
        <v>51</v>
      </c>
      <c r="L455" s="8" t="s">
        <v>127</v>
      </c>
      <c r="M455" s="7" t="s">
        <v>128</v>
      </c>
      <c r="N455" s="6">
        <v>0.05</v>
      </c>
      <c r="O455" s="3">
        <v>0.1</v>
      </c>
      <c r="P455" s="11"/>
      <c r="Q455" s="3">
        <f t="shared" si="21"/>
        <v>0</v>
      </c>
      <c r="R455" s="4">
        <f t="shared" si="22"/>
        <v>0</v>
      </c>
      <c r="S455" s="3" t="s">
        <v>24</v>
      </c>
      <c r="T455" s="195"/>
    </row>
    <row r="456" spans="1:20" ht="21.6" x14ac:dyDescent="0.3">
      <c r="A456" s="139">
        <v>2074</v>
      </c>
      <c r="B456" s="42" t="s">
        <v>20</v>
      </c>
      <c r="C456" s="43" t="s">
        <v>267</v>
      </c>
      <c r="D456" s="50">
        <v>6346</v>
      </c>
      <c r="E456" s="42" t="s">
        <v>321</v>
      </c>
      <c r="F456" s="45" t="s">
        <v>145</v>
      </c>
      <c r="G456" s="207" t="s">
        <v>311</v>
      </c>
      <c r="H456" s="45" t="s">
        <v>386</v>
      </c>
      <c r="I456" s="7" t="s">
        <v>22</v>
      </c>
      <c r="J456" s="3">
        <v>0.7</v>
      </c>
      <c r="K456" s="1" t="s">
        <v>305</v>
      </c>
      <c r="L456" s="8" t="s">
        <v>257</v>
      </c>
      <c r="M456" s="13" t="s">
        <v>306</v>
      </c>
      <c r="N456" s="3">
        <v>0.95</v>
      </c>
      <c r="O456" s="3">
        <v>0.1</v>
      </c>
      <c r="P456" s="3"/>
      <c r="Q456" s="3">
        <f t="shared" si="21"/>
        <v>0</v>
      </c>
      <c r="R456" s="4">
        <f t="shared" si="22"/>
        <v>0</v>
      </c>
      <c r="S456" s="3" t="s">
        <v>23</v>
      </c>
      <c r="T456" s="195"/>
    </row>
    <row r="457" spans="1:20" ht="21.6" x14ac:dyDescent="0.3">
      <c r="A457" s="139">
        <v>2075</v>
      </c>
      <c r="B457" s="42" t="s">
        <v>20</v>
      </c>
      <c r="C457" s="43" t="s">
        <v>267</v>
      </c>
      <c r="D457" s="50">
        <v>6346</v>
      </c>
      <c r="E457" s="42" t="s">
        <v>321</v>
      </c>
      <c r="F457" s="45" t="s">
        <v>145</v>
      </c>
      <c r="G457" s="207" t="s">
        <v>311</v>
      </c>
      <c r="H457" s="45" t="s">
        <v>386</v>
      </c>
      <c r="I457" s="47" t="s">
        <v>22</v>
      </c>
      <c r="J457" s="3">
        <v>0.7</v>
      </c>
      <c r="K457" s="49" t="s">
        <v>129</v>
      </c>
      <c r="L457" s="30" t="s">
        <v>130</v>
      </c>
      <c r="M457" s="47" t="s">
        <v>131</v>
      </c>
      <c r="N457" s="3">
        <v>0.9</v>
      </c>
      <c r="O457" s="10">
        <v>0.2</v>
      </c>
      <c r="P457" s="3"/>
      <c r="Q457" s="3">
        <f t="shared" si="21"/>
        <v>0</v>
      </c>
      <c r="R457" s="48">
        <f t="shared" si="22"/>
        <v>0</v>
      </c>
      <c r="S457" s="10" t="s">
        <v>23</v>
      </c>
      <c r="T457" s="193"/>
    </row>
    <row r="458" spans="1:20" ht="21.6" x14ac:dyDescent="0.3">
      <c r="A458" s="139">
        <v>2076</v>
      </c>
      <c r="B458" s="42" t="s">
        <v>20</v>
      </c>
      <c r="C458" s="43" t="s">
        <v>267</v>
      </c>
      <c r="D458" s="50">
        <v>6346</v>
      </c>
      <c r="E458" s="42" t="s">
        <v>321</v>
      </c>
      <c r="F458" s="45" t="s">
        <v>145</v>
      </c>
      <c r="G458" s="207" t="s">
        <v>311</v>
      </c>
      <c r="H458" s="45" t="s">
        <v>386</v>
      </c>
      <c r="I458" s="47" t="s">
        <v>22</v>
      </c>
      <c r="J458" s="3">
        <v>0.7</v>
      </c>
      <c r="K458" s="49" t="s">
        <v>132</v>
      </c>
      <c r="L458" s="30" t="s">
        <v>133</v>
      </c>
      <c r="M458" s="47" t="s">
        <v>134</v>
      </c>
      <c r="N458" s="4">
        <v>0</v>
      </c>
      <c r="O458" s="10">
        <v>0.1</v>
      </c>
      <c r="P458" s="3"/>
      <c r="Q458" s="3">
        <f t="shared" si="21"/>
        <v>0</v>
      </c>
      <c r="R458" s="48">
        <f t="shared" si="22"/>
        <v>0</v>
      </c>
      <c r="S458" s="10" t="s">
        <v>24</v>
      </c>
      <c r="T458" s="193"/>
    </row>
    <row r="459" spans="1:20" ht="21.6" x14ac:dyDescent="0.3">
      <c r="A459" s="139">
        <v>2077</v>
      </c>
      <c r="B459" s="42" t="s">
        <v>20</v>
      </c>
      <c r="C459" s="43" t="s">
        <v>267</v>
      </c>
      <c r="D459" s="50">
        <v>6346</v>
      </c>
      <c r="E459" s="42" t="s">
        <v>321</v>
      </c>
      <c r="F459" s="45" t="s">
        <v>145</v>
      </c>
      <c r="G459" s="207" t="s">
        <v>311</v>
      </c>
      <c r="H459" s="45" t="s">
        <v>386</v>
      </c>
      <c r="I459" s="47" t="s">
        <v>22</v>
      </c>
      <c r="J459" s="3">
        <v>0.7</v>
      </c>
      <c r="K459" s="49" t="s">
        <v>135</v>
      </c>
      <c r="L459" s="30" t="s">
        <v>136</v>
      </c>
      <c r="M459" s="49" t="s">
        <v>137</v>
      </c>
      <c r="N459" s="3">
        <v>0.9</v>
      </c>
      <c r="O459" s="10">
        <v>0.2</v>
      </c>
      <c r="P459" s="51"/>
      <c r="Q459" s="3">
        <f t="shared" si="21"/>
        <v>0</v>
      </c>
      <c r="R459" s="48">
        <f t="shared" si="22"/>
        <v>0</v>
      </c>
      <c r="S459" s="10" t="s">
        <v>23</v>
      </c>
      <c r="T459" s="193"/>
    </row>
    <row r="460" spans="1:20" ht="22.2" thickBot="1" x14ac:dyDescent="0.35">
      <c r="A460" s="142">
        <v>2078</v>
      </c>
      <c r="B460" s="81" t="s">
        <v>20</v>
      </c>
      <c r="C460" s="82" t="s">
        <v>267</v>
      </c>
      <c r="D460" s="113">
        <v>6346</v>
      </c>
      <c r="E460" s="81" t="s">
        <v>321</v>
      </c>
      <c r="F460" s="84" t="s">
        <v>145</v>
      </c>
      <c r="G460" s="209" t="s">
        <v>311</v>
      </c>
      <c r="H460" s="84" t="s">
        <v>386</v>
      </c>
      <c r="I460" s="85" t="s">
        <v>26</v>
      </c>
      <c r="J460" s="86">
        <v>0.3</v>
      </c>
      <c r="K460" s="115" t="s">
        <v>138</v>
      </c>
      <c r="L460" s="114" t="s">
        <v>139</v>
      </c>
      <c r="M460" s="115" t="s">
        <v>140</v>
      </c>
      <c r="N460" s="86">
        <v>1</v>
      </c>
      <c r="O460" s="91">
        <v>1</v>
      </c>
      <c r="P460" s="86"/>
      <c r="Q460" s="86">
        <f t="shared" si="21"/>
        <v>0</v>
      </c>
      <c r="R460" s="104">
        <f t="shared" si="22"/>
        <v>0</v>
      </c>
      <c r="S460" s="91" t="s">
        <v>23</v>
      </c>
      <c r="T460" s="147"/>
    </row>
    <row r="461" spans="1:20" ht="21.6" x14ac:dyDescent="0.3">
      <c r="A461" s="138">
        <v>2070</v>
      </c>
      <c r="B461" s="71" t="s">
        <v>20</v>
      </c>
      <c r="C461" s="72" t="s">
        <v>267</v>
      </c>
      <c r="D461" s="112">
        <v>6521</v>
      </c>
      <c r="E461" s="71" t="s">
        <v>322</v>
      </c>
      <c r="F461" s="74" t="s">
        <v>145</v>
      </c>
      <c r="G461" s="188" t="s">
        <v>311</v>
      </c>
      <c r="H461" s="74" t="s">
        <v>386</v>
      </c>
      <c r="I461" s="75" t="s">
        <v>22</v>
      </c>
      <c r="J461" s="76">
        <v>0.7</v>
      </c>
      <c r="K461" s="101" t="s">
        <v>513</v>
      </c>
      <c r="L461" s="105" t="s">
        <v>511</v>
      </c>
      <c r="M461" s="101" t="s">
        <v>411</v>
      </c>
      <c r="N461" s="76">
        <v>0.95</v>
      </c>
      <c r="O461" s="76">
        <v>0.15</v>
      </c>
      <c r="P461" s="76"/>
      <c r="Q461" s="76">
        <f t="shared" si="21"/>
        <v>0</v>
      </c>
      <c r="R461" s="80">
        <f t="shared" si="22"/>
        <v>0</v>
      </c>
      <c r="S461" s="76" t="s">
        <v>23</v>
      </c>
      <c r="T461" s="194">
        <f>SUM(R461:R468)%</f>
        <v>0</v>
      </c>
    </row>
    <row r="462" spans="1:20" ht="21.6" x14ac:dyDescent="0.3">
      <c r="A462" s="139">
        <v>2072</v>
      </c>
      <c r="B462" s="42" t="s">
        <v>20</v>
      </c>
      <c r="C462" s="43" t="s">
        <v>267</v>
      </c>
      <c r="D462" s="50">
        <v>6521</v>
      </c>
      <c r="E462" s="42" t="s">
        <v>322</v>
      </c>
      <c r="F462" s="45" t="s">
        <v>145</v>
      </c>
      <c r="G462" s="207" t="s">
        <v>311</v>
      </c>
      <c r="H462" s="45" t="s">
        <v>386</v>
      </c>
      <c r="I462" s="7" t="s">
        <v>22</v>
      </c>
      <c r="J462" s="3">
        <v>0.7</v>
      </c>
      <c r="K462" s="1" t="s">
        <v>124</v>
      </c>
      <c r="L462" s="8" t="s">
        <v>125</v>
      </c>
      <c r="M462" s="7" t="s">
        <v>126</v>
      </c>
      <c r="N462" s="3">
        <v>0.95</v>
      </c>
      <c r="O462" s="3">
        <v>0.15</v>
      </c>
      <c r="P462" s="6"/>
      <c r="Q462" s="3">
        <f t="shared" si="21"/>
        <v>0</v>
      </c>
      <c r="R462" s="4">
        <f t="shared" si="22"/>
        <v>0</v>
      </c>
      <c r="S462" s="3" t="s">
        <v>23</v>
      </c>
      <c r="T462" s="195"/>
    </row>
    <row r="463" spans="1:20" ht="21.6" x14ac:dyDescent="0.3">
      <c r="A463" s="139">
        <v>2073</v>
      </c>
      <c r="B463" s="42" t="s">
        <v>20</v>
      </c>
      <c r="C463" s="43" t="s">
        <v>267</v>
      </c>
      <c r="D463" s="50">
        <v>6521</v>
      </c>
      <c r="E463" s="42" t="s">
        <v>322</v>
      </c>
      <c r="F463" s="45" t="s">
        <v>145</v>
      </c>
      <c r="G463" s="207" t="s">
        <v>311</v>
      </c>
      <c r="H463" s="45" t="s">
        <v>386</v>
      </c>
      <c r="I463" s="7" t="s">
        <v>22</v>
      </c>
      <c r="J463" s="3">
        <v>0.7</v>
      </c>
      <c r="K463" s="1" t="s">
        <v>51</v>
      </c>
      <c r="L463" s="8" t="s">
        <v>127</v>
      </c>
      <c r="M463" s="7" t="s">
        <v>128</v>
      </c>
      <c r="N463" s="6">
        <v>0.05</v>
      </c>
      <c r="O463" s="3">
        <v>0.1</v>
      </c>
      <c r="P463" s="11"/>
      <c r="Q463" s="3">
        <f t="shared" si="21"/>
        <v>0</v>
      </c>
      <c r="R463" s="4">
        <f t="shared" si="22"/>
        <v>0</v>
      </c>
      <c r="S463" s="3" t="s">
        <v>24</v>
      </c>
      <c r="T463" s="195"/>
    </row>
    <row r="464" spans="1:20" ht="21.6" x14ac:dyDescent="0.3">
      <c r="A464" s="139">
        <v>2074</v>
      </c>
      <c r="B464" s="42" t="s">
        <v>20</v>
      </c>
      <c r="C464" s="43" t="s">
        <v>267</v>
      </c>
      <c r="D464" s="50">
        <v>6521</v>
      </c>
      <c r="E464" s="42" t="s">
        <v>322</v>
      </c>
      <c r="F464" s="45" t="s">
        <v>145</v>
      </c>
      <c r="G464" s="207" t="s">
        <v>311</v>
      </c>
      <c r="H464" s="45" t="s">
        <v>386</v>
      </c>
      <c r="I464" s="7" t="s">
        <v>22</v>
      </c>
      <c r="J464" s="3">
        <v>0.7</v>
      </c>
      <c r="K464" s="1" t="s">
        <v>305</v>
      </c>
      <c r="L464" s="8" t="s">
        <v>257</v>
      </c>
      <c r="M464" s="13" t="s">
        <v>306</v>
      </c>
      <c r="N464" s="3">
        <v>0.95</v>
      </c>
      <c r="O464" s="3">
        <v>0.1</v>
      </c>
      <c r="P464" s="3"/>
      <c r="Q464" s="3">
        <f t="shared" si="21"/>
        <v>0</v>
      </c>
      <c r="R464" s="4">
        <f t="shared" si="22"/>
        <v>0</v>
      </c>
      <c r="S464" s="3" t="s">
        <v>23</v>
      </c>
      <c r="T464" s="195"/>
    </row>
    <row r="465" spans="1:20" ht="21.6" x14ac:dyDescent="0.3">
      <c r="A465" s="139">
        <v>2075</v>
      </c>
      <c r="B465" s="42" t="s">
        <v>20</v>
      </c>
      <c r="C465" s="43" t="s">
        <v>267</v>
      </c>
      <c r="D465" s="50">
        <v>6521</v>
      </c>
      <c r="E465" s="42" t="s">
        <v>322</v>
      </c>
      <c r="F465" s="45" t="s">
        <v>145</v>
      </c>
      <c r="G465" s="207" t="s">
        <v>311</v>
      </c>
      <c r="H465" s="45" t="s">
        <v>386</v>
      </c>
      <c r="I465" s="47" t="s">
        <v>22</v>
      </c>
      <c r="J465" s="3">
        <v>0.7</v>
      </c>
      <c r="K465" s="49" t="s">
        <v>129</v>
      </c>
      <c r="L465" s="30" t="s">
        <v>130</v>
      </c>
      <c r="M465" s="47" t="s">
        <v>131</v>
      </c>
      <c r="N465" s="3">
        <v>0.9</v>
      </c>
      <c r="O465" s="10">
        <v>0.2</v>
      </c>
      <c r="P465" s="3"/>
      <c r="Q465" s="3">
        <f t="shared" si="21"/>
        <v>0</v>
      </c>
      <c r="R465" s="48">
        <f t="shared" si="22"/>
        <v>0</v>
      </c>
      <c r="S465" s="10" t="s">
        <v>23</v>
      </c>
      <c r="T465" s="193"/>
    </row>
    <row r="466" spans="1:20" ht="21.6" x14ac:dyDescent="0.3">
      <c r="A466" s="139">
        <v>2076</v>
      </c>
      <c r="B466" s="42" t="s">
        <v>20</v>
      </c>
      <c r="C466" s="43" t="s">
        <v>267</v>
      </c>
      <c r="D466" s="50">
        <v>6521</v>
      </c>
      <c r="E466" s="42" t="s">
        <v>322</v>
      </c>
      <c r="F466" s="45" t="s">
        <v>145</v>
      </c>
      <c r="G466" s="207" t="s">
        <v>311</v>
      </c>
      <c r="H466" s="45" t="s">
        <v>386</v>
      </c>
      <c r="I466" s="47" t="s">
        <v>22</v>
      </c>
      <c r="J466" s="3">
        <v>0.7</v>
      </c>
      <c r="K466" s="49" t="s">
        <v>132</v>
      </c>
      <c r="L466" s="30" t="s">
        <v>133</v>
      </c>
      <c r="M466" s="47" t="s">
        <v>134</v>
      </c>
      <c r="N466" s="4">
        <v>0</v>
      </c>
      <c r="O466" s="10">
        <v>0.1</v>
      </c>
      <c r="P466" s="3"/>
      <c r="Q466" s="3">
        <f t="shared" si="21"/>
        <v>0</v>
      </c>
      <c r="R466" s="48">
        <f t="shared" si="22"/>
        <v>0</v>
      </c>
      <c r="S466" s="10" t="s">
        <v>24</v>
      </c>
      <c r="T466" s="193"/>
    </row>
    <row r="467" spans="1:20" ht="21.6" x14ac:dyDescent="0.3">
      <c r="A467" s="139">
        <v>2077</v>
      </c>
      <c r="B467" s="42" t="s">
        <v>20</v>
      </c>
      <c r="C467" s="43" t="s">
        <v>267</v>
      </c>
      <c r="D467" s="50">
        <v>6521</v>
      </c>
      <c r="E467" s="42" t="s">
        <v>322</v>
      </c>
      <c r="F467" s="45" t="s">
        <v>145</v>
      </c>
      <c r="G467" s="207" t="s">
        <v>311</v>
      </c>
      <c r="H467" s="45" t="s">
        <v>386</v>
      </c>
      <c r="I467" s="47" t="s">
        <v>22</v>
      </c>
      <c r="J467" s="3">
        <v>0.7</v>
      </c>
      <c r="K467" s="49" t="s">
        <v>135</v>
      </c>
      <c r="L467" s="30" t="s">
        <v>136</v>
      </c>
      <c r="M467" s="49" t="s">
        <v>137</v>
      </c>
      <c r="N467" s="3">
        <v>0.9</v>
      </c>
      <c r="O467" s="10">
        <v>0.2</v>
      </c>
      <c r="P467" s="51"/>
      <c r="Q467" s="3">
        <f t="shared" si="21"/>
        <v>0</v>
      </c>
      <c r="R467" s="48">
        <f t="shared" si="22"/>
        <v>0</v>
      </c>
      <c r="S467" s="10" t="s">
        <v>23</v>
      </c>
      <c r="T467" s="193"/>
    </row>
    <row r="468" spans="1:20" ht="22.2" thickBot="1" x14ac:dyDescent="0.35">
      <c r="A468" s="142">
        <v>2078</v>
      </c>
      <c r="B468" s="81" t="s">
        <v>20</v>
      </c>
      <c r="C468" s="82" t="s">
        <v>267</v>
      </c>
      <c r="D468" s="113">
        <v>6521</v>
      </c>
      <c r="E468" s="81" t="s">
        <v>322</v>
      </c>
      <c r="F468" s="84" t="s">
        <v>145</v>
      </c>
      <c r="G468" s="209" t="s">
        <v>311</v>
      </c>
      <c r="H468" s="84" t="s">
        <v>386</v>
      </c>
      <c r="I468" s="85" t="s">
        <v>26</v>
      </c>
      <c r="J468" s="86">
        <v>0.3</v>
      </c>
      <c r="K468" s="115" t="s">
        <v>138</v>
      </c>
      <c r="L468" s="114" t="s">
        <v>139</v>
      </c>
      <c r="M468" s="115" t="s">
        <v>140</v>
      </c>
      <c r="N468" s="86">
        <v>1</v>
      </c>
      <c r="O468" s="91">
        <v>1</v>
      </c>
      <c r="P468" s="86"/>
      <c r="Q468" s="86">
        <f t="shared" si="21"/>
        <v>0</v>
      </c>
      <c r="R468" s="104">
        <f t="shared" si="22"/>
        <v>0</v>
      </c>
      <c r="S468" s="91" t="s">
        <v>23</v>
      </c>
      <c r="T468" s="147"/>
    </row>
    <row r="469" spans="1:20" ht="21.6" x14ac:dyDescent="0.3">
      <c r="A469" s="138">
        <v>2070</v>
      </c>
      <c r="B469" s="71" t="s">
        <v>20</v>
      </c>
      <c r="C469" s="72" t="s">
        <v>267</v>
      </c>
      <c r="D469" s="112">
        <v>6529</v>
      </c>
      <c r="E469" s="71" t="s">
        <v>323</v>
      </c>
      <c r="F469" s="74" t="s">
        <v>145</v>
      </c>
      <c r="G469" s="188" t="s">
        <v>311</v>
      </c>
      <c r="H469" s="74" t="s">
        <v>386</v>
      </c>
      <c r="I469" s="75" t="s">
        <v>22</v>
      </c>
      <c r="J469" s="76">
        <v>0.7</v>
      </c>
      <c r="K469" s="101" t="s">
        <v>513</v>
      </c>
      <c r="L469" s="105" t="s">
        <v>511</v>
      </c>
      <c r="M469" s="101" t="s">
        <v>411</v>
      </c>
      <c r="N469" s="76">
        <v>0.95</v>
      </c>
      <c r="O469" s="76">
        <v>0.15</v>
      </c>
      <c r="P469" s="76"/>
      <c r="Q469" s="76">
        <f t="shared" si="21"/>
        <v>0</v>
      </c>
      <c r="R469" s="80">
        <f t="shared" si="22"/>
        <v>0</v>
      </c>
      <c r="S469" s="76" t="s">
        <v>23</v>
      </c>
      <c r="T469" s="194">
        <f>SUM(R469:R476)%</f>
        <v>0</v>
      </c>
    </row>
    <row r="470" spans="1:20" ht="21.6" x14ac:dyDescent="0.3">
      <c r="A470" s="139">
        <v>2072</v>
      </c>
      <c r="B470" s="42" t="s">
        <v>20</v>
      </c>
      <c r="C470" s="43" t="s">
        <v>267</v>
      </c>
      <c r="D470" s="50">
        <v>6529</v>
      </c>
      <c r="E470" s="42" t="s">
        <v>323</v>
      </c>
      <c r="F470" s="45" t="s">
        <v>145</v>
      </c>
      <c r="G470" s="207" t="s">
        <v>311</v>
      </c>
      <c r="H470" s="45" t="s">
        <v>386</v>
      </c>
      <c r="I470" s="7" t="s">
        <v>22</v>
      </c>
      <c r="J470" s="3">
        <v>0.7</v>
      </c>
      <c r="K470" s="1" t="s">
        <v>124</v>
      </c>
      <c r="L470" s="8" t="s">
        <v>125</v>
      </c>
      <c r="M470" s="7" t="s">
        <v>126</v>
      </c>
      <c r="N470" s="3">
        <v>0.95</v>
      </c>
      <c r="O470" s="3">
        <v>0.15</v>
      </c>
      <c r="P470" s="6"/>
      <c r="Q470" s="3">
        <f t="shared" si="21"/>
        <v>0</v>
      </c>
      <c r="R470" s="4">
        <f t="shared" si="22"/>
        <v>0</v>
      </c>
      <c r="S470" s="3" t="s">
        <v>23</v>
      </c>
      <c r="T470" s="195"/>
    </row>
    <row r="471" spans="1:20" ht="21.6" x14ac:dyDescent="0.3">
      <c r="A471" s="139">
        <v>2073</v>
      </c>
      <c r="B471" s="42" t="s">
        <v>20</v>
      </c>
      <c r="C471" s="43" t="s">
        <v>267</v>
      </c>
      <c r="D471" s="50">
        <v>6529</v>
      </c>
      <c r="E471" s="42" t="s">
        <v>323</v>
      </c>
      <c r="F471" s="45" t="s">
        <v>145</v>
      </c>
      <c r="G471" s="207" t="s">
        <v>311</v>
      </c>
      <c r="H471" s="45" t="s">
        <v>386</v>
      </c>
      <c r="I471" s="7" t="s">
        <v>22</v>
      </c>
      <c r="J471" s="3">
        <v>0.7</v>
      </c>
      <c r="K471" s="1" t="s">
        <v>51</v>
      </c>
      <c r="L471" s="8" t="s">
        <v>127</v>
      </c>
      <c r="M471" s="7" t="s">
        <v>128</v>
      </c>
      <c r="N471" s="6">
        <v>0.05</v>
      </c>
      <c r="O471" s="3">
        <v>0.1</v>
      </c>
      <c r="P471" s="11"/>
      <c r="Q471" s="3">
        <f t="shared" si="21"/>
        <v>0</v>
      </c>
      <c r="R471" s="4">
        <f t="shared" si="22"/>
        <v>0</v>
      </c>
      <c r="S471" s="3" t="s">
        <v>24</v>
      </c>
      <c r="T471" s="195"/>
    </row>
    <row r="472" spans="1:20" ht="21.6" x14ac:dyDescent="0.3">
      <c r="A472" s="139">
        <v>2074</v>
      </c>
      <c r="B472" s="42" t="s">
        <v>20</v>
      </c>
      <c r="C472" s="43" t="s">
        <v>267</v>
      </c>
      <c r="D472" s="50">
        <v>6529</v>
      </c>
      <c r="E472" s="42" t="s">
        <v>323</v>
      </c>
      <c r="F472" s="45" t="s">
        <v>145</v>
      </c>
      <c r="G472" s="207" t="s">
        <v>311</v>
      </c>
      <c r="H472" s="45" t="s">
        <v>386</v>
      </c>
      <c r="I472" s="7" t="s">
        <v>22</v>
      </c>
      <c r="J472" s="3">
        <v>0.7</v>
      </c>
      <c r="K472" s="1" t="s">
        <v>305</v>
      </c>
      <c r="L472" s="8" t="s">
        <v>257</v>
      </c>
      <c r="M472" s="13" t="s">
        <v>306</v>
      </c>
      <c r="N472" s="3">
        <v>0.95</v>
      </c>
      <c r="O472" s="3">
        <v>0.1</v>
      </c>
      <c r="P472" s="3"/>
      <c r="Q472" s="3">
        <f t="shared" si="21"/>
        <v>0</v>
      </c>
      <c r="R472" s="4">
        <f t="shared" si="22"/>
        <v>0</v>
      </c>
      <c r="S472" s="3" t="s">
        <v>23</v>
      </c>
      <c r="T472" s="195"/>
    </row>
    <row r="473" spans="1:20" ht="21.6" x14ac:dyDescent="0.3">
      <c r="A473" s="139">
        <v>2075</v>
      </c>
      <c r="B473" s="42" t="s">
        <v>20</v>
      </c>
      <c r="C473" s="43" t="s">
        <v>267</v>
      </c>
      <c r="D473" s="50">
        <v>6529</v>
      </c>
      <c r="E473" s="42" t="s">
        <v>323</v>
      </c>
      <c r="F473" s="45" t="s">
        <v>145</v>
      </c>
      <c r="G473" s="207" t="s">
        <v>311</v>
      </c>
      <c r="H473" s="45" t="s">
        <v>386</v>
      </c>
      <c r="I473" s="47" t="s">
        <v>22</v>
      </c>
      <c r="J473" s="3">
        <v>0.7</v>
      </c>
      <c r="K473" s="49" t="s">
        <v>129</v>
      </c>
      <c r="L473" s="30" t="s">
        <v>130</v>
      </c>
      <c r="M473" s="47" t="s">
        <v>131</v>
      </c>
      <c r="N473" s="3">
        <v>0.9</v>
      </c>
      <c r="O473" s="10">
        <v>0.2</v>
      </c>
      <c r="P473" s="3"/>
      <c r="Q473" s="3">
        <f t="shared" si="21"/>
        <v>0</v>
      </c>
      <c r="R473" s="48">
        <f t="shared" si="22"/>
        <v>0</v>
      </c>
      <c r="S473" s="10" t="s">
        <v>23</v>
      </c>
      <c r="T473" s="193"/>
    </row>
    <row r="474" spans="1:20" ht="21.6" x14ac:dyDescent="0.3">
      <c r="A474" s="139">
        <v>2076</v>
      </c>
      <c r="B474" s="42" t="s">
        <v>20</v>
      </c>
      <c r="C474" s="43" t="s">
        <v>267</v>
      </c>
      <c r="D474" s="50">
        <v>6529</v>
      </c>
      <c r="E474" s="42" t="s">
        <v>323</v>
      </c>
      <c r="F474" s="45" t="s">
        <v>145</v>
      </c>
      <c r="G474" s="207" t="s">
        <v>311</v>
      </c>
      <c r="H474" s="45" t="s">
        <v>386</v>
      </c>
      <c r="I474" s="47" t="s">
        <v>22</v>
      </c>
      <c r="J474" s="3">
        <v>0.7</v>
      </c>
      <c r="K474" s="49" t="s">
        <v>132</v>
      </c>
      <c r="L474" s="30" t="s">
        <v>133</v>
      </c>
      <c r="M474" s="47" t="s">
        <v>134</v>
      </c>
      <c r="N474" s="4">
        <v>0</v>
      </c>
      <c r="O474" s="10">
        <v>0.1</v>
      </c>
      <c r="P474" s="3"/>
      <c r="Q474" s="3">
        <f t="shared" si="21"/>
        <v>0</v>
      </c>
      <c r="R474" s="48">
        <f t="shared" si="22"/>
        <v>0</v>
      </c>
      <c r="S474" s="10" t="s">
        <v>24</v>
      </c>
      <c r="T474" s="193"/>
    </row>
    <row r="475" spans="1:20" ht="21.6" x14ac:dyDescent="0.3">
      <c r="A475" s="139">
        <v>2077</v>
      </c>
      <c r="B475" s="42" t="s">
        <v>20</v>
      </c>
      <c r="C475" s="43" t="s">
        <v>267</v>
      </c>
      <c r="D475" s="50">
        <v>6529</v>
      </c>
      <c r="E475" s="42" t="s">
        <v>323</v>
      </c>
      <c r="F475" s="45" t="s">
        <v>145</v>
      </c>
      <c r="G475" s="207" t="s">
        <v>311</v>
      </c>
      <c r="H475" s="45" t="s">
        <v>386</v>
      </c>
      <c r="I475" s="47" t="s">
        <v>22</v>
      </c>
      <c r="J475" s="3">
        <v>0.7</v>
      </c>
      <c r="K475" s="49" t="s">
        <v>135</v>
      </c>
      <c r="L475" s="30" t="s">
        <v>136</v>
      </c>
      <c r="M475" s="49" t="s">
        <v>137</v>
      </c>
      <c r="N475" s="3">
        <v>0.9</v>
      </c>
      <c r="O475" s="10">
        <v>0.2</v>
      </c>
      <c r="P475" s="51"/>
      <c r="Q475" s="3">
        <f t="shared" si="21"/>
        <v>0</v>
      </c>
      <c r="R475" s="48">
        <f t="shared" si="22"/>
        <v>0</v>
      </c>
      <c r="S475" s="10" t="s">
        <v>23</v>
      </c>
      <c r="T475" s="193"/>
    </row>
    <row r="476" spans="1:20" ht="22.2" thickBot="1" x14ac:dyDescent="0.35">
      <c r="A476" s="142">
        <v>2078</v>
      </c>
      <c r="B476" s="81" t="s">
        <v>20</v>
      </c>
      <c r="C476" s="82" t="s">
        <v>267</v>
      </c>
      <c r="D476" s="113">
        <v>6529</v>
      </c>
      <c r="E476" s="81" t="s">
        <v>323</v>
      </c>
      <c r="F476" s="84" t="s">
        <v>145</v>
      </c>
      <c r="G476" s="209" t="s">
        <v>311</v>
      </c>
      <c r="H476" s="84" t="s">
        <v>386</v>
      </c>
      <c r="I476" s="85" t="s">
        <v>26</v>
      </c>
      <c r="J476" s="86">
        <v>0.3</v>
      </c>
      <c r="K476" s="115" t="s">
        <v>138</v>
      </c>
      <c r="L476" s="114" t="s">
        <v>139</v>
      </c>
      <c r="M476" s="115" t="s">
        <v>140</v>
      </c>
      <c r="N476" s="86">
        <v>1</v>
      </c>
      <c r="O476" s="91">
        <v>1</v>
      </c>
      <c r="P476" s="86"/>
      <c r="Q476" s="86">
        <f t="shared" si="21"/>
        <v>0</v>
      </c>
      <c r="R476" s="104">
        <f t="shared" si="22"/>
        <v>0</v>
      </c>
      <c r="S476" s="91" t="s">
        <v>23</v>
      </c>
      <c r="T476" s="147"/>
    </row>
    <row r="477" spans="1:20" ht="21.6" x14ac:dyDescent="0.3">
      <c r="A477" s="138">
        <v>2070</v>
      </c>
      <c r="B477" s="71" t="s">
        <v>20</v>
      </c>
      <c r="C477" s="72" t="s">
        <v>267</v>
      </c>
      <c r="D477" s="112">
        <v>6212</v>
      </c>
      <c r="E477" s="71" t="s">
        <v>318</v>
      </c>
      <c r="F477" s="74" t="s">
        <v>145</v>
      </c>
      <c r="G477" s="188" t="s">
        <v>311</v>
      </c>
      <c r="H477" s="74" t="s">
        <v>386</v>
      </c>
      <c r="I477" s="75" t="s">
        <v>22</v>
      </c>
      <c r="J477" s="76">
        <v>0.7</v>
      </c>
      <c r="K477" s="101" t="s">
        <v>513</v>
      </c>
      <c r="L477" s="105" t="s">
        <v>511</v>
      </c>
      <c r="M477" s="101" t="s">
        <v>411</v>
      </c>
      <c r="N477" s="76">
        <v>0.95</v>
      </c>
      <c r="O477" s="76">
        <v>0.15</v>
      </c>
      <c r="P477" s="76"/>
      <c r="Q477" s="76">
        <f t="shared" si="21"/>
        <v>0</v>
      </c>
      <c r="R477" s="80">
        <f t="shared" si="22"/>
        <v>0</v>
      </c>
      <c r="S477" s="76" t="s">
        <v>23</v>
      </c>
      <c r="T477" s="194">
        <f>SUM(R477:R484)%</f>
        <v>0</v>
      </c>
    </row>
    <row r="478" spans="1:20" ht="21.6" x14ac:dyDescent="0.3">
      <c r="A478" s="139">
        <v>2072</v>
      </c>
      <c r="B478" s="42" t="s">
        <v>20</v>
      </c>
      <c r="C478" s="43" t="s">
        <v>267</v>
      </c>
      <c r="D478" s="50">
        <v>6212</v>
      </c>
      <c r="E478" s="42" t="s">
        <v>318</v>
      </c>
      <c r="F478" s="45" t="s">
        <v>145</v>
      </c>
      <c r="G478" s="207" t="s">
        <v>311</v>
      </c>
      <c r="H478" s="45" t="s">
        <v>386</v>
      </c>
      <c r="I478" s="7" t="s">
        <v>22</v>
      </c>
      <c r="J478" s="3">
        <v>0.7</v>
      </c>
      <c r="K478" s="1" t="s">
        <v>124</v>
      </c>
      <c r="L478" s="8" t="s">
        <v>125</v>
      </c>
      <c r="M478" s="7" t="s">
        <v>126</v>
      </c>
      <c r="N478" s="3">
        <v>0.95</v>
      </c>
      <c r="O478" s="3">
        <v>0.15</v>
      </c>
      <c r="P478" s="6"/>
      <c r="Q478" s="3">
        <f t="shared" si="21"/>
        <v>0</v>
      </c>
      <c r="R478" s="4">
        <f t="shared" si="22"/>
        <v>0</v>
      </c>
      <c r="S478" s="3" t="s">
        <v>23</v>
      </c>
      <c r="T478" s="195"/>
    </row>
    <row r="479" spans="1:20" ht="21.6" x14ac:dyDescent="0.3">
      <c r="A479" s="139">
        <v>2073</v>
      </c>
      <c r="B479" s="42" t="s">
        <v>20</v>
      </c>
      <c r="C479" s="43" t="s">
        <v>267</v>
      </c>
      <c r="D479" s="50">
        <v>6212</v>
      </c>
      <c r="E479" s="42" t="s">
        <v>318</v>
      </c>
      <c r="F479" s="45" t="s">
        <v>145</v>
      </c>
      <c r="G479" s="207" t="s">
        <v>311</v>
      </c>
      <c r="H479" s="45" t="s">
        <v>386</v>
      </c>
      <c r="I479" s="7" t="s">
        <v>22</v>
      </c>
      <c r="J479" s="3">
        <v>0.7</v>
      </c>
      <c r="K479" s="1" t="s">
        <v>51</v>
      </c>
      <c r="L479" s="8" t="s">
        <v>127</v>
      </c>
      <c r="M479" s="7" t="s">
        <v>128</v>
      </c>
      <c r="N479" s="6">
        <v>0.05</v>
      </c>
      <c r="O479" s="3">
        <v>0.1</v>
      </c>
      <c r="P479" s="11"/>
      <c r="Q479" s="3">
        <f t="shared" si="21"/>
        <v>0</v>
      </c>
      <c r="R479" s="4">
        <f t="shared" si="22"/>
        <v>0</v>
      </c>
      <c r="S479" s="3" t="s">
        <v>24</v>
      </c>
      <c r="T479" s="195"/>
    </row>
    <row r="480" spans="1:20" ht="21.6" x14ac:dyDescent="0.3">
      <c r="A480" s="139">
        <v>2074</v>
      </c>
      <c r="B480" s="42" t="s">
        <v>20</v>
      </c>
      <c r="C480" s="43" t="s">
        <v>267</v>
      </c>
      <c r="D480" s="50">
        <v>6212</v>
      </c>
      <c r="E480" s="42" t="s">
        <v>318</v>
      </c>
      <c r="F480" s="45" t="s">
        <v>145</v>
      </c>
      <c r="G480" s="207" t="s">
        <v>311</v>
      </c>
      <c r="H480" s="45" t="s">
        <v>386</v>
      </c>
      <c r="I480" s="7" t="s">
        <v>22</v>
      </c>
      <c r="J480" s="3">
        <v>0.7</v>
      </c>
      <c r="K480" s="1" t="s">
        <v>305</v>
      </c>
      <c r="L480" s="8" t="s">
        <v>257</v>
      </c>
      <c r="M480" s="13" t="s">
        <v>306</v>
      </c>
      <c r="N480" s="3">
        <v>0.95</v>
      </c>
      <c r="O480" s="3">
        <v>0.1</v>
      </c>
      <c r="P480" s="3"/>
      <c r="Q480" s="3">
        <f t="shared" si="21"/>
        <v>0</v>
      </c>
      <c r="R480" s="4">
        <f t="shared" si="22"/>
        <v>0</v>
      </c>
      <c r="S480" s="3" t="s">
        <v>23</v>
      </c>
      <c r="T480" s="195"/>
    </row>
    <row r="481" spans="1:20" ht="21.6" x14ac:dyDescent="0.3">
      <c r="A481" s="139">
        <v>2075</v>
      </c>
      <c r="B481" s="42" t="s">
        <v>20</v>
      </c>
      <c r="C481" s="43" t="s">
        <v>267</v>
      </c>
      <c r="D481" s="50">
        <v>6212</v>
      </c>
      <c r="E481" s="42" t="s">
        <v>318</v>
      </c>
      <c r="F481" s="45" t="s">
        <v>145</v>
      </c>
      <c r="G481" s="207" t="s">
        <v>311</v>
      </c>
      <c r="H481" s="45" t="s">
        <v>386</v>
      </c>
      <c r="I481" s="47" t="s">
        <v>22</v>
      </c>
      <c r="J481" s="3">
        <v>0.7</v>
      </c>
      <c r="K481" s="49" t="s">
        <v>129</v>
      </c>
      <c r="L481" s="30" t="s">
        <v>130</v>
      </c>
      <c r="M481" s="47" t="s">
        <v>131</v>
      </c>
      <c r="N481" s="3">
        <v>0.9</v>
      </c>
      <c r="O481" s="10">
        <v>0.2</v>
      </c>
      <c r="P481" s="3"/>
      <c r="Q481" s="3">
        <f t="shared" si="21"/>
        <v>0</v>
      </c>
      <c r="R481" s="48">
        <f t="shared" si="22"/>
        <v>0</v>
      </c>
      <c r="S481" s="10" t="s">
        <v>23</v>
      </c>
      <c r="T481" s="193"/>
    </row>
    <row r="482" spans="1:20" ht="21.6" x14ac:dyDescent="0.3">
      <c r="A482" s="139">
        <v>2076</v>
      </c>
      <c r="B482" s="42" t="s">
        <v>20</v>
      </c>
      <c r="C482" s="43" t="s">
        <v>267</v>
      </c>
      <c r="D482" s="50">
        <v>6212</v>
      </c>
      <c r="E482" s="42" t="s">
        <v>318</v>
      </c>
      <c r="F482" s="45" t="s">
        <v>145</v>
      </c>
      <c r="G482" s="207" t="s">
        <v>311</v>
      </c>
      <c r="H482" s="45" t="s">
        <v>386</v>
      </c>
      <c r="I482" s="47" t="s">
        <v>22</v>
      </c>
      <c r="J482" s="3">
        <v>0.7</v>
      </c>
      <c r="K482" s="49" t="s">
        <v>132</v>
      </c>
      <c r="L482" s="30" t="s">
        <v>133</v>
      </c>
      <c r="M482" s="47" t="s">
        <v>134</v>
      </c>
      <c r="N482" s="4">
        <v>0</v>
      </c>
      <c r="O482" s="10">
        <v>0.1</v>
      </c>
      <c r="P482" s="3"/>
      <c r="Q482" s="3">
        <f t="shared" si="21"/>
        <v>0</v>
      </c>
      <c r="R482" s="48">
        <f t="shared" si="22"/>
        <v>0</v>
      </c>
      <c r="S482" s="10" t="s">
        <v>24</v>
      </c>
      <c r="T482" s="193"/>
    </row>
    <row r="483" spans="1:20" ht="21.6" x14ac:dyDescent="0.3">
      <c r="A483" s="139">
        <v>2077</v>
      </c>
      <c r="B483" s="42" t="s">
        <v>20</v>
      </c>
      <c r="C483" s="43" t="s">
        <v>267</v>
      </c>
      <c r="D483" s="50">
        <v>6212</v>
      </c>
      <c r="E483" s="42" t="s">
        <v>318</v>
      </c>
      <c r="F483" s="45" t="s">
        <v>145</v>
      </c>
      <c r="G483" s="207" t="s">
        <v>311</v>
      </c>
      <c r="H483" s="45" t="s">
        <v>386</v>
      </c>
      <c r="I483" s="47" t="s">
        <v>22</v>
      </c>
      <c r="J483" s="3">
        <v>0.7</v>
      </c>
      <c r="K483" s="49" t="s">
        <v>135</v>
      </c>
      <c r="L483" s="30" t="s">
        <v>136</v>
      </c>
      <c r="M483" s="49" t="s">
        <v>137</v>
      </c>
      <c r="N483" s="3">
        <v>0.9</v>
      </c>
      <c r="O483" s="10">
        <v>0.2</v>
      </c>
      <c r="P483" s="51"/>
      <c r="Q483" s="3">
        <f t="shared" si="21"/>
        <v>0</v>
      </c>
      <c r="R483" s="48">
        <f t="shared" si="22"/>
        <v>0</v>
      </c>
      <c r="S483" s="10" t="s">
        <v>23</v>
      </c>
      <c r="T483" s="193"/>
    </row>
    <row r="484" spans="1:20" ht="22.2" thickBot="1" x14ac:dyDescent="0.35">
      <c r="A484" s="142">
        <v>2078</v>
      </c>
      <c r="B484" s="81" t="s">
        <v>20</v>
      </c>
      <c r="C484" s="82" t="s">
        <v>267</v>
      </c>
      <c r="D484" s="113">
        <v>6212</v>
      </c>
      <c r="E484" s="81" t="s">
        <v>318</v>
      </c>
      <c r="F484" s="84" t="s">
        <v>145</v>
      </c>
      <c r="G484" s="209" t="s">
        <v>311</v>
      </c>
      <c r="H484" s="84" t="s">
        <v>386</v>
      </c>
      <c r="I484" s="85" t="s">
        <v>26</v>
      </c>
      <c r="J484" s="86">
        <v>0.3</v>
      </c>
      <c r="K484" s="115" t="s">
        <v>138</v>
      </c>
      <c r="L484" s="114" t="s">
        <v>139</v>
      </c>
      <c r="M484" s="115" t="s">
        <v>140</v>
      </c>
      <c r="N484" s="86">
        <v>1</v>
      </c>
      <c r="O484" s="91">
        <v>1</v>
      </c>
      <c r="P484" s="86"/>
      <c r="Q484" s="86">
        <f t="shared" si="21"/>
        <v>0</v>
      </c>
      <c r="R484" s="104">
        <f t="shared" si="22"/>
        <v>0</v>
      </c>
      <c r="S484" s="91" t="s">
        <v>23</v>
      </c>
      <c r="T484" s="147"/>
    </row>
    <row r="485" spans="1:20" ht="21.6" x14ac:dyDescent="0.3">
      <c r="A485" s="138">
        <v>2070</v>
      </c>
      <c r="B485" s="71" t="s">
        <v>20</v>
      </c>
      <c r="C485" s="72" t="s">
        <v>267</v>
      </c>
      <c r="D485" s="112">
        <v>6530</v>
      </c>
      <c r="E485" s="71" t="s">
        <v>329</v>
      </c>
      <c r="F485" s="74" t="s">
        <v>123</v>
      </c>
      <c r="G485" s="188" t="s">
        <v>311</v>
      </c>
      <c r="H485" s="74" t="s">
        <v>386</v>
      </c>
      <c r="I485" s="75" t="s">
        <v>22</v>
      </c>
      <c r="J485" s="76">
        <v>0.7</v>
      </c>
      <c r="K485" s="101" t="s">
        <v>513</v>
      </c>
      <c r="L485" s="105" t="s">
        <v>511</v>
      </c>
      <c r="M485" s="101" t="s">
        <v>411</v>
      </c>
      <c r="N485" s="76">
        <v>0.95</v>
      </c>
      <c r="O485" s="76">
        <v>0.15</v>
      </c>
      <c r="P485" s="76"/>
      <c r="Q485" s="76">
        <f t="shared" si="21"/>
        <v>0</v>
      </c>
      <c r="R485" s="80">
        <f t="shared" si="22"/>
        <v>0</v>
      </c>
      <c r="S485" s="76" t="s">
        <v>23</v>
      </c>
      <c r="T485" s="194">
        <f>SUM(R485:R492)%</f>
        <v>0</v>
      </c>
    </row>
    <row r="486" spans="1:20" ht="21.6" x14ac:dyDescent="0.3">
      <c r="A486" s="139">
        <v>2072</v>
      </c>
      <c r="B486" s="42" t="s">
        <v>20</v>
      </c>
      <c r="C486" s="43" t="s">
        <v>267</v>
      </c>
      <c r="D486" s="50">
        <v>6530</v>
      </c>
      <c r="E486" s="42" t="s">
        <v>329</v>
      </c>
      <c r="F486" s="45" t="s">
        <v>123</v>
      </c>
      <c r="G486" s="207" t="s">
        <v>311</v>
      </c>
      <c r="H486" s="45" t="s">
        <v>386</v>
      </c>
      <c r="I486" s="7" t="s">
        <v>22</v>
      </c>
      <c r="J486" s="3">
        <v>0.7</v>
      </c>
      <c r="K486" s="1" t="s">
        <v>124</v>
      </c>
      <c r="L486" s="8" t="s">
        <v>125</v>
      </c>
      <c r="M486" s="7" t="s">
        <v>126</v>
      </c>
      <c r="N486" s="3">
        <v>0.95</v>
      </c>
      <c r="O486" s="3">
        <v>0.15</v>
      </c>
      <c r="P486" s="6"/>
      <c r="Q486" s="3">
        <f t="shared" si="21"/>
        <v>0</v>
      </c>
      <c r="R486" s="4">
        <f t="shared" si="22"/>
        <v>0</v>
      </c>
      <c r="S486" s="3" t="s">
        <v>23</v>
      </c>
      <c r="T486" s="195"/>
    </row>
    <row r="487" spans="1:20" ht="21.6" x14ac:dyDescent="0.3">
      <c r="A487" s="139">
        <v>2073</v>
      </c>
      <c r="B487" s="42" t="s">
        <v>20</v>
      </c>
      <c r="C487" s="43" t="s">
        <v>267</v>
      </c>
      <c r="D487" s="50">
        <v>6530</v>
      </c>
      <c r="E487" s="42" t="s">
        <v>329</v>
      </c>
      <c r="F487" s="45" t="s">
        <v>123</v>
      </c>
      <c r="G487" s="207" t="s">
        <v>311</v>
      </c>
      <c r="H487" s="45" t="s">
        <v>386</v>
      </c>
      <c r="I487" s="7" t="s">
        <v>22</v>
      </c>
      <c r="J487" s="3">
        <v>0.7</v>
      </c>
      <c r="K487" s="1" t="s">
        <v>51</v>
      </c>
      <c r="L487" s="8" t="s">
        <v>127</v>
      </c>
      <c r="M487" s="7" t="s">
        <v>128</v>
      </c>
      <c r="N487" s="6">
        <v>0.05</v>
      </c>
      <c r="O487" s="3">
        <v>0.1</v>
      </c>
      <c r="P487" s="11"/>
      <c r="Q487" s="3">
        <f t="shared" si="21"/>
        <v>0</v>
      </c>
      <c r="R487" s="4">
        <f t="shared" si="22"/>
        <v>0</v>
      </c>
      <c r="S487" s="3" t="s">
        <v>24</v>
      </c>
      <c r="T487" s="195"/>
    </row>
    <row r="488" spans="1:20" ht="21.6" x14ac:dyDescent="0.3">
      <c r="A488" s="139">
        <v>2074</v>
      </c>
      <c r="B488" s="42" t="s">
        <v>20</v>
      </c>
      <c r="C488" s="43" t="s">
        <v>267</v>
      </c>
      <c r="D488" s="50">
        <v>6530</v>
      </c>
      <c r="E488" s="42" t="s">
        <v>329</v>
      </c>
      <c r="F488" s="45" t="s">
        <v>123</v>
      </c>
      <c r="G488" s="207" t="s">
        <v>311</v>
      </c>
      <c r="H488" s="45" t="s">
        <v>386</v>
      </c>
      <c r="I488" s="7" t="s">
        <v>22</v>
      </c>
      <c r="J488" s="3">
        <v>0.7</v>
      </c>
      <c r="K488" s="1" t="s">
        <v>305</v>
      </c>
      <c r="L488" s="8" t="s">
        <v>257</v>
      </c>
      <c r="M488" s="13" t="s">
        <v>306</v>
      </c>
      <c r="N488" s="3">
        <v>0.95</v>
      </c>
      <c r="O488" s="3">
        <v>0.1</v>
      </c>
      <c r="P488" s="3"/>
      <c r="Q488" s="3">
        <f t="shared" si="21"/>
        <v>0</v>
      </c>
      <c r="R488" s="4">
        <f t="shared" si="22"/>
        <v>0</v>
      </c>
      <c r="S488" s="3" t="s">
        <v>23</v>
      </c>
      <c r="T488" s="195"/>
    </row>
    <row r="489" spans="1:20" ht="21.6" x14ac:dyDescent="0.3">
      <c r="A489" s="139">
        <v>2075</v>
      </c>
      <c r="B489" s="42" t="s">
        <v>20</v>
      </c>
      <c r="C489" s="43" t="s">
        <v>267</v>
      </c>
      <c r="D489" s="50">
        <v>6530</v>
      </c>
      <c r="E489" s="42" t="s">
        <v>329</v>
      </c>
      <c r="F489" s="45" t="s">
        <v>123</v>
      </c>
      <c r="G489" s="207" t="s">
        <v>311</v>
      </c>
      <c r="H489" s="45" t="s">
        <v>386</v>
      </c>
      <c r="I489" s="47" t="s">
        <v>22</v>
      </c>
      <c r="J489" s="3">
        <v>0.7</v>
      </c>
      <c r="K489" s="49" t="s">
        <v>129</v>
      </c>
      <c r="L489" s="30" t="s">
        <v>130</v>
      </c>
      <c r="M489" s="47" t="s">
        <v>131</v>
      </c>
      <c r="N489" s="3">
        <v>0.9</v>
      </c>
      <c r="O489" s="10">
        <v>0.2</v>
      </c>
      <c r="P489" s="3"/>
      <c r="Q489" s="3">
        <f t="shared" si="21"/>
        <v>0</v>
      </c>
      <c r="R489" s="48">
        <f t="shared" si="22"/>
        <v>0</v>
      </c>
      <c r="S489" s="10" t="s">
        <v>23</v>
      </c>
      <c r="T489" s="193"/>
    </row>
    <row r="490" spans="1:20" ht="21.6" x14ac:dyDescent="0.3">
      <c r="A490" s="139">
        <v>2076</v>
      </c>
      <c r="B490" s="42" t="s">
        <v>20</v>
      </c>
      <c r="C490" s="43" t="s">
        <v>267</v>
      </c>
      <c r="D490" s="50">
        <v>6530</v>
      </c>
      <c r="E490" s="42" t="s">
        <v>329</v>
      </c>
      <c r="F490" s="45" t="s">
        <v>123</v>
      </c>
      <c r="G490" s="207" t="s">
        <v>311</v>
      </c>
      <c r="H490" s="45" t="s">
        <v>386</v>
      </c>
      <c r="I490" s="47" t="s">
        <v>22</v>
      </c>
      <c r="J490" s="3">
        <v>0.7</v>
      </c>
      <c r="K490" s="49" t="s">
        <v>132</v>
      </c>
      <c r="L490" s="30" t="s">
        <v>133</v>
      </c>
      <c r="M490" s="47" t="s">
        <v>134</v>
      </c>
      <c r="N490" s="4">
        <v>0</v>
      </c>
      <c r="O490" s="10">
        <v>0.1</v>
      </c>
      <c r="P490" s="3"/>
      <c r="Q490" s="3">
        <f t="shared" si="21"/>
        <v>0</v>
      </c>
      <c r="R490" s="48">
        <f t="shared" si="22"/>
        <v>0</v>
      </c>
      <c r="S490" s="10" t="s">
        <v>24</v>
      </c>
      <c r="T490" s="193"/>
    </row>
    <row r="491" spans="1:20" ht="21.6" x14ac:dyDescent="0.3">
      <c r="A491" s="139">
        <v>2077</v>
      </c>
      <c r="B491" s="42" t="s">
        <v>20</v>
      </c>
      <c r="C491" s="43" t="s">
        <v>267</v>
      </c>
      <c r="D491" s="50">
        <v>6530</v>
      </c>
      <c r="E491" s="42" t="s">
        <v>329</v>
      </c>
      <c r="F491" s="45" t="s">
        <v>123</v>
      </c>
      <c r="G491" s="207" t="s">
        <v>311</v>
      </c>
      <c r="H491" s="45" t="s">
        <v>386</v>
      </c>
      <c r="I491" s="47" t="s">
        <v>22</v>
      </c>
      <c r="J491" s="3">
        <v>0.7</v>
      </c>
      <c r="K491" s="49" t="s">
        <v>135</v>
      </c>
      <c r="L491" s="30" t="s">
        <v>136</v>
      </c>
      <c r="M491" s="49" t="s">
        <v>137</v>
      </c>
      <c r="N491" s="3">
        <v>0.9</v>
      </c>
      <c r="O491" s="10">
        <v>0.2</v>
      </c>
      <c r="P491" s="51"/>
      <c r="Q491" s="3">
        <f t="shared" si="21"/>
        <v>0</v>
      </c>
      <c r="R491" s="48">
        <f t="shared" si="22"/>
        <v>0</v>
      </c>
      <c r="S491" s="10" t="s">
        <v>23</v>
      </c>
      <c r="T491" s="193"/>
    </row>
    <row r="492" spans="1:20" ht="22.2" thickBot="1" x14ac:dyDescent="0.35">
      <c r="A492" s="142">
        <v>2078</v>
      </c>
      <c r="B492" s="81" t="s">
        <v>20</v>
      </c>
      <c r="C492" s="82" t="s">
        <v>267</v>
      </c>
      <c r="D492" s="113">
        <v>6530</v>
      </c>
      <c r="E492" s="81" t="s">
        <v>329</v>
      </c>
      <c r="F492" s="84" t="s">
        <v>123</v>
      </c>
      <c r="G492" s="209" t="s">
        <v>311</v>
      </c>
      <c r="H492" s="84" t="s">
        <v>386</v>
      </c>
      <c r="I492" s="85" t="s">
        <v>26</v>
      </c>
      <c r="J492" s="86">
        <v>0.3</v>
      </c>
      <c r="K492" s="115" t="s">
        <v>138</v>
      </c>
      <c r="L492" s="114" t="s">
        <v>139</v>
      </c>
      <c r="M492" s="115" t="s">
        <v>140</v>
      </c>
      <c r="N492" s="86">
        <v>1</v>
      </c>
      <c r="O492" s="91">
        <v>1</v>
      </c>
      <c r="P492" s="86"/>
      <c r="Q492" s="86">
        <f t="shared" si="21"/>
        <v>0</v>
      </c>
      <c r="R492" s="104">
        <f t="shared" si="22"/>
        <v>0</v>
      </c>
      <c r="S492" s="91" t="s">
        <v>23</v>
      </c>
      <c r="T492" s="147"/>
    </row>
    <row r="493" spans="1:20" ht="21.6" x14ac:dyDescent="0.3">
      <c r="A493" s="138">
        <v>2070</v>
      </c>
      <c r="B493" s="71" t="s">
        <v>20</v>
      </c>
      <c r="C493" s="72" t="s">
        <v>267</v>
      </c>
      <c r="D493" s="112">
        <v>6561</v>
      </c>
      <c r="E493" s="71" t="s">
        <v>330</v>
      </c>
      <c r="F493" s="74" t="s">
        <v>123</v>
      </c>
      <c r="G493" s="188" t="s">
        <v>311</v>
      </c>
      <c r="H493" s="74" t="s">
        <v>386</v>
      </c>
      <c r="I493" s="75" t="s">
        <v>22</v>
      </c>
      <c r="J493" s="76">
        <v>0.7</v>
      </c>
      <c r="K493" s="101" t="s">
        <v>513</v>
      </c>
      <c r="L493" s="105" t="s">
        <v>511</v>
      </c>
      <c r="M493" s="101" t="s">
        <v>411</v>
      </c>
      <c r="N493" s="76">
        <v>0.95</v>
      </c>
      <c r="O493" s="76">
        <v>0.15</v>
      </c>
      <c r="P493" s="76"/>
      <c r="Q493" s="76">
        <f t="shared" si="21"/>
        <v>0</v>
      </c>
      <c r="R493" s="80">
        <f t="shared" si="22"/>
        <v>0</v>
      </c>
      <c r="S493" s="76" t="s">
        <v>23</v>
      </c>
      <c r="T493" s="194">
        <f>SUM(R493:R500)%</f>
        <v>0</v>
      </c>
    </row>
    <row r="494" spans="1:20" ht="21.6" x14ac:dyDescent="0.3">
      <c r="A494" s="139">
        <v>2072</v>
      </c>
      <c r="B494" s="42" t="s">
        <v>20</v>
      </c>
      <c r="C494" s="43" t="s">
        <v>267</v>
      </c>
      <c r="D494" s="50">
        <v>6561</v>
      </c>
      <c r="E494" s="42" t="s">
        <v>330</v>
      </c>
      <c r="F494" s="45" t="s">
        <v>123</v>
      </c>
      <c r="G494" s="207" t="s">
        <v>311</v>
      </c>
      <c r="H494" s="45" t="s">
        <v>386</v>
      </c>
      <c r="I494" s="7" t="s">
        <v>22</v>
      </c>
      <c r="J494" s="3">
        <v>0.7</v>
      </c>
      <c r="K494" s="1" t="s">
        <v>124</v>
      </c>
      <c r="L494" s="8" t="s">
        <v>125</v>
      </c>
      <c r="M494" s="7" t="s">
        <v>126</v>
      </c>
      <c r="N494" s="3">
        <v>0.95</v>
      </c>
      <c r="O494" s="3">
        <v>0.15</v>
      </c>
      <c r="P494" s="6"/>
      <c r="Q494" s="3">
        <f t="shared" si="21"/>
        <v>0</v>
      </c>
      <c r="R494" s="4">
        <f t="shared" si="22"/>
        <v>0</v>
      </c>
      <c r="S494" s="3" t="s">
        <v>23</v>
      </c>
      <c r="T494" s="195"/>
    </row>
    <row r="495" spans="1:20" ht="21.6" x14ac:dyDescent="0.3">
      <c r="A495" s="139">
        <v>2073</v>
      </c>
      <c r="B495" s="42" t="s">
        <v>20</v>
      </c>
      <c r="C495" s="43" t="s">
        <v>267</v>
      </c>
      <c r="D495" s="50">
        <v>6561</v>
      </c>
      <c r="E495" s="42" t="s">
        <v>330</v>
      </c>
      <c r="F495" s="45" t="s">
        <v>123</v>
      </c>
      <c r="G495" s="207" t="s">
        <v>311</v>
      </c>
      <c r="H495" s="45" t="s">
        <v>386</v>
      </c>
      <c r="I495" s="7" t="s">
        <v>22</v>
      </c>
      <c r="J495" s="3">
        <v>0.7</v>
      </c>
      <c r="K495" s="1" t="s">
        <v>51</v>
      </c>
      <c r="L495" s="8" t="s">
        <v>127</v>
      </c>
      <c r="M495" s="7" t="s">
        <v>128</v>
      </c>
      <c r="N495" s="6">
        <v>0.05</v>
      </c>
      <c r="O495" s="3">
        <v>0.1</v>
      </c>
      <c r="P495" s="11"/>
      <c r="Q495" s="3">
        <f t="shared" si="21"/>
        <v>0</v>
      </c>
      <c r="R495" s="4">
        <f t="shared" si="22"/>
        <v>0</v>
      </c>
      <c r="S495" s="3" t="s">
        <v>24</v>
      </c>
      <c r="T495" s="195"/>
    </row>
    <row r="496" spans="1:20" ht="21.6" x14ac:dyDescent="0.3">
      <c r="A496" s="139">
        <v>2074</v>
      </c>
      <c r="B496" s="42" t="s">
        <v>20</v>
      </c>
      <c r="C496" s="43" t="s">
        <v>267</v>
      </c>
      <c r="D496" s="50">
        <v>6561</v>
      </c>
      <c r="E496" s="42" t="s">
        <v>330</v>
      </c>
      <c r="F496" s="45" t="s">
        <v>123</v>
      </c>
      <c r="G496" s="207" t="s">
        <v>311</v>
      </c>
      <c r="H496" s="45" t="s">
        <v>386</v>
      </c>
      <c r="I496" s="7" t="s">
        <v>22</v>
      </c>
      <c r="J496" s="3">
        <v>0.7</v>
      </c>
      <c r="K496" s="1" t="s">
        <v>305</v>
      </c>
      <c r="L496" s="8" t="s">
        <v>257</v>
      </c>
      <c r="M496" s="13" t="s">
        <v>306</v>
      </c>
      <c r="N496" s="3">
        <v>0.95</v>
      </c>
      <c r="O496" s="3">
        <v>0.1</v>
      </c>
      <c r="P496" s="3"/>
      <c r="Q496" s="3">
        <f t="shared" si="21"/>
        <v>0</v>
      </c>
      <c r="R496" s="4">
        <f t="shared" si="22"/>
        <v>0</v>
      </c>
      <c r="S496" s="3" t="s">
        <v>23</v>
      </c>
      <c r="T496" s="195"/>
    </row>
    <row r="497" spans="1:20" ht="21.6" x14ac:dyDescent="0.3">
      <c r="A497" s="139">
        <v>2075</v>
      </c>
      <c r="B497" s="42" t="s">
        <v>20</v>
      </c>
      <c r="C497" s="43" t="s">
        <v>267</v>
      </c>
      <c r="D497" s="50">
        <v>6561</v>
      </c>
      <c r="E497" s="42" t="s">
        <v>330</v>
      </c>
      <c r="F497" s="45" t="s">
        <v>123</v>
      </c>
      <c r="G497" s="207" t="s">
        <v>311</v>
      </c>
      <c r="H497" s="45" t="s">
        <v>386</v>
      </c>
      <c r="I497" s="47" t="s">
        <v>22</v>
      </c>
      <c r="J497" s="3">
        <v>0.7</v>
      </c>
      <c r="K497" s="49" t="s">
        <v>129</v>
      </c>
      <c r="L497" s="30" t="s">
        <v>130</v>
      </c>
      <c r="M497" s="47" t="s">
        <v>131</v>
      </c>
      <c r="N497" s="3">
        <v>0.9</v>
      </c>
      <c r="O497" s="10">
        <v>0.2</v>
      </c>
      <c r="P497" s="3"/>
      <c r="Q497" s="3">
        <f t="shared" si="21"/>
        <v>0</v>
      </c>
      <c r="R497" s="48">
        <f t="shared" si="22"/>
        <v>0</v>
      </c>
      <c r="S497" s="10" t="s">
        <v>23</v>
      </c>
      <c r="T497" s="193"/>
    </row>
    <row r="498" spans="1:20" ht="21.6" x14ac:dyDescent="0.3">
      <c r="A498" s="139">
        <v>2076</v>
      </c>
      <c r="B498" s="42" t="s">
        <v>20</v>
      </c>
      <c r="C498" s="43" t="s">
        <v>267</v>
      </c>
      <c r="D498" s="50">
        <v>6561</v>
      </c>
      <c r="E498" s="42" t="s">
        <v>330</v>
      </c>
      <c r="F498" s="45" t="s">
        <v>123</v>
      </c>
      <c r="G498" s="207" t="s">
        <v>311</v>
      </c>
      <c r="H498" s="45" t="s">
        <v>386</v>
      </c>
      <c r="I498" s="47" t="s">
        <v>22</v>
      </c>
      <c r="J498" s="3">
        <v>0.7</v>
      </c>
      <c r="K498" s="49" t="s">
        <v>132</v>
      </c>
      <c r="L498" s="30" t="s">
        <v>133</v>
      </c>
      <c r="M498" s="47" t="s">
        <v>134</v>
      </c>
      <c r="N498" s="4">
        <v>0</v>
      </c>
      <c r="O498" s="10">
        <v>0.1</v>
      </c>
      <c r="P498" s="3"/>
      <c r="Q498" s="3">
        <f t="shared" si="21"/>
        <v>0</v>
      </c>
      <c r="R498" s="48">
        <f t="shared" si="22"/>
        <v>0</v>
      </c>
      <c r="S498" s="10" t="s">
        <v>24</v>
      </c>
      <c r="T498" s="193"/>
    </row>
    <row r="499" spans="1:20" ht="21.6" x14ac:dyDescent="0.3">
      <c r="A499" s="139">
        <v>2077</v>
      </c>
      <c r="B499" s="42" t="s">
        <v>20</v>
      </c>
      <c r="C499" s="43" t="s">
        <v>267</v>
      </c>
      <c r="D499" s="50">
        <v>6561</v>
      </c>
      <c r="E499" s="42" t="s">
        <v>330</v>
      </c>
      <c r="F499" s="45" t="s">
        <v>123</v>
      </c>
      <c r="G499" s="207" t="s">
        <v>311</v>
      </c>
      <c r="H499" s="45" t="s">
        <v>386</v>
      </c>
      <c r="I499" s="47" t="s">
        <v>22</v>
      </c>
      <c r="J499" s="3">
        <v>0.7</v>
      </c>
      <c r="K499" s="49" t="s">
        <v>135</v>
      </c>
      <c r="L499" s="30" t="s">
        <v>136</v>
      </c>
      <c r="M499" s="49" t="s">
        <v>137</v>
      </c>
      <c r="N499" s="3">
        <v>0.9</v>
      </c>
      <c r="O499" s="10">
        <v>0.2</v>
      </c>
      <c r="P499" s="51"/>
      <c r="Q499" s="3">
        <f t="shared" si="21"/>
        <v>0</v>
      </c>
      <c r="R499" s="48">
        <f t="shared" si="22"/>
        <v>0</v>
      </c>
      <c r="S499" s="10" t="s">
        <v>23</v>
      </c>
      <c r="T499" s="193"/>
    </row>
    <row r="500" spans="1:20" ht="22.2" thickBot="1" x14ac:dyDescent="0.35">
      <c r="A500" s="142">
        <v>2078</v>
      </c>
      <c r="B500" s="81" t="s">
        <v>20</v>
      </c>
      <c r="C500" s="82" t="s">
        <v>267</v>
      </c>
      <c r="D500" s="113">
        <v>6561</v>
      </c>
      <c r="E500" s="81" t="s">
        <v>330</v>
      </c>
      <c r="F500" s="84" t="s">
        <v>123</v>
      </c>
      <c r="G500" s="209" t="s">
        <v>311</v>
      </c>
      <c r="H500" s="84" t="s">
        <v>386</v>
      </c>
      <c r="I500" s="85" t="s">
        <v>26</v>
      </c>
      <c r="J500" s="86">
        <v>0.3</v>
      </c>
      <c r="K500" s="115" t="s">
        <v>138</v>
      </c>
      <c r="L500" s="114" t="s">
        <v>139</v>
      </c>
      <c r="M500" s="115" t="s">
        <v>140</v>
      </c>
      <c r="N500" s="86">
        <v>1</v>
      </c>
      <c r="O500" s="91">
        <v>1</v>
      </c>
      <c r="P500" s="86"/>
      <c r="Q500" s="86">
        <f t="shared" ref="Q500:Q563" si="23">ROUND(IF(OR(N500="",P500=""),0,IF(AND(N500=0,P500=0),1,IF(S500="+",P500/N500,N500/P500))),2)</f>
        <v>0</v>
      </c>
      <c r="R500" s="104">
        <f t="shared" si="22"/>
        <v>0</v>
      </c>
      <c r="S500" s="91" t="s">
        <v>23</v>
      </c>
      <c r="T500" s="147"/>
    </row>
    <row r="501" spans="1:20" ht="21.6" x14ac:dyDescent="0.3">
      <c r="A501" s="138">
        <v>2070</v>
      </c>
      <c r="B501" s="71" t="s">
        <v>20</v>
      </c>
      <c r="C501" s="72" t="s">
        <v>267</v>
      </c>
      <c r="D501" s="112">
        <v>5915</v>
      </c>
      <c r="E501" s="71" t="s">
        <v>324</v>
      </c>
      <c r="F501" s="74" t="s">
        <v>143</v>
      </c>
      <c r="G501" s="188" t="s">
        <v>311</v>
      </c>
      <c r="H501" s="74" t="s">
        <v>386</v>
      </c>
      <c r="I501" s="75" t="s">
        <v>22</v>
      </c>
      <c r="J501" s="76">
        <v>0.7</v>
      </c>
      <c r="K501" s="101" t="s">
        <v>513</v>
      </c>
      <c r="L501" s="105" t="s">
        <v>511</v>
      </c>
      <c r="M501" s="101" t="s">
        <v>411</v>
      </c>
      <c r="N501" s="76">
        <v>0.95</v>
      </c>
      <c r="O501" s="76">
        <v>0.15</v>
      </c>
      <c r="P501" s="76"/>
      <c r="Q501" s="76">
        <f t="shared" si="23"/>
        <v>0</v>
      </c>
      <c r="R501" s="80">
        <f t="shared" si="22"/>
        <v>0</v>
      </c>
      <c r="S501" s="76" t="s">
        <v>23</v>
      </c>
      <c r="T501" s="194">
        <f>SUM(R501:R508)%</f>
        <v>0</v>
      </c>
    </row>
    <row r="502" spans="1:20" ht="21.6" x14ac:dyDescent="0.3">
      <c r="A502" s="139">
        <v>2072</v>
      </c>
      <c r="B502" s="42" t="s">
        <v>20</v>
      </c>
      <c r="C502" s="43" t="s">
        <v>267</v>
      </c>
      <c r="D502" s="50">
        <v>5915</v>
      </c>
      <c r="E502" s="42" t="s">
        <v>324</v>
      </c>
      <c r="F502" s="45" t="s">
        <v>143</v>
      </c>
      <c r="G502" s="207" t="s">
        <v>311</v>
      </c>
      <c r="H502" s="45" t="s">
        <v>386</v>
      </c>
      <c r="I502" s="7" t="s">
        <v>22</v>
      </c>
      <c r="J502" s="3">
        <v>0.7</v>
      </c>
      <c r="K502" s="1" t="s">
        <v>124</v>
      </c>
      <c r="L502" s="8" t="s">
        <v>125</v>
      </c>
      <c r="M502" s="7" t="s">
        <v>126</v>
      </c>
      <c r="N502" s="3">
        <v>0.95</v>
      </c>
      <c r="O502" s="3">
        <v>0.15</v>
      </c>
      <c r="P502" s="6"/>
      <c r="Q502" s="3">
        <f t="shared" si="23"/>
        <v>0</v>
      </c>
      <c r="R502" s="4">
        <f t="shared" si="22"/>
        <v>0</v>
      </c>
      <c r="S502" s="3" t="s">
        <v>23</v>
      </c>
      <c r="T502" s="195"/>
    </row>
    <row r="503" spans="1:20" ht="21.6" x14ac:dyDescent="0.3">
      <c r="A503" s="139">
        <v>2073</v>
      </c>
      <c r="B503" s="42" t="s">
        <v>20</v>
      </c>
      <c r="C503" s="43" t="s">
        <v>267</v>
      </c>
      <c r="D503" s="50">
        <v>5915</v>
      </c>
      <c r="E503" s="42" t="s">
        <v>324</v>
      </c>
      <c r="F503" s="45" t="s">
        <v>143</v>
      </c>
      <c r="G503" s="207" t="s">
        <v>311</v>
      </c>
      <c r="H503" s="45" t="s">
        <v>386</v>
      </c>
      <c r="I503" s="7" t="s">
        <v>22</v>
      </c>
      <c r="J503" s="3">
        <v>0.7</v>
      </c>
      <c r="K503" s="1" t="s">
        <v>51</v>
      </c>
      <c r="L503" s="8" t="s">
        <v>127</v>
      </c>
      <c r="M503" s="7" t="s">
        <v>128</v>
      </c>
      <c r="N503" s="6">
        <v>0.05</v>
      </c>
      <c r="O503" s="3">
        <v>0.1</v>
      </c>
      <c r="P503" s="11"/>
      <c r="Q503" s="3">
        <f t="shared" si="23"/>
        <v>0</v>
      </c>
      <c r="R503" s="4">
        <f t="shared" si="22"/>
        <v>0</v>
      </c>
      <c r="S503" s="3" t="s">
        <v>24</v>
      </c>
      <c r="T503" s="195"/>
    </row>
    <row r="504" spans="1:20" ht="21.6" x14ac:dyDescent="0.3">
      <c r="A504" s="139">
        <v>2074</v>
      </c>
      <c r="B504" s="42" t="s">
        <v>20</v>
      </c>
      <c r="C504" s="43" t="s">
        <v>267</v>
      </c>
      <c r="D504" s="50">
        <v>5915</v>
      </c>
      <c r="E504" s="42" t="s">
        <v>324</v>
      </c>
      <c r="F504" s="45" t="s">
        <v>143</v>
      </c>
      <c r="G504" s="207" t="s">
        <v>311</v>
      </c>
      <c r="H504" s="45" t="s">
        <v>386</v>
      </c>
      <c r="I504" s="7" t="s">
        <v>22</v>
      </c>
      <c r="J504" s="3">
        <v>0.7</v>
      </c>
      <c r="K504" s="1" t="s">
        <v>305</v>
      </c>
      <c r="L504" s="8" t="s">
        <v>257</v>
      </c>
      <c r="M504" s="13" t="s">
        <v>306</v>
      </c>
      <c r="N504" s="3">
        <v>0.95</v>
      </c>
      <c r="O504" s="3">
        <v>0.1</v>
      </c>
      <c r="P504" s="3"/>
      <c r="Q504" s="3">
        <f t="shared" si="23"/>
        <v>0</v>
      </c>
      <c r="R504" s="4">
        <f t="shared" si="22"/>
        <v>0</v>
      </c>
      <c r="S504" s="3" t="s">
        <v>23</v>
      </c>
      <c r="T504" s="195"/>
    </row>
    <row r="505" spans="1:20" ht="21.6" x14ac:dyDescent="0.3">
      <c r="A505" s="139">
        <v>2075</v>
      </c>
      <c r="B505" s="42" t="s">
        <v>20</v>
      </c>
      <c r="C505" s="43" t="s">
        <v>267</v>
      </c>
      <c r="D505" s="50">
        <v>5915</v>
      </c>
      <c r="E505" s="42" t="s">
        <v>324</v>
      </c>
      <c r="F505" s="45" t="s">
        <v>143</v>
      </c>
      <c r="G505" s="207" t="s">
        <v>311</v>
      </c>
      <c r="H505" s="45" t="s">
        <v>386</v>
      </c>
      <c r="I505" s="47" t="s">
        <v>22</v>
      </c>
      <c r="J505" s="3">
        <v>0.7</v>
      </c>
      <c r="K505" s="49" t="s">
        <v>129</v>
      </c>
      <c r="L505" s="30" t="s">
        <v>130</v>
      </c>
      <c r="M505" s="47" t="s">
        <v>131</v>
      </c>
      <c r="N505" s="3">
        <v>0.9</v>
      </c>
      <c r="O505" s="10">
        <v>0.2</v>
      </c>
      <c r="P505" s="3"/>
      <c r="Q505" s="3">
        <f t="shared" si="23"/>
        <v>0</v>
      </c>
      <c r="R505" s="48">
        <f t="shared" si="22"/>
        <v>0</v>
      </c>
      <c r="S505" s="10" t="s">
        <v>23</v>
      </c>
      <c r="T505" s="193"/>
    </row>
    <row r="506" spans="1:20" ht="21.6" x14ac:dyDescent="0.3">
      <c r="A506" s="139">
        <v>2076</v>
      </c>
      <c r="B506" s="42" t="s">
        <v>20</v>
      </c>
      <c r="C506" s="43" t="s">
        <v>267</v>
      </c>
      <c r="D506" s="50">
        <v>5915</v>
      </c>
      <c r="E506" s="42" t="s">
        <v>324</v>
      </c>
      <c r="F506" s="45" t="s">
        <v>143</v>
      </c>
      <c r="G506" s="207" t="s">
        <v>311</v>
      </c>
      <c r="H506" s="45" t="s">
        <v>386</v>
      </c>
      <c r="I506" s="47" t="s">
        <v>22</v>
      </c>
      <c r="J506" s="3">
        <v>0.7</v>
      </c>
      <c r="K506" s="49" t="s">
        <v>132</v>
      </c>
      <c r="L506" s="30" t="s">
        <v>133</v>
      </c>
      <c r="M506" s="47" t="s">
        <v>134</v>
      </c>
      <c r="N506" s="4">
        <v>0</v>
      </c>
      <c r="O506" s="10">
        <v>0.1</v>
      </c>
      <c r="P506" s="3"/>
      <c r="Q506" s="3">
        <f t="shared" si="23"/>
        <v>0</v>
      </c>
      <c r="R506" s="48">
        <f t="shared" si="22"/>
        <v>0</v>
      </c>
      <c r="S506" s="10" t="s">
        <v>24</v>
      </c>
      <c r="T506" s="193"/>
    </row>
    <row r="507" spans="1:20" ht="21.6" x14ac:dyDescent="0.3">
      <c r="A507" s="139">
        <v>2077</v>
      </c>
      <c r="B507" s="42" t="s">
        <v>20</v>
      </c>
      <c r="C507" s="43" t="s">
        <v>267</v>
      </c>
      <c r="D507" s="50">
        <v>5915</v>
      </c>
      <c r="E507" s="42" t="s">
        <v>324</v>
      </c>
      <c r="F507" s="45" t="s">
        <v>143</v>
      </c>
      <c r="G507" s="207" t="s">
        <v>311</v>
      </c>
      <c r="H507" s="45" t="s">
        <v>386</v>
      </c>
      <c r="I507" s="47" t="s">
        <v>22</v>
      </c>
      <c r="J507" s="3">
        <v>0.7</v>
      </c>
      <c r="K507" s="49" t="s">
        <v>135</v>
      </c>
      <c r="L507" s="30" t="s">
        <v>136</v>
      </c>
      <c r="M507" s="49" t="s">
        <v>137</v>
      </c>
      <c r="N507" s="3">
        <v>0.9</v>
      </c>
      <c r="O507" s="10">
        <v>0.2</v>
      </c>
      <c r="P507" s="51"/>
      <c r="Q507" s="3">
        <f t="shared" si="23"/>
        <v>0</v>
      </c>
      <c r="R507" s="48">
        <f t="shared" si="22"/>
        <v>0</v>
      </c>
      <c r="S507" s="10" t="s">
        <v>23</v>
      </c>
      <c r="T507" s="193"/>
    </row>
    <row r="508" spans="1:20" ht="22.2" thickBot="1" x14ac:dyDescent="0.35">
      <c r="A508" s="142">
        <v>2078</v>
      </c>
      <c r="B508" s="81" t="s">
        <v>20</v>
      </c>
      <c r="C508" s="82" t="s">
        <v>267</v>
      </c>
      <c r="D508" s="113">
        <v>5915</v>
      </c>
      <c r="E508" s="81" t="s">
        <v>324</v>
      </c>
      <c r="F508" s="84" t="s">
        <v>143</v>
      </c>
      <c r="G508" s="209" t="s">
        <v>311</v>
      </c>
      <c r="H508" s="84" t="s">
        <v>386</v>
      </c>
      <c r="I508" s="85" t="s">
        <v>26</v>
      </c>
      <c r="J508" s="86">
        <v>0.3</v>
      </c>
      <c r="K508" s="115" t="s">
        <v>138</v>
      </c>
      <c r="L508" s="114" t="s">
        <v>139</v>
      </c>
      <c r="M508" s="115" t="s">
        <v>140</v>
      </c>
      <c r="N508" s="86">
        <v>1</v>
      </c>
      <c r="O508" s="91">
        <v>1</v>
      </c>
      <c r="P508" s="86"/>
      <c r="Q508" s="86">
        <f t="shared" si="23"/>
        <v>0</v>
      </c>
      <c r="R508" s="104">
        <f t="shared" si="22"/>
        <v>0</v>
      </c>
      <c r="S508" s="91" t="s">
        <v>23</v>
      </c>
      <c r="T508" s="147"/>
    </row>
    <row r="509" spans="1:20" ht="21.6" x14ac:dyDescent="0.3">
      <c r="A509" s="138">
        <v>2070</v>
      </c>
      <c r="B509" s="71" t="s">
        <v>20</v>
      </c>
      <c r="C509" s="72" t="s">
        <v>267</v>
      </c>
      <c r="D509" s="112">
        <v>5221</v>
      </c>
      <c r="E509" s="71" t="s">
        <v>144</v>
      </c>
      <c r="F509" s="74" t="s">
        <v>145</v>
      </c>
      <c r="G509" s="188" t="s">
        <v>28</v>
      </c>
      <c r="H509" s="74" t="s">
        <v>385</v>
      </c>
      <c r="I509" s="75" t="s">
        <v>22</v>
      </c>
      <c r="J509" s="76">
        <v>1</v>
      </c>
      <c r="K509" s="101" t="s">
        <v>146</v>
      </c>
      <c r="L509" s="105" t="s">
        <v>147</v>
      </c>
      <c r="M509" s="101" t="s">
        <v>148</v>
      </c>
      <c r="N509" s="76">
        <v>1</v>
      </c>
      <c r="O509" s="76">
        <v>0.2</v>
      </c>
      <c r="P509" s="76"/>
      <c r="Q509" s="76">
        <f t="shared" si="23"/>
        <v>0</v>
      </c>
      <c r="R509" s="80">
        <f t="shared" si="22"/>
        <v>0</v>
      </c>
      <c r="S509" s="76" t="s">
        <v>23</v>
      </c>
      <c r="T509" s="194">
        <f>SUM(R509:R516)%</f>
        <v>0</v>
      </c>
    </row>
    <row r="510" spans="1:20" ht="21.6" x14ac:dyDescent="0.3">
      <c r="A510" s="139">
        <v>2071</v>
      </c>
      <c r="B510" s="42" t="s">
        <v>20</v>
      </c>
      <c r="C510" s="43" t="s">
        <v>267</v>
      </c>
      <c r="D510" s="50">
        <v>5221</v>
      </c>
      <c r="E510" s="42" t="s">
        <v>144</v>
      </c>
      <c r="F510" s="45" t="s">
        <v>145</v>
      </c>
      <c r="G510" s="207" t="s">
        <v>28</v>
      </c>
      <c r="H510" s="45" t="s">
        <v>385</v>
      </c>
      <c r="I510" s="7" t="s">
        <v>22</v>
      </c>
      <c r="J510" s="3">
        <v>1</v>
      </c>
      <c r="K510" s="1" t="s">
        <v>149</v>
      </c>
      <c r="L510" s="8" t="s">
        <v>150</v>
      </c>
      <c r="M510" s="7" t="s">
        <v>151</v>
      </c>
      <c r="N510" s="3">
        <v>1</v>
      </c>
      <c r="O510" s="3">
        <v>0.1</v>
      </c>
      <c r="P510" s="3"/>
      <c r="Q510" s="3">
        <f t="shared" si="23"/>
        <v>0</v>
      </c>
      <c r="R510" s="4">
        <f t="shared" si="22"/>
        <v>0</v>
      </c>
      <c r="S510" s="3" t="s">
        <v>23</v>
      </c>
      <c r="T510" s="195"/>
    </row>
    <row r="511" spans="1:20" ht="21.6" x14ac:dyDescent="0.3">
      <c r="A511" s="139">
        <v>2072</v>
      </c>
      <c r="B511" s="42" t="s">
        <v>20</v>
      </c>
      <c r="C511" s="43" t="s">
        <v>267</v>
      </c>
      <c r="D511" s="50">
        <v>5221</v>
      </c>
      <c r="E511" s="42" t="s">
        <v>144</v>
      </c>
      <c r="F511" s="45" t="s">
        <v>145</v>
      </c>
      <c r="G511" s="207" t="s">
        <v>28</v>
      </c>
      <c r="H511" s="45" t="s">
        <v>385</v>
      </c>
      <c r="I511" s="7" t="s">
        <v>22</v>
      </c>
      <c r="J511" s="3">
        <v>1</v>
      </c>
      <c r="K511" s="1" t="s">
        <v>152</v>
      </c>
      <c r="L511" s="8" t="s">
        <v>153</v>
      </c>
      <c r="M511" s="7" t="s">
        <v>154</v>
      </c>
      <c r="N511" s="3">
        <v>0</v>
      </c>
      <c r="O511" s="3">
        <v>0.1</v>
      </c>
      <c r="P511" s="3"/>
      <c r="Q511" s="3">
        <f t="shared" si="23"/>
        <v>0</v>
      </c>
      <c r="R511" s="4">
        <f t="shared" si="22"/>
        <v>0</v>
      </c>
      <c r="S511" s="3" t="s">
        <v>24</v>
      </c>
      <c r="T511" s="195"/>
    </row>
    <row r="512" spans="1:20" ht="21.6" x14ac:dyDescent="0.3">
      <c r="A512" s="139">
        <v>2073</v>
      </c>
      <c r="B512" s="42" t="s">
        <v>20</v>
      </c>
      <c r="C512" s="43" t="s">
        <v>267</v>
      </c>
      <c r="D512" s="50">
        <v>5221</v>
      </c>
      <c r="E512" s="42" t="s">
        <v>144</v>
      </c>
      <c r="F512" s="45" t="s">
        <v>145</v>
      </c>
      <c r="G512" s="207" t="s">
        <v>28</v>
      </c>
      <c r="H512" s="45" t="s">
        <v>385</v>
      </c>
      <c r="I512" s="7" t="s">
        <v>22</v>
      </c>
      <c r="J512" s="3">
        <v>1</v>
      </c>
      <c r="K512" s="1" t="s">
        <v>155</v>
      </c>
      <c r="L512" s="8" t="s">
        <v>156</v>
      </c>
      <c r="M512" s="7" t="s">
        <v>157</v>
      </c>
      <c r="N512" s="3">
        <v>0.9</v>
      </c>
      <c r="O512" s="3">
        <v>0.1</v>
      </c>
      <c r="P512" s="10"/>
      <c r="Q512" s="3">
        <f t="shared" si="23"/>
        <v>0</v>
      </c>
      <c r="R512" s="4">
        <f t="shared" si="22"/>
        <v>0</v>
      </c>
      <c r="S512" s="3" t="s">
        <v>23</v>
      </c>
      <c r="T512" s="195"/>
    </row>
    <row r="513" spans="1:20" ht="21.6" x14ac:dyDescent="0.3">
      <c r="A513" s="139">
        <v>2075</v>
      </c>
      <c r="B513" s="42" t="s">
        <v>20</v>
      </c>
      <c r="C513" s="43" t="s">
        <v>267</v>
      </c>
      <c r="D513" s="50">
        <v>5221</v>
      </c>
      <c r="E513" s="42" t="s">
        <v>144</v>
      </c>
      <c r="F513" s="45" t="s">
        <v>145</v>
      </c>
      <c r="G513" s="207" t="s">
        <v>28</v>
      </c>
      <c r="H513" s="45" t="s">
        <v>385</v>
      </c>
      <c r="I513" s="47" t="s">
        <v>22</v>
      </c>
      <c r="J513" s="3">
        <v>1</v>
      </c>
      <c r="K513" s="49" t="s">
        <v>158</v>
      </c>
      <c r="L513" s="30" t="s">
        <v>125</v>
      </c>
      <c r="M513" s="47" t="s">
        <v>159</v>
      </c>
      <c r="N513" s="3">
        <v>0.95</v>
      </c>
      <c r="O513" s="10">
        <v>0.1</v>
      </c>
      <c r="P513" s="3"/>
      <c r="Q513" s="3">
        <f t="shared" si="23"/>
        <v>0</v>
      </c>
      <c r="R513" s="48">
        <f t="shared" si="22"/>
        <v>0</v>
      </c>
      <c r="S513" s="10" t="s">
        <v>23</v>
      </c>
      <c r="T513" s="193"/>
    </row>
    <row r="514" spans="1:20" ht="21.6" x14ac:dyDescent="0.3">
      <c r="A514" s="139">
        <v>2076</v>
      </c>
      <c r="B514" s="42" t="s">
        <v>20</v>
      </c>
      <c r="C514" s="43" t="s">
        <v>267</v>
      </c>
      <c r="D514" s="50">
        <v>5221</v>
      </c>
      <c r="E514" s="42" t="s">
        <v>144</v>
      </c>
      <c r="F514" s="45" t="s">
        <v>145</v>
      </c>
      <c r="G514" s="207" t="s">
        <v>28</v>
      </c>
      <c r="H514" s="45" t="s">
        <v>385</v>
      </c>
      <c r="I514" s="47" t="s">
        <v>22</v>
      </c>
      <c r="J514" s="3">
        <v>1</v>
      </c>
      <c r="K514" s="49" t="s">
        <v>160</v>
      </c>
      <c r="L514" s="30" t="s">
        <v>161</v>
      </c>
      <c r="M514" s="47" t="s">
        <v>162</v>
      </c>
      <c r="N514" s="3">
        <v>1</v>
      </c>
      <c r="O514" s="10">
        <v>0.1</v>
      </c>
      <c r="P514" s="3"/>
      <c r="Q514" s="3">
        <f t="shared" si="23"/>
        <v>0</v>
      </c>
      <c r="R514" s="48">
        <f t="shared" si="22"/>
        <v>0</v>
      </c>
      <c r="S514" s="10" t="s">
        <v>23</v>
      </c>
      <c r="T514" s="193"/>
    </row>
    <row r="515" spans="1:20" ht="21.6" x14ac:dyDescent="0.3">
      <c r="A515" s="139">
        <v>2077</v>
      </c>
      <c r="B515" s="42" t="s">
        <v>20</v>
      </c>
      <c r="C515" s="43" t="s">
        <v>267</v>
      </c>
      <c r="D515" s="50">
        <v>5221</v>
      </c>
      <c r="E515" s="42" t="s">
        <v>144</v>
      </c>
      <c r="F515" s="45" t="s">
        <v>145</v>
      </c>
      <c r="G515" s="207" t="s">
        <v>28</v>
      </c>
      <c r="H515" s="45" t="s">
        <v>385</v>
      </c>
      <c r="I515" s="47" t="s">
        <v>22</v>
      </c>
      <c r="J515" s="3">
        <v>1</v>
      </c>
      <c r="K515" s="49" t="s">
        <v>163</v>
      </c>
      <c r="L515" s="30" t="s">
        <v>164</v>
      </c>
      <c r="M515" s="49" t="s">
        <v>165</v>
      </c>
      <c r="N515" s="3">
        <v>1</v>
      </c>
      <c r="O515" s="10">
        <v>0.2</v>
      </c>
      <c r="P515" s="3"/>
      <c r="Q515" s="3">
        <f t="shared" si="23"/>
        <v>0</v>
      </c>
      <c r="R515" s="48">
        <f t="shared" si="22"/>
        <v>0</v>
      </c>
      <c r="S515" s="10" t="s">
        <v>23</v>
      </c>
      <c r="T515" s="193"/>
    </row>
    <row r="516" spans="1:20" ht="22.2" thickBot="1" x14ac:dyDescent="0.35">
      <c r="A516" s="143">
        <v>2078</v>
      </c>
      <c r="B516" s="58" t="s">
        <v>20</v>
      </c>
      <c r="C516" s="59" t="s">
        <v>267</v>
      </c>
      <c r="D516" s="60">
        <v>5221</v>
      </c>
      <c r="E516" s="58" t="s">
        <v>144</v>
      </c>
      <c r="F516" s="61" t="s">
        <v>145</v>
      </c>
      <c r="G516" s="211" t="s">
        <v>28</v>
      </c>
      <c r="H516" s="61" t="s">
        <v>385</v>
      </c>
      <c r="I516" s="107" t="s">
        <v>22</v>
      </c>
      <c r="J516" s="62">
        <v>1</v>
      </c>
      <c r="K516" s="109" t="s">
        <v>166</v>
      </c>
      <c r="L516" s="108" t="s">
        <v>167</v>
      </c>
      <c r="M516" s="109" t="s">
        <v>168</v>
      </c>
      <c r="N516" s="62">
        <v>0.95</v>
      </c>
      <c r="O516" s="63">
        <v>0.1</v>
      </c>
      <c r="P516" s="62"/>
      <c r="Q516" s="62">
        <f t="shared" si="23"/>
        <v>0</v>
      </c>
      <c r="R516" s="110">
        <f t="shared" si="22"/>
        <v>0</v>
      </c>
      <c r="S516" s="63" t="s">
        <v>23</v>
      </c>
      <c r="T516" s="196"/>
    </row>
    <row r="517" spans="1:20" ht="21.6" x14ac:dyDescent="0.3">
      <c r="A517" s="138">
        <v>2070</v>
      </c>
      <c r="B517" s="71" t="s">
        <v>20</v>
      </c>
      <c r="C517" s="72" t="s">
        <v>267</v>
      </c>
      <c r="D517" s="112">
        <v>5325</v>
      </c>
      <c r="E517" s="71" t="s">
        <v>170</v>
      </c>
      <c r="F517" s="74" t="s">
        <v>145</v>
      </c>
      <c r="G517" s="188" t="s">
        <v>28</v>
      </c>
      <c r="H517" s="74" t="s">
        <v>385</v>
      </c>
      <c r="I517" s="75" t="s">
        <v>22</v>
      </c>
      <c r="J517" s="76">
        <v>1</v>
      </c>
      <c r="K517" s="101" t="s">
        <v>146</v>
      </c>
      <c r="L517" s="105" t="s">
        <v>147</v>
      </c>
      <c r="M517" s="101" t="s">
        <v>148</v>
      </c>
      <c r="N517" s="76">
        <v>1</v>
      </c>
      <c r="O517" s="76">
        <v>0.2</v>
      </c>
      <c r="P517" s="76"/>
      <c r="Q517" s="76">
        <f t="shared" si="23"/>
        <v>0</v>
      </c>
      <c r="R517" s="80">
        <f t="shared" si="22"/>
        <v>0</v>
      </c>
      <c r="S517" s="76" t="s">
        <v>23</v>
      </c>
      <c r="T517" s="194">
        <f t="shared" ref="T517" si="24">SUM(R517:R524)%</f>
        <v>0</v>
      </c>
    </row>
    <row r="518" spans="1:20" ht="21.6" x14ac:dyDescent="0.3">
      <c r="A518" s="139">
        <v>2071</v>
      </c>
      <c r="B518" s="42" t="s">
        <v>20</v>
      </c>
      <c r="C518" s="43" t="s">
        <v>267</v>
      </c>
      <c r="D518" s="50">
        <v>5325</v>
      </c>
      <c r="E518" s="42" t="s">
        <v>170</v>
      </c>
      <c r="F518" s="45" t="s">
        <v>145</v>
      </c>
      <c r="G518" s="207" t="s">
        <v>28</v>
      </c>
      <c r="H518" s="45" t="s">
        <v>385</v>
      </c>
      <c r="I518" s="7" t="s">
        <v>22</v>
      </c>
      <c r="J518" s="3">
        <v>1</v>
      </c>
      <c r="K518" s="1" t="s">
        <v>149</v>
      </c>
      <c r="L518" s="8" t="s">
        <v>150</v>
      </c>
      <c r="M518" s="7" t="s">
        <v>151</v>
      </c>
      <c r="N518" s="3">
        <v>1</v>
      </c>
      <c r="O518" s="3">
        <v>0.1</v>
      </c>
      <c r="P518" s="3"/>
      <c r="Q518" s="3">
        <f t="shared" si="23"/>
        <v>0</v>
      </c>
      <c r="R518" s="4">
        <f t="shared" si="22"/>
        <v>0</v>
      </c>
      <c r="S518" s="3" t="s">
        <v>23</v>
      </c>
      <c r="T518" s="195"/>
    </row>
    <row r="519" spans="1:20" ht="21.6" x14ac:dyDescent="0.3">
      <c r="A519" s="139">
        <v>2072</v>
      </c>
      <c r="B519" s="42" t="s">
        <v>20</v>
      </c>
      <c r="C519" s="43" t="s">
        <v>267</v>
      </c>
      <c r="D519" s="50">
        <v>5325</v>
      </c>
      <c r="E519" s="42" t="s">
        <v>170</v>
      </c>
      <c r="F519" s="45" t="s">
        <v>145</v>
      </c>
      <c r="G519" s="207" t="s">
        <v>28</v>
      </c>
      <c r="H519" s="45" t="s">
        <v>385</v>
      </c>
      <c r="I519" s="7" t="s">
        <v>22</v>
      </c>
      <c r="J519" s="3">
        <v>1</v>
      </c>
      <c r="K519" s="1" t="s">
        <v>152</v>
      </c>
      <c r="L519" s="8" t="s">
        <v>153</v>
      </c>
      <c r="M519" s="7" t="s">
        <v>154</v>
      </c>
      <c r="N519" s="3">
        <v>0</v>
      </c>
      <c r="O519" s="3">
        <v>0.1</v>
      </c>
      <c r="P519" s="3"/>
      <c r="Q519" s="3">
        <f t="shared" si="23"/>
        <v>0</v>
      </c>
      <c r="R519" s="4">
        <f t="shared" si="22"/>
        <v>0</v>
      </c>
      <c r="S519" s="3" t="s">
        <v>24</v>
      </c>
      <c r="T519" s="195"/>
    </row>
    <row r="520" spans="1:20" ht="21.6" x14ac:dyDescent="0.3">
      <c r="A520" s="139">
        <v>2073</v>
      </c>
      <c r="B520" s="42" t="s">
        <v>20</v>
      </c>
      <c r="C520" s="43" t="s">
        <v>267</v>
      </c>
      <c r="D520" s="50">
        <v>5325</v>
      </c>
      <c r="E520" s="42" t="s">
        <v>170</v>
      </c>
      <c r="F520" s="45" t="s">
        <v>145</v>
      </c>
      <c r="G520" s="207" t="s">
        <v>28</v>
      </c>
      <c r="H520" s="45" t="s">
        <v>385</v>
      </c>
      <c r="I520" s="7" t="s">
        <v>22</v>
      </c>
      <c r="J520" s="3">
        <v>1</v>
      </c>
      <c r="K520" s="1" t="s">
        <v>155</v>
      </c>
      <c r="L520" s="8" t="s">
        <v>156</v>
      </c>
      <c r="M520" s="7" t="s">
        <v>157</v>
      </c>
      <c r="N520" s="3">
        <v>0.9</v>
      </c>
      <c r="O520" s="3">
        <v>0.1</v>
      </c>
      <c r="P520" s="10"/>
      <c r="Q520" s="3">
        <f t="shared" si="23"/>
        <v>0</v>
      </c>
      <c r="R520" s="4">
        <f t="shared" si="22"/>
        <v>0</v>
      </c>
      <c r="S520" s="3" t="s">
        <v>23</v>
      </c>
      <c r="T520" s="195"/>
    </row>
    <row r="521" spans="1:20" ht="21.6" x14ac:dyDescent="0.3">
      <c r="A521" s="139">
        <v>2075</v>
      </c>
      <c r="B521" s="42" t="s">
        <v>20</v>
      </c>
      <c r="C521" s="43" t="s">
        <v>267</v>
      </c>
      <c r="D521" s="50">
        <v>5325</v>
      </c>
      <c r="E521" s="42" t="s">
        <v>170</v>
      </c>
      <c r="F521" s="45" t="s">
        <v>145</v>
      </c>
      <c r="G521" s="207" t="s">
        <v>28</v>
      </c>
      <c r="H521" s="45" t="s">
        <v>385</v>
      </c>
      <c r="I521" s="47" t="s">
        <v>22</v>
      </c>
      <c r="J521" s="3">
        <v>1</v>
      </c>
      <c r="K521" s="49" t="s">
        <v>158</v>
      </c>
      <c r="L521" s="30" t="s">
        <v>125</v>
      </c>
      <c r="M521" s="47" t="s">
        <v>159</v>
      </c>
      <c r="N521" s="3">
        <v>0.95</v>
      </c>
      <c r="O521" s="10">
        <v>0.1</v>
      </c>
      <c r="P521" s="3"/>
      <c r="Q521" s="3">
        <f t="shared" si="23"/>
        <v>0</v>
      </c>
      <c r="R521" s="48">
        <f t="shared" si="22"/>
        <v>0</v>
      </c>
      <c r="S521" s="10" t="s">
        <v>23</v>
      </c>
      <c r="T521" s="193"/>
    </row>
    <row r="522" spans="1:20" ht="21.6" x14ac:dyDescent="0.3">
      <c r="A522" s="139">
        <v>2076</v>
      </c>
      <c r="B522" s="42" t="s">
        <v>20</v>
      </c>
      <c r="C522" s="43" t="s">
        <v>267</v>
      </c>
      <c r="D522" s="50">
        <v>5325</v>
      </c>
      <c r="E522" s="42" t="s">
        <v>170</v>
      </c>
      <c r="F522" s="45" t="s">
        <v>145</v>
      </c>
      <c r="G522" s="207" t="s">
        <v>28</v>
      </c>
      <c r="H522" s="45" t="s">
        <v>385</v>
      </c>
      <c r="I522" s="47" t="s">
        <v>22</v>
      </c>
      <c r="J522" s="3">
        <v>1</v>
      </c>
      <c r="K522" s="49" t="s">
        <v>160</v>
      </c>
      <c r="L522" s="30" t="s">
        <v>161</v>
      </c>
      <c r="M522" s="47" t="s">
        <v>162</v>
      </c>
      <c r="N522" s="3">
        <v>1</v>
      </c>
      <c r="O522" s="10">
        <v>0.1</v>
      </c>
      <c r="P522" s="3"/>
      <c r="Q522" s="3">
        <f t="shared" si="23"/>
        <v>0</v>
      </c>
      <c r="R522" s="48">
        <f t="shared" si="22"/>
        <v>0</v>
      </c>
      <c r="S522" s="10" t="s">
        <v>23</v>
      </c>
      <c r="T522" s="193"/>
    </row>
    <row r="523" spans="1:20" ht="21.6" x14ac:dyDescent="0.3">
      <c r="A523" s="139">
        <v>2077</v>
      </c>
      <c r="B523" s="42" t="s">
        <v>20</v>
      </c>
      <c r="C523" s="43" t="s">
        <v>267</v>
      </c>
      <c r="D523" s="50">
        <v>5325</v>
      </c>
      <c r="E523" s="42" t="s">
        <v>170</v>
      </c>
      <c r="F523" s="45" t="s">
        <v>145</v>
      </c>
      <c r="G523" s="207" t="s">
        <v>28</v>
      </c>
      <c r="H523" s="45" t="s">
        <v>385</v>
      </c>
      <c r="I523" s="47" t="s">
        <v>22</v>
      </c>
      <c r="J523" s="3">
        <v>1</v>
      </c>
      <c r="K523" s="49" t="s">
        <v>163</v>
      </c>
      <c r="L523" s="30" t="s">
        <v>164</v>
      </c>
      <c r="M523" s="49" t="s">
        <v>165</v>
      </c>
      <c r="N523" s="3">
        <v>1</v>
      </c>
      <c r="O523" s="10">
        <v>0.2</v>
      </c>
      <c r="P523" s="3"/>
      <c r="Q523" s="3">
        <f t="shared" si="23"/>
        <v>0</v>
      </c>
      <c r="R523" s="48">
        <f t="shared" si="22"/>
        <v>0</v>
      </c>
      <c r="S523" s="10" t="s">
        <v>23</v>
      </c>
      <c r="T523" s="193"/>
    </row>
    <row r="524" spans="1:20" ht="22.2" thickBot="1" x14ac:dyDescent="0.35">
      <c r="A524" s="143">
        <v>2078</v>
      </c>
      <c r="B524" s="58" t="s">
        <v>20</v>
      </c>
      <c r="C524" s="59" t="s">
        <v>267</v>
      </c>
      <c r="D524" s="60">
        <v>5325</v>
      </c>
      <c r="E524" s="58" t="s">
        <v>170</v>
      </c>
      <c r="F524" s="61" t="s">
        <v>145</v>
      </c>
      <c r="G524" s="211" t="s">
        <v>28</v>
      </c>
      <c r="H524" s="61" t="s">
        <v>385</v>
      </c>
      <c r="I524" s="107" t="s">
        <v>22</v>
      </c>
      <c r="J524" s="62">
        <v>1</v>
      </c>
      <c r="K524" s="109" t="s">
        <v>166</v>
      </c>
      <c r="L524" s="108" t="s">
        <v>167</v>
      </c>
      <c r="M524" s="109" t="s">
        <v>168</v>
      </c>
      <c r="N524" s="62">
        <v>0.95</v>
      </c>
      <c r="O524" s="63">
        <v>0.1</v>
      </c>
      <c r="P524" s="62"/>
      <c r="Q524" s="62">
        <f t="shared" si="23"/>
        <v>0</v>
      </c>
      <c r="R524" s="110">
        <f t="shared" si="22"/>
        <v>0</v>
      </c>
      <c r="S524" s="63" t="s">
        <v>23</v>
      </c>
      <c r="T524" s="196"/>
    </row>
    <row r="525" spans="1:20" ht="21.6" x14ac:dyDescent="0.3">
      <c r="A525" s="138">
        <v>2070</v>
      </c>
      <c r="B525" s="71" t="s">
        <v>20</v>
      </c>
      <c r="C525" s="72" t="s">
        <v>267</v>
      </c>
      <c r="D525" s="112">
        <v>5566</v>
      </c>
      <c r="E525" s="71" t="s">
        <v>171</v>
      </c>
      <c r="F525" s="74" t="s">
        <v>145</v>
      </c>
      <c r="G525" s="188" t="s">
        <v>28</v>
      </c>
      <c r="H525" s="74" t="s">
        <v>385</v>
      </c>
      <c r="I525" s="75" t="s">
        <v>22</v>
      </c>
      <c r="J525" s="76">
        <v>1</v>
      </c>
      <c r="K525" s="101" t="s">
        <v>146</v>
      </c>
      <c r="L525" s="105" t="s">
        <v>147</v>
      </c>
      <c r="M525" s="101" t="s">
        <v>148</v>
      </c>
      <c r="N525" s="76">
        <v>1</v>
      </c>
      <c r="O525" s="76">
        <v>0.2</v>
      </c>
      <c r="P525" s="76"/>
      <c r="Q525" s="76">
        <f t="shared" si="23"/>
        <v>0</v>
      </c>
      <c r="R525" s="80">
        <f t="shared" ref="R525:R588" si="25">IF(AND(Q525&gt;=60%,Q525&lt;100%),Q525*((O525*J525)),IF(Q525=100%,((O525*J525)*Q525)*100%,IF(Q525&gt;100%,((J525*O525)*100%)*100%,0)))*100</f>
        <v>0</v>
      </c>
      <c r="S525" s="76" t="s">
        <v>23</v>
      </c>
      <c r="T525" s="194">
        <f t="shared" ref="T525" si="26">SUM(R525:R532)%</f>
        <v>0</v>
      </c>
    </row>
    <row r="526" spans="1:20" ht="21.6" x14ac:dyDescent="0.3">
      <c r="A526" s="139">
        <v>2071</v>
      </c>
      <c r="B526" s="42" t="s">
        <v>20</v>
      </c>
      <c r="C526" s="43" t="s">
        <v>267</v>
      </c>
      <c r="D526" s="50">
        <v>5566</v>
      </c>
      <c r="E526" s="42" t="s">
        <v>171</v>
      </c>
      <c r="F526" s="45" t="s">
        <v>145</v>
      </c>
      <c r="G526" s="207" t="s">
        <v>28</v>
      </c>
      <c r="H526" s="45" t="s">
        <v>385</v>
      </c>
      <c r="I526" s="7" t="s">
        <v>22</v>
      </c>
      <c r="J526" s="3">
        <v>1</v>
      </c>
      <c r="K526" s="1" t="s">
        <v>149</v>
      </c>
      <c r="L526" s="8" t="s">
        <v>150</v>
      </c>
      <c r="M526" s="7" t="s">
        <v>151</v>
      </c>
      <c r="N526" s="3">
        <v>1</v>
      </c>
      <c r="O526" s="3">
        <v>0.1</v>
      </c>
      <c r="P526" s="3"/>
      <c r="Q526" s="3">
        <f t="shared" si="23"/>
        <v>0</v>
      </c>
      <c r="R526" s="4">
        <f t="shared" si="25"/>
        <v>0</v>
      </c>
      <c r="S526" s="3" t="s">
        <v>23</v>
      </c>
      <c r="T526" s="195"/>
    </row>
    <row r="527" spans="1:20" ht="21.6" x14ac:dyDescent="0.3">
      <c r="A527" s="139">
        <v>2072</v>
      </c>
      <c r="B527" s="42" t="s">
        <v>20</v>
      </c>
      <c r="C527" s="43" t="s">
        <v>267</v>
      </c>
      <c r="D527" s="50">
        <v>5566</v>
      </c>
      <c r="E527" s="42" t="s">
        <v>171</v>
      </c>
      <c r="F527" s="45" t="s">
        <v>145</v>
      </c>
      <c r="G527" s="207" t="s">
        <v>28</v>
      </c>
      <c r="H527" s="45" t="s">
        <v>385</v>
      </c>
      <c r="I527" s="7" t="s">
        <v>22</v>
      </c>
      <c r="J527" s="3">
        <v>1</v>
      </c>
      <c r="K527" s="1" t="s">
        <v>152</v>
      </c>
      <c r="L527" s="8" t="s">
        <v>153</v>
      </c>
      <c r="M527" s="7" t="s">
        <v>154</v>
      </c>
      <c r="N527" s="3">
        <v>0</v>
      </c>
      <c r="O527" s="3">
        <v>0.1</v>
      </c>
      <c r="P527" s="3"/>
      <c r="Q527" s="3">
        <f t="shared" si="23"/>
        <v>0</v>
      </c>
      <c r="R527" s="4">
        <f t="shared" si="25"/>
        <v>0</v>
      </c>
      <c r="S527" s="3" t="s">
        <v>24</v>
      </c>
      <c r="T527" s="195"/>
    </row>
    <row r="528" spans="1:20" ht="21.6" x14ac:dyDescent="0.3">
      <c r="A528" s="139">
        <v>2073</v>
      </c>
      <c r="B528" s="42" t="s">
        <v>20</v>
      </c>
      <c r="C528" s="43" t="s">
        <v>267</v>
      </c>
      <c r="D528" s="50">
        <v>5566</v>
      </c>
      <c r="E528" s="42" t="s">
        <v>171</v>
      </c>
      <c r="F528" s="45" t="s">
        <v>145</v>
      </c>
      <c r="G528" s="207" t="s">
        <v>28</v>
      </c>
      <c r="H528" s="45" t="s">
        <v>385</v>
      </c>
      <c r="I528" s="7" t="s">
        <v>22</v>
      </c>
      <c r="J528" s="3">
        <v>1</v>
      </c>
      <c r="K528" s="1" t="s">
        <v>155</v>
      </c>
      <c r="L528" s="8" t="s">
        <v>156</v>
      </c>
      <c r="M528" s="7" t="s">
        <v>157</v>
      </c>
      <c r="N528" s="3">
        <v>0.9</v>
      </c>
      <c r="O528" s="3">
        <v>0.1</v>
      </c>
      <c r="P528" s="10"/>
      <c r="Q528" s="3">
        <f t="shared" si="23"/>
        <v>0</v>
      </c>
      <c r="R528" s="4">
        <f t="shared" si="25"/>
        <v>0</v>
      </c>
      <c r="S528" s="3" t="s">
        <v>23</v>
      </c>
      <c r="T528" s="195"/>
    </row>
    <row r="529" spans="1:20" ht="21.6" x14ac:dyDescent="0.3">
      <c r="A529" s="139">
        <v>2075</v>
      </c>
      <c r="B529" s="42" t="s">
        <v>20</v>
      </c>
      <c r="C529" s="43" t="s">
        <v>267</v>
      </c>
      <c r="D529" s="50">
        <v>5566</v>
      </c>
      <c r="E529" s="42" t="s">
        <v>171</v>
      </c>
      <c r="F529" s="45" t="s">
        <v>145</v>
      </c>
      <c r="G529" s="207" t="s">
        <v>28</v>
      </c>
      <c r="H529" s="45" t="s">
        <v>385</v>
      </c>
      <c r="I529" s="47" t="s">
        <v>22</v>
      </c>
      <c r="J529" s="3">
        <v>1</v>
      </c>
      <c r="K529" s="49" t="s">
        <v>158</v>
      </c>
      <c r="L529" s="30" t="s">
        <v>125</v>
      </c>
      <c r="M529" s="47" t="s">
        <v>159</v>
      </c>
      <c r="N529" s="3">
        <v>0.95</v>
      </c>
      <c r="O529" s="10">
        <v>0.1</v>
      </c>
      <c r="P529" s="3"/>
      <c r="Q529" s="3">
        <f t="shared" si="23"/>
        <v>0</v>
      </c>
      <c r="R529" s="48">
        <f t="shared" si="25"/>
        <v>0</v>
      </c>
      <c r="S529" s="10" t="s">
        <v>23</v>
      </c>
      <c r="T529" s="193"/>
    </row>
    <row r="530" spans="1:20" ht="21.6" x14ac:dyDescent="0.3">
      <c r="A530" s="139">
        <v>2076</v>
      </c>
      <c r="B530" s="42" t="s">
        <v>20</v>
      </c>
      <c r="C530" s="43" t="s">
        <v>267</v>
      </c>
      <c r="D530" s="50">
        <v>5566</v>
      </c>
      <c r="E530" s="42" t="s">
        <v>171</v>
      </c>
      <c r="F530" s="45" t="s">
        <v>145</v>
      </c>
      <c r="G530" s="207" t="s">
        <v>28</v>
      </c>
      <c r="H530" s="45" t="s">
        <v>385</v>
      </c>
      <c r="I530" s="47" t="s">
        <v>22</v>
      </c>
      <c r="J530" s="3">
        <v>1</v>
      </c>
      <c r="K530" s="49" t="s">
        <v>160</v>
      </c>
      <c r="L530" s="30" t="s">
        <v>161</v>
      </c>
      <c r="M530" s="47" t="s">
        <v>162</v>
      </c>
      <c r="N530" s="3">
        <v>1</v>
      </c>
      <c r="O530" s="10">
        <v>0.1</v>
      </c>
      <c r="P530" s="3"/>
      <c r="Q530" s="3">
        <f t="shared" si="23"/>
        <v>0</v>
      </c>
      <c r="R530" s="48">
        <f t="shared" si="25"/>
        <v>0</v>
      </c>
      <c r="S530" s="10" t="s">
        <v>23</v>
      </c>
      <c r="T530" s="193"/>
    </row>
    <row r="531" spans="1:20" ht="21.6" x14ac:dyDescent="0.3">
      <c r="A531" s="139">
        <v>2077</v>
      </c>
      <c r="B531" s="42" t="s">
        <v>20</v>
      </c>
      <c r="C531" s="43" t="s">
        <v>267</v>
      </c>
      <c r="D531" s="50">
        <v>5566</v>
      </c>
      <c r="E531" s="42" t="s">
        <v>171</v>
      </c>
      <c r="F531" s="45" t="s">
        <v>145</v>
      </c>
      <c r="G531" s="207" t="s">
        <v>28</v>
      </c>
      <c r="H531" s="45" t="s">
        <v>385</v>
      </c>
      <c r="I531" s="47" t="s">
        <v>22</v>
      </c>
      <c r="J531" s="3">
        <v>1</v>
      </c>
      <c r="K531" s="49" t="s">
        <v>163</v>
      </c>
      <c r="L531" s="30" t="s">
        <v>164</v>
      </c>
      <c r="M531" s="49" t="s">
        <v>165</v>
      </c>
      <c r="N531" s="3">
        <v>1</v>
      </c>
      <c r="O531" s="10">
        <v>0.2</v>
      </c>
      <c r="P531" s="3"/>
      <c r="Q531" s="3">
        <f t="shared" si="23"/>
        <v>0</v>
      </c>
      <c r="R531" s="48">
        <f t="shared" si="25"/>
        <v>0</v>
      </c>
      <c r="S531" s="10" t="s">
        <v>23</v>
      </c>
      <c r="T531" s="193"/>
    </row>
    <row r="532" spans="1:20" ht="22.2" thickBot="1" x14ac:dyDescent="0.35">
      <c r="A532" s="143">
        <v>2078</v>
      </c>
      <c r="B532" s="58" t="s">
        <v>20</v>
      </c>
      <c r="C532" s="59" t="s">
        <v>267</v>
      </c>
      <c r="D532" s="60">
        <v>5566</v>
      </c>
      <c r="E532" s="58" t="s">
        <v>171</v>
      </c>
      <c r="F532" s="61" t="s">
        <v>145</v>
      </c>
      <c r="G532" s="211" t="s">
        <v>28</v>
      </c>
      <c r="H532" s="61" t="s">
        <v>385</v>
      </c>
      <c r="I532" s="107" t="s">
        <v>22</v>
      </c>
      <c r="J532" s="62">
        <v>1</v>
      </c>
      <c r="K532" s="109" t="s">
        <v>166</v>
      </c>
      <c r="L532" s="108" t="s">
        <v>167</v>
      </c>
      <c r="M532" s="109" t="s">
        <v>168</v>
      </c>
      <c r="N532" s="62">
        <v>0.95</v>
      </c>
      <c r="O532" s="63">
        <v>0.1</v>
      </c>
      <c r="P532" s="62"/>
      <c r="Q532" s="62">
        <f t="shared" si="23"/>
        <v>0</v>
      </c>
      <c r="R532" s="110">
        <f t="shared" si="25"/>
        <v>0</v>
      </c>
      <c r="S532" s="63" t="s">
        <v>23</v>
      </c>
      <c r="T532" s="196"/>
    </row>
    <row r="533" spans="1:20" ht="21.6" x14ac:dyDescent="0.3">
      <c r="A533" s="138">
        <v>2070</v>
      </c>
      <c r="B533" s="71" t="s">
        <v>20</v>
      </c>
      <c r="C533" s="72" t="s">
        <v>267</v>
      </c>
      <c r="D533" s="112">
        <v>3751</v>
      </c>
      <c r="E533" s="71" t="s">
        <v>179</v>
      </c>
      <c r="F533" s="74" t="s">
        <v>123</v>
      </c>
      <c r="G533" s="188" t="s">
        <v>28</v>
      </c>
      <c r="H533" s="74" t="s">
        <v>385</v>
      </c>
      <c r="I533" s="75" t="s">
        <v>22</v>
      </c>
      <c r="J533" s="76">
        <v>0.7</v>
      </c>
      <c r="K533" s="101" t="s">
        <v>513</v>
      </c>
      <c r="L533" s="105" t="s">
        <v>511</v>
      </c>
      <c r="M533" s="101" t="s">
        <v>411</v>
      </c>
      <c r="N533" s="76">
        <v>0.95</v>
      </c>
      <c r="O533" s="76">
        <v>0.15</v>
      </c>
      <c r="P533" s="76"/>
      <c r="Q533" s="76">
        <f t="shared" si="23"/>
        <v>0</v>
      </c>
      <c r="R533" s="80">
        <f t="shared" si="25"/>
        <v>0</v>
      </c>
      <c r="S533" s="76" t="s">
        <v>23</v>
      </c>
      <c r="T533" s="194">
        <f>SUM(R533:R540)%</f>
        <v>0</v>
      </c>
    </row>
    <row r="534" spans="1:20" ht="21.6" x14ac:dyDescent="0.3">
      <c r="A534" s="139">
        <v>2072</v>
      </c>
      <c r="B534" s="42" t="s">
        <v>20</v>
      </c>
      <c r="C534" s="43" t="s">
        <v>267</v>
      </c>
      <c r="D534" s="50">
        <v>3751</v>
      </c>
      <c r="E534" s="42" t="s">
        <v>179</v>
      </c>
      <c r="F534" s="45" t="s">
        <v>123</v>
      </c>
      <c r="G534" s="207" t="s">
        <v>28</v>
      </c>
      <c r="H534" s="45" t="s">
        <v>385</v>
      </c>
      <c r="I534" s="7" t="s">
        <v>22</v>
      </c>
      <c r="J534" s="3">
        <v>0.7</v>
      </c>
      <c r="K534" s="1" t="s">
        <v>124</v>
      </c>
      <c r="L534" s="8" t="s">
        <v>125</v>
      </c>
      <c r="M534" s="7" t="s">
        <v>126</v>
      </c>
      <c r="N534" s="3">
        <v>0.95</v>
      </c>
      <c r="O534" s="3">
        <v>0.15</v>
      </c>
      <c r="P534" s="6"/>
      <c r="Q534" s="3">
        <f t="shared" si="23"/>
        <v>0</v>
      </c>
      <c r="R534" s="4">
        <f t="shared" si="25"/>
        <v>0</v>
      </c>
      <c r="S534" s="3" t="s">
        <v>23</v>
      </c>
      <c r="T534" s="195"/>
    </row>
    <row r="535" spans="1:20" ht="21.6" x14ac:dyDescent="0.3">
      <c r="A535" s="139">
        <v>2073</v>
      </c>
      <c r="B535" s="42" t="s">
        <v>20</v>
      </c>
      <c r="C535" s="43" t="s">
        <v>267</v>
      </c>
      <c r="D535" s="50">
        <v>3751</v>
      </c>
      <c r="E535" s="42" t="s">
        <v>179</v>
      </c>
      <c r="F535" s="45" t="s">
        <v>123</v>
      </c>
      <c r="G535" s="207" t="s">
        <v>28</v>
      </c>
      <c r="H535" s="45" t="s">
        <v>385</v>
      </c>
      <c r="I535" s="7" t="s">
        <v>22</v>
      </c>
      <c r="J535" s="3">
        <v>0.7</v>
      </c>
      <c r="K535" s="1" t="s">
        <v>51</v>
      </c>
      <c r="L535" s="8" t="s">
        <v>127</v>
      </c>
      <c r="M535" s="7" t="s">
        <v>128</v>
      </c>
      <c r="N535" s="6">
        <v>0.05</v>
      </c>
      <c r="O535" s="3">
        <v>0.1</v>
      </c>
      <c r="P535" s="11"/>
      <c r="Q535" s="3">
        <f t="shared" si="23"/>
        <v>0</v>
      </c>
      <c r="R535" s="4">
        <f t="shared" si="25"/>
        <v>0</v>
      </c>
      <c r="S535" s="3" t="s">
        <v>24</v>
      </c>
      <c r="T535" s="195"/>
    </row>
    <row r="536" spans="1:20" ht="21.6" x14ac:dyDescent="0.3">
      <c r="A536" s="139">
        <v>2074</v>
      </c>
      <c r="B536" s="42" t="s">
        <v>20</v>
      </c>
      <c r="C536" s="43" t="s">
        <v>267</v>
      </c>
      <c r="D536" s="50">
        <v>3751</v>
      </c>
      <c r="E536" s="42" t="s">
        <v>179</v>
      </c>
      <c r="F536" s="45" t="s">
        <v>123</v>
      </c>
      <c r="G536" s="207" t="s">
        <v>28</v>
      </c>
      <c r="H536" s="45" t="s">
        <v>385</v>
      </c>
      <c r="I536" s="7" t="s">
        <v>22</v>
      </c>
      <c r="J536" s="3">
        <v>0.7</v>
      </c>
      <c r="K536" s="1" t="s">
        <v>305</v>
      </c>
      <c r="L536" s="8" t="s">
        <v>257</v>
      </c>
      <c r="M536" s="13" t="s">
        <v>306</v>
      </c>
      <c r="N536" s="3">
        <v>0.95</v>
      </c>
      <c r="O536" s="3">
        <v>0.1</v>
      </c>
      <c r="P536" s="3"/>
      <c r="Q536" s="3">
        <f t="shared" si="23"/>
        <v>0</v>
      </c>
      <c r="R536" s="4">
        <f t="shared" si="25"/>
        <v>0</v>
      </c>
      <c r="S536" s="3" t="s">
        <v>23</v>
      </c>
      <c r="T536" s="195"/>
    </row>
    <row r="537" spans="1:20" ht="21.6" x14ac:dyDescent="0.3">
      <c r="A537" s="139">
        <v>2075</v>
      </c>
      <c r="B537" s="42" t="s">
        <v>20</v>
      </c>
      <c r="C537" s="43" t="s">
        <v>267</v>
      </c>
      <c r="D537" s="50">
        <v>3751</v>
      </c>
      <c r="E537" s="42" t="s">
        <v>179</v>
      </c>
      <c r="F537" s="45" t="s">
        <v>123</v>
      </c>
      <c r="G537" s="207" t="s">
        <v>28</v>
      </c>
      <c r="H537" s="45" t="s">
        <v>385</v>
      </c>
      <c r="I537" s="47" t="s">
        <v>22</v>
      </c>
      <c r="J537" s="3">
        <v>0.7</v>
      </c>
      <c r="K537" s="49" t="s">
        <v>129</v>
      </c>
      <c r="L537" s="30" t="s">
        <v>130</v>
      </c>
      <c r="M537" s="47" t="s">
        <v>131</v>
      </c>
      <c r="N537" s="3">
        <v>0.9</v>
      </c>
      <c r="O537" s="10">
        <v>0.2</v>
      </c>
      <c r="P537" s="3"/>
      <c r="Q537" s="3">
        <f t="shared" si="23"/>
        <v>0</v>
      </c>
      <c r="R537" s="48">
        <f t="shared" si="25"/>
        <v>0</v>
      </c>
      <c r="S537" s="10" t="s">
        <v>23</v>
      </c>
      <c r="T537" s="193"/>
    </row>
    <row r="538" spans="1:20" ht="21.6" x14ac:dyDescent="0.3">
      <c r="A538" s="139">
        <v>2076</v>
      </c>
      <c r="B538" s="42" t="s">
        <v>20</v>
      </c>
      <c r="C538" s="43" t="s">
        <v>267</v>
      </c>
      <c r="D538" s="50">
        <v>3751</v>
      </c>
      <c r="E538" s="42" t="s">
        <v>179</v>
      </c>
      <c r="F538" s="45" t="s">
        <v>123</v>
      </c>
      <c r="G538" s="207" t="s">
        <v>28</v>
      </c>
      <c r="H538" s="45" t="s">
        <v>385</v>
      </c>
      <c r="I538" s="47" t="s">
        <v>22</v>
      </c>
      <c r="J538" s="3">
        <v>0.7</v>
      </c>
      <c r="K538" s="49" t="s">
        <v>132</v>
      </c>
      <c r="L538" s="30" t="s">
        <v>133</v>
      </c>
      <c r="M538" s="47" t="s">
        <v>134</v>
      </c>
      <c r="N538" s="4">
        <v>0</v>
      </c>
      <c r="O538" s="10">
        <v>0.1</v>
      </c>
      <c r="P538" s="3"/>
      <c r="Q538" s="3">
        <f t="shared" si="23"/>
        <v>0</v>
      </c>
      <c r="R538" s="48">
        <f t="shared" si="25"/>
        <v>0</v>
      </c>
      <c r="S538" s="10" t="s">
        <v>24</v>
      </c>
      <c r="T538" s="193"/>
    </row>
    <row r="539" spans="1:20" ht="21.6" x14ac:dyDescent="0.3">
      <c r="A539" s="139">
        <v>2077</v>
      </c>
      <c r="B539" s="42" t="s">
        <v>20</v>
      </c>
      <c r="C539" s="43" t="s">
        <v>267</v>
      </c>
      <c r="D539" s="50">
        <v>3751</v>
      </c>
      <c r="E539" s="42" t="s">
        <v>179</v>
      </c>
      <c r="F539" s="45" t="s">
        <v>123</v>
      </c>
      <c r="G539" s="207" t="s">
        <v>28</v>
      </c>
      <c r="H539" s="45" t="s">
        <v>385</v>
      </c>
      <c r="I539" s="47" t="s">
        <v>22</v>
      </c>
      <c r="J539" s="3">
        <v>0.7</v>
      </c>
      <c r="K539" s="49" t="s">
        <v>135</v>
      </c>
      <c r="L539" s="30" t="s">
        <v>136</v>
      </c>
      <c r="M539" s="49" t="s">
        <v>137</v>
      </c>
      <c r="N539" s="3">
        <v>0.9</v>
      </c>
      <c r="O539" s="10">
        <v>0.2</v>
      </c>
      <c r="P539" s="51"/>
      <c r="Q539" s="3">
        <f t="shared" si="23"/>
        <v>0</v>
      </c>
      <c r="R539" s="48">
        <f t="shared" si="25"/>
        <v>0</v>
      </c>
      <c r="S539" s="10" t="s">
        <v>23</v>
      </c>
      <c r="T539" s="193"/>
    </row>
    <row r="540" spans="1:20" ht="22.2" thickBot="1" x14ac:dyDescent="0.35">
      <c r="A540" s="142">
        <v>2078</v>
      </c>
      <c r="B540" s="81" t="s">
        <v>20</v>
      </c>
      <c r="C540" s="82" t="s">
        <v>267</v>
      </c>
      <c r="D540" s="113">
        <v>3751</v>
      </c>
      <c r="E540" s="81" t="s">
        <v>179</v>
      </c>
      <c r="F540" s="84" t="s">
        <v>123</v>
      </c>
      <c r="G540" s="209" t="s">
        <v>28</v>
      </c>
      <c r="H540" s="84" t="s">
        <v>385</v>
      </c>
      <c r="I540" s="85" t="s">
        <v>26</v>
      </c>
      <c r="J540" s="86">
        <v>0.3</v>
      </c>
      <c r="K540" s="115" t="s">
        <v>138</v>
      </c>
      <c r="L540" s="114" t="s">
        <v>139</v>
      </c>
      <c r="M540" s="115" t="s">
        <v>140</v>
      </c>
      <c r="N540" s="86">
        <v>1</v>
      </c>
      <c r="O540" s="91">
        <v>1</v>
      </c>
      <c r="P540" s="86"/>
      <c r="Q540" s="86">
        <f t="shared" si="23"/>
        <v>0</v>
      </c>
      <c r="R540" s="104">
        <f t="shared" si="25"/>
        <v>0</v>
      </c>
      <c r="S540" s="91" t="s">
        <v>23</v>
      </c>
      <c r="T540" s="147"/>
    </row>
    <row r="541" spans="1:20" ht="21.6" x14ac:dyDescent="0.3">
      <c r="A541" s="144">
        <v>2070</v>
      </c>
      <c r="B541" s="64" t="s">
        <v>20</v>
      </c>
      <c r="C541" s="65" t="s">
        <v>267</v>
      </c>
      <c r="D541" s="111">
        <v>6245</v>
      </c>
      <c r="E541" s="64" t="s">
        <v>180</v>
      </c>
      <c r="F541" s="67" t="s">
        <v>145</v>
      </c>
      <c r="G541" s="210" t="s">
        <v>28</v>
      </c>
      <c r="H541" s="67" t="s">
        <v>385</v>
      </c>
      <c r="I541" s="98" t="s">
        <v>22</v>
      </c>
      <c r="J541" s="69">
        <v>0.7</v>
      </c>
      <c r="K541" s="101" t="s">
        <v>513</v>
      </c>
      <c r="L541" s="105" t="s">
        <v>511</v>
      </c>
      <c r="M541" s="101" t="s">
        <v>411</v>
      </c>
      <c r="N541" s="69">
        <v>0.95</v>
      </c>
      <c r="O541" s="69">
        <v>0.15</v>
      </c>
      <c r="P541" s="76"/>
      <c r="Q541" s="69">
        <f t="shared" si="23"/>
        <v>0</v>
      </c>
      <c r="R541" s="100">
        <f t="shared" si="25"/>
        <v>0</v>
      </c>
      <c r="S541" s="69" t="s">
        <v>23</v>
      </c>
      <c r="T541" s="192">
        <f>SUM(R541:R548)%</f>
        <v>0</v>
      </c>
    </row>
    <row r="542" spans="1:20" ht="21.6" x14ac:dyDescent="0.3">
      <c r="A542" s="139">
        <v>2072</v>
      </c>
      <c r="B542" s="42" t="s">
        <v>20</v>
      </c>
      <c r="C542" s="43" t="s">
        <v>267</v>
      </c>
      <c r="D542" s="50">
        <v>6245</v>
      </c>
      <c r="E542" s="42" t="s">
        <v>180</v>
      </c>
      <c r="F542" s="45" t="s">
        <v>145</v>
      </c>
      <c r="G542" s="207" t="s">
        <v>28</v>
      </c>
      <c r="H542" s="45" t="s">
        <v>385</v>
      </c>
      <c r="I542" s="7" t="s">
        <v>22</v>
      </c>
      <c r="J542" s="3">
        <v>0.7</v>
      </c>
      <c r="K542" s="1" t="s">
        <v>124</v>
      </c>
      <c r="L542" s="8" t="s">
        <v>125</v>
      </c>
      <c r="M542" s="7" t="s">
        <v>126</v>
      </c>
      <c r="N542" s="3">
        <v>0.95</v>
      </c>
      <c r="O542" s="3">
        <v>0.15</v>
      </c>
      <c r="P542" s="6"/>
      <c r="Q542" s="3">
        <f t="shared" si="23"/>
        <v>0</v>
      </c>
      <c r="R542" s="4">
        <f t="shared" si="25"/>
        <v>0</v>
      </c>
      <c r="S542" s="3" t="s">
        <v>23</v>
      </c>
      <c r="T542" s="195"/>
    </row>
    <row r="543" spans="1:20" ht="21.6" x14ac:dyDescent="0.3">
      <c r="A543" s="139">
        <v>2073</v>
      </c>
      <c r="B543" s="42" t="s">
        <v>20</v>
      </c>
      <c r="C543" s="43" t="s">
        <v>267</v>
      </c>
      <c r="D543" s="50">
        <v>6245</v>
      </c>
      <c r="E543" s="42" t="s">
        <v>180</v>
      </c>
      <c r="F543" s="45" t="s">
        <v>145</v>
      </c>
      <c r="G543" s="207" t="s">
        <v>28</v>
      </c>
      <c r="H543" s="45" t="s">
        <v>385</v>
      </c>
      <c r="I543" s="7" t="s">
        <v>22</v>
      </c>
      <c r="J543" s="3">
        <v>0.7</v>
      </c>
      <c r="K543" s="1" t="s">
        <v>51</v>
      </c>
      <c r="L543" s="8" t="s">
        <v>127</v>
      </c>
      <c r="M543" s="7" t="s">
        <v>128</v>
      </c>
      <c r="N543" s="6">
        <v>0.05</v>
      </c>
      <c r="O543" s="3">
        <v>0.1</v>
      </c>
      <c r="P543" s="11"/>
      <c r="Q543" s="3">
        <f t="shared" si="23"/>
        <v>0</v>
      </c>
      <c r="R543" s="4">
        <f t="shared" si="25"/>
        <v>0</v>
      </c>
      <c r="S543" s="3" t="s">
        <v>24</v>
      </c>
      <c r="T543" s="195"/>
    </row>
    <row r="544" spans="1:20" ht="21.6" x14ac:dyDescent="0.3">
      <c r="A544" s="139">
        <v>2074</v>
      </c>
      <c r="B544" s="42" t="s">
        <v>20</v>
      </c>
      <c r="C544" s="43" t="s">
        <v>267</v>
      </c>
      <c r="D544" s="50">
        <v>6245</v>
      </c>
      <c r="E544" s="42" t="s">
        <v>180</v>
      </c>
      <c r="F544" s="45" t="s">
        <v>145</v>
      </c>
      <c r="G544" s="207" t="s">
        <v>28</v>
      </c>
      <c r="H544" s="45" t="s">
        <v>385</v>
      </c>
      <c r="I544" s="7" t="s">
        <v>22</v>
      </c>
      <c r="J544" s="3">
        <v>0.7</v>
      </c>
      <c r="K544" s="1" t="s">
        <v>305</v>
      </c>
      <c r="L544" s="8" t="s">
        <v>257</v>
      </c>
      <c r="M544" s="13" t="s">
        <v>306</v>
      </c>
      <c r="N544" s="3">
        <v>0.95</v>
      </c>
      <c r="O544" s="3">
        <v>0.1</v>
      </c>
      <c r="P544" s="3"/>
      <c r="Q544" s="3">
        <f t="shared" si="23"/>
        <v>0</v>
      </c>
      <c r="R544" s="4">
        <f t="shared" si="25"/>
        <v>0</v>
      </c>
      <c r="S544" s="3" t="s">
        <v>23</v>
      </c>
      <c r="T544" s="195"/>
    </row>
    <row r="545" spans="1:20" ht="21.6" x14ac:dyDescent="0.3">
      <c r="A545" s="139">
        <v>2075</v>
      </c>
      <c r="B545" s="42" t="s">
        <v>20</v>
      </c>
      <c r="C545" s="43" t="s">
        <v>267</v>
      </c>
      <c r="D545" s="50">
        <v>6245</v>
      </c>
      <c r="E545" s="42" t="s">
        <v>180</v>
      </c>
      <c r="F545" s="45" t="s">
        <v>145</v>
      </c>
      <c r="G545" s="207" t="s">
        <v>28</v>
      </c>
      <c r="H545" s="45" t="s">
        <v>385</v>
      </c>
      <c r="I545" s="47" t="s">
        <v>22</v>
      </c>
      <c r="J545" s="3">
        <v>0.7</v>
      </c>
      <c r="K545" s="49" t="s">
        <v>129</v>
      </c>
      <c r="L545" s="30" t="s">
        <v>130</v>
      </c>
      <c r="M545" s="47" t="s">
        <v>131</v>
      </c>
      <c r="N545" s="3">
        <v>0.9</v>
      </c>
      <c r="O545" s="10">
        <v>0.2</v>
      </c>
      <c r="P545" s="3"/>
      <c r="Q545" s="3">
        <f t="shared" si="23"/>
        <v>0</v>
      </c>
      <c r="R545" s="48">
        <f t="shared" si="25"/>
        <v>0</v>
      </c>
      <c r="S545" s="10" t="s">
        <v>23</v>
      </c>
      <c r="T545" s="193"/>
    </row>
    <row r="546" spans="1:20" ht="21.6" x14ac:dyDescent="0.3">
      <c r="A546" s="139">
        <v>2076</v>
      </c>
      <c r="B546" s="42" t="s">
        <v>20</v>
      </c>
      <c r="C546" s="43" t="s">
        <v>267</v>
      </c>
      <c r="D546" s="50">
        <v>6245</v>
      </c>
      <c r="E546" s="42" t="s">
        <v>180</v>
      </c>
      <c r="F546" s="45" t="s">
        <v>145</v>
      </c>
      <c r="G546" s="207" t="s">
        <v>28</v>
      </c>
      <c r="H546" s="45" t="s">
        <v>385</v>
      </c>
      <c r="I546" s="47" t="s">
        <v>22</v>
      </c>
      <c r="J546" s="3">
        <v>0.7</v>
      </c>
      <c r="K546" s="49" t="s">
        <v>132</v>
      </c>
      <c r="L546" s="30" t="s">
        <v>133</v>
      </c>
      <c r="M546" s="47" t="s">
        <v>134</v>
      </c>
      <c r="N546" s="4">
        <v>0</v>
      </c>
      <c r="O546" s="10">
        <v>0.1</v>
      </c>
      <c r="P546" s="3"/>
      <c r="Q546" s="3">
        <f t="shared" si="23"/>
        <v>0</v>
      </c>
      <c r="R546" s="48">
        <f t="shared" si="25"/>
        <v>0</v>
      </c>
      <c r="S546" s="10" t="s">
        <v>24</v>
      </c>
      <c r="T546" s="193"/>
    </row>
    <row r="547" spans="1:20" ht="21.6" x14ac:dyDescent="0.3">
      <c r="A547" s="139">
        <v>2077</v>
      </c>
      <c r="B547" s="42" t="s">
        <v>20</v>
      </c>
      <c r="C547" s="43" t="s">
        <v>267</v>
      </c>
      <c r="D547" s="50">
        <v>6245</v>
      </c>
      <c r="E547" s="42" t="s">
        <v>180</v>
      </c>
      <c r="F547" s="45" t="s">
        <v>145</v>
      </c>
      <c r="G547" s="207" t="s">
        <v>28</v>
      </c>
      <c r="H547" s="45" t="s">
        <v>385</v>
      </c>
      <c r="I547" s="47" t="s">
        <v>22</v>
      </c>
      <c r="J547" s="3">
        <v>0.7</v>
      </c>
      <c r="K547" s="49" t="s">
        <v>135</v>
      </c>
      <c r="L547" s="30" t="s">
        <v>136</v>
      </c>
      <c r="M547" s="49" t="s">
        <v>137</v>
      </c>
      <c r="N547" s="3">
        <v>0.9</v>
      </c>
      <c r="O547" s="10">
        <v>0.2</v>
      </c>
      <c r="P547" s="51"/>
      <c r="Q547" s="3">
        <f t="shared" si="23"/>
        <v>0</v>
      </c>
      <c r="R547" s="48">
        <f t="shared" si="25"/>
        <v>0</v>
      </c>
      <c r="S547" s="10" t="s">
        <v>23</v>
      </c>
      <c r="T547" s="193"/>
    </row>
    <row r="548" spans="1:20" ht="22.2" thickBot="1" x14ac:dyDescent="0.35">
      <c r="A548" s="142">
        <v>2078</v>
      </c>
      <c r="B548" s="81" t="s">
        <v>20</v>
      </c>
      <c r="C548" s="82" t="s">
        <v>267</v>
      </c>
      <c r="D548" s="113">
        <v>6245</v>
      </c>
      <c r="E548" s="81" t="s">
        <v>180</v>
      </c>
      <c r="F548" s="84" t="s">
        <v>145</v>
      </c>
      <c r="G548" s="209" t="s">
        <v>28</v>
      </c>
      <c r="H548" s="84" t="s">
        <v>385</v>
      </c>
      <c r="I548" s="85" t="s">
        <v>26</v>
      </c>
      <c r="J548" s="86">
        <v>0.3</v>
      </c>
      <c r="K548" s="115" t="s">
        <v>138</v>
      </c>
      <c r="L548" s="114" t="s">
        <v>139</v>
      </c>
      <c r="M548" s="115" t="s">
        <v>140</v>
      </c>
      <c r="N548" s="86">
        <v>1</v>
      </c>
      <c r="O548" s="91">
        <v>1</v>
      </c>
      <c r="P548" s="86"/>
      <c r="Q548" s="86">
        <f t="shared" si="23"/>
        <v>0</v>
      </c>
      <c r="R548" s="104">
        <f t="shared" si="25"/>
        <v>0</v>
      </c>
      <c r="S548" s="91" t="s">
        <v>23</v>
      </c>
      <c r="T548" s="147"/>
    </row>
    <row r="549" spans="1:20" ht="21.6" x14ac:dyDescent="0.3">
      <c r="A549" s="144">
        <v>2070</v>
      </c>
      <c r="B549" s="64" t="s">
        <v>20</v>
      </c>
      <c r="C549" s="65" t="s">
        <v>267</v>
      </c>
      <c r="D549" s="111">
        <v>6328</v>
      </c>
      <c r="E549" s="64" t="s">
        <v>181</v>
      </c>
      <c r="F549" s="67" t="s">
        <v>174</v>
      </c>
      <c r="G549" s="210" t="s">
        <v>28</v>
      </c>
      <c r="H549" s="67" t="s">
        <v>385</v>
      </c>
      <c r="I549" s="98" t="s">
        <v>22</v>
      </c>
      <c r="J549" s="69">
        <v>0.7</v>
      </c>
      <c r="K549" s="101" t="s">
        <v>513</v>
      </c>
      <c r="L549" s="105" t="s">
        <v>511</v>
      </c>
      <c r="M549" s="101" t="s">
        <v>411</v>
      </c>
      <c r="N549" s="69">
        <v>0.95</v>
      </c>
      <c r="O549" s="69">
        <v>0.15</v>
      </c>
      <c r="P549" s="76"/>
      <c r="Q549" s="69">
        <f t="shared" si="23"/>
        <v>0</v>
      </c>
      <c r="R549" s="100">
        <f t="shared" si="25"/>
        <v>0</v>
      </c>
      <c r="S549" s="69" t="s">
        <v>23</v>
      </c>
      <c r="T549" s="192">
        <f>SUM(R549:R556)%</f>
        <v>0</v>
      </c>
    </row>
    <row r="550" spans="1:20" ht="21.6" x14ac:dyDescent="0.3">
      <c r="A550" s="139">
        <v>2072</v>
      </c>
      <c r="B550" s="42" t="s">
        <v>20</v>
      </c>
      <c r="C550" s="43" t="s">
        <v>267</v>
      </c>
      <c r="D550" s="50">
        <v>6328</v>
      </c>
      <c r="E550" s="42" t="s">
        <v>181</v>
      </c>
      <c r="F550" s="45" t="s">
        <v>174</v>
      </c>
      <c r="G550" s="207" t="s">
        <v>28</v>
      </c>
      <c r="H550" s="45" t="s">
        <v>385</v>
      </c>
      <c r="I550" s="7" t="s">
        <v>22</v>
      </c>
      <c r="J550" s="3">
        <v>0.7</v>
      </c>
      <c r="K550" s="1" t="s">
        <v>124</v>
      </c>
      <c r="L550" s="8" t="s">
        <v>125</v>
      </c>
      <c r="M550" s="7" t="s">
        <v>126</v>
      </c>
      <c r="N550" s="3">
        <v>0.95</v>
      </c>
      <c r="O550" s="3">
        <v>0.15</v>
      </c>
      <c r="P550" s="6"/>
      <c r="Q550" s="3">
        <f t="shared" si="23"/>
        <v>0</v>
      </c>
      <c r="R550" s="4">
        <f t="shared" si="25"/>
        <v>0</v>
      </c>
      <c r="S550" s="3" t="s">
        <v>23</v>
      </c>
      <c r="T550" s="195"/>
    </row>
    <row r="551" spans="1:20" ht="21.6" x14ac:dyDescent="0.3">
      <c r="A551" s="139">
        <v>2073</v>
      </c>
      <c r="B551" s="42" t="s">
        <v>20</v>
      </c>
      <c r="C551" s="43" t="s">
        <v>267</v>
      </c>
      <c r="D551" s="50">
        <v>6328</v>
      </c>
      <c r="E551" s="42" t="s">
        <v>181</v>
      </c>
      <c r="F551" s="45" t="s">
        <v>174</v>
      </c>
      <c r="G551" s="207" t="s">
        <v>28</v>
      </c>
      <c r="H551" s="45" t="s">
        <v>385</v>
      </c>
      <c r="I551" s="7" t="s">
        <v>22</v>
      </c>
      <c r="J551" s="3">
        <v>0.7</v>
      </c>
      <c r="K551" s="1" t="s">
        <v>51</v>
      </c>
      <c r="L551" s="8" t="s">
        <v>127</v>
      </c>
      <c r="M551" s="7" t="s">
        <v>128</v>
      </c>
      <c r="N551" s="6">
        <v>0.05</v>
      </c>
      <c r="O551" s="3">
        <v>0.1</v>
      </c>
      <c r="P551" s="11"/>
      <c r="Q551" s="3">
        <f t="shared" si="23"/>
        <v>0</v>
      </c>
      <c r="R551" s="4">
        <f t="shared" si="25"/>
        <v>0</v>
      </c>
      <c r="S551" s="3" t="s">
        <v>24</v>
      </c>
      <c r="T551" s="195"/>
    </row>
    <row r="552" spans="1:20" ht="21.6" x14ac:dyDescent="0.3">
      <c r="A552" s="139">
        <v>2074</v>
      </c>
      <c r="B552" s="42" t="s">
        <v>20</v>
      </c>
      <c r="C552" s="43" t="s">
        <v>267</v>
      </c>
      <c r="D552" s="50">
        <v>6328</v>
      </c>
      <c r="E552" s="42" t="s">
        <v>181</v>
      </c>
      <c r="F552" s="45" t="s">
        <v>174</v>
      </c>
      <c r="G552" s="207" t="s">
        <v>28</v>
      </c>
      <c r="H552" s="45" t="s">
        <v>385</v>
      </c>
      <c r="I552" s="7" t="s">
        <v>22</v>
      </c>
      <c r="J552" s="3">
        <v>0.7</v>
      </c>
      <c r="K552" s="1" t="s">
        <v>305</v>
      </c>
      <c r="L552" s="8" t="s">
        <v>257</v>
      </c>
      <c r="M552" s="13" t="s">
        <v>306</v>
      </c>
      <c r="N552" s="3">
        <v>0.95</v>
      </c>
      <c r="O552" s="3">
        <v>0.1</v>
      </c>
      <c r="P552" s="3"/>
      <c r="Q552" s="3">
        <f t="shared" si="23"/>
        <v>0</v>
      </c>
      <c r="R552" s="4">
        <f t="shared" si="25"/>
        <v>0</v>
      </c>
      <c r="S552" s="3" t="s">
        <v>23</v>
      </c>
      <c r="T552" s="195"/>
    </row>
    <row r="553" spans="1:20" ht="21.6" x14ac:dyDescent="0.3">
      <c r="A553" s="139">
        <v>2075</v>
      </c>
      <c r="B553" s="42" t="s">
        <v>20</v>
      </c>
      <c r="C553" s="43" t="s">
        <v>267</v>
      </c>
      <c r="D553" s="50">
        <v>6328</v>
      </c>
      <c r="E553" s="42" t="s">
        <v>181</v>
      </c>
      <c r="F553" s="45" t="s">
        <v>174</v>
      </c>
      <c r="G553" s="207" t="s">
        <v>28</v>
      </c>
      <c r="H553" s="45" t="s">
        <v>385</v>
      </c>
      <c r="I553" s="47" t="s">
        <v>22</v>
      </c>
      <c r="J553" s="3">
        <v>0.7</v>
      </c>
      <c r="K553" s="49" t="s">
        <v>129</v>
      </c>
      <c r="L553" s="30" t="s">
        <v>130</v>
      </c>
      <c r="M553" s="47" t="s">
        <v>131</v>
      </c>
      <c r="N553" s="3">
        <v>0.9</v>
      </c>
      <c r="O553" s="10">
        <v>0.2</v>
      </c>
      <c r="P553" s="3"/>
      <c r="Q553" s="3">
        <f t="shared" si="23"/>
        <v>0</v>
      </c>
      <c r="R553" s="48">
        <f t="shared" si="25"/>
        <v>0</v>
      </c>
      <c r="S553" s="10" t="s">
        <v>23</v>
      </c>
      <c r="T553" s="193"/>
    </row>
    <row r="554" spans="1:20" ht="21.6" x14ac:dyDescent="0.3">
      <c r="A554" s="139">
        <v>2076</v>
      </c>
      <c r="B554" s="42" t="s">
        <v>20</v>
      </c>
      <c r="C554" s="43" t="s">
        <v>267</v>
      </c>
      <c r="D554" s="50">
        <v>6328</v>
      </c>
      <c r="E554" s="42" t="s">
        <v>181</v>
      </c>
      <c r="F554" s="45" t="s">
        <v>174</v>
      </c>
      <c r="G554" s="207" t="s">
        <v>28</v>
      </c>
      <c r="H554" s="45" t="s">
        <v>385</v>
      </c>
      <c r="I554" s="47" t="s">
        <v>22</v>
      </c>
      <c r="J554" s="3">
        <v>0.7</v>
      </c>
      <c r="K554" s="49" t="s">
        <v>132</v>
      </c>
      <c r="L554" s="30" t="s">
        <v>133</v>
      </c>
      <c r="M554" s="47" t="s">
        <v>134</v>
      </c>
      <c r="N554" s="4">
        <v>0</v>
      </c>
      <c r="O554" s="10">
        <v>0.1</v>
      </c>
      <c r="P554" s="3"/>
      <c r="Q554" s="3">
        <f t="shared" si="23"/>
        <v>0</v>
      </c>
      <c r="R554" s="48">
        <f t="shared" si="25"/>
        <v>0</v>
      </c>
      <c r="S554" s="10" t="s">
        <v>24</v>
      </c>
      <c r="T554" s="193"/>
    </row>
    <row r="555" spans="1:20" ht="21.6" x14ac:dyDescent="0.3">
      <c r="A555" s="139">
        <v>2077</v>
      </c>
      <c r="B555" s="42" t="s">
        <v>20</v>
      </c>
      <c r="C555" s="43" t="s">
        <v>267</v>
      </c>
      <c r="D555" s="50">
        <v>6328</v>
      </c>
      <c r="E555" s="42" t="s">
        <v>181</v>
      </c>
      <c r="F555" s="45" t="s">
        <v>174</v>
      </c>
      <c r="G555" s="207" t="s">
        <v>28</v>
      </c>
      <c r="H555" s="45" t="s">
        <v>385</v>
      </c>
      <c r="I555" s="47" t="s">
        <v>22</v>
      </c>
      <c r="J555" s="3">
        <v>0.7</v>
      </c>
      <c r="K555" s="49" t="s">
        <v>135</v>
      </c>
      <c r="L555" s="30" t="s">
        <v>136</v>
      </c>
      <c r="M555" s="49" t="s">
        <v>137</v>
      </c>
      <c r="N555" s="3">
        <v>0.9</v>
      </c>
      <c r="O555" s="10">
        <v>0.2</v>
      </c>
      <c r="P555" s="51"/>
      <c r="Q555" s="3">
        <f t="shared" si="23"/>
        <v>0</v>
      </c>
      <c r="R555" s="48">
        <f t="shared" si="25"/>
        <v>0</v>
      </c>
      <c r="S555" s="10" t="s">
        <v>23</v>
      </c>
      <c r="T555" s="193"/>
    </row>
    <row r="556" spans="1:20" ht="22.2" thickBot="1" x14ac:dyDescent="0.35">
      <c r="A556" s="142">
        <v>2078</v>
      </c>
      <c r="B556" s="81" t="s">
        <v>20</v>
      </c>
      <c r="C556" s="82" t="s">
        <v>267</v>
      </c>
      <c r="D556" s="113">
        <v>6328</v>
      </c>
      <c r="E556" s="81" t="s">
        <v>181</v>
      </c>
      <c r="F556" s="84" t="s">
        <v>174</v>
      </c>
      <c r="G556" s="209" t="s">
        <v>28</v>
      </c>
      <c r="H556" s="84" t="s">
        <v>385</v>
      </c>
      <c r="I556" s="85" t="s">
        <v>26</v>
      </c>
      <c r="J556" s="86">
        <v>0.3</v>
      </c>
      <c r="K556" s="115" t="s">
        <v>138</v>
      </c>
      <c r="L556" s="114" t="s">
        <v>139</v>
      </c>
      <c r="M556" s="115" t="s">
        <v>140</v>
      </c>
      <c r="N556" s="86">
        <v>1</v>
      </c>
      <c r="O556" s="91">
        <v>1</v>
      </c>
      <c r="P556" s="86"/>
      <c r="Q556" s="86">
        <f t="shared" si="23"/>
        <v>0</v>
      </c>
      <c r="R556" s="104">
        <f t="shared" si="25"/>
        <v>0</v>
      </c>
      <c r="S556" s="91" t="s">
        <v>23</v>
      </c>
      <c r="T556" s="147"/>
    </row>
    <row r="557" spans="1:20" ht="21.6" x14ac:dyDescent="0.3">
      <c r="A557" s="144">
        <v>2070</v>
      </c>
      <c r="B557" s="64" t="s">
        <v>20</v>
      </c>
      <c r="C557" s="65" t="s">
        <v>267</v>
      </c>
      <c r="D557" s="111">
        <v>6406</v>
      </c>
      <c r="E557" s="64" t="s">
        <v>182</v>
      </c>
      <c r="F557" s="67" t="s">
        <v>123</v>
      </c>
      <c r="G557" s="210" t="s">
        <v>28</v>
      </c>
      <c r="H557" s="67" t="s">
        <v>385</v>
      </c>
      <c r="I557" s="98" t="s">
        <v>22</v>
      </c>
      <c r="J557" s="69">
        <v>0.7</v>
      </c>
      <c r="K557" s="101" t="s">
        <v>513</v>
      </c>
      <c r="L557" s="105" t="s">
        <v>511</v>
      </c>
      <c r="M557" s="101" t="s">
        <v>411</v>
      </c>
      <c r="N557" s="69">
        <v>0.95</v>
      </c>
      <c r="O557" s="69">
        <v>0.15</v>
      </c>
      <c r="P557" s="76"/>
      <c r="Q557" s="69">
        <f t="shared" si="23"/>
        <v>0</v>
      </c>
      <c r="R557" s="100">
        <f t="shared" si="25"/>
        <v>0</v>
      </c>
      <c r="S557" s="69" t="s">
        <v>23</v>
      </c>
      <c r="T557" s="192">
        <f>SUM(R557:R564)%</f>
        <v>0</v>
      </c>
    </row>
    <row r="558" spans="1:20" ht="21.6" x14ac:dyDescent="0.3">
      <c r="A558" s="139">
        <v>2072</v>
      </c>
      <c r="B558" s="42" t="s">
        <v>20</v>
      </c>
      <c r="C558" s="43" t="s">
        <v>267</v>
      </c>
      <c r="D558" s="50">
        <v>6406</v>
      </c>
      <c r="E558" s="42" t="s">
        <v>182</v>
      </c>
      <c r="F558" s="45" t="s">
        <v>123</v>
      </c>
      <c r="G558" s="207" t="s">
        <v>28</v>
      </c>
      <c r="H558" s="45" t="s">
        <v>385</v>
      </c>
      <c r="I558" s="7" t="s">
        <v>22</v>
      </c>
      <c r="J558" s="3">
        <v>0.7</v>
      </c>
      <c r="K558" s="1" t="s">
        <v>124</v>
      </c>
      <c r="L558" s="8" t="s">
        <v>125</v>
      </c>
      <c r="M558" s="7" t="s">
        <v>126</v>
      </c>
      <c r="N558" s="3">
        <v>0.95</v>
      </c>
      <c r="O558" s="3">
        <v>0.15</v>
      </c>
      <c r="P558" s="6"/>
      <c r="Q558" s="3">
        <f t="shared" si="23"/>
        <v>0</v>
      </c>
      <c r="R558" s="4">
        <f t="shared" si="25"/>
        <v>0</v>
      </c>
      <c r="S558" s="3" t="s">
        <v>23</v>
      </c>
      <c r="T558" s="195"/>
    </row>
    <row r="559" spans="1:20" ht="21.6" x14ac:dyDescent="0.3">
      <c r="A559" s="139">
        <v>2073</v>
      </c>
      <c r="B559" s="42" t="s">
        <v>20</v>
      </c>
      <c r="C559" s="43" t="s">
        <v>267</v>
      </c>
      <c r="D559" s="50">
        <v>6406</v>
      </c>
      <c r="E559" s="42" t="s">
        <v>182</v>
      </c>
      <c r="F559" s="45" t="s">
        <v>123</v>
      </c>
      <c r="G559" s="207" t="s">
        <v>28</v>
      </c>
      <c r="H559" s="45" t="s">
        <v>385</v>
      </c>
      <c r="I559" s="7" t="s">
        <v>22</v>
      </c>
      <c r="J559" s="3">
        <v>0.7</v>
      </c>
      <c r="K559" s="1" t="s">
        <v>51</v>
      </c>
      <c r="L559" s="8" t="s">
        <v>127</v>
      </c>
      <c r="M559" s="7" t="s">
        <v>128</v>
      </c>
      <c r="N559" s="6">
        <v>0.05</v>
      </c>
      <c r="O559" s="3">
        <v>0.1</v>
      </c>
      <c r="P559" s="11"/>
      <c r="Q559" s="3">
        <f t="shared" si="23"/>
        <v>0</v>
      </c>
      <c r="R559" s="4">
        <f t="shared" si="25"/>
        <v>0</v>
      </c>
      <c r="S559" s="3" t="s">
        <v>24</v>
      </c>
      <c r="T559" s="195"/>
    </row>
    <row r="560" spans="1:20" ht="21.6" x14ac:dyDescent="0.3">
      <c r="A560" s="139">
        <v>2074</v>
      </c>
      <c r="B560" s="42" t="s">
        <v>20</v>
      </c>
      <c r="C560" s="43" t="s">
        <v>267</v>
      </c>
      <c r="D560" s="50">
        <v>6406</v>
      </c>
      <c r="E560" s="42" t="s">
        <v>182</v>
      </c>
      <c r="F560" s="45" t="s">
        <v>123</v>
      </c>
      <c r="G560" s="207" t="s">
        <v>28</v>
      </c>
      <c r="H560" s="45" t="s">
        <v>385</v>
      </c>
      <c r="I560" s="7" t="s">
        <v>22</v>
      </c>
      <c r="J560" s="3">
        <v>0.7</v>
      </c>
      <c r="K560" s="1" t="s">
        <v>305</v>
      </c>
      <c r="L560" s="8" t="s">
        <v>257</v>
      </c>
      <c r="M560" s="13" t="s">
        <v>306</v>
      </c>
      <c r="N560" s="3">
        <v>0.95</v>
      </c>
      <c r="O560" s="3">
        <v>0.1</v>
      </c>
      <c r="P560" s="3"/>
      <c r="Q560" s="3">
        <f t="shared" si="23"/>
        <v>0</v>
      </c>
      <c r="R560" s="4">
        <f t="shared" si="25"/>
        <v>0</v>
      </c>
      <c r="S560" s="3" t="s">
        <v>23</v>
      </c>
      <c r="T560" s="195"/>
    </row>
    <row r="561" spans="1:20" ht="21.6" x14ac:dyDescent="0.3">
      <c r="A561" s="139">
        <v>2075</v>
      </c>
      <c r="B561" s="42" t="s">
        <v>20</v>
      </c>
      <c r="C561" s="43" t="s">
        <v>267</v>
      </c>
      <c r="D561" s="50">
        <v>6406</v>
      </c>
      <c r="E561" s="42" t="s">
        <v>182</v>
      </c>
      <c r="F561" s="45" t="s">
        <v>123</v>
      </c>
      <c r="G561" s="207" t="s">
        <v>28</v>
      </c>
      <c r="H561" s="45" t="s">
        <v>385</v>
      </c>
      <c r="I561" s="47" t="s">
        <v>22</v>
      </c>
      <c r="J561" s="3">
        <v>0.7</v>
      </c>
      <c r="K561" s="49" t="s">
        <v>129</v>
      </c>
      <c r="L561" s="30" t="s">
        <v>130</v>
      </c>
      <c r="M561" s="47" t="s">
        <v>131</v>
      </c>
      <c r="N561" s="3">
        <v>0.9</v>
      </c>
      <c r="O561" s="10">
        <v>0.2</v>
      </c>
      <c r="P561" s="3"/>
      <c r="Q561" s="3">
        <f t="shared" si="23"/>
        <v>0</v>
      </c>
      <c r="R561" s="48">
        <f t="shared" si="25"/>
        <v>0</v>
      </c>
      <c r="S561" s="10" t="s">
        <v>23</v>
      </c>
      <c r="T561" s="193"/>
    </row>
    <row r="562" spans="1:20" ht="21.6" x14ac:dyDescent="0.3">
      <c r="A562" s="139">
        <v>2076</v>
      </c>
      <c r="B562" s="42" t="s">
        <v>20</v>
      </c>
      <c r="C562" s="43" t="s">
        <v>267</v>
      </c>
      <c r="D562" s="50">
        <v>6406</v>
      </c>
      <c r="E562" s="42" t="s">
        <v>182</v>
      </c>
      <c r="F562" s="45" t="s">
        <v>123</v>
      </c>
      <c r="G562" s="207" t="s">
        <v>28</v>
      </c>
      <c r="H562" s="45" t="s">
        <v>385</v>
      </c>
      <c r="I562" s="47" t="s">
        <v>22</v>
      </c>
      <c r="J562" s="3">
        <v>0.7</v>
      </c>
      <c r="K562" s="49" t="s">
        <v>132</v>
      </c>
      <c r="L562" s="30" t="s">
        <v>133</v>
      </c>
      <c r="M562" s="47" t="s">
        <v>134</v>
      </c>
      <c r="N562" s="4">
        <v>0</v>
      </c>
      <c r="O562" s="10">
        <v>0.1</v>
      </c>
      <c r="P562" s="3"/>
      <c r="Q562" s="3">
        <f t="shared" si="23"/>
        <v>0</v>
      </c>
      <c r="R562" s="48">
        <f t="shared" si="25"/>
        <v>0</v>
      </c>
      <c r="S562" s="10" t="s">
        <v>24</v>
      </c>
      <c r="T562" s="193"/>
    </row>
    <row r="563" spans="1:20" ht="21.6" x14ac:dyDescent="0.3">
      <c r="A563" s="139">
        <v>2077</v>
      </c>
      <c r="B563" s="42" t="s">
        <v>20</v>
      </c>
      <c r="C563" s="43" t="s">
        <v>267</v>
      </c>
      <c r="D563" s="50">
        <v>6406</v>
      </c>
      <c r="E563" s="42" t="s">
        <v>182</v>
      </c>
      <c r="F563" s="45" t="s">
        <v>123</v>
      </c>
      <c r="G563" s="207" t="s">
        <v>28</v>
      </c>
      <c r="H563" s="45" t="s">
        <v>385</v>
      </c>
      <c r="I563" s="47" t="s">
        <v>22</v>
      </c>
      <c r="J563" s="3">
        <v>0.7</v>
      </c>
      <c r="K563" s="49" t="s">
        <v>135</v>
      </c>
      <c r="L563" s="30" t="s">
        <v>136</v>
      </c>
      <c r="M563" s="49" t="s">
        <v>137</v>
      </c>
      <c r="N563" s="3">
        <v>0.9</v>
      </c>
      <c r="O563" s="10">
        <v>0.2</v>
      </c>
      <c r="P563" s="51"/>
      <c r="Q563" s="3">
        <f t="shared" si="23"/>
        <v>0</v>
      </c>
      <c r="R563" s="48">
        <f t="shared" si="25"/>
        <v>0</v>
      </c>
      <c r="S563" s="10" t="s">
        <v>23</v>
      </c>
      <c r="T563" s="193"/>
    </row>
    <row r="564" spans="1:20" ht="22.2" thickBot="1" x14ac:dyDescent="0.35">
      <c r="A564" s="142">
        <v>2078</v>
      </c>
      <c r="B564" s="81" t="s">
        <v>20</v>
      </c>
      <c r="C564" s="82" t="s">
        <v>267</v>
      </c>
      <c r="D564" s="113">
        <v>6406</v>
      </c>
      <c r="E564" s="81" t="s">
        <v>182</v>
      </c>
      <c r="F564" s="84" t="s">
        <v>123</v>
      </c>
      <c r="G564" s="209" t="s">
        <v>28</v>
      </c>
      <c r="H564" s="84" t="s">
        <v>385</v>
      </c>
      <c r="I564" s="85" t="s">
        <v>26</v>
      </c>
      <c r="J564" s="86">
        <v>0.3</v>
      </c>
      <c r="K564" s="115" t="s">
        <v>138</v>
      </c>
      <c r="L564" s="114" t="s">
        <v>139</v>
      </c>
      <c r="M564" s="115" t="s">
        <v>140</v>
      </c>
      <c r="N564" s="86">
        <v>1</v>
      </c>
      <c r="O564" s="91">
        <v>1</v>
      </c>
      <c r="P564" s="86"/>
      <c r="Q564" s="86">
        <f t="shared" ref="Q564:Q627" si="27">ROUND(IF(OR(N564="",P564=""),0,IF(AND(N564=0,P564=0),1,IF(S564="+",P564/N564,N564/P564))),2)</f>
        <v>0</v>
      </c>
      <c r="R564" s="104">
        <f t="shared" si="25"/>
        <v>0</v>
      </c>
      <c r="S564" s="91" t="s">
        <v>23</v>
      </c>
      <c r="T564" s="147"/>
    </row>
    <row r="565" spans="1:20" ht="21.6" x14ac:dyDescent="0.3">
      <c r="A565" s="144">
        <v>2070</v>
      </c>
      <c r="B565" s="64" t="s">
        <v>20</v>
      </c>
      <c r="C565" s="65" t="s">
        <v>267</v>
      </c>
      <c r="D565" s="111">
        <v>6297</v>
      </c>
      <c r="E565" s="64" t="s">
        <v>260</v>
      </c>
      <c r="F565" s="67" t="s">
        <v>123</v>
      </c>
      <c r="G565" s="210" t="s">
        <v>28</v>
      </c>
      <c r="H565" s="67" t="s">
        <v>385</v>
      </c>
      <c r="I565" s="98" t="s">
        <v>22</v>
      </c>
      <c r="J565" s="69">
        <v>0.7</v>
      </c>
      <c r="K565" s="101" t="s">
        <v>513</v>
      </c>
      <c r="L565" s="105" t="s">
        <v>511</v>
      </c>
      <c r="M565" s="101" t="s">
        <v>411</v>
      </c>
      <c r="N565" s="69">
        <v>0.95</v>
      </c>
      <c r="O565" s="69">
        <v>0.15</v>
      </c>
      <c r="P565" s="76"/>
      <c r="Q565" s="69">
        <f t="shared" si="27"/>
        <v>0</v>
      </c>
      <c r="R565" s="100">
        <f t="shared" si="25"/>
        <v>0</v>
      </c>
      <c r="S565" s="69" t="s">
        <v>23</v>
      </c>
      <c r="T565" s="192">
        <f>SUM(R565:R572)%</f>
        <v>0</v>
      </c>
    </row>
    <row r="566" spans="1:20" ht="21.6" x14ac:dyDescent="0.3">
      <c r="A566" s="139">
        <v>2072</v>
      </c>
      <c r="B566" s="42" t="s">
        <v>20</v>
      </c>
      <c r="C566" s="43" t="s">
        <v>267</v>
      </c>
      <c r="D566" s="50">
        <v>6297</v>
      </c>
      <c r="E566" s="42" t="s">
        <v>260</v>
      </c>
      <c r="F566" s="45" t="s">
        <v>123</v>
      </c>
      <c r="G566" s="207" t="s">
        <v>28</v>
      </c>
      <c r="H566" s="45" t="s">
        <v>385</v>
      </c>
      <c r="I566" s="7" t="s">
        <v>22</v>
      </c>
      <c r="J566" s="3">
        <v>0.7</v>
      </c>
      <c r="K566" s="1" t="s">
        <v>124</v>
      </c>
      <c r="L566" s="8" t="s">
        <v>125</v>
      </c>
      <c r="M566" s="7" t="s">
        <v>126</v>
      </c>
      <c r="N566" s="3">
        <v>0.95</v>
      </c>
      <c r="O566" s="3">
        <v>0.15</v>
      </c>
      <c r="P566" s="6"/>
      <c r="Q566" s="3">
        <f t="shared" si="27"/>
        <v>0</v>
      </c>
      <c r="R566" s="4">
        <f t="shared" si="25"/>
        <v>0</v>
      </c>
      <c r="S566" s="3" t="s">
        <v>23</v>
      </c>
      <c r="T566" s="195"/>
    </row>
    <row r="567" spans="1:20" ht="21.6" x14ac:dyDescent="0.3">
      <c r="A567" s="139">
        <v>2073</v>
      </c>
      <c r="B567" s="42" t="s">
        <v>20</v>
      </c>
      <c r="C567" s="43" t="s">
        <v>267</v>
      </c>
      <c r="D567" s="50">
        <v>6297</v>
      </c>
      <c r="E567" s="42" t="s">
        <v>260</v>
      </c>
      <c r="F567" s="45" t="s">
        <v>123</v>
      </c>
      <c r="G567" s="207" t="s">
        <v>28</v>
      </c>
      <c r="H567" s="45" t="s">
        <v>385</v>
      </c>
      <c r="I567" s="7" t="s">
        <v>22</v>
      </c>
      <c r="J567" s="3">
        <v>0.7</v>
      </c>
      <c r="K567" s="1" t="s">
        <v>51</v>
      </c>
      <c r="L567" s="8" t="s">
        <v>127</v>
      </c>
      <c r="M567" s="7" t="s">
        <v>128</v>
      </c>
      <c r="N567" s="6">
        <v>0.05</v>
      </c>
      <c r="O567" s="3">
        <v>0.1</v>
      </c>
      <c r="P567" s="11"/>
      <c r="Q567" s="3">
        <f t="shared" si="27"/>
        <v>0</v>
      </c>
      <c r="R567" s="4">
        <f t="shared" si="25"/>
        <v>0</v>
      </c>
      <c r="S567" s="3" t="s">
        <v>24</v>
      </c>
      <c r="T567" s="195"/>
    </row>
    <row r="568" spans="1:20" ht="21.6" x14ac:dyDescent="0.3">
      <c r="A568" s="139">
        <v>2074</v>
      </c>
      <c r="B568" s="42" t="s">
        <v>20</v>
      </c>
      <c r="C568" s="43" t="s">
        <v>267</v>
      </c>
      <c r="D568" s="50">
        <v>6297</v>
      </c>
      <c r="E568" s="42" t="s">
        <v>260</v>
      </c>
      <c r="F568" s="45" t="s">
        <v>123</v>
      </c>
      <c r="G568" s="207" t="s">
        <v>28</v>
      </c>
      <c r="H568" s="45" t="s">
        <v>385</v>
      </c>
      <c r="I568" s="7" t="s">
        <v>22</v>
      </c>
      <c r="J568" s="3">
        <v>0.7</v>
      </c>
      <c r="K568" s="1" t="s">
        <v>305</v>
      </c>
      <c r="L568" s="8" t="s">
        <v>257</v>
      </c>
      <c r="M568" s="13" t="s">
        <v>306</v>
      </c>
      <c r="N568" s="3">
        <v>0.95</v>
      </c>
      <c r="O568" s="3">
        <v>0.1</v>
      </c>
      <c r="P568" s="3"/>
      <c r="Q568" s="3">
        <f t="shared" si="27"/>
        <v>0</v>
      </c>
      <c r="R568" s="4">
        <f t="shared" si="25"/>
        <v>0</v>
      </c>
      <c r="S568" s="3" t="s">
        <v>23</v>
      </c>
      <c r="T568" s="195"/>
    </row>
    <row r="569" spans="1:20" ht="21.6" x14ac:dyDescent="0.3">
      <c r="A569" s="139">
        <v>2075</v>
      </c>
      <c r="B569" s="42" t="s">
        <v>20</v>
      </c>
      <c r="C569" s="43" t="s">
        <v>267</v>
      </c>
      <c r="D569" s="50">
        <v>6297</v>
      </c>
      <c r="E569" s="42" t="s">
        <v>260</v>
      </c>
      <c r="F569" s="45" t="s">
        <v>123</v>
      </c>
      <c r="G569" s="207" t="s">
        <v>28</v>
      </c>
      <c r="H569" s="45" t="s">
        <v>385</v>
      </c>
      <c r="I569" s="47" t="s">
        <v>22</v>
      </c>
      <c r="J569" s="3">
        <v>0.7</v>
      </c>
      <c r="K569" s="49" t="s">
        <v>129</v>
      </c>
      <c r="L569" s="30" t="s">
        <v>130</v>
      </c>
      <c r="M569" s="47" t="s">
        <v>131</v>
      </c>
      <c r="N569" s="3">
        <v>0.9</v>
      </c>
      <c r="O569" s="10">
        <v>0.2</v>
      </c>
      <c r="P569" s="3"/>
      <c r="Q569" s="3">
        <f t="shared" si="27"/>
        <v>0</v>
      </c>
      <c r="R569" s="48">
        <f t="shared" si="25"/>
        <v>0</v>
      </c>
      <c r="S569" s="10" t="s">
        <v>23</v>
      </c>
      <c r="T569" s="193"/>
    </row>
    <row r="570" spans="1:20" ht="21.6" x14ac:dyDescent="0.3">
      <c r="A570" s="139">
        <v>2076</v>
      </c>
      <c r="B570" s="42" t="s">
        <v>20</v>
      </c>
      <c r="C570" s="43" t="s">
        <v>267</v>
      </c>
      <c r="D570" s="50">
        <v>6297</v>
      </c>
      <c r="E570" s="42" t="s">
        <v>260</v>
      </c>
      <c r="F570" s="45" t="s">
        <v>123</v>
      </c>
      <c r="G570" s="207" t="s">
        <v>28</v>
      </c>
      <c r="H570" s="45" t="s">
        <v>385</v>
      </c>
      <c r="I570" s="47" t="s">
        <v>22</v>
      </c>
      <c r="J570" s="3">
        <v>0.7</v>
      </c>
      <c r="K570" s="49" t="s">
        <v>132</v>
      </c>
      <c r="L570" s="30" t="s">
        <v>133</v>
      </c>
      <c r="M570" s="47" t="s">
        <v>134</v>
      </c>
      <c r="N570" s="4">
        <v>0</v>
      </c>
      <c r="O570" s="10">
        <v>0.1</v>
      </c>
      <c r="P570" s="3"/>
      <c r="Q570" s="3">
        <f t="shared" si="27"/>
        <v>0</v>
      </c>
      <c r="R570" s="48">
        <f t="shared" si="25"/>
        <v>0</v>
      </c>
      <c r="S570" s="10" t="s">
        <v>24</v>
      </c>
      <c r="T570" s="193"/>
    </row>
    <row r="571" spans="1:20" ht="21.6" x14ac:dyDescent="0.3">
      <c r="A571" s="139">
        <v>2077</v>
      </c>
      <c r="B571" s="42" t="s">
        <v>20</v>
      </c>
      <c r="C571" s="43" t="s">
        <v>267</v>
      </c>
      <c r="D571" s="50">
        <v>6297</v>
      </c>
      <c r="E571" s="42" t="s">
        <v>260</v>
      </c>
      <c r="F571" s="45" t="s">
        <v>123</v>
      </c>
      <c r="G571" s="207" t="s">
        <v>28</v>
      </c>
      <c r="H571" s="45" t="s">
        <v>385</v>
      </c>
      <c r="I571" s="47" t="s">
        <v>22</v>
      </c>
      <c r="J571" s="3">
        <v>0.7</v>
      </c>
      <c r="K571" s="49" t="s">
        <v>135</v>
      </c>
      <c r="L571" s="30" t="s">
        <v>136</v>
      </c>
      <c r="M571" s="49" t="s">
        <v>137</v>
      </c>
      <c r="N571" s="3">
        <v>0.9</v>
      </c>
      <c r="O571" s="10">
        <v>0.2</v>
      </c>
      <c r="P571" s="51"/>
      <c r="Q571" s="3">
        <f t="shared" si="27"/>
        <v>0</v>
      </c>
      <c r="R571" s="48">
        <f t="shared" si="25"/>
        <v>0</v>
      </c>
      <c r="S571" s="10" t="s">
        <v>23</v>
      </c>
      <c r="T571" s="193"/>
    </row>
    <row r="572" spans="1:20" ht="22.2" thickBot="1" x14ac:dyDescent="0.35">
      <c r="A572" s="142">
        <v>2078</v>
      </c>
      <c r="B572" s="81" t="s">
        <v>20</v>
      </c>
      <c r="C572" s="82" t="s">
        <v>267</v>
      </c>
      <c r="D572" s="113">
        <v>6297</v>
      </c>
      <c r="E572" s="81" t="s">
        <v>260</v>
      </c>
      <c r="F572" s="84" t="s">
        <v>123</v>
      </c>
      <c r="G572" s="209" t="s">
        <v>28</v>
      </c>
      <c r="H572" s="84" t="s">
        <v>385</v>
      </c>
      <c r="I572" s="85" t="s">
        <v>26</v>
      </c>
      <c r="J572" s="86">
        <v>0.3</v>
      </c>
      <c r="K572" s="115" t="s">
        <v>138</v>
      </c>
      <c r="L572" s="114" t="s">
        <v>139</v>
      </c>
      <c r="M572" s="115" t="s">
        <v>140</v>
      </c>
      <c r="N572" s="86">
        <v>1</v>
      </c>
      <c r="O572" s="91">
        <v>1</v>
      </c>
      <c r="P572" s="86"/>
      <c r="Q572" s="86">
        <f t="shared" si="27"/>
        <v>0</v>
      </c>
      <c r="R572" s="104">
        <f t="shared" si="25"/>
        <v>0</v>
      </c>
      <c r="S572" s="91" t="s">
        <v>23</v>
      </c>
      <c r="T572" s="147"/>
    </row>
    <row r="573" spans="1:20" ht="21.6" x14ac:dyDescent="0.3">
      <c r="A573" s="144">
        <v>2070</v>
      </c>
      <c r="B573" s="64" t="s">
        <v>20</v>
      </c>
      <c r="C573" s="65" t="s">
        <v>267</v>
      </c>
      <c r="D573" s="111">
        <v>6556</v>
      </c>
      <c r="E573" s="64" t="s">
        <v>261</v>
      </c>
      <c r="F573" s="67" t="s">
        <v>263</v>
      </c>
      <c r="G573" s="210" t="s">
        <v>28</v>
      </c>
      <c r="H573" s="67" t="s">
        <v>385</v>
      </c>
      <c r="I573" s="98" t="s">
        <v>22</v>
      </c>
      <c r="J573" s="69">
        <v>1</v>
      </c>
      <c r="K573" s="99" t="s">
        <v>296</v>
      </c>
      <c r="L573" s="70" t="s">
        <v>295</v>
      </c>
      <c r="M573" s="99" t="s">
        <v>297</v>
      </c>
      <c r="N573" s="69">
        <v>0.98</v>
      </c>
      <c r="O573" s="69">
        <v>0.2</v>
      </c>
      <c r="P573" s="69"/>
      <c r="Q573" s="69">
        <f t="shared" si="27"/>
        <v>0</v>
      </c>
      <c r="R573" s="100">
        <f t="shared" si="25"/>
        <v>0</v>
      </c>
      <c r="S573" s="69" t="s">
        <v>23</v>
      </c>
      <c r="T573" s="192">
        <f>SUM(R573:R579)%</f>
        <v>0</v>
      </c>
    </row>
    <row r="574" spans="1:20" ht="21.6" x14ac:dyDescent="0.3">
      <c r="A574" s="139">
        <v>2071</v>
      </c>
      <c r="B574" s="42" t="s">
        <v>20</v>
      </c>
      <c r="C574" s="43" t="s">
        <v>267</v>
      </c>
      <c r="D574" s="50">
        <v>6556</v>
      </c>
      <c r="E574" s="42" t="s">
        <v>261</v>
      </c>
      <c r="F574" s="45" t="s">
        <v>263</v>
      </c>
      <c r="G574" s="207" t="s">
        <v>28</v>
      </c>
      <c r="H574" s="45" t="s">
        <v>385</v>
      </c>
      <c r="I574" s="7" t="s">
        <v>22</v>
      </c>
      <c r="J574" s="3">
        <v>1</v>
      </c>
      <c r="K574" s="1" t="s">
        <v>305</v>
      </c>
      <c r="L574" s="8" t="s">
        <v>257</v>
      </c>
      <c r="M574" s="13" t="s">
        <v>306</v>
      </c>
      <c r="N574" s="3">
        <v>0.95</v>
      </c>
      <c r="O574" s="3">
        <v>0.15</v>
      </c>
      <c r="P574" s="3"/>
      <c r="Q574" s="3">
        <f t="shared" si="27"/>
        <v>0</v>
      </c>
      <c r="R574" s="4">
        <f t="shared" si="25"/>
        <v>0</v>
      </c>
      <c r="S574" s="3" t="s">
        <v>23</v>
      </c>
      <c r="T574" s="195"/>
    </row>
    <row r="575" spans="1:20" ht="21.6" x14ac:dyDescent="0.3">
      <c r="A575" s="139">
        <v>2072</v>
      </c>
      <c r="B575" s="42" t="s">
        <v>20</v>
      </c>
      <c r="C575" s="43" t="s">
        <v>267</v>
      </c>
      <c r="D575" s="50">
        <v>6556</v>
      </c>
      <c r="E575" s="42" t="s">
        <v>261</v>
      </c>
      <c r="F575" s="45" t="s">
        <v>263</v>
      </c>
      <c r="G575" s="207" t="s">
        <v>28</v>
      </c>
      <c r="H575" s="45" t="s">
        <v>385</v>
      </c>
      <c r="I575" s="7" t="s">
        <v>22</v>
      </c>
      <c r="J575" s="3">
        <v>1</v>
      </c>
      <c r="K575" s="1" t="s">
        <v>299</v>
      </c>
      <c r="L575" s="8" t="s">
        <v>298</v>
      </c>
      <c r="M575" s="7" t="s">
        <v>300</v>
      </c>
      <c r="N575" s="3">
        <v>0.95</v>
      </c>
      <c r="O575" s="3">
        <v>0.15</v>
      </c>
      <c r="P575" s="3"/>
      <c r="Q575" s="3">
        <f t="shared" si="27"/>
        <v>0</v>
      </c>
      <c r="R575" s="4">
        <f t="shared" si="25"/>
        <v>0</v>
      </c>
      <c r="S575" s="3" t="s">
        <v>24</v>
      </c>
      <c r="T575" s="195"/>
    </row>
    <row r="576" spans="1:20" ht="21.6" x14ac:dyDescent="0.3">
      <c r="A576" s="139">
        <v>2073</v>
      </c>
      <c r="B576" s="42" t="s">
        <v>20</v>
      </c>
      <c r="C576" s="43" t="s">
        <v>267</v>
      </c>
      <c r="D576" s="50">
        <v>6556</v>
      </c>
      <c r="E576" s="42" t="s">
        <v>261</v>
      </c>
      <c r="F576" s="45" t="s">
        <v>263</v>
      </c>
      <c r="G576" s="207" t="s">
        <v>28</v>
      </c>
      <c r="H576" s="45" t="s">
        <v>385</v>
      </c>
      <c r="I576" s="7" t="s">
        <v>22</v>
      </c>
      <c r="J576" s="3">
        <v>1</v>
      </c>
      <c r="K576" s="1" t="s">
        <v>302</v>
      </c>
      <c r="L576" s="8" t="s">
        <v>301</v>
      </c>
      <c r="M576" s="1" t="s">
        <v>303</v>
      </c>
      <c r="N576" s="3">
        <v>1</v>
      </c>
      <c r="O576" s="3">
        <v>0.15</v>
      </c>
      <c r="P576" s="10"/>
      <c r="Q576" s="3">
        <f t="shared" si="27"/>
        <v>0</v>
      </c>
      <c r="R576" s="4">
        <f t="shared" si="25"/>
        <v>0</v>
      </c>
      <c r="S576" s="3" t="s">
        <v>23</v>
      </c>
      <c r="T576" s="195"/>
    </row>
    <row r="577" spans="1:20" ht="21.6" x14ac:dyDescent="0.3">
      <c r="A577" s="139">
        <v>2075</v>
      </c>
      <c r="B577" s="42" t="s">
        <v>20</v>
      </c>
      <c r="C577" s="43" t="s">
        <v>267</v>
      </c>
      <c r="D577" s="50">
        <v>6556</v>
      </c>
      <c r="E577" s="42" t="s">
        <v>261</v>
      </c>
      <c r="F577" s="45" t="s">
        <v>263</v>
      </c>
      <c r="G577" s="207" t="s">
        <v>28</v>
      </c>
      <c r="H577" s="45" t="s">
        <v>385</v>
      </c>
      <c r="I577" s="47" t="s">
        <v>22</v>
      </c>
      <c r="J577" s="3">
        <v>1</v>
      </c>
      <c r="K577" s="49" t="s">
        <v>129</v>
      </c>
      <c r="L577" s="30" t="s">
        <v>130</v>
      </c>
      <c r="M577" s="47" t="s">
        <v>131</v>
      </c>
      <c r="N577" s="3">
        <v>0.9</v>
      </c>
      <c r="O577" s="10">
        <v>0.1</v>
      </c>
      <c r="P577" s="3"/>
      <c r="Q577" s="3">
        <f t="shared" si="27"/>
        <v>0</v>
      </c>
      <c r="R577" s="48">
        <f t="shared" si="25"/>
        <v>0</v>
      </c>
      <c r="S577" s="10" t="s">
        <v>23</v>
      </c>
      <c r="T577" s="193"/>
    </row>
    <row r="578" spans="1:20" ht="21.6" x14ac:dyDescent="0.3">
      <c r="A578" s="139">
        <v>2076</v>
      </c>
      <c r="B578" s="42" t="s">
        <v>20</v>
      </c>
      <c r="C578" s="43" t="s">
        <v>267</v>
      </c>
      <c r="D578" s="50">
        <v>6556</v>
      </c>
      <c r="E578" s="42" t="s">
        <v>261</v>
      </c>
      <c r="F578" s="45" t="s">
        <v>263</v>
      </c>
      <c r="G578" s="207" t="s">
        <v>28</v>
      </c>
      <c r="H578" s="45" t="s">
        <v>385</v>
      </c>
      <c r="I578" s="47" t="s">
        <v>22</v>
      </c>
      <c r="J578" s="3">
        <v>1</v>
      </c>
      <c r="K578" s="49" t="s">
        <v>132</v>
      </c>
      <c r="L578" s="30" t="s">
        <v>133</v>
      </c>
      <c r="M578" s="47" t="s">
        <v>134</v>
      </c>
      <c r="N578" s="4">
        <v>0</v>
      </c>
      <c r="O578" s="10">
        <v>0.15</v>
      </c>
      <c r="P578" s="3"/>
      <c r="Q578" s="3">
        <f t="shared" si="27"/>
        <v>0</v>
      </c>
      <c r="R578" s="48">
        <f t="shared" si="25"/>
        <v>0</v>
      </c>
      <c r="S578" s="10" t="s">
        <v>24</v>
      </c>
      <c r="T578" s="193"/>
    </row>
    <row r="579" spans="1:20" ht="22.2" thickBot="1" x14ac:dyDescent="0.35">
      <c r="A579" s="143">
        <v>2077</v>
      </c>
      <c r="B579" s="58" t="s">
        <v>20</v>
      </c>
      <c r="C579" s="59" t="s">
        <v>267</v>
      </c>
      <c r="D579" s="60">
        <v>6556</v>
      </c>
      <c r="E579" s="58" t="s">
        <v>261</v>
      </c>
      <c r="F579" s="61" t="s">
        <v>263</v>
      </c>
      <c r="G579" s="211" t="s">
        <v>28</v>
      </c>
      <c r="H579" s="61" t="s">
        <v>385</v>
      </c>
      <c r="I579" s="107" t="s">
        <v>22</v>
      </c>
      <c r="J579" s="62">
        <v>1</v>
      </c>
      <c r="K579" s="109" t="s">
        <v>135</v>
      </c>
      <c r="L579" s="108" t="s">
        <v>136</v>
      </c>
      <c r="M579" s="109" t="s">
        <v>137</v>
      </c>
      <c r="N579" s="62">
        <v>0.9</v>
      </c>
      <c r="O579" s="63">
        <v>0.1</v>
      </c>
      <c r="P579" s="171"/>
      <c r="Q579" s="62">
        <f t="shared" si="27"/>
        <v>0</v>
      </c>
      <c r="R579" s="110">
        <f t="shared" si="25"/>
        <v>0</v>
      </c>
      <c r="S579" s="63" t="s">
        <v>23</v>
      </c>
      <c r="T579" s="196"/>
    </row>
    <row r="580" spans="1:20" ht="21.6" x14ac:dyDescent="0.3">
      <c r="A580" s="144">
        <v>2070</v>
      </c>
      <c r="B580" s="64" t="s">
        <v>20</v>
      </c>
      <c r="C580" s="65" t="s">
        <v>267</v>
      </c>
      <c r="D580" s="111">
        <v>6557</v>
      </c>
      <c r="E580" s="64" t="s">
        <v>262</v>
      </c>
      <c r="F580" s="67" t="s">
        <v>264</v>
      </c>
      <c r="G580" s="210" t="s">
        <v>28</v>
      </c>
      <c r="H580" s="67" t="s">
        <v>385</v>
      </c>
      <c r="I580" s="98" t="s">
        <v>22</v>
      </c>
      <c r="J580" s="69">
        <v>1</v>
      </c>
      <c r="K580" s="99" t="s">
        <v>296</v>
      </c>
      <c r="L580" s="70" t="s">
        <v>295</v>
      </c>
      <c r="M580" s="99" t="s">
        <v>297</v>
      </c>
      <c r="N580" s="69">
        <v>0.98</v>
      </c>
      <c r="O580" s="69">
        <v>0.2</v>
      </c>
      <c r="P580" s="69"/>
      <c r="Q580" s="69">
        <f t="shared" si="27"/>
        <v>0</v>
      </c>
      <c r="R580" s="100">
        <f t="shared" si="25"/>
        <v>0</v>
      </c>
      <c r="S580" s="69" t="s">
        <v>23</v>
      </c>
      <c r="T580" s="192">
        <f>SUM(R580:R586)%</f>
        <v>0</v>
      </c>
    </row>
    <row r="581" spans="1:20" ht="21.6" x14ac:dyDescent="0.3">
      <c r="A581" s="139">
        <v>2071</v>
      </c>
      <c r="B581" s="42" t="s">
        <v>20</v>
      </c>
      <c r="C581" s="43" t="s">
        <v>267</v>
      </c>
      <c r="D581" s="50">
        <v>6557</v>
      </c>
      <c r="E581" s="42" t="s">
        <v>262</v>
      </c>
      <c r="F581" s="45" t="s">
        <v>264</v>
      </c>
      <c r="G581" s="207" t="s">
        <v>28</v>
      </c>
      <c r="H581" s="45" t="s">
        <v>385</v>
      </c>
      <c r="I581" s="7" t="s">
        <v>22</v>
      </c>
      <c r="J581" s="3">
        <v>1</v>
      </c>
      <c r="K581" s="1" t="s">
        <v>305</v>
      </c>
      <c r="L581" s="8" t="s">
        <v>257</v>
      </c>
      <c r="M581" s="13" t="s">
        <v>306</v>
      </c>
      <c r="N581" s="3">
        <v>0.95</v>
      </c>
      <c r="O581" s="3">
        <v>0.15</v>
      </c>
      <c r="P581" s="3"/>
      <c r="Q581" s="3">
        <f t="shared" si="27"/>
        <v>0</v>
      </c>
      <c r="R581" s="4">
        <f t="shared" si="25"/>
        <v>0</v>
      </c>
      <c r="S581" s="3" t="s">
        <v>23</v>
      </c>
      <c r="T581" s="195"/>
    </row>
    <row r="582" spans="1:20" ht="21.6" x14ac:dyDescent="0.3">
      <c r="A582" s="139">
        <v>2072</v>
      </c>
      <c r="B582" s="42" t="s">
        <v>20</v>
      </c>
      <c r="C582" s="43" t="s">
        <v>267</v>
      </c>
      <c r="D582" s="50">
        <v>6557</v>
      </c>
      <c r="E582" s="42" t="s">
        <v>262</v>
      </c>
      <c r="F582" s="45" t="s">
        <v>264</v>
      </c>
      <c r="G582" s="207" t="s">
        <v>28</v>
      </c>
      <c r="H582" s="45" t="s">
        <v>385</v>
      </c>
      <c r="I582" s="7" t="s">
        <v>22</v>
      </c>
      <c r="J582" s="3">
        <v>1</v>
      </c>
      <c r="K582" s="1" t="s">
        <v>299</v>
      </c>
      <c r="L582" s="8" t="s">
        <v>298</v>
      </c>
      <c r="M582" s="7" t="s">
        <v>300</v>
      </c>
      <c r="N582" s="3">
        <v>0.95</v>
      </c>
      <c r="O582" s="3">
        <v>0.15</v>
      </c>
      <c r="P582" s="3"/>
      <c r="Q582" s="3">
        <f t="shared" si="27"/>
        <v>0</v>
      </c>
      <c r="R582" s="4">
        <f t="shared" si="25"/>
        <v>0</v>
      </c>
      <c r="S582" s="3" t="s">
        <v>24</v>
      </c>
      <c r="T582" s="195"/>
    </row>
    <row r="583" spans="1:20" ht="21.6" x14ac:dyDescent="0.3">
      <c r="A583" s="139">
        <v>2073</v>
      </c>
      <c r="B583" s="42" t="s">
        <v>20</v>
      </c>
      <c r="C583" s="43" t="s">
        <v>267</v>
      </c>
      <c r="D583" s="50">
        <v>6557</v>
      </c>
      <c r="E583" s="42" t="s">
        <v>262</v>
      </c>
      <c r="F583" s="45" t="s">
        <v>264</v>
      </c>
      <c r="G583" s="207" t="s">
        <v>28</v>
      </c>
      <c r="H583" s="45" t="s">
        <v>385</v>
      </c>
      <c r="I583" s="7" t="s">
        <v>22</v>
      </c>
      <c r="J583" s="3">
        <v>1</v>
      </c>
      <c r="K583" s="1" t="s">
        <v>302</v>
      </c>
      <c r="L583" s="8" t="s">
        <v>301</v>
      </c>
      <c r="M583" s="1" t="s">
        <v>303</v>
      </c>
      <c r="N583" s="3">
        <v>1</v>
      </c>
      <c r="O583" s="3">
        <v>0.15</v>
      </c>
      <c r="P583" s="10"/>
      <c r="Q583" s="3">
        <f t="shared" si="27"/>
        <v>0</v>
      </c>
      <c r="R583" s="4">
        <f t="shared" si="25"/>
        <v>0</v>
      </c>
      <c r="S583" s="3" t="s">
        <v>23</v>
      </c>
      <c r="T583" s="195"/>
    </row>
    <row r="584" spans="1:20" ht="21.6" x14ac:dyDescent="0.3">
      <c r="A584" s="139">
        <v>2075</v>
      </c>
      <c r="B584" s="42" t="s">
        <v>20</v>
      </c>
      <c r="C584" s="43" t="s">
        <v>267</v>
      </c>
      <c r="D584" s="50">
        <v>6557</v>
      </c>
      <c r="E584" s="42" t="s">
        <v>262</v>
      </c>
      <c r="F584" s="45" t="s">
        <v>264</v>
      </c>
      <c r="G584" s="207" t="s">
        <v>28</v>
      </c>
      <c r="H584" s="45" t="s">
        <v>385</v>
      </c>
      <c r="I584" s="47" t="s">
        <v>22</v>
      </c>
      <c r="J584" s="3">
        <v>1</v>
      </c>
      <c r="K584" s="49" t="s">
        <v>129</v>
      </c>
      <c r="L584" s="30" t="s">
        <v>130</v>
      </c>
      <c r="M584" s="47" t="s">
        <v>131</v>
      </c>
      <c r="N584" s="3">
        <v>0.9</v>
      </c>
      <c r="O584" s="10">
        <v>0.1</v>
      </c>
      <c r="P584" s="3"/>
      <c r="Q584" s="3">
        <f t="shared" si="27"/>
        <v>0</v>
      </c>
      <c r="R584" s="48">
        <f t="shared" si="25"/>
        <v>0</v>
      </c>
      <c r="S584" s="10" t="s">
        <v>23</v>
      </c>
      <c r="T584" s="193"/>
    </row>
    <row r="585" spans="1:20" ht="21.6" x14ac:dyDescent="0.3">
      <c r="A585" s="139">
        <v>2076</v>
      </c>
      <c r="B585" s="42" t="s">
        <v>20</v>
      </c>
      <c r="C585" s="43" t="s">
        <v>267</v>
      </c>
      <c r="D585" s="50">
        <v>6557</v>
      </c>
      <c r="E585" s="42" t="s">
        <v>262</v>
      </c>
      <c r="F585" s="45" t="s">
        <v>264</v>
      </c>
      <c r="G585" s="207" t="s">
        <v>28</v>
      </c>
      <c r="H585" s="45" t="s">
        <v>385</v>
      </c>
      <c r="I585" s="47" t="s">
        <v>22</v>
      </c>
      <c r="J585" s="3">
        <v>1</v>
      </c>
      <c r="K585" s="49" t="s">
        <v>132</v>
      </c>
      <c r="L585" s="30" t="s">
        <v>133</v>
      </c>
      <c r="M585" s="47" t="s">
        <v>134</v>
      </c>
      <c r="N585" s="4">
        <v>0</v>
      </c>
      <c r="O585" s="10">
        <v>0.15</v>
      </c>
      <c r="P585" s="3"/>
      <c r="Q585" s="3">
        <f t="shared" si="27"/>
        <v>0</v>
      </c>
      <c r="R585" s="48">
        <f t="shared" si="25"/>
        <v>0</v>
      </c>
      <c r="S585" s="10" t="s">
        <v>24</v>
      </c>
      <c r="T585" s="193"/>
    </row>
    <row r="586" spans="1:20" ht="22.2" thickBot="1" x14ac:dyDescent="0.35">
      <c r="A586" s="143">
        <v>2077</v>
      </c>
      <c r="B586" s="58" t="s">
        <v>20</v>
      </c>
      <c r="C586" s="59" t="s">
        <v>267</v>
      </c>
      <c r="D586" s="60">
        <v>6557</v>
      </c>
      <c r="E586" s="58" t="s">
        <v>262</v>
      </c>
      <c r="F586" s="61" t="s">
        <v>264</v>
      </c>
      <c r="G586" s="211" t="s">
        <v>28</v>
      </c>
      <c r="H586" s="61" t="s">
        <v>385</v>
      </c>
      <c r="I586" s="107" t="s">
        <v>22</v>
      </c>
      <c r="J586" s="62">
        <v>1</v>
      </c>
      <c r="K586" s="109" t="s">
        <v>135</v>
      </c>
      <c r="L586" s="108" t="s">
        <v>136</v>
      </c>
      <c r="M586" s="109" t="s">
        <v>137</v>
      </c>
      <c r="N586" s="62">
        <v>0.9</v>
      </c>
      <c r="O586" s="63">
        <v>0.1</v>
      </c>
      <c r="P586" s="51"/>
      <c r="Q586" s="62">
        <f t="shared" si="27"/>
        <v>0</v>
      </c>
      <c r="R586" s="110">
        <f t="shared" si="25"/>
        <v>0</v>
      </c>
      <c r="S586" s="63" t="s">
        <v>23</v>
      </c>
      <c r="T586" s="196"/>
    </row>
    <row r="587" spans="1:20" ht="21.6" x14ac:dyDescent="0.3">
      <c r="A587" s="144">
        <v>2070</v>
      </c>
      <c r="B587" s="64" t="s">
        <v>20</v>
      </c>
      <c r="C587" s="65" t="s">
        <v>267</v>
      </c>
      <c r="D587" s="111">
        <v>5439</v>
      </c>
      <c r="E587" s="116" t="s">
        <v>191</v>
      </c>
      <c r="F587" s="117" t="s">
        <v>145</v>
      </c>
      <c r="G587" s="212" t="s">
        <v>30</v>
      </c>
      <c r="H587" s="67" t="s">
        <v>417</v>
      </c>
      <c r="I587" s="98" t="s">
        <v>22</v>
      </c>
      <c r="J587" s="69">
        <v>0.7</v>
      </c>
      <c r="K587" s="101" t="s">
        <v>513</v>
      </c>
      <c r="L587" s="105" t="s">
        <v>511</v>
      </c>
      <c r="M587" s="101" t="s">
        <v>411</v>
      </c>
      <c r="N587" s="69">
        <v>0.95</v>
      </c>
      <c r="O587" s="69">
        <v>0.15</v>
      </c>
      <c r="P587" s="168"/>
      <c r="Q587" s="69">
        <f t="shared" si="27"/>
        <v>0</v>
      </c>
      <c r="R587" s="100">
        <f t="shared" si="25"/>
        <v>0</v>
      </c>
      <c r="S587" s="69" t="s">
        <v>23</v>
      </c>
      <c r="T587" s="192">
        <f>SUM(R587:R594)%</f>
        <v>0</v>
      </c>
    </row>
    <row r="588" spans="1:20" ht="21.6" x14ac:dyDescent="0.3">
      <c r="A588" s="139">
        <v>2072</v>
      </c>
      <c r="B588" s="42" t="s">
        <v>20</v>
      </c>
      <c r="C588" s="43" t="s">
        <v>267</v>
      </c>
      <c r="D588" s="50">
        <v>5439</v>
      </c>
      <c r="E588" s="52" t="s">
        <v>191</v>
      </c>
      <c r="F588" s="53" t="s">
        <v>145</v>
      </c>
      <c r="G588" s="213" t="s">
        <v>30</v>
      </c>
      <c r="H588" s="45" t="s">
        <v>417</v>
      </c>
      <c r="I588" s="7" t="s">
        <v>22</v>
      </c>
      <c r="J588" s="3">
        <v>0.7</v>
      </c>
      <c r="K588" s="1" t="s">
        <v>124</v>
      </c>
      <c r="L588" s="8" t="s">
        <v>125</v>
      </c>
      <c r="M588" s="7" t="s">
        <v>126</v>
      </c>
      <c r="N588" s="3">
        <v>0.95</v>
      </c>
      <c r="O588" s="3">
        <v>0.15</v>
      </c>
      <c r="P588" s="6"/>
      <c r="Q588" s="3">
        <f t="shared" si="27"/>
        <v>0</v>
      </c>
      <c r="R588" s="4">
        <f t="shared" si="25"/>
        <v>0</v>
      </c>
      <c r="S588" s="3" t="s">
        <v>23</v>
      </c>
      <c r="T588" s="195"/>
    </row>
    <row r="589" spans="1:20" ht="21.6" x14ac:dyDescent="0.3">
      <c r="A589" s="139">
        <v>2073</v>
      </c>
      <c r="B589" s="42" t="s">
        <v>20</v>
      </c>
      <c r="C589" s="43" t="s">
        <v>267</v>
      </c>
      <c r="D589" s="50">
        <v>5439</v>
      </c>
      <c r="E589" s="52" t="s">
        <v>191</v>
      </c>
      <c r="F589" s="53" t="s">
        <v>145</v>
      </c>
      <c r="G589" s="213" t="s">
        <v>30</v>
      </c>
      <c r="H589" s="45" t="s">
        <v>417</v>
      </c>
      <c r="I589" s="7" t="s">
        <v>22</v>
      </c>
      <c r="J589" s="3">
        <v>0.7</v>
      </c>
      <c r="K589" s="1" t="s">
        <v>51</v>
      </c>
      <c r="L589" s="8" t="s">
        <v>127</v>
      </c>
      <c r="M589" s="7" t="s">
        <v>128</v>
      </c>
      <c r="N589" s="6">
        <v>0.05</v>
      </c>
      <c r="O589" s="3">
        <v>0.1</v>
      </c>
      <c r="P589" s="11"/>
      <c r="Q589" s="3">
        <f t="shared" si="27"/>
        <v>0</v>
      </c>
      <c r="R589" s="4">
        <f t="shared" ref="R589:R652" si="28">IF(AND(Q589&gt;=60%,Q589&lt;100%),Q589*((O589*J589)),IF(Q589=100%,((O589*J589)*Q589)*100%,IF(Q589&gt;100%,((J589*O589)*100%)*100%,0)))*100</f>
        <v>0</v>
      </c>
      <c r="S589" s="3" t="s">
        <v>24</v>
      </c>
      <c r="T589" s="195"/>
    </row>
    <row r="590" spans="1:20" ht="21.6" x14ac:dyDescent="0.3">
      <c r="A590" s="139">
        <v>2074</v>
      </c>
      <c r="B590" s="42" t="s">
        <v>20</v>
      </c>
      <c r="C590" s="43" t="s">
        <v>267</v>
      </c>
      <c r="D590" s="50">
        <v>5439</v>
      </c>
      <c r="E590" s="52" t="s">
        <v>191</v>
      </c>
      <c r="F590" s="53" t="s">
        <v>145</v>
      </c>
      <c r="G590" s="213" t="s">
        <v>30</v>
      </c>
      <c r="H590" s="45" t="s">
        <v>417</v>
      </c>
      <c r="I590" s="7" t="s">
        <v>22</v>
      </c>
      <c r="J590" s="3">
        <v>0.7</v>
      </c>
      <c r="K590" s="1" t="s">
        <v>305</v>
      </c>
      <c r="L590" s="8" t="s">
        <v>257</v>
      </c>
      <c r="M590" s="13" t="s">
        <v>306</v>
      </c>
      <c r="N590" s="3">
        <v>0.95</v>
      </c>
      <c r="O590" s="3">
        <v>0.1</v>
      </c>
      <c r="P590" s="3"/>
      <c r="Q590" s="3">
        <f t="shared" si="27"/>
        <v>0</v>
      </c>
      <c r="R590" s="4">
        <f t="shared" si="28"/>
        <v>0</v>
      </c>
      <c r="S590" s="3" t="s">
        <v>23</v>
      </c>
      <c r="T590" s="195"/>
    </row>
    <row r="591" spans="1:20" ht="21.6" x14ac:dyDescent="0.3">
      <c r="A591" s="139">
        <v>2075</v>
      </c>
      <c r="B591" s="42" t="s">
        <v>20</v>
      </c>
      <c r="C591" s="43" t="s">
        <v>267</v>
      </c>
      <c r="D591" s="50">
        <v>5439</v>
      </c>
      <c r="E591" s="52" t="s">
        <v>191</v>
      </c>
      <c r="F591" s="53" t="s">
        <v>145</v>
      </c>
      <c r="G591" s="213" t="s">
        <v>30</v>
      </c>
      <c r="H591" s="45" t="s">
        <v>417</v>
      </c>
      <c r="I591" s="47" t="s">
        <v>22</v>
      </c>
      <c r="J591" s="3">
        <v>0.7</v>
      </c>
      <c r="K591" s="49" t="s">
        <v>129</v>
      </c>
      <c r="L591" s="30" t="s">
        <v>130</v>
      </c>
      <c r="M591" s="47" t="s">
        <v>131</v>
      </c>
      <c r="N591" s="3">
        <v>0.9</v>
      </c>
      <c r="O591" s="10">
        <v>0.2</v>
      </c>
      <c r="P591" s="3"/>
      <c r="Q591" s="3">
        <f t="shared" si="27"/>
        <v>0</v>
      </c>
      <c r="R591" s="48">
        <f t="shared" si="28"/>
        <v>0</v>
      </c>
      <c r="S591" s="10" t="s">
        <v>23</v>
      </c>
      <c r="T591" s="193"/>
    </row>
    <row r="592" spans="1:20" ht="21.6" x14ac:dyDescent="0.3">
      <c r="A592" s="139">
        <v>2076</v>
      </c>
      <c r="B592" s="42" t="s">
        <v>20</v>
      </c>
      <c r="C592" s="43" t="s">
        <v>267</v>
      </c>
      <c r="D592" s="50">
        <v>5439</v>
      </c>
      <c r="E592" s="52" t="s">
        <v>191</v>
      </c>
      <c r="F592" s="53" t="s">
        <v>145</v>
      </c>
      <c r="G592" s="213" t="s">
        <v>30</v>
      </c>
      <c r="H592" s="45" t="s">
        <v>417</v>
      </c>
      <c r="I592" s="47" t="s">
        <v>22</v>
      </c>
      <c r="J592" s="3">
        <v>0.7</v>
      </c>
      <c r="K592" s="49" t="s">
        <v>132</v>
      </c>
      <c r="L592" s="30" t="s">
        <v>133</v>
      </c>
      <c r="M592" s="47" t="s">
        <v>134</v>
      </c>
      <c r="N592" s="4">
        <v>0</v>
      </c>
      <c r="O592" s="10">
        <v>0.1</v>
      </c>
      <c r="P592" s="3"/>
      <c r="Q592" s="3">
        <f t="shared" si="27"/>
        <v>0</v>
      </c>
      <c r="R592" s="48">
        <f t="shared" si="28"/>
        <v>0</v>
      </c>
      <c r="S592" s="10" t="s">
        <v>24</v>
      </c>
      <c r="T592" s="193"/>
    </row>
    <row r="593" spans="1:20" ht="21.6" x14ac:dyDescent="0.3">
      <c r="A593" s="139">
        <v>2077</v>
      </c>
      <c r="B593" s="42" t="s">
        <v>20</v>
      </c>
      <c r="C593" s="43" t="s">
        <v>267</v>
      </c>
      <c r="D593" s="50">
        <v>5439</v>
      </c>
      <c r="E593" s="52" t="s">
        <v>191</v>
      </c>
      <c r="F593" s="53" t="s">
        <v>145</v>
      </c>
      <c r="G593" s="213" t="s">
        <v>30</v>
      </c>
      <c r="H593" s="45" t="s">
        <v>417</v>
      </c>
      <c r="I593" s="47" t="s">
        <v>22</v>
      </c>
      <c r="J593" s="3">
        <v>0.7</v>
      </c>
      <c r="K593" s="49" t="s">
        <v>135</v>
      </c>
      <c r="L593" s="30" t="s">
        <v>136</v>
      </c>
      <c r="M593" s="49" t="s">
        <v>137</v>
      </c>
      <c r="N593" s="3">
        <v>0.9</v>
      </c>
      <c r="O593" s="10">
        <v>0.2</v>
      </c>
      <c r="P593" s="51"/>
      <c r="Q593" s="3">
        <f t="shared" si="27"/>
        <v>0</v>
      </c>
      <c r="R593" s="48">
        <f t="shared" si="28"/>
        <v>0</v>
      </c>
      <c r="S593" s="10" t="s">
        <v>23</v>
      </c>
      <c r="T593" s="193"/>
    </row>
    <row r="594" spans="1:20" ht="22.2" thickBot="1" x14ac:dyDescent="0.35">
      <c r="A594" s="142">
        <v>2078</v>
      </c>
      <c r="B594" s="81" t="s">
        <v>20</v>
      </c>
      <c r="C594" s="82" t="s">
        <v>267</v>
      </c>
      <c r="D594" s="113">
        <v>5439</v>
      </c>
      <c r="E594" s="118" t="s">
        <v>191</v>
      </c>
      <c r="F594" s="119" t="s">
        <v>145</v>
      </c>
      <c r="G594" s="214" t="s">
        <v>30</v>
      </c>
      <c r="H594" s="84" t="s">
        <v>417</v>
      </c>
      <c r="I594" s="85" t="s">
        <v>26</v>
      </c>
      <c r="J594" s="86">
        <v>0.3</v>
      </c>
      <c r="K594" s="115" t="s">
        <v>138</v>
      </c>
      <c r="L594" s="114" t="s">
        <v>139</v>
      </c>
      <c r="M594" s="115" t="s">
        <v>140</v>
      </c>
      <c r="N594" s="86">
        <v>1</v>
      </c>
      <c r="O594" s="91">
        <v>1</v>
      </c>
      <c r="P594" s="86"/>
      <c r="Q594" s="86">
        <f t="shared" si="27"/>
        <v>0</v>
      </c>
      <c r="R594" s="104">
        <f t="shared" si="28"/>
        <v>0</v>
      </c>
      <c r="S594" s="91" t="s">
        <v>23</v>
      </c>
      <c r="T594" s="147"/>
    </row>
    <row r="595" spans="1:20" ht="21.6" x14ac:dyDescent="0.3">
      <c r="A595" s="144">
        <v>2070</v>
      </c>
      <c r="B595" s="64" t="s">
        <v>20</v>
      </c>
      <c r="C595" s="65" t="s">
        <v>267</v>
      </c>
      <c r="D595" s="111">
        <v>5161</v>
      </c>
      <c r="E595" s="116" t="s">
        <v>186</v>
      </c>
      <c r="F595" s="117" t="s">
        <v>143</v>
      </c>
      <c r="G595" s="212" t="s">
        <v>30</v>
      </c>
      <c r="H595" s="67" t="s">
        <v>417</v>
      </c>
      <c r="I595" s="98" t="s">
        <v>22</v>
      </c>
      <c r="J595" s="69">
        <v>0.7</v>
      </c>
      <c r="K595" s="101" t="s">
        <v>513</v>
      </c>
      <c r="L595" s="105" t="s">
        <v>511</v>
      </c>
      <c r="M595" s="101" t="s">
        <v>411</v>
      </c>
      <c r="N595" s="69">
        <v>0.95</v>
      </c>
      <c r="O595" s="69">
        <v>0.15</v>
      </c>
      <c r="P595" s="168"/>
      <c r="Q595" s="69">
        <f t="shared" si="27"/>
        <v>0</v>
      </c>
      <c r="R595" s="100">
        <f t="shared" si="28"/>
        <v>0</v>
      </c>
      <c r="S595" s="69" t="s">
        <v>23</v>
      </c>
      <c r="T595" s="192">
        <f>SUM(R595:R602)%</f>
        <v>0</v>
      </c>
    </row>
    <row r="596" spans="1:20" ht="21.6" x14ac:dyDescent="0.3">
      <c r="A596" s="139">
        <v>2072</v>
      </c>
      <c r="B596" s="42" t="s">
        <v>20</v>
      </c>
      <c r="C596" s="43" t="s">
        <v>267</v>
      </c>
      <c r="D596" s="50">
        <v>5161</v>
      </c>
      <c r="E596" s="52" t="s">
        <v>186</v>
      </c>
      <c r="F596" s="53" t="s">
        <v>143</v>
      </c>
      <c r="G596" s="213" t="s">
        <v>30</v>
      </c>
      <c r="H596" s="45" t="s">
        <v>417</v>
      </c>
      <c r="I596" s="7" t="s">
        <v>22</v>
      </c>
      <c r="J596" s="3">
        <v>0.7</v>
      </c>
      <c r="K596" s="1" t="s">
        <v>124</v>
      </c>
      <c r="L596" s="8" t="s">
        <v>125</v>
      </c>
      <c r="M596" s="7" t="s">
        <v>126</v>
      </c>
      <c r="N596" s="3">
        <v>0.95</v>
      </c>
      <c r="O596" s="3">
        <v>0.15</v>
      </c>
      <c r="P596" s="6"/>
      <c r="Q596" s="3">
        <f t="shared" si="27"/>
        <v>0</v>
      </c>
      <c r="R596" s="4">
        <f t="shared" si="28"/>
        <v>0</v>
      </c>
      <c r="S596" s="3" t="s">
        <v>23</v>
      </c>
      <c r="T596" s="195"/>
    </row>
    <row r="597" spans="1:20" ht="21.6" x14ac:dyDescent="0.3">
      <c r="A597" s="139">
        <v>2073</v>
      </c>
      <c r="B597" s="42" t="s">
        <v>20</v>
      </c>
      <c r="C597" s="43" t="s">
        <v>267</v>
      </c>
      <c r="D597" s="50">
        <v>5161</v>
      </c>
      <c r="E597" s="52" t="s">
        <v>186</v>
      </c>
      <c r="F597" s="53" t="s">
        <v>143</v>
      </c>
      <c r="G597" s="213" t="s">
        <v>30</v>
      </c>
      <c r="H597" s="45" t="s">
        <v>417</v>
      </c>
      <c r="I597" s="7" t="s">
        <v>22</v>
      </c>
      <c r="J597" s="3">
        <v>0.7</v>
      </c>
      <c r="K597" s="1" t="s">
        <v>51</v>
      </c>
      <c r="L597" s="8" t="s">
        <v>127</v>
      </c>
      <c r="M597" s="7" t="s">
        <v>128</v>
      </c>
      <c r="N597" s="6">
        <v>0.05</v>
      </c>
      <c r="O597" s="3">
        <v>0.1</v>
      </c>
      <c r="P597" s="11"/>
      <c r="Q597" s="3">
        <f t="shared" si="27"/>
        <v>0</v>
      </c>
      <c r="R597" s="4">
        <f t="shared" si="28"/>
        <v>0</v>
      </c>
      <c r="S597" s="3" t="s">
        <v>24</v>
      </c>
      <c r="T597" s="195"/>
    </row>
    <row r="598" spans="1:20" ht="21.6" x14ac:dyDescent="0.3">
      <c r="A598" s="139">
        <v>2074</v>
      </c>
      <c r="B598" s="42" t="s">
        <v>20</v>
      </c>
      <c r="C598" s="43" t="s">
        <v>267</v>
      </c>
      <c r="D598" s="50">
        <v>5161</v>
      </c>
      <c r="E598" s="52" t="s">
        <v>186</v>
      </c>
      <c r="F598" s="53" t="s">
        <v>143</v>
      </c>
      <c r="G598" s="213" t="s">
        <v>30</v>
      </c>
      <c r="H598" s="45" t="s">
        <v>417</v>
      </c>
      <c r="I598" s="7" t="s">
        <v>22</v>
      </c>
      <c r="J598" s="3">
        <v>0.7</v>
      </c>
      <c r="K598" s="1" t="s">
        <v>305</v>
      </c>
      <c r="L598" s="8" t="s">
        <v>257</v>
      </c>
      <c r="M598" s="13" t="s">
        <v>306</v>
      </c>
      <c r="N598" s="3">
        <v>0.95</v>
      </c>
      <c r="O598" s="3">
        <v>0.1</v>
      </c>
      <c r="P598" s="3"/>
      <c r="Q598" s="3">
        <f t="shared" si="27"/>
        <v>0</v>
      </c>
      <c r="R598" s="4">
        <f t="shared" si="28"/>
        <v>0</v>
      </c>
      <c r="S598" s="3" t="s">
        <v>23</v>
      </c>
      <c r="T598" s="195"/>
    </row>
    <row r="599" spans="1:20" ht="21.6" x14ac:dyDescent="0.3">
      <c r="A599" s="139">
        <v>2075</v>
      </c>
      <c r="B599" s="42" t="s">
        <v>20</v>
      </c>
      <c r="C599" s="43" t="s">
        <v>267</v>
      </c>
      <c r="D599" s="50">
        <v>5161</v>
      </c>
      <c r="E599" s="52" t="s">
        <v>186</v>
      </c>
      <c r="F599" s="53" t="s">
        <v>143</v>
      </c>
      <c r="G599" s="213" t="s">
        <v>30</v>
      </c>
      <c r="H599" s="45" t="s">
        <v>417</v>
      </c>
      <c r="I599" s="47" t="s">
        <v>22</v>
      </c>
      <c r="J599" s="3">
        <v>0.7</v>
      </c>
      <c r="K599" s="49" t="s">
        <v>129</v>
      </c>
      <c r="L599" s="30" t="s">
        <v>130</v>
      </c>
      <c r="M599" s="47" t="s">
        <v>131</v>
      </c>
      <c r="N599" s="3">
        <v>0.9</v>
      </c>
      <c r="O599" s="10">
        <v>0.2</v>
      </c>
      <c r="P599" s="3"/>
      <c r="Q599" s="3">
        <f t="shared" si="27"/>
        <v>0</v>
      </c>
      <c r="R599" s="48">
        <f t="shared" si="28"/>
        <v>0</v>
      </c>
      <c r="S599" s="10" t="s">
        <v>23</v>
      </c>
      <c r="T599" s="193"/>
    </row>
    <row r="600" spans="1:20" ht="21.6" x14ac:dyDescent="0.3">
      <c r="A600" s="139">
        <v>2076</v>
      </c>
      <c r="B600" s="42" t="s">
        <v>20</v>
      </c>
      <c r="C600" s="43" t="s">
        <v>267</v>
      </c>
      <c r="D600" s="50">
        <v>5161</v>
      </c>
      <c r="E600" s="52" t="s">
        <v>186</v>
      </c>
      <c r="F600" s="53" t="s">
        <v>143</v>
      </c>
      <c r="G600" s="213" t="s">
        <v>30</v>
      </c>
      <c r="H600" s="45" t="s">
        <v>417</v>
      </c>
      <c r="I600" s="47" t="s">
        <v>22</v>
      </c>
      <c r="J600" s="3">
        <v>0.7</v>
      </c>
      <c r="K600" s="49" t="s">
        <v>132</v>
      </c>
      <c r="L600" s="30" t="s">
        <v>133</v>
      </c>
      <c r="M600" s="47" t="s">
        <v>134</v>
      </c>
      <c r="N600" s="4">
        <v>0</v>
      </c>
      <c r="O600" s="10">
        <v>0.1</v>
      </c>
      <c r="P600" s="3"/>
      <c r="Q600" s="3">
        <f t="shared" si="27"/>
        <v>0</v>
      </c>
      <c r="R600" s="48">
        <f t="shared" si="28"/>
        <v>0</v>
      </c>
      <c r="S600" s="10" t="s">
        <v>24</v>
      </c>
      <c r="T600" s="193"/>
    </row>
    <row r="601" spans="1:20" ht="21.6" x14ac:dyDescent="0.3">
      <c r="A601" s="139">
        <v>2077</v>
      </c>
      <c r="B601" s="42" t="s">
        <v>20</v>
      </c>
      <c r="C601" s="43" t="s">
        <v>267</v>
      </c>
      <c r="D601" s="50">
        <v>5161</v>
      </c>
      <c r="E601" s="52" t="s">
        <v>186</v>
      </c>
      <c r="F601" s="53" t="s">
        <v>143</v>
      </c>
      <c r="G601" s="213" t="s">
        <v>30</v>
      </c>
      <c r="H601" s="45" t="s">
        <v>417</v>
      </c>
      <c r="I601" s="47" t="s">
        <v>22</v>
      </c>
      <c r="J601" s="3">
        <v>0.7</v>
      </c>
      <c r="K601" s="49" t="s">
        <v>135</v>
      </c>
      <c r="L601" s="30" t="s">
        <v>136</v>
      </c>
      <c r="M601" s="49" t="s">
        <v>137</v>
      </c>
      <c r="N601" s="3">
        <v>0.9</v>
      </c>
      <c r="O601" s="10">
        <v>0.2</v>
      </c>
      <c r="P601" s="51"/>
      <c r="Q601" s="3">
        <f t="shared" si="27"/>
        <v>0</v>
      </c>
      <c r="R601" s="48">
        <f t="shared" si="28"/>
        <v>0</v>
      </c>
      <c r="S601" s="10" t="s">
        <v>23</v>
      </c>
      <c r="T601" s="193"/>
    </row>
    <row r="602" spans="1:20" ht="22.2" thickBot="1" x14ac:dyDescent="0.35">
      <c r="A602" s="142">
        <v>2078</v>
      </c>
      <c r="B602" s="81" t="s">
        <v>20</v>
      </c>
      <c r="C602" s="82" t="s">
        <v>267</v>
      </c>
      <c r="D602" s="113">
        <v>5161</v>
      </c>
      <c r="E602" s="118" t="s">
        <v>186</v>
      </c>
      <c r="F602" s="119" t="s">
        <v>143</v>
      </c>
      <c r="G602" s="214" t="s">
        <v>30</v>
      </c>
      <c r="H602" s="84" t="s">
        <v>417</v>
      </c>
      <c r="I602" s="85" t="s">
        <v>26</v>
      </c>
      <c r="J602" s="86">
        <v>0.3</v>
      </c>
      <c r="K602" s="115" t="s">
        <v>138</v>
      </c>
      <c r="L602" s="114" t="s">
        <v>139</v>
      </c>
      <c r="M602" s="115" t="s">
        <v>140</v>
      </c>
      <c r="N602" s="86">
        <v>1</v>
      </c>
      <c r="O602" s="91">
        <v>1</v>
      </c>
      <c r="P602" s="86"/>
      <c r="Q602" s="86">
        <f t="shared" si="27"/>
        <v>0</v>
      </c>
      <c r="R602" s="104">
        <f t="shared" si="28"/>
        <v>0</v>
      </c>
      <c r="S602" s="91" t="s">
        <v>23</v>
      </c>
      <c r="T602" s="147"/>
    </row>
    <row r="603" spans="1:20" ht="21.6" x14ac:dyDescent="0.3">
      <c r="A603" s="144">
        <v>2070</v>
      </c>
      <c r="B603" s="64" t="s">
        <v>20</v>
      </c>
      <c r="C603" s="65" t="s">
        <v>267</v>
      </c>
      <c r="D603" s="120" t="s">
        <v>184</v>
      </c>
      <c r="E603" s="116" t="s">
        <v>185</v>
      </c>
      <c r="F603" s="117" t="s">
        <v>145</v>
      </c>
      <c r="G603" s="212" t="s">
        <v>30</v>
      </c>
      <c r="H603" s="67" t="s">
        <v>417</v>
      </c>
      <c r="I603" s="98" t="s">
        <v>22</v>
      </c>
      <c r="J603" s="69">
        <v>0.7</v>
      </c>
      <c r="K603" s="101" t="s">
        <v>513</v>
      </c>
      <c r="L603" s="105" t="s">
        <v>511</v>
      </c>
      <c r="M603" s="101" t="s">
        <v>411</v>
      </c>
      <c r="N603" s="69">
        <v>0.95</v>
      </c>
      <c r="O603" s="69">
        <v>0.15</v>
      </c>
      <c r="P603" s="168"/>
      <c r="Q603" s="69">
        <f t="shared" si="27"/>
        <v>0</v>
      </c>
      <c r="R603" s="100">
        <f t="shared" si="28"/>
        <v>0</v>
      </c>
      <c r="S603" s="69" t="s">
        <v>23</v>
      </c>
      <c r="T603" s="192">
        <f>SUM(R603:R610)%</f>
        <v>0</v>
      </c>
    </row>
    <row r="604" spans="1:20" ht="21.6" x14ac:dyDescent="0.3">
      <c r="A604" s="139">
        <v>2072</v>
      </c>
      <c r="B604" s="42" t="s">
        <v>20</v>
      </c>
      <c r="C604" s="43" t="s">
        <v>267</v>
      </c>
      <c r="D604" s="54" t="s">
        <v>184</v>
      </c>
      <c r="E604" s="52" t="s">
        <v>185</v>
      </c>
      <c r="F604" s="53" t="s">
        <v>145</v>
      </c>
      <c r="G604" s="213" t="s">
        <v>30</v>
      </c>
      <c r="H604" s="45" t="s">
        <v>417</v>
      </c>
      <c r="I604" s="7" t="s">
        <v>22</v>
      </c>
      <c r="J604" s="3">
        <v>0.7</v>
      </c>
      <c r="K604" s="1" t="s">
        <v>124</v>
      </c>
      <c r="L604" s="8" t="s">
        <v>125</v>
      </c>
      <c r="M604" s="7" t="s">
        <v>126</v>
      </c>
      <c r="N604" s="3">
        <v>0.95</v>
      </c>
      <c r="O604" s="3">
        <v>0.15</v>
      </c>
      <c r="P604" s="6"/>
      <c r="Q604" s="3">
        <f t="shared" si="27"/>
        <v>0</v>
      </c>
      <c r="R604" s="4">
        <f t="shared" si="28"/>
        <v>0</v>
      </c>
      <c r="S604" s="3" t="s">
        <v>23</v>
      </c>
      <c r="T604" s="195"/>
    </row>
    <row r="605" spans="1:20" ht="21.6" x14ac:dyDescent="0.3">
      <c r="A605" s="139">
        <v>2073</v>
      </c>
      <c r="B605" s="42" t="s">
        <v>20</v>
      </c>
      <c r="C605" s="43" t="s">
        <v>267</v>
      </c>
      <c r="D605" s="54" t="s">
        <v>184</v>
      </c>
      <c r="E605" s="52" t="s">
        <v>185</v>
      </c>
      <c r="F605" s="53" t="s">
        <v>145</v>
      </c>
      <c r="G605" s="213" t="s">
        <v>30</v>
      </c>
      <c r="H605" s="45" t="s">
        <v>417</v>
      </c>
      <c r="I605" s="7" t="s">
        <v>22</v>
      </c>
      <c r="J605" s="3">
        <v>0.7</v>
      </c>
      <c r="K605" s="1" t="s">
        <v>51</v>
      </c>
      <c r="L605" s="8" t="s">
        <v>127</v>
      </c>
      <c r="M605" s="7" t="s">
        <v>128</v>
      </c>
      <c r="N605" s="6">
        <v>0.05</v>
      </c>
      <c r="O605" s="3">
        <v>0.1</v>
      </c>
      <c r="P605" s="11"/>
      <c r="Q605" s="3">
        <f t="shared" si="27"/>
        <v>0</v>
      </c>
      <c r="R605" s="4">
        <f t="shared" si="28"/>
        <v>0</v>
      </c>
      <c r="S605" s="3" t="s">
        <v>24</v>
      </c>
      <c r="T605" s="195"/>
    </row>
    <row r="606" spans="1:20" ht="21.6" x14ac:dyDescent="0.3">
      <c r="A606" s="139">
        <v>2074</v>
      </c>
      <c r="B606" s="42" t="s">
        <v>20</v>
      </c>
      <c r="C606" s="43" t="s">
        <v>267</v>
      </c>
      <c r="D606" s="54" t="s">
        <v>184</v>
      </c>
      <c r="E606" s="52" t="s">
        <v>185</v>
      </c>
      <c r="F606" s="53" t="s">
        <v>145</v>
      </c>
      <c r="G606" s="213" t="s">
        <v>30</v>
      </c>
      <c r="H606" s="45" t="s">
        <v>417</v>
      </c>
      <c r="I606" s="7" t="s">
        <v>22</v>
      </c>
      <c r="J606" s="3">
        <v>0.7</v>
      </c>
      <c r="K606" s="1" t="s">
        <v>305</v>
      </c>
      <c r="L606" s="8" t="s">
        <v>257</v>
      </c>
      <c r="M606" s="13" t="s">
        <v>306</v>
      </c>
      <c r="N606" s="3">
        <v>0.95</v>
      </c>
      <c r="O606" s="3">
        <v>0.1</v>
      </c>
      <c r="P606" s="3"/>
      <c r="Q606" s="3">
        <f t="shared" si="27"/>
        <v>0</v>
      </c>
      <c r="R606" s="4">
        <f t="shared" si="28"/>
        <v>0</v>
      </c>
      <c r="S606" s="3" t="s">
        <v>23</v>
      </c>
      <c r="T606" s="195"/>
    </row>
    <row r="607" spans="1:20" ht="21.6" x14ac:dyDescent="0.3">
      <c r="A607" s="139">
        <v>2075</v>
      </c>
      <c r="B607" s="42" t="s">
        <v>20</v>
      </c>
      <c r="C607" s="43" t="s">
        <v>267</v>
      </c>
      <c r="D607" s="54" t="s">
        <v>184</v>
      </c>
      <c r="E607" s="52" t="s">
        <v>185</v>
      </c>
      <c r="F607" s="53" t="s">
        <v>145</v>
      </c>
      <c r="G607" s="213" t="s">
        <v>30</v>
      </c>
      <c r="H607" s="45" t="s">
        <v>417</v>
      </c>
      <c r="I607" s="47" t="s">
        <v>22</v>
      </c>
      <c r="J607" s="3">
        <v>0.7</v>
      </c>
      <c r="K607" s="49" t="s">
        <v>129</v>
      </c>
      <c r="L607" s="30" t="s">
        <v>130</v>
      </c>
      <c r="M607" s="47" t="s">
        <v>131</v>
      </c>
      <c r="N607" s="3">
        <v>0.9</v>
      </c>
      <c r="O607" s="10">
        <v>0.2</v>
      </c>
      <c r="P607" s="3"/>
      <c r="Q607" s="3">
        <f t="shared" si="27"/>
        <v>0</v>
      </c>
      <c r="R607" s="48">
        <f t="shared" si="28"/>
        <v>0</v>
      </c>
      <c r="S607" s="10" t="s">
        <v>23</v>
      </c>
      <c r="T607" s="193"/>
    </row>
    <row r="608" spans="1:20" ht="21.6" x14ac:dyDescent="0.3">
      <c r="A608" s="139">
        <v>2076</v>
      </c>
      <c r="B608" s="42" t="s">
        <v>20</v>
      </c>
      <c r="C608" s="43" t="s">
        <v>267</v>
      </c>
      <c r="D608" s="54" t="s">
        <v>184</v>
      </c>
      <c r="E608" s="52" t="s">
        <v>185</v>
      </c>
      <c r="F608" s="53" t="s">
        <v>145</v>
      </c>
      <c r="G608" s="213" t="s">
        <v>30</v>
      </c>
      <c r="H608" s="45" t="s">
        <v>417</v>
      </c>
      <c r="I608" s="47" t="s">
        <v>22</v>
      </c>
      <c r="J608" s="3">
        <v>0.7</v>
      </c>
      <c r="K608" s="49" t="s">
        <v>132</v>
      </c>
      <c r="L608" s="30" t="s">
        <v>133</v>
      </c>
      <c r="M608" s="47" t="s">
        <v>134</v>
      </c>
      <c r="N608" s="4">
        <v>0</v>
      </c>
      <c r="O608" s="10">
        <v>0.1</v>
      </c>
      <c r="P608" s="3"/>
      <c r="Q608" s="3">
        <f t="shared" si="27"/>
        <v>0</v>
      </c>
      <c r="R608" s="48">
        <f t="shared" si="28"/>
        <v>0</v>
      </c>
      <c r="S608" s="10" t="s">
        <v>24</v>
      </c>
      <c r="T608" s="193"/>
    </row>
    <row r="609" spans="1:20" ht="21.6" x14ac:dyDescent="0.3">
      <c r="A609" s="139">
        <v>2077</v>
      </c>
      <c r="B609" s="42" t="s">
        <v>20</v>
      </c>
      <c r="C609" s="43" t="s">
        <v>267</v>
      </c>
      <c r="D609" s="54" t="s">
        <v>184</v>
      </c>
      <c r="E609" s="52" t="s">
        <v>185</v>
      </c>
      <c r="F609" s="53" t="s">
        <v>145</v>
      </c>
      <c r="G609" s="213" t="s">
        <v>30</v>
      </c>
      <c r="H609" s="45" t="s">
        <v>417</v>
      </c>
      <c r="I609" s="47" t="s">
        <v>22</v>
      </c>
      <c r="J609" s="3">
        <v>0.7</v>
      </c>
      <c r="K609" s="49" t="s">
        <v>135</v>
      </c>
      <c r="L609" s="30" t="s">
        <v>136</v>
      </c>
      <c r="M609" s="49" t="s">
        <v>137</v>
      </c>
      <c r="N609" s="3">
        <v>0.9</v>
      </c>
      <c r="O609" s="10">
        <v>0.2</v>
      </c>
      <c r="P609" s="51"/>
      <c r="Q609" s="3">
        <f t="shared" si="27"/>
        <v>0</v>
      </c>
      <c r="R609" s="48">
        <f t="shared" si="28"/>
        <v>0</v>
      </c>
      <c r="S609" s="10" t="s">
        <v>23</v>
      </c>
      <c r="T609" s="193"/>
    </row>
    <row r="610" spans="1:20" ht="22.2" thickBot="1" x14ac:dyDescent="0.35">
      <c r="A610" s="142">
        <v>2078</v>
      </c>
      <c r="B610" s="81" t="s">
        <v>20</v>
      </c>
      <c r="C610" s="82" t="s">
        <v>267</v>
      </c>
      <c r="D610" s="121" t="s">
        <v>184</v>
      </c>
      <c r="E610" s="118" t="s">
        <v>185</v>
      </c>
      <c r="F610" s="119" t="s">
        <v>145</v>
      </c>
      <c r="G610" s="214" t="s">
        <v>30</v>
      </c>
      <c r="H610" s="84" t="s">
        <v>417</v>
      </c>
      <c r="I610" s="85" t="s">
        <v>26</v>
      </c>
      <c r="J610" s="86">
        <v>0.3</v>
      </c>
      <c r="K610" s="115" t="s">
        <v>138</v>
      </c>
      <c r="L610" s="114" t="s">
        <v>139</v>
      </c>
      <c r="M610" s="115" t="s">
        <v>140</v>
      </c>
      <c r="N610" s="86">
        <v>1</v>
      </c>
      <c r="O610" s="91">
        <v>1</v>
      </c>
      <c r="P610" s="86"/>
      <c r="Q610" s="86">
        <f t="shared" si="27"/>
        <v>0</v>
      </c>
      <c r="R610" s="104">
        <f t="shared" si="28"/>
        <v>0</v>
      </c>
      <c r="S610" s="91" t="s">
        <v>23</v>
      </c>
      <c r="T610" s="147"/>
    </row>
    <row r="611" spans="1:20" ht="21.6" x14ac:dyDescent="0.3">
      <c r="A611" s="144">
        <v>2070</v>
      </c>
      <c r="B611" s="64" t="s">
        <v>20</v>
      </c>
      <c r="C611" s="65" t="s">
        <v>267</v>
      </c>
      <c r="D611" s="111">
        <v>5426</v>
      </c>
      <c r="E611" s="116" t="s">
        <v>190</v>
      </c>
      <c r="F611" s="117" t="s">
        <v>123</v>
      </c>
      <c r="G611" s="212" t="s">
        <v>30</v>
      </c>
      <c r="H611" s="67" t="s">
        <v>417</v>
      </c>
      <c r="I611" s="98" t="s">
        <v>22</v>
      </c>
      <c r="J611" s="69">
        <v>0.7</v>
      </c>
      <c r="K611" s="101" t="s">
        <v>513</v>
      </c>
      <c r="L611" s="105" t="s">
        <v>511</v>
      </c>
      <c r="M611" s="101" t="s">
        <v>411</v>
      </c>
      <c r="N611" s="69">
        <v>0.95</v>
      </c>
      <c r="O611" s="69">
        <v>0.15</v>
      </c>
      <c r="P611" s="168"/>
      <c r="Q611" s="69">
        <f t="shared" si="27"/>
        <v>0</v>
      </c>
      <c r="R611" s="100">
        <f t="shared" si="28"/>
        <v>0</v>
      </c>
      <c r="S611" s="69" t="s">
        <v>23</v>
      </c>
      <c r="T611" s="192">
        <f>SUM(R611:R618)%</f>
        <v>0</v>
      </c>
    </row>
    <row r="612" spans="1:20" ht="21.6" x14ac:dyDescent="0.3">
      <c r="A612" s="139">
        <v>2071</v>
      </c>
      <c r="B612" s="42" t="s">
        <v>20</v>
      </c>
      <c r="C612" s="43" t="s">
        <v>267</v>
      </c>
      <c r="D612" s="50">
        <v>5426</v>
      </c>
      <c r="E612" s="52" t="s">
        <v>190</v>
      </c>
      <c r="F612" s="53" t="s">
        <v>123</v>
      </c>
      <c r="G612" s="213" t="s">
        <v>30</v>
      </c>
      <c r="H612" s="45" t="s">
        <v>417</v>
      </c>
      <c r="I612" s="7" t="s">
        <v>22</v>
      </c>
      <c r="J612" s="3">
        <v>0.7</v>
      </c>
      <c r="K612" s="1" t="s">
        <v>124</v>
      </c>
      <c r="L612" s="8" t="s">
        <v>125</v>
      </c>
      <c r="M612" s="7" t="s">
        <v>126</v>
      </c>
      <c r="N612" s="3">
        <v>0.95</v>
      </c>
      <c r="O612" s="3">
        <v>0.15</v>
      </c>
      <c r="P612" s="6"/>
      <c r="Q612" s="3">
        <f t="shared" si="27"/>
        <v>0</v>
      </c>
      <c r="R612" s="4">
        <f t="shared" si="28"/>
        <v>0</v>
      </c>
      <c r="S612" s="3" t="s">
        <v>23</v>
      </c>
      <c r="T612" s="195"/>
    </row>
    <row r="613" spans="1:20" ht="21.6" x14ac:dyDescent="0.3">
      <c r="A613" s="139">
        <v>2072</v>
      </c>
      <c r="B613" s="42" t="s">
        <v>20</v>
      </c>
      <c r="C613" s="43" t="s">
        <v>267</v>
      </c>
      <c r="D613" s="50">
        <v>5426</v>
      </c>
      <c r="E613" s="52" t="s">
        <v>190</v>
      </c>
      <c r="F613" s="53" t="s">
        <v>123</v>
      </c>
      <c r="G613" s="213" t="s">
        <v>30</v>
      </c>
      <c r="H613" s="45" t="s">
        <v>417</v>
      </c>
      <c r="I613" s="7" t="s">
        <v>22</v>
      </c>
      <c r="J613" s="3">
        <v>0.7</v>
      </c>
      <c r="K613" s="1" t="s">
        <v>51</v>
      </c>
      <c r="L613" s="8" t="s">
        <v>127</v>
      </c>
      <c r="M613" s="7" t="s">
        <v>128</v>
      </c>
      <c r="N613" s="6">
        <v>0.05</v>
      </c>
      <c r="O613" s="3">
        <v>0.1</v>
      </c>
      <c r="P613" s="11"/>
      <c r="Q613" s="3">
        <f t="shared" si="27"/>
        <v>0</v>
      </c>
      <c r="R613" s="4">
        <f t="shared" si="28"/>
        <v>0</v>
      </c>
      <c r="S613" s="3" t="s">
        <v>24</v>
      </c>
      <c r="T613" s="195"/>
    </row>
    <row r="614" spans="1:20" ht="21.6" x14ac:dyDescent="0.3">
      <c r="A614" s="139">
        <v>2073</v>
      </c>
      <c r="B614" s="42" t="s">
        <v>20</v>
      </c>
      <c r="C614" s="43" t="s">
        <v>267</v>
      </c>
      <c r="D614" s="50">
        <v>5426</v>
      </c>
      <c r="E614" s="52" t="s">
        <v>190</v>
      </c>
      <c r="F614" s="53" t="s">
        <v>123</v>
      </c>
      <c r="G614" s="213" t="s">
        <v>30</v>
      </c>
      <c r="H614" s="45" t="s">
        <v>417</v>
      </c>
      <c r="I614" s="7" t="s">
        <v>22</v>
      </c>
      <c r="J614" s="3">
        <v>0.7</v>
      </c>
      <c r="K614" s="1" t="s">
        <v>305</v>
      </c>
      <c r="L614" s="8" t="s">
        <v>257</v>
      </c>
      <c r="M614" s="13" t="s">
        <v>306</v>
      </c>
      <c r="N614" s="3">
        <v>0.95</v>
      </c>
      <c r="O614" s="3">
        <v>0.1</v>
      </c>
      <c r="P614" s="3"/>
      <c r="Q614" s="3">
        <f t="shared" si="27"/>
        <v>0</v>
      </c>
      <c r="R614" s="4">
        <f t="shared" si="28"/>
        <v>0</v>
      </c>
      <c r="S614" s="3" t="s">
        <v>23</v>
      </c>
      <c r="T614" s="195"/>
    </row>
    <row r="615" spans="1:20" ht="21.6" x14ac:dyDescent="0.3">
      <c r="A615" s="139">
        <v>2074</v>
      </c>
      <c r="B615" s="42" t="s">
        <v>20</v>
      </c>
      <c r="C615" s="43" t="s">
        <v>267</v>
      </c>
      <c r="D615" s="50">
        <v>5426</v>
      </c>
      <c r="E615" s="52" t="s">
        <v>190</v>
      </c>
      <c r="F615" s="53" t="s">
        <v>123</v>
      </c>
      <c r="G615" s="213" t="s">
        <v>30</v>
      </c>
      <c r="H615" s="45" t="s">
        <v>417</v>
      </c>
      <c r="I615" s="47" t="s">
        <v>22</v>
      </c>
      <c r="J615" s="3">
        <v>0.7</v>
      </c>
      <c r="K615" s="49" t="s">
        <v>129</v>
      </c>
      <c r="L615" s="30" t="s">
        <v>130</v>
      </c>
      <c r="M615" s="47" t="s">
        <v>131</v>
      </c>
      <c r="N615" s="3">
        <v>0.9</v>
      </c>
      <c r="O615" s="10">
        <v>0.2</v>
      </c>
      <c r="P615" s="3"/>
      <c r="Q615" s="3">
        <f t="shared" si="27"/>
        <v>0</v>
      </c>
      <c r="R615" s="4">
        <f t="shared" si="28"/>
        <v>0</v>
      </c>
      <c r="S615" s="3" t="s">
        <v>23</v>
      </c>
      <c r="T615" s="195"/>
    </row>
    <row r="616" spans="1:20" ht="21.6" x14ac:dyDescent="0.3">
      <c r="A616" s="139">
        <v>2075</v>
      </c>
      <c r="B616" s="42" t="s">
        <v>20</v>
      </c>
      <c r="C616" s="43" t="s">
        <v>267</v>
      </c>
      <c r="D616" s="50">
        <v>5426</v>
      </c>
      <c r="E616" s="52" t="s">
        <v>190</v>
      </c>
      <c r="F616" s="53" t="s">
        <v>123</v>
      </c>
      <c r="G616" s="213" t="s">
        <v>30</v>
      </c>
      <c r="H616" s="45" t="s">
        <v>417</v>
      </c>
      <c r="I616" s="47" t="s">
        <v>22</v>
      </c>
      <c r="J616" s="3">
        <v>0.7</v>
      </c>
      <c r="K616" s="49" t="s">
        <v>132</v>
      </c>
      <c r="L616" s="30" t="s">
        <v>133</v>
      </c>
      <c r="M616" s="47" t="s">
        <v>134</v>
      </c>
      <c r="N616" s="4">
        <v>0</v>
      </c>
      <c r="O616" s="10">
        <v>0.1</v>
      </c>
      <c r="P616" s="3"/>
      <c r="Q616" s="3">
        <f t="shared" si="27"/>
        <v>0</v>
      </c>
      <c r="R616" s="48">
        <f t="shared" si="28"/>
        <v>0</v>
      </c>
      <c r="S616" s="10" t="s">
        <v>24</v>
      </c>
      <c r="T616" s="193"/>
    </row>
    <row r="617" spans="1:20" ht="21.6" x14ac:dyDescent="0.3">
      <c r="A617" s="139">
        <v>2076</v>
      </c>
      <c r="B617" s="42" t="s">
        <v>20</v>
      </c>
      <c r="C617" s="43" t="s">
        <v>267</v>
      </c>
      <c r="D617" s="50">
        <v>5426</v>
      </c>
      <c r="E617" s="52" t="s">
        <v>190</v>
      </c>
      <c r="F617" s="53" t="s">
        <v>123</v>
      </c>
      <c r="G617" s="213" t="s">
        <v>30</v>
      </c>
      <c r="H617" s="45" t="s">
        <v>417</v>
      </c>
      <c r="I617" s="47" t="s">
        <v>22</v>
      </c>
      <c r="J617" s="3">
        <v>0.7</v>
      </c>
      <c r="K617" s="49" t="s">
        <v>135</v>
      </c>
      <c r="L617" s="30" t="s">
        <v>136</v>
      </c>
      <c r="M617" s="49" t="s">
        <v>137</v>
      </c>
      <c r="N617" s="3">
        <v>0.9</v>
      </c>
      <c r="O617" s="10">
        <v>0.2</v>
      </c>
      <c r="P617" s="51"/>
      <c r="Q617" s="3">
        <f t="shared" si="27"/>
        <v>0</v>
      </c>
      <c r="R617" s="48">
        <f t="shared" si="28"/>
        <v>0</v>
      </c>
      <c r="S617" s="10" t="s">
        <v>23</v>
      </c>
      <c r="T617" s="193"/>
    </row>
    <row r="618" spans="1:20" ht="22.2" thickBot="1" x14ac:dyDescent="0.35">
      <c r="A618" s="142">
        <v>2077</v>
      </c>
      <c r="B618" s="81" t="s">
        <v>20</v>
      </c>
      <c r="C618" s="82" t="s">
        <v>267</v>
      </c>
      <c r="D618" s="113">
        <v>5426</v>
      </c>
      <c r="E618" s="118" t="s">
        <v>190</v>
      </c>
      <c r="F618" s="119" t="s">
        <v>123</v>
      </c>
      <c r="G618" s="214" t="s">
        <v>30</v>
      </c>
      <c r="H618" s="84" t="s">
        <v>417</v>
      </c>
      <c r="I618" s="85" t="s">
        <v>26</v>
      </c>
      <c r="J618" s="86">
        <v>0.3</v>
      </c>
      <c r="K618" s="115" t="s">
        <v>138</v>
      </c>
      <c r="L618" s="114" t="s">
        <v>139</v>
      </c>
      <c r="M618" s="115" t="s">
        <v>140</v>
      </c>
      <c r="N618" s="86">
        <v>1</v>
      </c>
      <c r="O618" s="91">
        <v>1</v>
      </c>
      <c r="P618" s="86"/>
      <c r="Q618" s="86">
        <f t="shared" si="27"/>
        <v>0</v>
      </c>
      <c r="R618" s="104">
        <f t="shared" si="28"/>
        <v>0</v>
      </c>
      <c r="S618" s="91" t="s">
        <v>23</v>
      </c>
      <c r="T618" s="147"/>
    </row>
    <row r="619" spans="1:20" ht="21.6" x14ac:dyDescent="0.3">
      <c r="A619" s="144">
        <v>2070</v>
      </c>
      <c r="B619" s="64" t="s">
        <v>20</v>
      </c>
      <c r="C619" s="65" t="s">
        <v>267</v>
      </c>
      <c r="D619" s="111">
        <v>5911</v>
      </c>
      <c r="E619" s="116" t="s">
        <v>195</v>
      </c>
      <c r="F619" s="117" t="s">
        <v>123</v>
      </c>
      <c r="G619" s="212" t="s">
        <v>30</v>
      </c>
      <c r="H619" s="67" t="s">
        <v>417</v>
      </c>
      <c r="I619" s="98" t="s">
        <v>22</v>
      </c>
      <c r="J619" s="69">
        <v>0.7</v>
      </c>
      <c r="K619" s="101" t="s">
        <v>513</v>
      </c>
      <c r="L619" s="105" t="s">
        <v>511</v>
      </c>
      <c r="M619" s="101" t="s">
        <v>411</v>
      </c>
      <c r="N619" s="69">
        <v>0.95</v>
      </c>
      <c r="O619" s="69">
        <v>0.15</v>
      </c>
      <c r="P619" s="168"/>
      <c r="Q619" s="69">
        <f t="shared" si="27"/>
        <v>0</v>
      </c>
      <c r="R619" s="100">
        <f t="shared" si="28"/>
        <v>0</v>
      </c>
      <c r="S619" s="69" t="s">
        <v>23</v>
      </c>
      <c r="T619" s="192">
        <f>SUM(R619:R626)%</f>
        <v>0</v>
      </c>
    </row>
    <row r="620" spans="1:20" ht="21.6" x14ac:dyDescent="0.3">
      <c r="A620" s="139">
        <v>2072</v>
      </c>
      <c r="B620" s="42" t="s">
        <v>20</v>
      </c>
      <c r="C620" s="43" t="s">
        <v>267</v>
      </c>
      <c r="D620" s="50">
        <v>5913</v>
      </c>
      <c r="E620" s="52" t="s">
        <v>195</v>
      </c>
      <c r="F620" s="53" t="s">
        <v>123</v>
      </c>
      <c r="G620" s="213" t="s">
        <v>30</v>
      </c>
      <c r="H620" s="45" t="s">
        <v>417</v>
      </c>
      <c r="I620" s="7" t="s">
        <v>22</v>
      </c>
      <c r="J620" s="3">
        <v>0.7</v>
      </c>
      <c r="K620" s="1" t="s">
        <v>124</v>
      </c>
      <c r="L620" s="8" t="s">
        <v>125</v>
      </c>
      <c r="M620" s="7" t="s">
        <v>126</v>
      </c>
      <c r="N620" s="3">
        <v>0.95</v>
      </c>
      <c r="O620" s="3">
        <v>0.15</v>
      </c>
      <c r="P620" s="6"/>
      <c r="Q620" s="3">
        <f t="shared" si="27"/>
        <v>0</v>
      </c>
      <c r="R620" s="4">
        <f t="shared" si="28"/>
        <v>0</v>
      </c>
      <c r="S620" s="3" t="s">
        <v>23</v>
      </c>
      <c r="T620" s="195"/>
    </row>
    <row r="621" spans="1:20" ht="21.6" x14ac:dyDescent="0.3">
      <c r="A621" s="139">
        <v>2073</v>
      </c>
      <c r="B621" s="42" t="s">
        <v>20</v>
      </c>
      <c r="C621" s="43" t="s">
        <v>267</v>
      </c>
      <c r="D621" s="50">
        <v>5914</v>
      </c>
      <c r="E621" s="52" t="s">
        <v>195</v>
      </c>
      <c r="F621" s="53" t="s">
        <v>123</v>
      </c>
      <c r="G621" s="213" t="s">
        <v>30</v>
      </c>
      <c r="H621" s="45" t="s">
        <v>417</v>
      </c>
      <c r="I621" s="7" t="s">
        <v>22</v>
      </c>
      <c r="J621" s="3">
        <v>0.7</v>
      </c>
      <c r="K621" s="1" t="s">
        <v>51</v>
      </c>
      <c r="L621" s="8" t="s">
        <v>127</v>
      </c>
      <c r="M621" s="7" t="s">
        <v>128</v>
      </c>
      <c r="N621" s="6">
        <v>0.05</v>
      </c>
      <c r="O621" s="3">
        <v>0.1</v>
      </c>
      <c r="P621" s="11"/>
      <c r="Q621" s="3">
        <f t="shared" si="27"/>
        <v>0</v>
      </c>
      <c r="R621" s="4">
        <f t="shared" si="28"/>
        <v>0</v>
      </c>
      <c r="S621" s="3" t="s">
        <v>24</v>
      </c>
      <c r="T621" s="195"/>
    </row>
    <row r="622" spans="1:20" ht="21.6" x14ac:dyDescent="0.3">
      <c r="A622" s="139">
        <v>2074</v>
      </c>
      <c r="B622" s="42" t="s">
        <v>20</v>
      </c>
      <c r="C622" s="43" t="s">
        <v>267</v>
      </c>
      <c r="D622" s="50">
        <v>5915</v>
      </c>
      <c r="E622" s="52" t="s">
        <v>195</v>
      </c>
      <c r="F622" s="53" t="s">
        <v>123</v>
      </c>
      <c r="G622" s="213" t="s">
        <v>30</v>
      </c>
      <c r="H622" s="45" t="s">
        <v>417</v>
      </c>
      <c r="I622" s="7" t="s">
        <v>22</v>
      </c>
      <c r="J622" s="3">
        <v>0.7</v>
      </c>
      <c r="K622" s="1" t="s">
        <v>305</v>
      </c>
      <c r="L622" s="8" t="s">
        <v>257</v>
      </c>
      <c r="M622" s="13" t="s">
        <v>306</v>
      </c>
      <c r="N622" s="3">
        <v>0.95</v>
      </c>
      <c r="O622" s="3">
        <v>0.1</v>
      </c>
      <c r="P622" s="3"/>
      <c r="Q622" s="3">
        <f t="shared" si="27"/>
        <v>0</v>
      </c>
      <c r="R622" s="4">
        <f t="shared" si="28"/>
        <v>0</v>
      </c>
      <c r="S622" s="3" t="s">
        <v>23</v>
      </c>
      <c r="T622" s="195"/>
    </row>
    <row r="623" spans="1:20" ht="21.6" x14ac:dyDescent="0.3">
      <c r="A623" s="139">
        <v>2075</v>
      </c>
      <c r="B623" s="42" t="s">
        <v>20</v>
      </c>
      <c r="C623" s="43" t="s">
        <v>267</v>
      </c>
      <c r="D623" s="50">
        <v>5916</v>
      </c>
      <c r="E623" s="52" t="s">
        <v>195</v>
      </c>
      <c r="F623" s="53" t="s">
        <v>123</v>
      </c>
      <c r="G623" s="213" t="s">
        <v>30</v>
      </c>
      <c r="H623" s="45" t="s">
        <v>417</v>
      </c>
      <c r="I623" s="47" t="s">
        <v>22</v>
      </c>
      <c r="J623" s="3">
        <v>0.7</v>
      </c>
      <c r="K623" s="49" t="s">
        <v>129</v>
      </c>
      <c r="L623" s="30" t="s">
        <v>130</v>
      </c>
      <c r="M623" s="47" t="s">
        <v>131</v>
      </c>
      <c r="N623" s="3">
        <v>0.9</v>
      </c>
      <c r="O623" s="10">
        <v>0.2</v>
      </c>
      <c r="P623" s="3"/>
      <c r="Q623" s="3">
        <f t="shared" si="27"/>
        <v>0</v>
      </c>
      <c r="R623" s="48">
        <f t="shared" si="28"/>
        <v>0</v>
      </c>
      <c r="S623" s="10" t="s">
        <v>23</v>
      </c>
      <c r="T623" s="193"/>
    </row>
    <row r="624" spans="1:20" ht="21.6" x14ac:dyDescent="0.3">
      <c r="A624" s="139">
        <v>2076</v>
      </c>
      <c r="B624" s="42" t="s">
        <v>20</v>
      </c>
      <c r="C624" s="43" t="s">
        <v>267</v>
      </c>
      <c r="D624" s="50">
        <v>5917</v>
      </c>
      <c r="E624" s="52" t="s">
        <v>195</v>
      </c>
      <c r="F624" s="53" t="s">
        <v>123</v>
      </c>
      <c r="G624" s="213" t="s">
        <v>30</v>
      </c>
      <c r="H624" s="45" t="s">
        <v>417</v>
      </c>
      <c r="I624" s="47" t="s">
        <v>22</v>
      </c>
      <c r="J624" s="3">
        <v>0.7</v>
      </c>
      <c r="K624" s="49" t="s">
        <v>132</v>
      </c>
      <c r="L624" s="30" t="s">
        <v>133</v>
      </c>
      <c r="M624" s="47" t="s">
        <v>134</v>
      </c>
      <c r="N624" s="4">
        <v>0</v>
      </c>
      <c r="O624" s="10">
        <v>0.1</v>
      </c>
      <c r="P624" s="3"/>
      <c r="Q624" s="3">
        <f t="shared" si="27"/>
        <v>0</v>
      </c>
      <c r="R624" s="48">
        <f t="shared" si="28"/>
        <v>0</v>
      </c>
      <c r="S624" s="10" t="s">
        <v>24</v>
      </c>
      <c r="T624" s="193"/>
    </row>
    <row r="625" spans="1:20" ht="21.6" x14ac:dyDescent="0.3">
      <c r="A625" s="139">
        <v>2077</v>
      </c>
      <c r="B625" s="42" t="s">
        <v>20</v>
      </c>
      <c r="C625" s="43" t="s">
        <v>267</v>
      </c>
      <c r="D625" s="50">
        <v>5918</v>
      </c>
      <c r="E625" s="52" t="s">
        <v>195</v>
      </c>
      <c r="F625" s="53" t="s">
        <v>123</v>
      </c>
      <c r="G625" s="213" t="s">
        <v>30</v>
      </c>
      <c r="H625" s="45" t="s">
        <v>417</v>
      </c>
      <c r="I625" s="47" t="s">
        <v>22</v>
      </c>
      <c r="J625" s="3">
        <v>0.7</v>
      </c>
      <c r="K625" s="49" t="s">
        <v>135</v>
      </c>
      <c r="L625" s="30" t="s">
        <v>136</v>
      </c>
      <c r="M625" s="49" t="s">
        <v>137</v>
      </c>
      <c r="N625" s="3">
        <v>0.9</v>
      </c>
      <c r="O625" s="10">
        <v>0.2</v>
      </c>
      <c r="P625" s="51"/>
      <c r="Q625" s="3">
        <f t="shared" si="27"/>
        <v>0</v>
      </c>
      <c r="R625" s="48">
        <f t="shared" si="28"/>
        <v>0</v>
      </c>
      <c r="S625" s="10" t="s">
        <v>23</v>
      </c>
      <c r="T625" s="193"/>
    </row>
    <row r="626" spans="1:20" ht="22.2" thickBot="1" x14ac:dyDescent="0.35">
      <c r="A626" s="142">
        <v>2078</v>
      </c>
      <c r="B626" s="81" t="s">
        <v>20</v>
      </c>
      <c r="C626" s="82" t="s">
        <v>267</v>
      </c>
      <c r="D626" s="113">
        <v>5919</v>
      </c>
      <c r="E626" s="118" t="s">
        <v>195</v>
      </c>
      <c r="F626" s="119" t="s">
        <v>123</v>
      </c>
      <c r="G626" s="214" t="s">
        <v>30</v>
      </c>
      <c r="H626" s="84" t="s">
        <v>417</v>
      </c>
      <c r="I626" s="85" t="s">
        <v>26</v>
      </c>
      <c r="J626" s="86">
        <v>0.3</v>
      </c>
      <c r="K626" s="115" t="s">
        <v>138</v>
      </c>
      <c r="L626" s="114" t="s">
        <v>139</v>
      </c>
      <c r="M626" s="115" t="s">
        <v>140</v>
      </c>
      <c r="N626" s="86">
        <v>1</v>
      </c>
      <c r="O626" s="91">
        <v>1</v>
      </c>
      <c r="P626" s="86"/>
      <c r="Q626" s="86">
        <f t="shared" si="27"/>
        <v>0</v>
      </c>
      <c r="R626" s="104">
        <f t="shared" si="28"/>
        <v>0</v>
      </c>
      <c r="S626" s="91" t="s">
        <v>23</v>
      </c>
      <c r="T626" s="147"/>
    </row>
    <row r="627" spans="1:20" ht="21.6" x14ac:dyDescent="0.3">
      <c r="A627" s="144">
        <v>2070</v>
      </c>
      <c r="B627" s="64" t="s">
        <v>20</v>
      </c>
      <c r="C627" s="65" t="s">
        <v>267</v>
      </c>
      <c r="D627" s="111">
        <v>5312</v>
      </c>
      <c r="E627" s="116" t="s">
        <v>189</v>
      </c>
      <c r="F627" s="117" t="s">
        <v>143</v>
      </c>
      <c r="G627" s="212" t="s">
        <v>30</v>
      </c>
      <c r="H627" s="67" t="s">
        <v>417</v>
      </c>
      <c r="I627" s="98" t="s">
        <v>22</v>
      </c>
      <c r="J627" s="69">
        <v>0.7</v>
      </c>
      <c r="K627" s="101" t="s">
        <v>513</v>
      </c>
      <c r="L627" s="105" t="s">
        <v>511</v>
      </c>
      <c r="M627" s="101" t="s">
        <v>411</v>
      </c>
      <c r="N627" s="69">
        <v>0.95</v>
      </c>
      <c r="O627" s="69">
        <v>0.15</v>
      </c>
      <c r="P627" s="168"/>
      <c r="Q627" s="69">
        <f t="shared" si="27"/>
        <v>0</v>
      </c>
      <c r="R627" s="100">
        <f t="shared" si="28"/>
        <v>0</v>
      </c>
      <c r="S627" s="69" t="s">
        <v>23</v>
      </c>
      <c r="T627" s="192">
        <f>SUM(R627:R634)%</f>
        <v>0</v>
      </c>
    </row>
    <row r="628" spans="1:20" ht="21.6" x14ac:dyDescent="0.3">
      <c r="A628" s="139">
        <v>2072</v>
      </c>
      <c r="B628" s="42" t="s">
        <v>20</v>
      </c>
      <c r="C628" s="43" t="s">
        <v>267</v>
      </c>
      <c r="D628" s="50">
        <v>5312</v>
      </c>
      <c r="E628" s="52" t="s">
        <v>189</v>
      </c>
      <c r="F628" s="53" t="s">
        <v>143</v>
      </c>
      <c r="G628" s="213" t="s">
        <v>30</v>
      </c>
      <c r="H628" s="45" t="s">
        <v>417</v>
      </c>
      <c r="I628" s="7" t="s">
        <v>22</v>
      </c>
      <c r="J628" s="3">
        <v>0.7</v>
      </c>
      <c r="K628" s="1" t="s">
        <v>124</v>
      </c>
      <c r="L628" s="8" t="s">
        <v>125</v>
      </c>
      <c r="M628" s="7" t="s">
        <v>126</v>
      </c>
      <c r="N628" s="3">
        <v>0.95</v>
      </c>
      <c r="O628" s="3">
        <v>0.15</v>
      </c>
      <c r="P628" s="6"/>
      <c r="Q628" s="3">
        <f t="shared" ref="Q628:Q691" si="29">ROUND(IF(OR(N628="",P628=""),0,IF(AND(N628=0,P628=0),1,IF(S628="+",P628/N628,N628/P628))),2)</f>
        <v>0</v>
      </c>
      <c r="R628" s="4">
        <f t="shared" si="28"/>
        <v>0</v>
      </c>
      <c r="S628" s="3" t="s">
        <v>23</v>
      </c>
      <c r="T628" s="195"/>
    </row>
    <row r="629" spans="1:20" ht="21.6" x14ac:dyDescent="0.3">
      <c r="A629" s="139">
        <v>2073</v>
      </c>
      <c r="B629" s="42" t="s">
        <v>20</v>
      </c>
      <c r="C629" s="43" t="s">
        <v>267</v>
      </c>
      <c r="D629" s="50">
        <v>5312</v>
      </c>
      <c r="E629" s="52" t="s">
        <v>189</v>
      </c>
      <c r="F629" s="53" t="s">
        <v>143</v>
      </c>
      <c r="G629" s="213" t="s">
        <v>30</v>
      </c>
      <c r="H629" s="45" t="s">
        <v>417</v>
      </c>
      <c r="I629" s="7" t="s">
        <v>22</v>
      </c>
      <c r="J629" s="3">
        <v>0.7</v>
      </c>
      <c r="K629" s="1" t="s">
        <v>51</v>
      </c>
      <c r="L629" s="8" t="s">
        <v>127</v>
      </c>
      <c r="M629" s="7" t="s">
        <v>128</v>
      </c>
      <c r="N629" s="6">
        <v>0.05</v>
      </c>
      <c r="O629" s="3">
        <v>0.1</v>
      </c>
      <c r="P629" s="11"/>
      <c r="Q629" s="3">
        <f t="shared" si="29"/>
        <v>0</v>
      </c>
      <c r="R629" s="4">
        <f t="shared" si="28"/>
        <v>0</v>
      </c>
      <c r="S629" s="3" t="s">
        <v>24</v>
      </c>
      <c r="T629" s="195"/>
    </row>
    <row r="630" spans="1:20" ht="21.6" x14ac:dyDescent="0.3">
      <c r="A630" s="139">
        <v>2074</v>
      </c>
      <c r="B630" s="42" t="s">
        <v>20</v>
      </c>
      <c r="C630" s="43" t="s">
        <v>267</v>
      </c>
      <c r="D630" s="50">
        <v>5312</v>
      </c>
      <c r="E630" s="52" t="s">
        <v>189</v>
      </c>
      <c r="F630" s="53" t="s">
        <v>143</v>
      </c>
      <c r="G630" s="213" t="s">
        <v>30</v>
      </c>
      <c r="H630" s="45" t="s">
        <v>417</v>
      </c>
      <c r="I630" s="7" t="s">
        <v>22</v>
      </c>
      <c r="J630" s="3">
        <v>0.7</v>
      </c>
      <c r="K630" s="1" t="s">
        <v>305</v>
      </c>
      <c r="L630" s="8" t="s">
        <v>257</v>
      </c>
      <c r="M630" s="13" t="s">
        <v>306</v>
      </c>
      <c r="N630" s="3">
        <v>0.95</v>
      </c>
      <c r="O630" s="3">
        <v>0.1</v>
      </c>
      <c r="P630" s="3"/>
      <c r="Q630" s="3">
        <f t="shared" si="29"/>
        <v>0</v>
      </c>
      <c r="R630" s="4">
        <f t="shared" si="28"/>
        <v>0</v>
      </c>
      <c r="S630" s="3" t="s">
        <v>23</v>
      </c>
      <c r="T630" s="195"/>
    </row>
    <row r="631" spans="1:20" ht="21.6" x14ac:dyDescent="0.3">
      <c r="A631" s="139">
        <v>2075</v>
      </c>
      <c r="B631" s="42" t="s">
        <v>20</v>
      </c>
      <c r="C631" s="43" t="s">
        <v>267</v>
      </c>
      <c r="D631" s="50">
        <v>5312</v>
      </c>
      <c r="E631" s="52" t="s">
        <v>189</v>
      </c>
      <c r="F631" s="53" t="s">
        <v>143</v>
      </c>
      <c r="G631" s="213" t="s">
        <v>30</v>
      </c>
      <c r="H631" s="45" t="s">
        <v>417</v>
      </c>
      <c r="I631" s="47" t="s">
        <v>22</v>
      </c>
      <c r="J631" s="3">
        <v>0.7</v>
      </c>
      <c r="K631" s="49" t="s">
        <v>129</v>
      </c>
      <c r="L631" s="30" t="s">
        <v>130</v>
      </c>
      <c r="M631" s="47" t="s">
        <v>131</v>
      </c>
      <c r="N631" s="3">
        <v>0.9</v>
      </c>
      <c r="O631" s="10">
        <v>0.2</v>
      </c>
      <c r="P631" s="3"/>
      <c r="Q631" s="3">
        <f t="shared" si="29"/>
        <v>0</v>
      </c>
      <c r="R631" s="48">
        <f t="shared" si="28"/>
        <v>0</v>
      </c>
      <c r="S631" s="10" t="s">
        <v>23</v>
      </c>
      <c r="T631" s="193"/>
    </row>
    <row r="632" spans="1:20" ht="21.6" x14ac:dyDescent="0.3">
      <c r="A632" s="139">
        <v>2076</v>
      </c>
      <c r="B632" s="42" t="s">
        <v>20</v>
      </c>
      <c r="C632" s="43" t="s">
        <v>267</v>
      </c>
      <c r="D632" s="50">
        <v>5312</v>
      </c>
      <c r="E632" s="52" t="s">
        <v>189</v>
      </c>
      <c r="F632" s="53" t="s">
        <v>143</v>
      </c>
      <c r="G632" s="213" t="s">
        <v>30</v>
      </c>
      <c r="H632" s="45" t="s">
        <v>417</v>
      </c>
      <c r="I632" s="47" t="s">
        <v>22</v>
      </c>
      <c r="J632" s="3">
        <v>0.7</v>
      </c>
      <c r="K632" s="49" t="s">
        <v>132</v>
      </c>
      <c r="L632" s="30" t="s">
        <v>133</v>
      </c>
      <c r="M632" s="47" t="s">
        <v>134</v>
      </c>
      <c r="N632" s="4">
        <v>0</v>
      </c>
      <c r="O632" s="10">
        <v>0.1</v>
      </c>
      <c r="P632" s="3"/>
      <c r="Q632" s="3">
        <f t="shared" si="29"/>
        <v>0</v>
      </c>
      <c r="R632" s="48">
        <f t="shared" si="28"/>
        <v>0</v>
      </c>
      <c r="S632" s="10" t="s">
        <v>24</v>
      </c>
      <c r="T632" s="193"/>
    </row>
    <row r="633" spans="1:20" ht="21.6" x14ac:dyDescent="0.3">
      <c r="A633" s="139">
        <v>2077</v>
      </c>
      <c r="B633" s="42" t="s">
        <v>20</v>
      </c>
      <c r="C633" s="43" t="s">
        <v>267</v>
      </c>
      <c r="D633" s="50">
        <v>5312</v>
      </c>
      <c r="E633" s="52" t="s">
        <v>189</v>
      </c>
      <c r="F633" s="53" t="s">
        <v>143</v>
      </c>
      <c r="G633" s="213" t="s">
        <v>30</v>
      </c>
      <c r="H633" s="45" t="s">
        <v>417</v>
      </c>
      <c r="I633" s="47" t="s">
        <v>22</v>
      </c>
      <c r="J633" s="3">
        <v>0.7</v>
      </c>
      <c r="K633" s="49" t="s">
        <v>135</v>
      </c>
      <c r="L633" s="30" t="s">
        <v>136</v>
      </c>
      <c r="M633" s="49" t="s">
        <v>137</v>
      </c>
      <c r="N633" s="3">
        <v>0.9</v>
      </c>
      <c r="O633" s="10">
        <v>0.2</v>
      </c>
      <c r="P633" s="51"/>
      <c r="Q633" s="3">
        <f t="shared" si="29"/>
        <v>0</v>
      </c>
      <c r="R633" s="48">
        <f t="shared" si="28"/>
        <v>0</v>
      </c>
      <c r="S633" s="10" t="s">
        <v>23</v>
      </c>
      <c r="T633" s="193"/>
    </row>
    <row r="634" spans="1:20" ht="22.2" thickBot="1" x14ac:dyDescent="0.35">
      <c r="A634" s="142">
        <v>2078</v>
      </c>
      <c r="B634" s="81" t="s">
        <v>20</v>
      </c>
      <c r="C634" s="82" t="s">
        <v>267</v>
      </c>
      <c r="D634" s="113">
        <v>5312</v>
      </c>
      <c r="E634" s="118" t="s">
        <v>189</v>
      </c>
      <c r="F634" s="119" t="s">
        <v>143</v>
      </c>
      <c r="G634" s="214" t="s">
        <v>30</v>
      </c>
      <c r="H634" s="84" t="s">
        <v>417</v>
      </c>
      <c r="I634" s="85" t="s">
        <v>26</v>
      </c>
      <c r="J634" s="86">
        <v>0.3</v>
      </c>
      <c r="K634" s="115" t="s">
        <v>138</v>
      </c>
      <c r="L634" s="114" t="s">
        <v>139</v>
      </c>
      <c r="M634" s="115" t="s">
        <v>140</v>
      </c>
      <c r="N634" s="86">
        <v>1</v>
      </c>
      <c r="O634" s="91">
        <v>1</v>
      </c>
      <c r="P634" s="86"/>
      <c r="Q634" s="86">
        <f t="shared" si="29"/>
        <v>0</v>
      </c>
      <c r="R634" s="104">
        <f t="shared" si="28"/>
        <v>0</v>
      </c>
      <c r="S634" s="91" t="s">
        <v>23</v>
      </c>
      <c r="T634" s="147"/>
    </row>
    <row r="635" spans="1:20" ht="21.6" x14ac:dyDescent="0.3">
      <c r="A635" s="144">
        <v>2070</v>
      </c>
      <c r="B635" s="64" t="s">
        <v>20</v>
      </c>
      <c r="C635" s="65" t="s">
        <v>267</v>
      </c>
      <c r="D635" s="111">
        <v>5334</v>
      </c>
      <c r="E635" s="116" t="s">
        <v>189</v>
      </c>
      <c r="F635" s="117" t="s">
        <v>143</v>
      </c>
      <c r="G635" s="212" t="s">
        <v>30</v>
      </c>
      <c r="H635" s="67" t="s">
        <v>417</v>
      </c>
      <c r="I635" s="98" t="s">
        <v>22</v>
      </c>
      <c r="J635" s="69">
        <v>0.7</v>
      </c>
      <c r="K635" s="101" t="s">
        <v>513</v>
      </c>
      <c r="L635" s="105" t="s">
        <v>511</v>
      </c>
      <c r="M635" s="101" t="s">
        <v>411</v>
      </c>
      <c r="N635" s="69">
        <v>0.95</v>
      </c>
      <c r="O635" s="69">
        <v>0.15</v>
      </c>
      <c r="P635" s="168"/>
      <c r="Q635" s="69">
        <f t="shared" si="29"/>
        <v>0</v>
      </c>
      <c r="R635" s="100">
        <f t="shared" si="28"/>
        <v>0</v>
      </c>
      <c r="S635" s="69" t="s">
        <v>23</v>
      </c>
      <c r="T635" s="192">
        <f>SUM(R635:R642)%</f>
        <v>0</v>
      </c>
    </row>
    <row r="636" spans="1:20" ht="21.6" x14ac:dyDescent="0.3">
      <c r="A636" s="139">
        <v>2072</v>
      </c>
      <c r="B636" s="42" t="s">
        <v>20</v>
      </c>
      <c r="C636" s="43" t="s">
        <v>267</v>
      </c>
      <c r="D636" s="50">
        <v>5334</v>
      </c>
      <c r="E636" s="52" t="s">
        <v>189</v>
      </c>
      <c r="F636" s="53" t="s">
        <v>143</v>
      </c>
      <c r="G636" s="213" t="s">
        <v>30</v>
      </c>
      <c r="H636" s="45" t="s">
        <v>417</v>
      </c>
      <c r="I636" s="7" t="s">
        <v>22</v>
      </c>
      <c r="J636" s="3">
        <v>0.7</v>
      </c>
      <c r="K636" s="1" t="s">
        <v>124</v>
      </c>
      <c r="L636" s="8" t="s">
        <v>125</v>
      </c>
      <c r="M636" s="7" t="s">
        <v>126</v>
      </c>
      <c r="N636" s="3">
        <v>0.95</v>
      </c>
      <c r="O636" s="3">
        <v>0.15</v>
      </c>
      <c r="P636" s="6"/>
      <c r="Q636" s="3">
        <f t="shared" si="29"/>
        <v>0</v>
      </c>
      <c r="R636" s="4">
        <f t="shared" si="28"/>
        <v>0</v>
      </c>
      <c r="S636" s="3" t="s">
        <v>23</v>
      </c>
      <c r="T636" s="195"/>
    </row>
    <row r="637" spans="1:20" ht="21.6" x14ac:dyDescent="0.3">
      <c r="A637" s="139">
        <v>2073</v>
      </c>
      <c r="B637" s="42" t="s">
        <v>20</v>
      </c>
      <c r="C637" s="43" t="s">
        <v>267</v>
      </c>
      <c r="D637" s="50">
        <v>5334</v>
      </c>
      <c r="E637" s="52" t="s">
        <v>189</v>
      </c>
      <c r="F637" s="53" t="s">
        <v>143</v>
      </c>
      <c r="G637" s="213" t="s">
        <v>30</v>
      </c>
      <c r="H637" s="45" t="s">
        <v>417</v>
      </c>
      <c r="I637" s="7" t="s">
        <v>22</v>
      </c>
      <c r="J637" s="3">
        <v>0.7</v>
      </c>
      <c r="K637" s="1" t="s">
        <v>51</v>
      </c>
      <c r="L637" s="8" t="s">
        <v>127</v>
      </c>
      <c r="M637" s="7" t="s">
        <v>128</v>
      </c>
      <c r="N637" s="6">
        <v>0.05</v>
      </c>
      <c r="O637" s="3">
        <v>0.1</v>
      </c>
      <c r="P637" s="11"/>
      <c r="Q637" s="3">
        <f t="shared" si="29"/>
        <v>0</v>
      </c>
      <c r="R637" s="4">
        <f t="shared" si="28"/>
        <v>0</v>
      </c>
      <c r="S637" s="3" t="s">
        <v>24</v>
      </c>
      <c r="T637" s="195"/>
    </row>
    <row r="638" spans="1:20" ht="21.6" x14ac:dyDescent="0.3">
      <c r="A638" s="139">
        <v>2074</v>
      </c>
      <c r="B638" s="42" t="s">
        <v>20</v>
      </c>
      <c r="C638" s="43" t="s">
        <v>267</v>
      </c>
      <c r="D638" s="50">
        <v>5334</v>
      </c>
      <c r="E638" s="52" t="s">
        <v>189</v>
      </c>
      <c r="F638" s="53" t="s">
        <v>143</v>
      </c>
      <c r="G638" s="213" t="s">
        <v>30</v>
      </c>
      <c r="H638" s="45" t="s">
        <v>417</v>
      </c>
      <c r="I638" s="7" t="s">
        <v>22</v>
      </c>
      <c r="J638" s="3">
        <v>0.7</v>
      </c>
      <c r="K638" s="1" t="s">
        <v>305</v>
      </c>
      <c r="L638" s="8" t="s">
        <v>257</v>
      </c>
      <c r="M638" s="13" t="s">
        <v>306</v>
      </c>
      <c r="N638" s="3">
        <v>0.95</v>
      </c>
      <c r="O638" s="3">
        <v>0.1</v>
      </c>
      <c r="P638" s="3"/>
      <c r="Q638" s="3">
        <f t="shared" si="29"/>
        <v>0</v>
      </c>
      <c r="R638" s="4">
        <f t="shared" si="28"/>
        <v>0</v>
      </c>
      <c r="S638" s="3" t="s">
        <v>23</v>
      </c>
      <c r="T638" s="195"/>
    </row>
    <row r="639" spans="1:20" ht="21.6" x14ac:dyDescent="0.3">
      <c r="A639" s="139">
        <v>2075</v>
      </c>
      <c r="B639" s="42" t="s">
        <v>20</v>
      </c>
      <c r="C639" s="43" t="s">
        <v>267</v>
      </c>
      <c r="D639" s="50">
        <v>5334</v>
      </c>
      <c r="E639" s="52" t="s">
        <v>189</v>
      </c>
      <c r="F639" s="53" t="s">
        <v>143</v>
      </c>
      <c r="G639" s="213" t="s">
        <v>30</v>
      </c>
      <c r="H639" s="45" t="s">
        <v>417</v>
      </c>
      <c r="I639" s="47" t="s">
        <v>22</v>
      </c>
      <c r="J639" s="3">
        <v>0.7</v>
      </c>
      <c r="K639" s="49" t="s">
        <v>129</v>
      </c>
      <c r="L639" s="30" t="s">
        <v>130</v>
      </c>
      <c r="M639" s="47" t="s">
        <v>131</v>
      </c>
      <c r="N639" s="3">
        <v>0.9</v>
      </c>
      <c r="O639" s="10">
        <v>0.2</v>
      </c>
      <c r="P639" s="3"/>
      <c r="Q639" s="3">
        <f t="shared" si="29"/>
        <v>0</v>
      </c>
      <c r="R639" s="48">
        <f t="shared" si="28"/>
        <v>0</v>
      </c>
      <c r="S639" s="10" t="s">
        <v>23</v>
      </c>
      <c r="T639" s="193"/>
    </row>
    <row r="640" spans="1:20" ht="21.6" x14ac:dyDescent="0.3">
      <c r="A640" s="139">
        <v>2076</v>
      </c>
      <c r="B640" s="42" t="s">
        <v>20</v>
      </c>
      <c r="C640" s="43" t="s">
        <v>267</v>
      </c>
      <c r="D640" s="50">
        <v>5334</v>
      </c>
      <c r="E640" s="52" t="s">
        <v>189</v>
      </c>
      <c r="F640" s="53" t="s">
        <v>143</v>
      </c>
      <c r="G640" s="213" t="s">
        <v>30</v>
      </c>
      <c r="H640" s="45" t="s">
        <v>417</v>
      </c>
      <c r="I640" s="47" t="s">
        <v>22</v>
      </c>
      <c r="J640" s="3">
        <v>0.7</v>
      </c>
      <c r="K640" s="49" t="s">
        <v>132</v>
      </c>
      <c r="L640" s="30" t="s">
        <v>133</v>
      </c>
      <c r="M640" s="47" t="s">
        <v>134</v>
      </c>
      <c r="N640" s="4">
        <v>0</v>
      </c>
      <c r="O640" s="10">
        <v>0.1</v>
      </c>
      <c r="P640" s="3"/>
      <c r="Q640" s="3">
        <f t="shared" si="29"/>
        <v>0</v>
      </c>
      <c r="R640" s="48">
        <f t="shared" si="28"/>
        <v>0</v>
      </c>
      <c r="S640" s="10" t="s">
        <v>24</v>
      </c>
      <c r="T640" s="193"/>
    </row>
    <row r="641" spans="1:20" ht="21.6" x14ac:dyDescent="0.3">
      <c r="A641" s="139">
        <v>2077</v>
      </c>
      <c r="B641" s="42" t="s">
        <v>20</v>
      </c>
      <c r="C641" s="43" t="s">
        <v>267</v>
      </c>
      <c r="D641" s="50">
        <v>5334</v>
      </c>
      <c r="E641" s="52" t="s">
        <v>189</v>
      </c>
      <c r="F641" s="53" t="s">
        <v>143</v>
      </c>
      <c r="G641" s="213" t="s">
        <v>30</v>
      </c>
      <c r="H641" s="45" t="s">
        <v>417</v>
      </c>
      <c r="I641" s="47" t="s">
        <v>22</v>
      </c>
      <c r="J641" s="3">
        <v>0.7</v>
      </c>
      <c r="K641" s="49" t="s">
        <v>135</v>
      </c>
      <c r="L641" s="30" t="s">
        <v>136</v>
      </c>
      <c r="M641" s="49" t="s">
        <v>137</v>
      </c>
      <c r="N641" s="3">
        <v>0.9</v>
      </c>
      <c r="O641" s="10">
        <v>0.2</v>
      </c>
      <c r="P641" s="51"/>
      <c r="Q641" s="3">
        <f t="shared" si="29"/>
        <v>0</v>
      </c>
      <c r="R641" s="48">
        <f t="shared" si="28"/>
        <v>0</v>
      </c>
      <c r="S641" s="10" t="s">
        <v>23</v>
      </c>
      <c r="T641" s="193"/>
    </row>
    <row r="642" spans="1:20" ht="22.2" thickBot="1" x14ac:dyDescent="0.35">
      <c r="A642" s="142">
        <v>2078</v>
      </c>
      <c r="B642" s="81" t="s">
        <v>20</v>
      </c>
      <c r="C642" s="82" t="s">
        <v>267</v>
      </c>
      <c r="D642" s="113">
        <v>5334</v>
      </c>
      <c r="E642" s="118" t="s">
        <v>189</v>
      </c>
      <c r="F642" s="119" t="s">
        <v>143</v>
      </c>
      <c r="G642" s="214" t="s">
        <v>30</v>
      </c>
      <c r="H642" s="84" t="s">
        <v>417</v>
      </c>
      <c r="I642" s="85" t="s">
        <v>26</v>
      </c>
      <c r="J642" s="86">
        <v>0.3</v>
      </c>
      <c r="K642" s="115" t="s">
        <v>138</v>
      </c>
      <c r="L642" s="114" t="s">
        <v>139</v>
      </c>
      <c r="M642" s="115" t="s">
        <v>140</v>
      </c>
      <c r="N642" s="86">
        <v>1</v>
      </c>
      <c r="O642" s="91">
        <v>1</v>
      </c>
      <c r="P642" s="86"/>
      <c r="Q642" s="86">
        <f t="shared" si="29"/>
        <v>0</v>
      </c>
      <c r="R642" s="104">
        <f t="shared" si="28"/>
        <v>0</v>
      </c>
      <c r="S642" s="91" t="s">
        <v>23</v>
      </c>
      <c r="T642" s="147"/>
    </row>
    <row r="643" spans="1:20" ht="21.6" x14ac:dyDescent="0.3">
      <c r="A643" s="144">
        <v>2070</v>
      </c>
      <c r="B643" s="64" t="s">
        <v>20</v>
      </c>
      <c r="C643" s="65" t="s">
        <v>267</v>
      </c>
      <c r="D643" s="111">
        <v>5557</v>
      </c>
      <c r="E643" s="116" t="s">
        <v>194</v>
      </c>
      <c r="F643" s="117" t="s">
        <v>123</v>
      </c>
      <c r="G643" s="212" t="s">
        <v>30</v>
      </c>
      <c r="H643" s="67" t="s">
        <v>417</v>
      </c>
      <c r="I643" s="98" t="s">
        <v>22</v>
      </c>
      <c r="J643" s="69">
        <v>0.7</v>
      </c>
      <c r="K643" s="101" t="s">
        <v>513</v>
      </c>
      <c r="L643" s="105" t="s">
        <v>511</v>
      </c>
      <c r="M643" s="101" t="s">
        <v>411</v>
      </c>
      <c r="N643" s="69">
        <v>0.95</v>
      </c>
      <c r="O643" s="69">
        <v>0.15</v>
      </c>
      <c r="P643" s="168"/>
      <c r="Q643" s="69">
        <f t="shared" si="29"/>
        <v>0</v>
      </c>
      <c r="R643" s="100">
        <f t="shared" si="28"/>
        <v>0</v>
      </c>
      <c r="S643" s="69" t="s">
        <v>23</v>
      </c>
      <c r="T643" s="192">
        <f>SUM(R643:R650)%</f>
        <v>0</v>
      </c>
    </row>
    <row r="644" spans="1:20" ht="21.6" x14ac:dyDescent="0.3">
      <c r="A644" s="139">
        <v>2072</v>
      </c>
      <c r="B644" s="42" t="s">
        <v>20</v>
      </c>
      <c r="C644" s="43" t="s">
        <v>267</v>
      </c>
      <c r="D644" s="50">
        <v>5557</v>
      </c>
      <c r="E644" s="52" t="s">
        <v>194</v>
      </c>
      <c r="F644" s="53" t="s">
        <v>123</v>
      </c>
      <c r="G644" s="213" t="s">
        <v>30</v>
      </c>
      <c r="H644" s="45" t="s">
        <v>417</v>
      </c>
      <c r="I644" s="7" t="s">
        <v>22</v>
      </c>
      <c r="J644" s="3">
        <v>0.7</v>
      </c>
      <c r="K644" s="1" t="s">
        <v>124</v>
      </c>
      <c r="L644" s="8" t="s">
        <v>125</v>
      </c>
      <c r="M644" s="7" t="s">
        <v>126</v>
      </c>
      <c r="N644" s="3">
        <v>0.95</v>
      </c>
      <c r="O644" s="3">
        <v>0.15</v>
      </c>
      <c r="P644" s="6"/>
      <c r="Q644" s="3">
        <f t="shared" si="29"/>
        <v>0</v>
      </c>
      <c r="R644" s="4">
        <f t="shared" si="28"/>
        <v>0</v>
      </c>
      <c r="S644" s="3" t="s">
        <v>23</v>
      </c>
      <c r="T644" s="195"/>
    </row>
    <row r="645" spans="1:20" ht="21.6" x14ac:dyDescent="0.3">
      <c r="A645" s="139">
        <v>2073</v>
      </c>
      <c r="B645" s="42" t="s">
        <v>20</v>
      </c>
      <c r="C645" s="43" t="s">
        <v>267</v>
      </c>
      <c r="D645" s="50">
        <v>5557</v>
      </c>
      <c r="E645" s="52" t="s">
        <v>194</v>
      </c>
      <c r="F645" s="53" t="s">
        <v>123</v>
      </c>
      <c r="G645" s="213" t="s">
        <v>30</v>
      </c>
      <c r="H645" s="45" t="s">
        <v>417</v>
      </c>
      <c r="I645" s="7" t="s">
        <v>22</v>
      </c>
      <c r="J645" s="3">
        <v>0.7</v>
      </c>
      <c r="K645" s="1" t="s">
        <v>51</v>
      </c>
      <c r="L645" s="8" t="s">
        <v>127</v>
      </c>
      <c r="M645" s="7" t="s">
        <v>128</v>
      </c>
      <c r="N645" s="6">
        <v>0.05</v>
      </c>
      <c r="O645" s="3">
        <v>0.1</v>
      </c>
      <c r="P645" s="11"/>
      <c r="Q645" s="3">
        <f t="shared" si="29"/>
        <v>0</v>
      </c>
      <c r="R645" s="4">
        <f t="shared" si="28"/>
        <v>0</v>
      </c>
      <c r="S645" s="3" t="s">
        <v>24</v>
      </c>
      <c r="T645" s="195"/>
    </row>
    <row r="646" spans="1:20" ht="21.6" x14ac:dyDescent="0.3">
      <c r="A646" s="139">
        <v>2074</v>
      </c>
      <c r="B646" s="42" t="s">
        <v>20</v>
      </c>
      <c r="C646" s="43" t="s">
        <v>267</v>
      </c>
      <c r="D646" s="50">
        <v>5557</v>
      </c>
      <c r="E646" s="52" t="s">
        <v>194</v>
      </c>
      <c r="F646" s="53" t="s">
        <v>123</v>
      </c>
      <c r="G646" s="213" t="s">
        <v>30</v>
      </c>
      <c r="H646" s="45" t="s">
        <v>417</v>
      </c>
      <c r="I646" s="7" t="s">
        <v>22</v>
      </c>
      <c r="J646" s="3">
        <v>0.7</v>
      </c>
      <c r="K646" s="1" t="s">
        <v>305</v>
      </c>
      <c r="L646" s="8" t="s">
        <v>257</v>
      </c>
      <c r="M646" s="13" t="s">
        <v>306</v>
      </c>
      <c r="N646" s="3">
        <v>0.95</v>
      </c>
      <c r="O646" s="3">
        <v>0.1</v>
      </c>
      <c r="P646" s="3"/>
      <c r="Q646" s="3">
        <f t="shared" si="29"/>
        <v>0</v>
      </c>
      <c r="R646" s="4">
        <f t="shared" si="28"/>
        <v>0</v>
      </c>
      <c r="S646" s="3" t="s">
        <v>23</v>
      </c>
      <c r="T646" s="195"/>
    </row>
    <row r="647" spans="1:20" ht="21.6" x14ac:dyDescent="0.3">
      <c r="A647" s="139">
        <v>2075</v>
      </c>
      <c r="B647" s="42" t="s">
        <v>20</v>
      </c>
      <c r="C647" s="43" t="s">
        <v>267</v>
      </c>
      <c r="D647" s="50">
        <v>5557</v>
      </c>
      <c r="E647" s="52" t="s">
        <v>194</v>
      </c>
      <c r="F647" s="53" t="s">
        <v>123</v>
      </c>
      <c r="G647" s="213" t="s">
        <v>30</v>
      </c>
      <c r="H647" s="45" t="s">
        <v>417</v>
      </c>
      <c r="I647" s="47" t="s">
        <v>22</v>
      </c>
      <c r="J647" s="3">
        <v>0.7</v>
      </c>
      <c r="K647" s="49" t="s">
        <v>129</v>
      </c>
      <c r="L647" s="30" t="s">
        <v>130</v>
      </c>
      <c r="M647" s="47" t="s">
        <v>131</v>
      </c>
      <c r="N647" s="3">
        <v>0.9</v>
      </c>
      <c r="O647" s="10">
        <v>0.2</v>
      </c>
      <c r="P647" s="3"/>
      <c r="Q647" s="3">
        <f t="shared" si="29"/>
        <v>0</v>
      </c>
      <c r="R647" s="48">
        <f t="shared" si="28"/>
        <v>0</v>
      </c>
      <c r="S647" s="10" t="s">
        <v>23</v>
      </c>
      <c r="T647" s="193"/>
    </row>
    <row r="648" spans="1:20" ht="21.6" x14ac:dyDescent="0.3">
      <c r="A648" s="139">
        <v>2076</v>
      </c>
      <c r="B648" s="42" t="s">
        <v>20</v>
      </c>
      <c r="C648" s="43" t="s">
        <v>267</v>
      </c>
      <c r="D648" s="50">
        <v>5557</v>
      </c>
      <c r="E648" s="52" t="s">
        <v>194</v>
      </c>
      <c r="F648" s="53" t="s">
        <v>123</v>
      </c>
      <c r="G648" s="213" t="s">
        <v>30</v>
      </c>
      <c r="H648" s="45" t="s">
        <v>417</v>
      </c>
      <c r="I648" s="47" t="s">
        <v>22</v>
      </c>
      <c r="J648" s="3">
        <v>0.7</v>
      </c>
      <c r="K648" s="49" t="s">
        <v>132</v>
      </c>
      <c r="L648" s="30" t="s">
        <v>133</v>
      </c>
      <c r="M648" s="47" t="s">
        <v>134</v>
      </c>
      <c r="N648" s="4">
        <v>0</v>
      </c>
      <c r="O648" s="10">
        <v>0.1</v>
      </c>
      <c r="P648" s="3"/>
      <c r="Q648" s="3">
        <f t="shared" si="29"/>
        <v>0</v>
      </c>
      <c r="R648" s="48">
        <f t="shared" si="28"/>
        <v>0</v>
      </c>
      <c r="S648" s="10" t="s">
        <v>24</v>
      </c>
      <c r="T648" s="193"/>
    </row>
    <row r="649" spans="1:20" ht="21.6" x14ac:dyDescent="0.3">
      <c r="A649" s="139">
        <v>2077</v>
      </c>
      <c r="B649" s="42" t="s">
        <v>20</v>
      </c>
      <c r="C649" s="43" t="s">
        <v>267</v>
      </c>
      <c r="D649" s="50">
        <v>5557</v>
      </c>
      <c r="E649" s="52" t="s">
        <v>194</v>
      </c>
      <c r="F649" s="53" t="s">
        <v>123</v>
      </c>
      <c r="G649" s="213" t="s">
        <v>30</v>
      </c>
      <c r="H649" s="45" t="s">
        <v>417</v>
      </c>
      <c r="I649" s="47" t="s">
        <v>22</v>
      </c>
      <c r="J649" s="3">
        <v>0.7</v>
      </c>
      <c r="K649" s="49" t="s">
        <v>135</v>
      </c>
      <c r="L649" s="30" t="s">
        <v>136</v>
      </c>
      <c r="M649" s="49" t="s">
        <v>137</v>
      </c>
      <c r="N649" s="3">
        <v>0.9</v>
      </c>
      <c r="O649" s="10">
        <v>0.2</v>
      </c>
      <c r="P649" s="51"/>
      <c r="Q649" s="3">
        <f t="shared" si="29"/>
        <v>0</v>
      </c>
      <c r="R649" s="48">
        <f t="shared" si="28"/>
        <v>0</v>
      </c>
      <c r="S649" s="10" t="s">
        <v>23</v>
      </c>
      <c r="T649" s="193"/>
    </row>
    <row r="650" spans="1:20" ht="22.2" thickBot="1" x14ac:dyDescent="0.35">
      <c r="A650" s="142">
        <v>2078</v>
      </c>
      <c r="B650" s="81" t="s">
        <v>20</v>
      </c>
      <c r="C650" s="82" t="s">
        <v>267</v>
      </c>
      <c r="D650" s="113">
        <v>5557</v>
      </c>
      <c r="E650" s="118" t="s">
        <v>194</v>
      </c>
      <c r="F650" s="119" t="s">
        <v>123</v>
      </c>
      <c r="G650" s="214" t="s">
        <v>30</v>
      </c>
      <c r="H650" s="84" t="s">
        <v>417</v>
      </c>
      <c r="I650" s="85" t="s">
        <v>26</v>
      </c>
      <c r="J650" s="86">
        <v>0.3</v>
      </c>
      <c r="K650" s="115" t="s">
        <v>138</v>
      </c>
      <c r="L650" s="114" t="s">
        <v>139</v>
      </c>
      <c r="M650" s="115" t="s">
        <v>140</v>
      </c>
      <c r="N650" s="86">
        <v>1</v>
      </c>
      <c r="O650" s="91">
        <v>1</v>
      </c>
      <c r="P650" s="86"/>
      <c r="Q650" s="86">
        <f t="shared" si="29"/>
        <v>0</v>
      </c>
      <c r="R650" s="104">
        <f t="shared" si="28"/>
        <v>0</v>
      </c>
      <c r="S650" s="91" t="s">
        <v>23</v>
      </c>
      <c r="T650" s="147"/>
    </row>
    <row r="651" spans="1:20" ht="21.6" x14ac:dyDescent="0.3">
      <c r="A651" s="144">
        <v>2070</v>
      </c>
      <c r="B651" s="64" t="s">
        <v>20</v>
      </c>
      <c r="C651" s="65" t="s">
        <v>267</v>
      </c>
      <c r="D651" s="111">
        <v>5511</v>
      </c>
      <c r="E651" s="116" t="s">
        <v>192</v>
      </c>
      <c r="F651" s="117" t="s">
        <v>123</v>
      </c>
      <c r="G651" s="212" t="s">
        <v>30</v>
      </c>
      <c r="H651" s="67" t="s">
        <v>417</v>
      </c>
      <c r="I651" s="98" t="s">
        <v>22</v>
      </c>
      <c r="J651" s="69">
        <v>0.7</v>
      </c>
      <c r="K651" s="101" t="s">
        <v>513</v>
      </c>
      <c r="L651" s="105" t="s">
        <v>511</v>
      </c>
      <c r="M651" s="101" t="s">
        <v>411</v>
      </c>
      <c r="N651" s="69">
        <v>0.95</v>
      </c>
      <c r="O651" s="69">
        <v>0.15</v>
      </c>
      <c r="P651" s="168"/>
      <c r="Q651" s="69">
        <f t="shared" si="29"/>
        <v>0</v>
      </c>
      <c r="R651" s="100">
        <f t="shared" si="28"/>
        <v>0</v>
      </c>
      <c r="S651" s="69" t="s">
        <v>23</v>
      </c>
      <c r="T651" s="192">
        <f>SUM(R651:R658)%</f>
        <v>0</v>
      </c>
    </row>
    <row r="652" spans="1:20" ht="21.6" x14ac:dyDescent="0.3">
      <c r="A652" s="139">
        <v>2072</v>
      </c>
      <c r="B652" s="42" t="s">
        <v>20</v>
      </c>
      <c r="C652" s="43" t="s">
        <v>267</v>
      </c>
      <c r="D652" s="50">
        <v>5511</v>
      </c>
      <c r="E652" s="52" t="s">
        <v>192</v>
      </c>
      <c r="F652" s="53" t="s">
        <v>123</v>
      </c>
      <c r="G652" s="213" t="s">
        <v>30</v>
      </c>
      <c r="H652" s="45" t="s">
        <v>417</v>
      </c>
      <c r="I652" s="7" t="s">
        <v>22</v>
      </c>
      <c r="J652" s="3">
        <v>0.7</v>
      </c>
      <c r="K652" s="1" t="s">
        <v>124</v>
      </c>
      <c r="L652" s="8" t="s">
        <v>125</v>
      </c>
      <c r="M652" s="7" t="s">
        <v>126</v>
      </c>
      <c r="N652" s="3">
        <v>0.95</v>
      </c>
      <c r="O652" s="3">
        <v>0.15</v>
      </c>
      <c r="P652" s="6"/>
      <c r="Q652" s="3">
        <f t="shared" si="29"/>
        <v>0</v>
      </c>
      <c r="R652" s="4">
        <f t="shared" si="28"/>
        <v>0</v>
      </c>
      <c r="S652" s="3" t="s">
        <v>23</v>
      </c>
      <c r="T652" s="195"/>
    </row>
    <row r="653" spans="1:20" ht="21.6" x14ac:dyDescent="0.3">
      <c r="A653" s="139">
        <v>2073</v>
      </c>
      <c r="B653" s="42" t="s">
        <v>20</v>
      </c>
      <c r="C653" s="43" t="s">
        <v>267</v>
      </c>
      <c r="D653" s="50">
        <v>5511</v>
      </c>
      <c r="E653" s="52" t="s">
        <v>192</v>
      </c>
      <c r="F653" s="53" t="s">
        <v>123</v>
      </c>
      <c r="G653" s="213" t="s">
        <v>30</v>
      </c>
      <c r="H653" s="45" t="s">
        <v>417</v>
      </c>
      <c r="I653" s="7" t="s">
        <v>22</v>
      </c>
      <c r="J653" s="3">
        <v>0.7</v>
      </c>
      <c r="K653" s="1" t="s">
        <v>51</v>
      </c>
      <c r="L653" s="8" t="s">
        <v>127</v>
      </c>
      <c r="M653" s="7" t="s">
        <v>128</v>
      </c>
      <c r="N653" s="6">
        <v>0.05</v>
      </c>
      <c r="O653" s="3">
        <v>0.1</v>
      </c>
      <c r="P653" s="11"/>
      <c r="Q653" s="3">
        <f t="shared" si="29"/>
        <v>0</v>
      </c>
      <c r="R653" s="4">
        <f t="shared" ref="R653:R716" si="30">IF(AND(Q653&gt;=60%,Q653&lt;100%),Q653*((O653*J653)),IF(Q653=100%,((O653*J653)*Q653)*100%,IF(Q653&gt;100%,((J653*O653)*100%)*100%,0)))*100</f>
        <v>0</v>
      </c>
      <c r="S653" s="3" t="s">
        <v>24</v>
      </c>
      <c r="T653" s="195"/>
    </row>
    <row r="654" spans="1:20" ht="21.6" x14ac:dyDescent="0.3">
      <c r="A654" s="139">
        <v>2074</v>
      </c>
      <c r="B654" s="42" t="s">
        <v>20</v>
      </c>
      <c r="C654" s="43" t="s">
        <v>267</v>
      </c>
      <c r="D654" s="50">
        <v>5511</v>
      </c>
      <c r="E654" s="52" t="s">
        <v>192</v>
      </c>
      <c r="F654" s="53" t="s">
        <v>123</v>
      </c>
      <c r="G654" s="213" t="s">
        <v>30</v>
      </c>
      <c r="H654" s="45" t="s">
        <v>417</v>
      </c>
      <c r="I654" s="7" t="s">
        <v>22</v>
      </c>
      <c r="J654" s="3">
        <v>0.7</v>
      </c>
      <c r="K654" s="1" t="s">
        <v>305</v>
      </c>
      <c r="L654" s="8" t="s">
        <v>257</v>
      </c>
      <c r="M654" s="13" t="s">
        <v>306</v>
      </c>
      <c r="N654" s="3">
        <v>0.95</v>
      </c>
      <c r="O654" s="3">
        <v>0.1</v>
      </c>
      <c r="P654" s="3"/>
      <c r="Q654" s="3">
        <f t="shared" si="29"/>
        <v>0</v>
      </c>
      <c r="R654" s="4">
        <f t="shared" si="30"/>
        <v>0</v>
      </c>
      <c r="S654" s="3" t="s">
        <v>23</v>
      </c>
      <c r="T654" s="195"/>
    </row>
    <row r="655" spans="1:20" ht="21.6" x14ac:dyDescent="0.3">
      <c r="A655" s="139">
        <v>2075</v>
      </c>
      <c r="B655" s="42" t="s">
        <v>20</v>
      </c>
      <c r="C655" s="43" t="s">
        <v>267</v>
      </c>
      <c r="D655" s="50">
        <v>5511</v>
      </c>
      <c r="E655" s="52" t="s">
        <v>192</v>
      </c>
      <c r="F655" s="53" t="s">
        <v>123</v>
      </c>
      <c r="G655" s="213" t="s">
        <v>30</v>
      </c>
      <c r="H655" s="45" t="s">
        <v>417</v>
      </c>
      <c r="I655" s="47" t="s">
        <v>22</v>
      </c>
      <c r="J655" s="3">
        <v>0.7</v>
      </c>
      <c r="K655" s="49" t="s">
        <v>129</v>
      </c>
      <c r="L655" s="30" t="s">
        <v>130</v>
      </c>
      <c r="M655" s="47" t="s">
        <v>131</v>
      </c>
      <c r="N655" s="3">
        <v>0.9</v>
      </c>
      <c r="O655" s="10">
        <v>0.2</v>
      </c>
      <c r="P655" s="3"/>
      <c r="Q655" s="3">
        <f t="shared" si="29"/>
        <v>0</v>
      </c>
      <c r="R655" s="48">
        <f t="shared" si="30"/>
        <v>0</v>
      </c>
      <c r="S655" s="10" t="s">
        <v>23</v>
      </c>
      <c r="T655" s="193"/>
    </row>
    <row r="656" spans="1:20" ht="21.6" x14ac:dyDescent="0.3">
      <c r="A656" s="139">
        <v>2076</v>
      </c>
      <c r="B656" s="42" t="s">
        <v>20</v>
      </c>
      <c r="C656" s="43" t="s">
        <v>267</v>
      </c>
      <c r="D656" s="50">
        <v>5511</v>
      </c>
      <c r="E656" s="52" t="s">
        <v>192</v>
      </c>
      <c r="F656" s="53" t="s">
        <v>123</v>
      </c>
      <c r="G656" s="213" t="s">
        <v>30</v>
      </c>
      <c r="H656" s="45" t="s">
        <v>417</v>
      </c>
      <c r="I656" s="47" t="s">
        <v>22</v>
      </c>
      <c r="J656" s="3">
        <v>0.7</v>
      </c>
      <c r="K656" s="49" t="s">
        <v>132</v>
      </c>
      <c r="L656" s="30" t="s">
        <v>133</v>
      </c>
      <c r="M656" s="47" t="s">
        <v>134</v>
      </c>
      <c r="N656" s="4">
        <v>0</v>
      </c>
      <c r="O656" s="10">
        <v>0.1</v>
      </c>
      <c r="P656" s="3"/>
      <c r="Q656" s="3">
        <f t="shared" si="29"/>
        <v>0</v>
      </c>
      <c r="R656" s="48">
        <f t="shared" si="30"/>
        <v>0</v>
      </c>
      <c r="S656" s="10" t="s">
        <v>24</v>
      </c>
      <c r="T656" s="193"/>
    </row>
    <row r="657" spans="1:20" ht="21.6" x14ac:dyDescent="0.3">
      <c r="A657" s="139">
        <v>2077</v>
      </c>
      <c r="B657" s="42" t="s">
        <v>20</v>
      </c>
      <c r="C657" s="43" t="s">
        <v>267</v>
      </c>
      <c r="D657" s="50">
        <v>5511</v>
      </c>
      <c r="E657" s="52" t="s">
        <v>192</v>
      </c>
      <c r="F657" s="53" t="s">
        <v>123</v>
      </c>
      <c r="G657" s="213" t="s">
        <v>30</v>
      </c>
      <c r="H657" s="45" t="s">
        <v>417</v>
      </c>
      <c r="I657" s="47" t="s">
        <v>22</v>
      </c>
      <c r="J657" s="3">
        <v>0.7</v>
      </c>
      <c r="K657" s="49" t="s">
        <v>135</v>
      </c>
      <c r="L657" s="30" t="s">
        <v>136</v>
      </c>
      <c r="M657" s="49" t="s">
        <v>137</v>
      </c>
      <c r="N657" s="3">
        <v>0.9</v>
      </c>
      <c r="O657" s="10">
        <v>0.2</v>
      </c>
      <c r="P657" s="51"/>
      <c r="Q657" s="3">
        <f t="shared" si="29"/>
        <v>0</v>
      </c>
      <c r="R657" s="48">
        <f t="shared" si="30"/>
        <v>0</v>
      </c>
      <c r="S657" s="10" t="s">
        <v>23</v>
      </c>
      <c r="T657" s="193"/>
    </row>
    <row r="658" spans="1:20" ht="22.2" thickBot="1" x14ac:dyDescent="0.35">
      <c r="A658" s="142">
        <v>2078</v>
      </c>
      <c r="B658" s="81" t="s">
        <v>20</v>
      </c>
      <c r="C658" s="82" t="s">
        <v>267</v>
      </c>
      <c r="D658" s="113">
        <v>5511</v>
      </c>
      <c r="E658" s="118" t="s">
        <v>192</v>
      </c>
      <c r="F658" s="119" t="s">
        <v>123</v>
      </c>
      <c r="G658" s="214" t="s">
        <v>30</v>
      </c>
      <c r="H658" s="84" t="s">
        <v>417</v>
      </c>
      <c r="I658" s="85" t="s">
        <v>26</v>
      </c>
      <c r="J658" s="86">
        <v>0.3</v>
      </c>
      <c r="K658" s="115" t="s">
        <v>138</v>
      </c>
      <c r="L658" s="114" t="s">
        <v>139</v>
      </c>
      <c r="M658" s="115" t="s">
        <v>140</v>
      </c>
      <c r="N658" s="86">
        <v>1</v>
      </c>
      <c r="O658" s="91">
        <v>1</v>
      </c>
      <c r="P658" s="86"/>
      <c r="Q658" s="86">
        <f t="shared" si="29"/>
        <v>0</v>
      </c>
      <c r="R658" s="104">
        <f t="shared" si="30"/>
        <v>0</v>
      </c>
      <c r="S658" s="91" t="s">
        <v>23</v>
      </c>
      <c r="T658" s="147"/>
    </row>
    <row r="659" spans="1:20" ht="21.6" x14ac:dyDescent="0.3">
      <c r="A659" s="144">
        <v>2070</v>
      </c>
      <c r="B659" s="64" t="s">
        <v>20</v>
      </c>
      <c r="C659" s="65" t="s">
        <v>267</v>
      </c>
      <c r="D659" s="111">
        <v>5270</v>
      </c>
      <c r="E659" s="116" t="s">
        <v>188</v>
      </c>
      <c r="F659" s="117" t="s">
        <v>123</v>
      </c>
      <c r="G659" s="212" t="s">
        <v>30</v>
      </c>
      <c r="H659" s="67" t="s">
        <v>417</v>
      </c>
      <c r="I659" s="98" t="s">
        <v>22</v>
      </c>
      <c r="J659" s="69">
        <v>0.7</v>
      </c>
      <c r="K659" s="101" t="s">
        <v>513</v>
      </c>
      <c r="L659" s="105" t="s">
        <v>511</v>
      </c>
      <c r="M659" s="101" t="s">
        <v>411</v>
      </c>
      <c r="N659" s="69">
        <v>0.95</v>
      </c>
      <c r="O659" s="69">
        <v>0.15</v>
      </c>
      <c r="P659" s="168"/>
      <c r="Q659" s="69">
        <f t="shared" si="29"/>
        <v>0</v>
      </c>
      <c r="R659" s="100">
        <f t="shared" si="30"/>
        <v>0</v>
      </c>
      <c r="S659" s="69" t="s">
        <v>23</v>
      </c>
      <c r="T659" s="192">
        <f>SUM(R659:R666)%</f>
        <v>0</v>
      </c>
    </row>
    <row r="660" spans="1:20" ht="21.6" x14ac:dyDescent="0.3">
      <c r="A660" s="139">
        <v>2071</v>
      </c>
      <c r="B660" s="42" t="s">
        <v>20</v>
      </c>
      <c r="C660" s="43" t="s">
        <v>267</v>
      </c>
      <c r="D660" s="50">
        <v>5270</v>
      </c>
      <c r="E660" s="52" t="s">
        <v>188</v>
      </c>
      <c r="F660" s="53" t="s">
        <v>123</v>
      </c>
      <c r="G660" s="213" t="s">
        <v>30</v>
      </c>
      <c r="H660" s="45" t="s">
        <v>417</v>
      </c>
      <c r="I660" s="7" t="s">
        <v>22</v>
      </c>
      <c r="J660" s="3">
        <v>0.7</v>
      </c>
      <c r="K660" s="1" t="s">
        <v>124</v>
      </c>
      <c r="L660" s="8" t="s">
        <v>125</v>
      </c>
      <c r="M660" s="7" t="s">
        <v>126</v>
      </c>
      <c r="N660" s="3">
        <v>0.95</v>
      </c>
      <c r="O660" s="3">
        <v>0.15</v>
      </c>
      <c r="P660" s="6"/>
      <c r="Q660" s="3">
        <f t="shared" si="29"/>
        <v>0</v>
      </c>
      <c r="R660" s="4">
        <f t="shared" si="30"/>
        <v>0</v>
      </c>
      <c r="S660" s="3" t="s">
        <v>23</v>
      </c>
      <c r="T660" s="195"/>
    </row>
    <row r="661" spans="1:20" ht="21.6" x14ac:dyDescent="0.3">
      <c r="A661" s="139">
        <v>2072</v>
      </c>
      <c r="B661" s="42" t="s">
        <v>20</v>
      </c>
      <c r="C661" s="43" t="s">
        <v>267</v>
      </c>
      <c r="D661" s="50">
        <v>5270</v>
      </c>
      <c r="E661" s="52" t="s">
        <v>188</v>
      </c>
      <c r="F661" s="53" t="s">
        <v>123</v>
      </c>
      <c r="G661" s="213" t="s">
        <v>30</v>
      </c>
      <c r="H661" s="45" t="s">
        <v>417</v>
      </c>
      <c r="I661" s="7" t="s">
        <v>22</v>
      </c>
      <c r="J661" s="3">
        <v>0.7</v>
      </c>
      <c r="K661" s="1" t="s">
        <v>51</v>
      </c>
      <c r="L661" s="8" t="s">
        <v>127</v>
      </c>
      <c r="M661" s="7" t="s">
        <v>128</v>
      </c>
      <c r="N661" s="6">
        <v>0.05</v>
      </c>
      <c r="O661" s="3">
        <v>0.1</v>
      </c>
      <c r="P661" s="11"/>
      <c r="Q661" s="3">
        <f t="shared" si="29"/>
        <v>0</v>
      </c>
      <c r="R661" s="4">
        <f t="shared" si="30"/>
        <v>0</v>
      </c>
      <c r="S661" s="3" t="s">
        <v>24</v>
      </c>
      <c r="T661" s="195"/>
    </row>
    <row r="662" spans="1:20" ht="21.6" x14ac:dyDescent="0.3">
      <c r="A662" s="139">
        <v>2073</v>
      </c>
      <c r="B662" s="42" t="s">
        <v>20</v>
      </c>
      <c r="C662" s="43" t="s">
        <v>267</v>
      </c>
      <c r="D662" s="50">
        <v>5270</v>
      </c>
      <c r="E662" s="52" t="s">
        <v>188</v>
      </c>
      <c r="F662" s="53" t="s">
        <v>123</v>
      </c>
      <c r="G662" s="213" t="s">
        <v>30</v>
      </c>
      <c r="H662" s="45" t="s">
        <v>417</v>
      </c>
      <c r="I662" s="7" t="s">
        <v>22</v>
      </c>
      <c r="J662" s="3">
        <v>0.7</v>
      </c>
      <c r="K662" s="1" t="s">
        <v>305</v>
      </c>
      <c r="L662" s="8" t="s">
        <v>257</v>
      </c>
      <c r="M662" s="13" t="s">
        <v>306</v>
      </c>
      <c r="N662" s="3">
        <v>0.95</v>
      </c>
      <c r="O662" s="3">
        <v>0.1</v>
      </c>
      <c r="P662" s="3"/>
      <c r="Q662" s="3">
        <f t="shared" si="29"/>
        <v>0</v>
      </c>
      <c r="R662" s="4">
        <f t="shared" si="30"/>
        <v>0</v>
      </c>
      <c r="S662" s="3" t="s">
        <v>23</v>
      </c>
      <c r="T662" s="195"/>
    </row>
    <row r="663" spans="1:20" ht="21.6" x14ac:dyDescent="0.3">
      <c r="A663" s="139">
        <v>2074</v>
      </c>
      <c r="B663" s="42" t="s">
        <v>20</v>
      </c>
      <c r="C663" s="43" t="s">
        <v>267</v>
      </c>
      <c r="D663" s="50">
        <v>5270</v>
      </c>
      <c r="E663" s="52" t="s">
        <v>188</v>
      </c>
      <c r="F663" s="53" t="s">
        <v>123</v>
      </c>
      <c r="G663" s="213" t="s">
        <v>30</v>
      </c>
      <c r="H663" s="45" t="s">
        <v>417</v>
      </c>
      <c r="I663" s="47" t="s">
        <v>22</v>
      </c>
      <c r="J663" s="3">
        <v>0.7</v>
      </c>
      <c r="K663" s="49" t="s">
        <v>129</v>
      </c>
      <c r="L663" s="30" t="s">
        <v>130</v>
      </c>
      <c r="M663" s="47" t="s">
        <v>131</v>
      </c>
      <c r="N663" s="3">
        <v>0.9</v>
      </c>
      <c r="O663" s="10">
        <v>0.2</v>
      </c>
      <c r="P663" s="3"/>
      <c r="Q663" s="3">
        <f t="shared" si="29"/>
        <v>0</v>
      </c>
      <c r="R663" s="4">
        <f t="shared" si="30"/>
        <v>0</v>
      </c>
      <c r="S663" s="3" t="s">
        <v>23</v>
      </c>
      <c r="T663" s="195"/>
    </row>
    <row r="664" spans="1:20" ht="21.6" x14ac:dyDescent="0.3">
      <c r="A664" s="139">
        <v>2075</v>
      </c>
      <c r="B664" s="42" t="s">
        <v>20</v>
      </c>
      <c r="C664" s="43" t="s">
        <v>267</v>
      </c>
      <c r="D664" s="50">
        <v>5270</v>
      </c>
      <c r="E664" s="52" t="s">
        <v>188</v>
      </c>
      <c r="F664" s="53" t="s">
        <v>123</v>
      </c>
      <c r="G664" s="213" t="s">
        <v>30</v>
      </c>
      <c r="H664" s="45" t="s">
        <v>417</v>
      </c>
      <c r="I664" s="47" t="s">
        <v>22</v>
      </c>
      <c r="J664" s="3">
        <v>0.7</v>
      </c>
      <c r="K664" s="49" t="s">
        <v>132</v>
      </c>
      <c r="L664" s="30" t="s">
        <v>133</v>
      </c>
      <c r="M664" s="47" t="s">
        <v>134</v>
      </c>
      <c r="N664" s="4">
        <v>0</v>
      </c>
      <c r="O664" s="10">
        <v>0.1</v>
      </c>
      <c r="P664" s="3"/>
      <c r="Q664" s="3">
        <f t="shared" si="29"/>
        <v>0</v>
      </c>
      <c r="R664" s="48">
        <f t="shared" si="30"/>
        <v>0</v>
      </c>
      <c r="S664" s="10" t="s">
        <v>24</v>
      </c>
      <c r="T664" s="193"/>
    </row>
    <row r="665" spans="1:20" ht="21.6" x14ac:dyDescent="0.3">
      <c r="A665" s="139">
        <v>2076</v>
      </c>
      <c r="B665" s="42" t="s">
        <v>20</v>
      </c>
      <c r="C665" s="43" t="s">
        <v>267</v>
      </c>
      <c r="D665" s="50">
        <v>5270</v>
      </c>
      <c r="E665" s="52" t="s">
        <v>188</v>
      </c>
      <c r="F665" s="53" t="s">
        <v>123</v>
      </c>
      <c r="G665" s="213" t="s">
        <v>30</v>
      </c>
      <c r="H665" s="45" t="s">
        <v>417</v>
      </c>
      <c r="I665" s="47" t="s">
        <v>22</v>
      </c>
      <c r="J665" s="3">
        <v>0.7</v>
      </c>
      <c r="K665" s="49" t="s">
        <v>135</v>
      </c>
      <c r="L665" s="30" t="s">
        <v>136</v>
      </c>
      <c r="M665" s="49" t="s">
        <v>137</v>
      </c>
      <c r="N665" s="3">
        <v>0.9</v>
      </c>
      <c r="O665" s="10">
        <v>0.2</v>
      </c>
      <c r="P665" s="51"/>
      <c r="Q665" s="3">
        <f t="shared" si="29"/>
        <v>0</v>
      </c>
      <c r="R665" s="48">
        <f t="shared" si="30"/>
        <v>0</v>
      </c>
      <c r="S665" s="10" t="s">
        <v>23</v>
      </c>
      <c r="T665" s="193"/>
    </row>
    <row r="666" spans="1:20" ht="22.2" thickBot="1" x14ac:dyDescent="0.35">
      <c r="A666" s="142">
        <v>2077</v>
      </c>
      <c r="B666" s="81" t="s">
        <v>20</v>
      </c>
      <c r="C666" s="82" t="s">
        <v>267</v>
      </c>
      <c r="D666" s="113">
        <v>5270</v>
      </c>
      <c r="E666" s="118" t="s">
        <v>188</v>
      </c>
      <c r="F666" s="119" t="s">
        <v>123</v>
      </c>
      <c r="G666" s="214" t="s">
        <v>30</v>
      </c>
      <c r="H666" s="84" t="s">
        <v>417</v>
      </c>
      <c r="I666" s="85" t="s">
        <v>26</v>
      </c>
      <c r="J666" s="86">
        <v>0.3</v>
      </c>
      <c r="K666" s="115" t="s">
        <v>138</v>
      </c>
      <c r="L666" s="114" t="s">
        <v>139</v>
      </c>
      <c r="M666" s="115" t="s">
        <v>140</v>
      </c>
      <c r="N666" s="86">
        <v>1</v>
      </c>
      <c r="O666" s="91">
        <v>1</v>
      </c>
      <c r="P666" s="86"/>
      <c r="Q666" s="86">
        <f t="shared" si="29"/>
        <v>0</v>
      </c>
      <c r="R666" s="104">
        <f t="shared" si="30"/>
        <v>0</v>
      </c>
      <c r="S666" s="91" t="s">
        <v>23</v>
      </c>
      <c r="T666" s="147"/>
    </row>
    <row r="667" spans="1:20" ht="21.6" x14ac:dyDescent="0.3">
      <c r="A667" s="144">
        <v>2070</v>
      </c>
      <c r="B667" s="64" t="s">
        <v>20</v>
      </c>
      <c r="C667" s="65" t="s">
        <v>267</v>
      </c>
      <c r="D667" s="111">
        <v>5536</v>
      </c>
      <c r="E667" s="116" t="s">
        <v>193</v>
      </c>
      <c r="F667" s="117" t="s">
        <v>123</v>
      </c>
      <c r="G667" s="212" t="s">
        <v>30</v>
      </c>
      <c r="H667" s="67" t="s">
        <v>417</v>
      </c>
      <c r="I667" s="98" t="s">
        <v>22</v>
      </c>
      <c r="J667" s="69">
        <v>0.7</v>
      </c>
      <c r="K667" s="101" t="s">
        <v>513</v>
      </c>
      <c r="L667" s="105" t="s">
        <v>511</v>
      </c>
      <c r="M667" s="101" t="s">
        <v>411</v>
      </c>
      <c r="N667" s="69">
        <v>0.95</v>
      </c>
      <c r="O667" s="69">
        <v>0.15</v>
      </c>
      <c r="P667" s="168"/>
      <c r="Q667" s="69">
        <f t="shared" si="29"/>
        <v>0</v>
      </c>
      <c r="R667" s="100">
        <f t="shared" si="30"/>
        <v>0</v>
      </c>
      <c r="S667" s="69" t="s">
        <v>23</v>
      </c>
      <c r="T667" s="192">
        <f>SUM(R667:R674)%</f>
        <v>0</v>
      </c>
    </row>
    <row r="668" spans="1:20" ht="21.6" x14ac:dyDescent="0.3">
      <c r="A668" s="139">
        <v>2072</v>
      </c>
      <c r="B668" s="42" t="s">
        <v>20</v>
      </c>
      <c r="C668" s="43" t="s">
        <v>267</v>
      </c>
      <c r="D668" s="50">
        <v>5536</v>
      </c>
      <c r="E668" s="52" t="s">
        <v>193</v>
      </c>
      <c r="F668" s="53" t="s">
        <v>123</v>
      </c>
      <c r="G668" s="213" t="s">
        <v>30</v>
      </c>
      <c r="H668" s="45" t="s">
        <v>417</v>
      </c>
      <c r="I668" s="7" t="s">
        <v>22</v>
      </c>
      <c r="J668" s="3">
        <v>0.7</v>
      </c>
      <c r="K668" s="1" t="s">
        <v>124</v>
      </c>
      <c r="L668" s="8" t="s">
        <v>125</v>
      </c>
      <c r="M668" s="7" t="s">
        <v>126</v>
      </c>
      <c r="N668" s="3">
        <v>0.95</v>
      </c>
      <c r="O668" s="3">
        <v>0.15</v>
      </c>
      <c r="P668" s="6"/>
      <c r="Q668" s="3">
        <f t="shared" si="29"/>
        <v>0</v>
      </c>
      <c r="R668" s="4">
        <f t="shared" si="30"/>
        <v>0</v>
      </c>
      <c r="S668" s="3" t="s">
        <v>23</v>
      </c>
      <c r="T668" s="195"/>
    </row>
    <row r="669" spans="1:20" ht="21.6" x14ac:dyDescent="0.3">
      <c r="A669" s="139">
        <v>2073</v>
      </c>
      <c r="B669" s="42" t="s">
        <v>20</v>
      </c>
      <c r="C669" s="43" t="s">
        <v>267</v>
      </c>
      <c r="D669" s="50">
        <v>5536</v>
      </c>
      <c r="E669" s="52" t="s">
        <v>193</v>
      </c>
      <c r="F669" s="53" t="s">
        <v>123</v>
      </c>
      <c r="G669" s="213" t="s">
        <v>30</v>
      </c>
      <c r="H669" s="45" t="s">
        <v>417</v>
      </c>
      <c r="I669" s="7" t="s">
        <v>22</v>
      </c>
      <c r="J669" s="3">
        <v>0.7</v>
      </c>
      <c r="K669" s="1" t="s">
        <v>51</v>
      </c>
      <c r="L669" s="8" t="s">
        <v>127</v>
      </c>
      <c r="M669" s="7" t="s">
        <v>128</v>
      </c>
      <c r="N669" s="6">
        <v>0.05</v>
      </c>
      <c r="O669" s="3">
        <v>0.1</v>
      </c>
      <c r="P669" s="11"/>
      <c r="Q669" s="3">
        <f t="shared" si="29"/>
        <v>0</v>
      </c>
      <c r="R669" s="4">
        <f t="shared" si="30"/>
        <v>0</v>
      </c>
      <c r="S669" s="3" t="s">
        <v>24</v>
      </c>
      <c r="T669" s="195"/>
    </row>
    <row r="670" spans="1:20" ht="21.6" x14ac:dyDescent="0.3">
      <c r="A670" s="139">
        <v>2074</v>
      </c>
      <c r="B670" s="42" t="s">
        <v>20</v>
      </c>
      <c r="C670" s="43" t="s">
        <v>267</v>
      </c>
      <c r="D670" s="50">
        <v>5536</v>
      </c>
      <c r="E670" s="52" t="s">
        <v>193</v>
      </c>
      <c r="F670" s="53" t="s">
        <v>123</v>
      </c>
      <c r="G670" s="213" t="s">
        <v>30</v>
      </c>
      <c r="H670" s="45" t="s">
        <v>417</v>
      </c>
      <c r="I670" s="7" t="s">
        <v>22</v>
      </c>
      <c r="J670" s="3">
        <v>0.7</v>
      </c>
      <c r="K670" s="1" t="s">
        <v>305</v>
      </c>
      <c r="L670" s="8" t="s">
        <v>257</v>
      </c>
      <c r="M670" s="13" t="s">
        <v>306</v>
      </c>
      <c r="N670" s="3">
        <v>0.95</v>
      </c>
      <c r="O670" s="3">
        <v>0.1</v>
      </c>
      <c r="P670" s="3"/>
      <c r="Q670" s="3">
        <f t="shared" si="29"/>
        <v>0</v>
      </c>
      <c r="R670" s="4">
        <f t="shared" si="30"/>
        <v>0</v>
      </c>
      <c r="S670" s="3" t="s">
        <v>23</v>
      </c>
      <c r="T670" s="195"/>
    </row>
    <row r="671" spans="1:20" ht="21.6" x14ac:dyDescent="0.3">
      <c r="A671" s="139">
        <v>2075</v>
      </c>
      <c r="B671" s="42" t="s">
        <v>20</v>
      </c>
      <c r="C671" s="43" t="s">
        <v>267</v>
      </c>
      <c r="D671" s="50">
        <v>5536</v>
      </c>
      <c r="E671" s="52" t="s">
        <v>193</v>
      </c>
      <c r="F671" s="53" t="s">
        <v>123</v>
      </c>
      <c r="G671" s="213" t="s">
        <v>30</v>
      </c>
      <c r="H671" s="45" t="s">
        <v>417</v>
      </c>
      <c r="I671" s="47" t="s">
        <v>22</v>
      </c>
      <c r="J671" s="3">
        <v>0.7</v>
      </c>
      <c r="K671" s="49" t="s">
        <v>129</v>
      </c>
      <c r="L671" s="30" t="s">
        <v>130</v>
      </c>
      <c r="M671" s="47" t="s">
        <v>131</v>
      </c>
      <c r="N671" s="3">
        <v>0.9</v>
      </c>
      <c r="O671" s="10">
        <v>0.2</v>
      </c>
      <c r="P671" s="3"/>
      <c r="Q671" s="3">
        <f t="shared" si="29"/>
        <v>0</v>
      </c>
      <c r="R671" s="48">
        <f t="shared" si="30"/>
        <v>0</v>
      </c>
      <c r="S671" s="10" t="s">
        <v>23</v>
      </c>
      <c r="T671" s="193"/>
    </row>
    <row r="672" spans="1:20" ht="21.6" x14ac:dyDescent="0.3">
      <c r="A672" s="139">
        <v>2076</v>
      </c>
      <c r="B672" s="42" t="s">
        <v>20</v>
      </c>
      <c r="C672" s="43" t="s">
        <v>267</v>
      </c>
      <c r="D672" s="50">
        <v>5536</v>
      </c>
      <c r="E672" s="52" t="s">
        <v>193</v>
      </c>
      <c r="F672" s="53" t="s">
        <v>123</v>
      </c>
      <c r="G672" s="213" t="s">
        <v>30</v>
      </c>
      <c r="H672" s="45" t="s">
        <v>417</v>
      </c>
      <c r="I672" s="47" t="s">
        <v>22</v>
      </c>
      <c r="J672" s="3">
        <v>0.7</v>
      </c>
      <c r="K672" s="49" t="s">
        <v>132</v>
      </c>
      <c r="L672" s="30" t="s">
        <v>133</v>
      </c>
      <c r="M672" s="47" t="s">
        <v>134</v>
      </c>
      <c r="N672" s="4">
        <v>0</v>
      </c>
      <c r="O672" s="10">
        <v>0.1</v>
      </c>
      <c r="P672" s="3"/>
      <c r="Q672" s="3">
        <f t="shared" si="29"/>
        <v>0</v>
      </c>
      <c r="R672" s="48">
        <f t="shared" si="30"/>
        <v>0</v>
      </c>
      <c r="S672" s="10" t="s">
        <v>24</v>
      </c>
      <c r="T672" s="193"/>
    </row>
    <row r="673" spans="1:20" ht="21.6" x14ac:dyDescent="0.3">
      <c r="A673" s="139">
        <v>2077</v>
      </c>
      <c r="B673" s="42" t="s">
        <v>20</v>
      </c>
      <c r="C673" s="43" t="s">
        <v>267</v>
      </c>
      <c r="D673" s="50">
        <v>5536</v>
      </c>
      <c r="E673" s="52" t="s">
        <v>193</v>
      </c>
      <c r="F673" s="53" t="s">
        <v>123</v>
      </c>
      <c r="G673" s="213" t="s">
        <v>30</v>
      </c>
      <c r="H673" s="45" t="s">
        <v>417</v>
      </c>
      <c r="I673" s="47" t="s">
        <v>22</v>
      </c>
      <c r="J673" s="3">
        <v>0.7</v>
      </c>
      <c r="K673" s="49" t="s">
        <v>135</v>
      </c>
      <c r="L673" s="30" t="s">
        <v>136</v>
      </c>
      <c r="M673" s="49" t="s">
        <v>137</v>
      </c>
      <c r="N673" s="3">
        <v>0.9</v>
      </c>
      <c r="O673" s="10">
        <v>0.2</v>
      </c>
      <c r="P673" s="51"/>
      <c r="Q673" s="3">
        <f t="shared" si="29"/>
        <v>0</v>
      </c>
      <c r="R673" s="48">
        <f t="shared" si="30"/>
        <v>0</v>
      </c>
      <c r="S673" s="10" t="s">
        <v>23</v>
      </c>
      <c r="T673" s="193"/>
    </row>
    <row r="674" spans="1:20" ht="22.2" thickBot="1" x14ac:dyDescent="0.35">
      <c r="A674" s="142">
        <v>2078</v>
      </c>
      <c r="B674" s="81" t="s">
        <v>20</v>
      </c>
      <c r="C674" s="82" t="s">
        <v>267</v>
      </c>
      <c r="D674" s="113">
        <v>5536</v>
      </c>
      <c r="E674" s="118" t="s">
        <v>193</v>
      </c>
      <c r="F674" s="119" t="s">
        <v>123</v>
      </c>
      <c r="G674" s="214" t="s">
        <v>30</v>
      </c>
      <c r="H674" s="84" t="s">
        <v>417</v>
      </c>
      <c r="I674" s="85" t="s">
        <v>26</v>
      </c>
      <c r="J674" s="86">
        <v>0.3</v>
      </c>
      <c r="K674" s="115" t="s">
        <v>138</v>
      </c>
      <c r="L674" s="114" t="s">
        <v>139</v>
      </c>
      <c r="M674" s="115" t="s">
        <v>140</v>
      </c>
      <c r="N674" s="86">
        <v>1</v>
      </c>
      <c r="O674" s="91">
        <v>1</v>
      </c>
      <c r="P674" s="86"/>
      <c r="Q674" s="86">
        <f t="shared" si="29"/>
        <v>0</v>
      </c>
      <c r="R674" s="104">
        <f t="shared" si="30"/>
        <v>0</v>
      </c>
      <c r="S674" s="91" t="s">
        <v>23</v>
      </c>
      <c r="T674" s="147"/>
    </row>
    <row r="675" spans="1:20" ht="21.6" x14ac:dyDescent="0.3">
      <c r="A675" s="144">
        <v>2070</v>
      </c>
      <c r="B675" s="64" t="s">
        <v>20</v>
      </c>
      <c r="C675" s="65" t="s">
        <v>267</v>
      </c>
      <c r="D675" s="111">
        <v>5159</v>
      </c>
      <c r="E675" s="116" t="s">
        <v>334</v>
      </c>
      <c r="F675" s="117" t="s">
        <v>143</v>
      </c>
      <c r="G675" s="212" t="s">
        <v>340</v>
      </c>
      <c r="H675" s="67" t="s">
        <v>418</v>
      </c>
      <c r="I675" s="98" t="s">
        <v>22</v>
      </c>
      <c r="J675" s="69">
        <v>0.7</v>
      </c>
      <c r="K675" s="101" t="s">
        <v>513</v>
      </c>
      <c r="L675" s="105" t="s">
        <v>511</v>
      </c>
      <c r="M675" s="101" t="s">
        <v>411</v>
      </c>
      <c r="N675" s="69">
        <v>0.95</v>
      </c>
      <c r="O675" s="69">
        <v>0.15</v>
      </c>
      <c r="P675" s="69"/>
      <c r="Q675" s="69">
        <f t="shared" si="29"/>
        <v>0</v>
      </c>
      <c r="R675" s="100">
        <f t="shared" si="30"/>
        <v>0</v>
      </c>
      <c r="S675" s="69" t="s">
        <v>23</v>
      </c>
      <c r="T675" s="192">
        <f>SUM(R675:R682)%</f>
        <v>0</v>
      </c>
    </row>
    <row r="676" spans="1:20" ht="21.6" x14ac:dyDescent="0.3">
      <c r="A676" s="139">
        <v>2072</v>
      </c>
      <c r="B676" s="42" t="s">
        <v>20</v>
      </c>
      <c r="C676" s="43" t="s">
        <v>267</v>
      </c>
      <c r="D676" s="50">
        <v>5159</v>
      </c>
      <c r="E676" s="52" t="s">
        <v>334</v>
      </c>
      <c r="F676" s="53" t="s">
        <v>143</v>
      </c>
      <c r="G676" s="213" t="s">
        <v>340</v>
      </c>
      <c r="H676" s="45" t="s">
        <v>418</v>
      </c>
      <c r="I676" s="7" t="s">
        <v>22</v>
      </c>
      <c r="J676" s="3">
        <v>0.7</v>
      </c>
      <c r="K676" s="1" t="s">
        <v>124</v>
      </c>
      <c r="L676" s="8" t="s">
        <v>125</v>
      </c>
      <c r="M676" s="7" t="s">
        <v>126</v>
      </c>
      <c r="N676" s="3">
        <v>0.95</v>
      </c>
      <c r="O676" s="3">
        <v>0.15</v>
      </c>
      <c r="P676" s="6"/>
      <c r="Q676" s="3">
        <f t="shared" si="29"/>
        <v>0</v>
      </c>
      <c r="R676" s="4">
        <f t="shared" si="30"/>
        <v>0</v>
      </c>
      <c r="S676" s="3" t="s">
        <v>23</v>
      </c>
      <c r="T676" s="195"/>
    </row>
    <row r="677" spans="1:20" ht="21.6" x14ac:dyDescent="0.3">
      <c r="A677" s="139">
        <v>2073</v>
      </c>
      <c r="B677" s="42" t="s">
        <v>20</v>
      </c>
      <c r="C677" s="43" t="s">
        <v>267</v>
      </c>
      <c r="D677" s="50">
        <v>5159</v>
      </c>
      <c r="E677" s="52" t="s">
        <v>334</v>
      </c>
      <c r="F677" s="53" t="s">
        <v>143</v>
      </c>
      <c r="G677" s="213" t="s">
        <v>340</v>
      </c>
      <c r="H677" s="45" t="s">
        <v>418</v>
      </c>
      <c r="I677" s="7" t="s">
        <v>22</v>
      </c>
      <c r="J677" s="3">
        <v>0.7</v>
      </c>
      <c r="K677" s="1" t="s">
        <v>51</v>
      </c>
      <c r="L677" s="8" t="s">
        <v>127</v>
      </c>
      <c r="M677" s="7" t="s">
        <v>128</v>
      </c>
      <c r="N677" s="6">
        <v>0.05</v>
      </c>
      <c r="O677" s="3">
        <v>0.1</v>
      </c>
      <c r="P677" s="11"/>
      <c r="Q677" s="3">
        <f t="shared" si="29"/>
        <v>0</v>
      </c>
      <c r="R677" s="4">
        <f t="shared" si="30"/>
        <v>0</v>
      </c>
      <c r="S677" s="3" t="s">
        <v>24</v>
      </c>
      <c r="T677" s="195"/>
    </row>
    <row r="678" spans="1:20" ht="21.6" x14ac:dyDescent="0.3">
      <c r="A678" s="139">
        <v>2074</v>
      </c>
      <c r="B678" s="42" t="s">
        <v>20</v>
      </c>
      <c r="C678" s="43" t="s">
        <v>267</v>
      </c>
      <c r="D678" s="50">
        <v>5159</v>
      </c>
      <c r="E678" s="52" t="s">
        <v>334</v>
      </c>
      <c r="F678" s="53" t="s">
        <v>143</v>
      </c>
      <c r="G678" s="213" t="s">
        <v>340</v>
      </c>
      <c r="H678" s="45" t="s">
        <v>418</v>
      </c>
      <c r="I678" s="7" t="s">
        <v>22</v>
      </c>
      <c r="J678" s="3">
        <v>0.7</v>
      </c>
      <c r="K678" s="1" t="s">
        <v>305</v>
      </c>
      <c r="L678" s="8" t="s">
        <v>257</v>
      </c>
      <c r="M678" s="13" t="s">
        <v>306</v>
      </c>
      <c r="N678" s="3">
        <v>0.95</v>
      </c>
      <c r="O678" s="3">
        <v>0.1</v>
      </c>
      <c r="P678" s="3"/>
      <c r="Q678" s="3">
        <f t="shared" si="29"/>
        <v>0</v>
      </c>
      <c r="R678" s="4">
        <f t="shared" si="30"/>
        <v>0</v>
      </c>
      <c r="S678" s="3" t="s">
        <v>23</v>
      </c>
      <c r="T678" s="195"/>
    </row>
    <row r="679" spans="1:20" ht="21.6" x14ac:dyDescent="0.3">
      <c r="A679" s="139">
        <v>2075</v>
      </c>
      <c r="B679" s="42" t="s">
        <v>20</v>
      </c>
      <c r="C679" s="43" t="s">
        <v>267</v>
      </c>
      <c r="D679" s="50">
        <v>5159</v>
      </c>
      <c r="E679" s="52" t="s">
        <v>334</v>
      </c>
      <c r="F679" s="53" t="s">
        <v>143</v>
      </c>
      <c r="G679" s="213" t="s">
        <v>340</v>
      </c>
      <c r="H679" s="45" t="s">
        <v>418</v>
      </c>
      <c r="I679" s="47" t="s">
        <v>22</v>
      </c>
      <c r="J679" s="3">
        <v>0.7</v>
      </c>
      <c r="K679" s="49" t="s">
        <v>129</v>
      </c>
      <c r="L679" s="30" t="s">
        <v>130</v>
      </c>
      <c r="M679" s="47" t="s">
        <v>131</v>
      </c>
      <c r="N679" s="3">
        <v>0.9</v>
      </c>
      <c r="O679" s="10">
        <v>0.2</v>
      </c>
      <c r="P679" s="3"/>
      <c r="Q679" s="3">
        <f t="shared" si="29"/>
        <v>0</v>
      </c>
      <c r="R679" s="48">
        <f t="shared" si="30"/>
        <v>0</v>
      </c>
      <c r="S679" s="10" t="s">
        <v>23</v>
      </c>
      <c r="T679" s="193"/>
    </row>
    <row r="680" spans="1:20" ht="21.6" x14ac:dyDescent="0.3">
      <c r="A680" s="139">
        <v>2076</v>
      </c>
      <c r="B680" s="42" t="s">
        <v>20</v>
      </c>
      <c r="C680" s="43" t="s">
        <v>267</v>
      </c>
      <c r="D680" s="50">
        <v>5159</v>
      </c>
      <c r="E680" s="52" t="s">
        <v>334</v>
      </c>
      <c r="F680" s="53" t="s">
        <v>143</v>
      </c>
      <c r="G680" s="213" t="s">
        <v>340</v>
      </c>
      <c r="H680" s="45" t="s">
        <v>418</v>
      </c>
      <c r="I680" s="47" t="s">
        <v>22</v>
      </c>
      <c r="J680" s="3">
        <v>0.7</v>
      </c>
      <c r="K680" s="49" t="s">
        <v>132</v>
      </c>
      <c r="L680" s="30" t="s">
        <v>133</v>
      </c>
      <c r="M680" s="47" t="s">
        <v>134</v>
      </c>
      <c r="N680" s="4">
        <v>0</v>
      </c>
      <c r="O680" s="10">
        <v>0.1</v>
      </c>
      <c r="P680" s="3"/>
      <c r="Q680" s="3">
        <f t="shared" si="29"/>
        <v>0</v>
      </c>
      <c r="R680" s="48">
        <f t="shared" si="30"/>
        <v>0</v>
      </c>
      <c r="S680" s="10" t="s">
        <v>24</v>
      </c>
      <c r="T680" s="193"/>
    </row>
    <row r="681" spans="1:20" ht="21.6" x14ac:dyDescent="0.3">
      <c r="A681" s="139">
        <v>2077</v>
      </c>
      <c r="B681" s="42" t="s">
        <v>20</v>
      </c>
      <c r="C681" s="43" t="s">
        <v>267</v>
      </c>
      <c r="D681" s="50">
        <v>5159</v>
      </c>
      <c r="E681" s="52" t="s">
        <v>334</v>
      </c>
      <c r="F681" s="53" t="s">
        <v>143</v>
      </c>
      <c r="G681" s="213" t="s">
        <v>340</v>
      </c>
      <c r="H681" s="45" t="s">
        <v>418</v>
      </c>
      <c r="I681" s="47" t="s">
        <v>22</v>
      </c>
      <c r="J681" s="3">
        <v>0.7</v>
      </c>
      <c r="K681" s="49" t="s">
        <v>135</v>
      </c>
      <c r="L681" s="30" t="s">
        <v>136</v>
      </c>
      <c r="M681" s="49" t="s">
        <v>137</v>
      </c>
      <c r="N681" s="3">
        <v>0.9</v>
      </c>
      <c r="O681" s="10">
        <v>0.2</v>
      </c>
      <c r="P681" s="3"/>
      <c r="Q681" s="3">
        <f t="shared" si="29"/>
        <v>0</v>
      </c>
      <c r="R681" s="48">
        <f t="shared" si="30"/>
        <v>0</v>
      </c>
      <c r="S681" s="10" t="s">
        <v>23</v>
      </c>
      <c r="T681" s="193"/>
    </row>
    <row r="682" spans="1:20" ht="22.2" thickBot="1" x14ac:dyDescent="0.35">
      <c r="A682" s="142">
        <v>2078</v>
      </c>
      <c r="B682" s="81" t="s">
        <v>20</v>
      </c>
      <c r="C682" s="82" t="s">
        <v>267</v>
      </c>
      <c r="D682" s="113">
        <v>5159</v>
      </c>
      <c r="E682" s="118" t="s">
        <v>334</v>
      </c>
      <c r="F682" s="119" t="s">
        <v>143</v>
      </c>
      <c r="G682" s="214" t="s">
        <v>340</v>
      </c>
      <c r="H682" s="84" t="s">
        <v>418</v>
      </c>
      <c r="I682" s="85" t="s">
        <v>26</v>
      </c>
      <c r="J682" s="86">
        <v>0.3</v>
      </c>
      <c r="K682" s="115" t="s">
        <v>138</v>
      </c>
      <c r="L682" s="114" t="s">
        <v>139</v>
      </c>
      <c r="M682" s="115" t="s">
        <v>140</v>
      </c>
      <c r="N682" s="86">
        <v>1</v>
      </c>
      <c r="O682" s="91">
        <v>1</v>
      </c>
      <c r="P682" s="86"/>
      <c r="Q682" s="86">
        <f t="shared" si="29"/>
        <v>0</v>
      </c>
      <c r="R682" s="104">
        <f t="shared" si="30"/>
        <v>0</v>
      </c>
      <c r="S682" s="91" t="s">
        <v>23</v>
      </c>
      <c r="T682" s="147"/>
    </row>
    <row r="683" spans="1:20" ht="21.6" x14ac:dyDescent="0.3">
      <c r="A683" s="144">
        <v>2070</v>
      </c>
      <c r="B683" s="64" t="s">
        <v>20</v>
      </c>
      <c r="C683" s="65" t="s">
        <v>267</v>
      </c>
      <c r="D683" s="111">
        <v>3250</v>
      </c>
      <c r="E683" s="116" t="s">
        <v>331</v>
      </c>
      <c r="F683" s="117" t="s">
        <v>143</v>
      </c>
      <c r="G683" s="212" t="s">
        <v>340</v>
      </c>
      <c r="H683" s="67" t="s">
        <v>418</v>
      </c>
      <c r="I683" s="98" t="s">
        <v>22</v>
      </c>
      <c r="J683" s="69">
        <v>0.7</v>
      </c>
      <c r="K683" s="101" t="s">
        <v>513</v>
      </c>
      <c r="L683" s="105" t="s">
        <v>511</v>
      </c>
      <c r="M683" s="101" t="s">
        <v>411</v>
      </c>
      <c r="N683" s="69">
        <v>0.95</v>
      </c>
      <c r="O683" s="69">
        <v>0.15</v>
      </c>
      <c r="P683" s="69"/>
      <c r="Q683" s="69">
        <f t="shared" si="29"/>
        <v>0</v>
      </c>
      <c r="R683" s="100">
        <f t="shared" si="30"/>
        <v>0</v>
      </c>
      <c r="S683" s="69" t="s">
        <v>23</v>
      </c>
      <c r="T683" s="192">
        <f>SUM(R683:R690)%</f>
        <v>0</v>
      </c>
    </row>
    <row r="684" spans="1:20" ht="21.6" x14ac:dyDescent="0.3">
      <c r="A684" s="139">
        <v>2072</v>
      </c>
      <c r="B684" s="42" t="s">
        <v>20</v>
      </c>
      <c r="C684" s="43" t="s">
        <v>267</v>
      </c>
      <c r="D684" s="50">
        <v>3250</v>
      </c>
      <c r="E684" s="52" t="s">
        <v>331</v>
      </c>
      <c r="F684" s="53" t="s">
        <v>143</v>
      </c>
      <c r="G684" s="213" t="s">
        <v>340</v>
      </c>
      <c r="H684" s="45" t="s">
        <v>418</v>
      </c>
      <c r="I684" s="7" t="s">
        <v>22</v>
      </c>
      <c r="J684" s="3">
        <v>0.7</v>
      </c>
      <c r="K684" s="1" t="s">
        <v>124</v>
      </c>
      <c r="L684" s="8" t="s">
        <v>125</v>
      </c>
      <c r="M684" s="7" t="s">
        <v>126</v>
      </c>
      <c r="N684" s="3">
        <v>0.95</v>
      </c>
      <c r="O684" s="3">
        <v>0.15</v>
      </c>
      <c r="P684" s="6"/>
      <c r="Q684" s="3">
        <f t="shared" si="29"/>
        <v>0</v>
      </c>
      <c r="R684" s="4">
        <f t="shared" si="30"/>
        <v>0</v>
      </c>
      <c r="S684" s="3" t="s">
        <v>23</v>
      </c>
      <c r="T684" s="195"/>
    </row>
    <row r="685" spans="1:20" ht="21.6" x14ac:dyDescent="0.3">
      <c r="A685" s="139">
        <v>2073</v>
      </c>
      <c r="B685" s="42" t="s">
        <v>20</v>
      </c>
      <c r="C685" s="43" t="s">
        <v>267</v>
      </c>
      <c r="D685" s="50">
        <v>3250</v>
      </c>
      <c r="E685" s="52" t="s">
        <v>331</v>
      </c>
      <c r="F685" s="53" t="s">
        <v>143</v>
      </c>
      <c r="G685" s="213" t="s">
        <v>340</v>
      </c>
      <c r="H685" s="45" t="s">
        <v>418</v>
      </c>
      <c r="I685" s="7" t="s">
        <v>22</v>
      </c>
      <c r="J685" s="3">
        <v>0.7</v>
      </c>
      <c r="K685" s="1" t="s">
        <v>51</v>
      </c>
      <c r="L685" s="8" t="s">
        <v>127</v>
      </c>
      <c r="M685" s="7" t="s">
        <v>128</v>
      </c>
      <c r="N685" s="6">
        <v>0.05</v>
      </c>
      <c r="O685" s="3">
        <v>0.1</v>
      </c>
      <c r="P685" s="11"/>
      <c r="Q685" s="3">
        <f t="shared" si="29"/>
        <v>0</v>
      </c>
      <c r="R685" s="4">
        <f t="shared" si="30"/>
        <v>0</v>
      </c>
      <c r="S685" s="3" t="s">
        <v>24</v>
      </c>
      <c r="T685" s="195"/>
    </row>
    <row r="686" spans="1:20" ht="21.6" x14ac:dyDescent="0.3">
      <c r="A686" s="139">
        <v>2074</v>
      </c>
      <c r="B686" s="42" t="s">
        <v>20</v>
      </c>
      <c r="C686" s="43" t="s">
        <v>267</v>
      </c>
      <c r="D686" s="50">
        <v>3250</v>
      </c>
      <c r="E686" s="52" t="s">
        <v>331</v>
      </c>
      <c r="F686" s="53" t="s">
        <v>143</v>
      </c>
      <c r="G686" s="213" t="s">
        <v>340</v>
      </c>
      <c r="H686" s="45" t="s">
        <v>418</v>
      </c>
      <c r="I686" s="7" t="s">
        <v>22</v>
      </c>
      <c r="J686" s="3">
        <v>0.7</v>
      </c>
      <c r="K686" s="1" t="s">
        <v>305</v>
      </c>
      <c r="L686" s="8" t="s">
        <v>257</v>
      </c>
      <c r="M686" s="13" t="s">
        <v>306</v>
      </c>
      <c r="N686" s="3">
        <v>0.95</v>
      </c>
      <c r="O686" s="3">
        <v>0.1</v>
      </c>
      <c r="P686" s="3"/>
      <c r="Q686" s="3">
        <f t="shared" si="29"/>
        <v>0</v>
      </c>
      <c r="R686" s="4">
        <f t="shared" si="30"/>
        <v>0</v>
      </c>
      <c r="S686" s="3" t="s">
        <v>23</v>
      </c>
      <c r="T686" s="195"/>
    </row>
    <row r="687" spans="1:20" ht="21.6" x14ac:dyDescent="0.3">
      <c r="A687" s="139">
        <v>2075</v>
      </c>
      <c r="B687" s="42" t="s">
        <v>20</v>
      </c>
      <c r="C687" s="43" t="s">
        <v>267</v>
      </c>
      <c r="D687" s="50">
        <v>3250</v>
      </c>
      <c r="E687" s="52" t="s">
        <v>331</v>
      </c>
      <c r="F687" s="53" t="s">
        <v>143</v>
      </c>
      <c r="G687" s="213" t="s">
        <v>340</v>
      </c>
      <c r="H687" s="45" t="s">
        <v>418</v>
      </c>
      <c r="I687" s="47" t="s">
        <v>22</v>
      </c>
      <c r="J687" s="3">
        <v>0.7</v>
      </c>
      <c r="K687" s="49" t="s">
        <v>129</v>
      </c>
      <c r="L687" s="30" t="s">
        <v>130</v>
      </c>
      <c r="M687" s="47" t="s">
        <v>131</v>
      </c>
      <c r="N687" s="3">
        <v>0.9</v>
      </c>
      <c r="O687" s="10">
        <v>0.2</v>
      </c>
      <c r="P687" s="3"/>
      <c r="Q687" s="3">
        <f t="shared" si="29"/>
        <v>0</v>
      </c>
      <c r="R687" s="48">
        <f t="shared" si="30"/>
        <v>0</v>
      </c>
      <c r="S687" s="10" t="s">
        <v>23</v>
      </c>
      <c r="T687" s="193"/>
    </row>
    <row r="688" spans="1:20" ht="21.6" x14ac:dyDescent="0.3">
      <c r="A688" s="139">
        <v>2076</v>
      </c>
      <c r="B688" s="42" t="s">
        <v>20</v>
      </c>
      <c r="C688" s="43" t="s">
        <v>267</v>
      </c>
      <c r="D688" s="50">
        <v>3250</v>
      </c>
      <c r="E688" s="52" t="s">
        <v>331</v>
      </c>
      <c r="F688" s="53" t="s">
        <v>143</v>
      </c>
      <c r="G688" s="213" t="s">
        <v>340</v>
      </c>
      <c r="H688" s="45" t="s">
        <v>418</v>
      </c>
      <c r="I688" s="47" t="s">
        <v>22</v>
      </c>
      <c r="J688" s="3">
        <v>0.7</v>
      </c>
      <c r="K688" s="49" t="s">
        <v>132</v>
      </c>
      <c r="L688" s="30" t="s">
        <v>133</v>
      </c>
      <c r="M688" s="47" t="s">
        <v>134</v>
      </c>
      <c r="N688" s="4">
        <v>0</v>
      </c>
      <c r="O688" s="10">
        <v>0.1</v>
      </c>
      <c r="P688" s="3"/>
      <c r="Q688" s="3">
        <f t="shared" si="29"/>
        <v>0</v>
      </c>
      <c r="R688" s="48">
        <f t="shared" si="30"/>
        <v>0</v>
      </c>
      <c r="S688" s="10" t="s">
        <v>24</v>
      </c>
      <c r="T688" s="193"/>
    </row>
    <row r="689" spans="1:20" ht="21.6" x14ac:dyDescent="0.3">
      <c r="A689" s="139">
        <v>2077</v>
      </c>
      <c r="B689" s="42" t="s">
        <v>20</v>
      </c>
      <c r="C689" s="43" t="s">
        <v>267</v>
      </c>
      <c r="D689" s="50">
        <v>3250</v>
      </c>
      <c r="E689" s="52" t="s">
        <v>331</v>
      </c>
      <c r="F689" s="53" t="s">
        <v>143</v>
      </c>
      <c r="G689" s="213" t="s">
        <v>340</v>
      </c>
      <c r="H689" s="45" t="s">
        <v>418</v>
      </c>
      <c r="I689" s="47" t="s">
        <v>22</v>
      </c>
      <c r="J689" s="3">
        <v>0.7</v>
      </c>
      <c r="K689" s="49" t="s">
        <v>135</v>
      </c>
      <c r="L689" s="30" t="s">
        <v>136</v>
      </c>
      <c r="M689" s="49" t="s">
        <v>137</v>
      </c>
      <c r="N689" s="3">
        <v>0.9</v>
      </c>
      <c r="O689" s="10">
        <v>0.2</v>
      </c>
      <c r="P689" s="3"/>
      <c r="Q689" s="3">
        <f t="shared" si="29"/>
        <v>0</v>
      </c>
      <c r="R689" s="48">
        <f t="shared" si="30"/>
        <v>0</v>
      </c>
      <c r="S689" s="10" t="s">
        <v>23</v>
      </c>
      <c r="T689" s="193"/>
    </row>
    <row r="690" spans="1:20" ht="22.2" thickBot="1" x14ac:dyDescent="0.35">
      <c r="A690" s="142">
        <v>2078</v>
      </c>
      <c r="B690" s="81" t="s">
        <v>20</v>
      </c>
      <c r="C690" s="82" t="s">
        <v>267</v>
      </c>
      <c r="D690" s="113">
        <v>3250</v>
      </c>
      <c r="E690" s="118" t="s">
        <v>331</v>
      </c>
      <c r="F690" s="119" t="s">
        <v>143</v>
      </c>
      <c r="G690" s="214" t="s">
        <v>340</v>
      </c>
      <c r="H690" s="84" t="s">
        <v>418</v>
      </c>
      <c r="I690" s="85" t="s">
        <v>26</v>
      </c>
      <c r="J690" s="86">
        <v>0.3</v>
      </c>
      <c r="K690" s="115" t="s">
        <v>138</v>
      </c>
      <c r="L690" s="114" t="s">
        <v>139</v>
      </c>
      <c r="M690" s="115" t="s">
        <v>140</v>
      </c>
      <c r="N690" s="86">
        <v>1</v>
      </c>
      <c r="O690" s="91">
        <v>1</v>
      </c>
      <c r="P690" s="86"/>
      <c r="Q690" s="86">
        <f t="shared" si="29"/>
        <v>0</v>
      </c>
      <c r="R690" s="104">
        <f t="shared" si="30"/>
        <v>0</v>
      </c>
      <c r="S690" s="91" t="s">
        <v>23</v>
      </c>
      <c r="T690" s="147"/>
    </row>
    <row r="691" spans="1:20" ht="21.6" x14ac:dyDescent="0.3">
      <c r="A691" s="144">
        <v>2070</v>
      </c>
      <c r="B691" s="64" t="s">
        <v>20</v>
      </c>
      <c r="C691" s="65" t="s">
        <v>267</v>
      </c>
      <c r="D691" s="111">
        <v>5369</v>
      </c>
      <c r="E691" s="116" t="s">
        <v>336</v>
      </c>
      <c r="F691" s="117" t="s">
        <v>143</v>
      </c>
      <c r="G691" s="212" t="s">
        <v>340</v>
      </c>
      <c r="H691" s="67" t="s">
        <v>418</v>
      </c>
      <c r="I691" s="98" t="s">
        <v>22</v>
      </c>
      <c r="J691" s="69">
        <v>0.7</v>
      </c>
      <c r="K691" s="101" t="s">
        <v>513</v>
      </c>
      <c r="L691" s="105" t="s">
        <v>511</v>
      </c>
      <c r="M691" s="101" t="s">
        <v>411</v>
      </c>
      <c r="N691" s="69">
        <v>0.95</v>
      </c>
      <c r="O691" s="69">
        <v>0.15</v>
      </c>
      <c r="P691" s="69"/>
      <c r="Q691" s="69">
        <f t="shared" si="29"/>
        <v>0</v>
      </c>
      <c r="R691" s="100">
        <f t="shared" si="30"/>
        <v>0</v>
      </c>
      <c r="S691" s="69" t="s">
        <v>23</v>
      </c>
      <c r="T691" s="192">
        <f>SUM(R691:R698)%</f>
        <v>0</v>
      </c>
    </row>
    <row r="692" spans="1:20" ht="21.6" x14ac:dyDescent="0.3">
      <c r="A692" s="139">
        <v>2072</v>
      </c>
      <c r="B692" s="42" t="s">
        <v>20</v>
      </c>
      <c r="C692" s="43" t="s">
        <v>267</v>
      </c>
      <c r="D692" s="50">
        <v>5369</v>
      </c>
      <c r="E692" s="52" t="s">
        <v>336</v>
      </c>
      <c r="F692" s="53" t="s">
        <v>143</v>
      </c>
      <c r="G692" s="213" t="s">
        <v>340</v>
      </c>
      <c r="H692" s="45" t="s">
        <v>418</v>
      </c>
      <c r="I692" s="7" t="s">
        <v>22</v>
      </c>
      <c r="J692" s="3">
        <v>0.7</v>
      </c>
      <c r="K692" s="1" t="s">
        <v>124</v>
      </c>
      <c r="L692" s="8" t="s">
        <v>125</v>
      </c>
      <c r="M692" s="7" t="s">
        <v>126</v>
      </c>
      <c r="N692" s="3">
        <v>0.95</v>
      </c>
      <c r="O692" s="3">
        <v>0.15</v>
      </c>
      <c r="P692" s="6"/>
      <c r="Q692" s="3">
        <f t="shared" ref="Q692:Q755" si="31">ROUND(IF(OR(N692="",P692=""),0,IF(AND(N692=0,P692=0),1,IF(S692="+",P692/N692,N692/P692))),2)</f>
        <v>0</v>
      </c>
      <c r="R692" s="4">
        <f t="shared" si="30"/>
        <v>0</v>
      </c>
      <c r="S692" s="3" t="s">
        <v>23</v>
      </c>
      <c r="T692" s="195"/>
    </row>
    <row r="693" spans="1:20" ht="21.6" x14ac:dyDescent="0.3">
      <c r="A693" s="139">
        <v>2073</v>
      </c>
      <c r="B693" s="42" t="s">
        <v>20</v>
      </c>
      <c r="C693" s="43" t="s">
        <v>267</v>
      </c>
      <c r="D693" s="50">
        <v>5369</v>
      </c>
      <c r="E693" s="52" t="s">
        <v>336</v>
      </c>
      <c r="F693" s="53" t="s">
        <v>143</v>
      </c>
      <c r="G693" s="213" t="s">
        <v>340</v>
      </c>
      <c r="H693" s="45" t="s">
        <v>418</v>
      </c>
      <c r="I693" s="7" t="s">
        <v>22</v>
      </c>
      <c r="J693" s="3">
        <v>0.7</v>
      </c>
      <c r="K693" s="1" t="s">
        <v>51</v>
      </c>
      <c r="L693" s="8" t="s">
        <v>127</v>
      </c>
      <c r="M693" s="7" t="s">
        <v>128</v>
      </c>
      <c r="N693" s="6">
        <v>0.05</v>
      </c>
      <c r="O693" s="3">
        <v>0.1</v>
      </c>
      <c r="P693" s="11"/>
      <c r="Q693" s="3">
        <f t="shared" si="31"/>
        <v>0</v>
      </c>
      <c r="R693" s="4">
        <f t="shared" si="30"/>
        <v>0</v>
      </c>
      <c r="S693" s="3" t="s">
        <v>24</v>
      </c>
      <c r="T693" s="195"/>
    </row>
    <row r="694" spans="1:20" ht="21.6" x14ac:dyDescent="0.3">
      <c r="A694" s="139">
        <v>2074</v>
      </c>
      <c r="B694" s="42" t="s">
        <v>20</v>
      </c>
      <c r="C694" s="43" t="s">
        <v>267</v>
      </c>
      <c r="D694" s="50">
        <v>5369</v>
      </c>
      <c r="E694" s="52" t="s">
        <v>336</v>
      </c>
      <c r="F694" s="53" t="s">
        <v>143</v>
      </c>
      <c r="G694" s="213" t="s">
        <v>340</v>
      </c>
      <c r="H694" s="45" t="s">
        <v>418</v>
      </c>
      <c r="I694" s="7" t="s">
        <v>22</v>
      </c>
      <c r="J694" s="3">
        <v>0.7</v>
      </c>
      <c r="K694" s="1" t="s">
        <v>305</v>
      </c>
      <c r="L694" s="8" t="s">
        <v>257</v>
      </c>
      <c r="M694" s="13" t="s">
        <v>306</v>
      </c>
      <c r="N694" s="3">
        <v>0.95</v>
      </c>
      <c r="O694" s="3">
        <v>0.1</v>
      </c>
      <c r="P694" s="3"/>
      <c r="Q694" s="3">
        <f t="shared" si="31"/>
        <v>0</v>
      </c>
      <c r="R694" s="4">
        <f t="shared" si="30"/>
        <v>0</v>
      </c>
      <c r="S694" s="3" t="s">
        <v>23</v>
      </c>
      <c r="T694" s="195"/>
    </row>
    <row r="695" spans="1:20" ht="21.6" x14ac:dyDescent="0.3">
      <c r="A695" s="139">
        <v>2075</v>
      </c>
      <c r="B695" s="42" t="s">
        <v>20</v>
      </c>
      <c r="C695" s="43" t="s">
        <v>267</v>
      </c>
      <c r="D695" s="50">
        <v>5369</v>
      </c>
      <c r="E695" s="52" t="s">
        <v>336</v>
      </c>
      <c r="F695" s="53" t="s">
        <v>143</v>
      </c>
      <c r="G695" s="213" t="s">
        <v>340</v>
      </c>
      <c r="H695" s="45" t="s">
        <v>418</v>
      </c>
      <c r="I695" s="47" t="s">
        <v>22</v>
      </c>
      <c r="J695" s="3">
        <v>0.7</v>
      </c>
      <c r="K695" s="49" t="s">
        <v>129</v>
      </c>
      <c r="L695" s="30" t="s">
        <v>130</v>
      </c>
      <c r="M695" s="47" t="s">
        <v>131</v>
      </c>
      <c r="N695" s="3">
        <v>0.9</v>
      </c>
      <c r="O695" s="10">
        <v>0.2</v>
      </c>
      <c r="P695" s="3"/>
      <c r="Q695" s="3">
        <f t="shared" si="31"/>
        <v>0</v>
      </c>
      <c r="R695" s="48">
        <f t="shared" si="30"/>
        <v>0</v>
      </c>
      <c r="S695" s="10" t="s">
        <v>23</v>
      </c>
      <c r="T695" s="193"/>
    </row>
    <row r="696" spans="1:20" ht="21.6" x14ac:dyDescent="0.3">
      <c r="A696" s="139">
        <v>2076</v>
      </c>
      <c r="B696" s="42" t="s">
        <v>20</v>
      </c>
      <c r="C696" s="43" t="s">
        <v>267</v>
      </c>
      <c r="D696" s="50">
        <v>5369</v>
      </c>
      <c r="E696" s="52" t="s">
        <v>336</v>
      </c>
      <c r="F696" s="53" t="s">
        <v>143</v>
      </c>
      <c r="G696" s="213" t="s">
        <v>340</v>
      </c>
      <c r="H696" s="45" t="s">
        <v>418</v>
      </c>
      <c r="I696" s="47" t="s">
        <v>22</v>
      </c>
      <c r="J696" s="3">
        <v>0.7</v>
      </c>
      <c r="K696" s="49" t="s">
        <v>132</v>
      </c>
      <c r="L696" s="30" t="s">
        <v>133</v>
      </c>
      <c r="M696" s="47" t="s">
        <v>134</v>
      </c>
      <c r="N696" s="4">
        <v>0</v>
      </c>
      <c r="O696" s="10">
        <v>0.1</v>
      </c>
      <c r="P696" s="3"/>
      <c r="Q696" s="3">
        <f t="shared" si="31"/>
        <v>0</v>
      </c>
      <c r="R696" s="48">
        <f t="shared" si="30"/>
        <v>0</v>
      </c>
      <c r="S696" s="10" t="s">
        <v>24</v>
      </c>
      <c r="T696" s="193"/>
    </row>
    <row r="697" spans="1:20" ht="21.6" x14ac:dyDescent="0.3">
      <c r="A697" s="139">
        <v>2077</v>
      </c>
      <c r="B697" s="42" t="s">
        <v>20</v>
      </c>
      <c r="C697" s="43" t="s">
        <v>267</v>
      </c>
      <c r="D697" s="50">
        <v>5369</v>
      </c>
      <c r="E697" s="52" t="s">
        <v>336</v>
      </c>
      <c r="F697" s="53" t="s">
        <v>143</v>
      </c>
      <c r="G697" s="213" t="s">
        <v>340</v>
      </c>
      <c r="H697" s="45" t="s">
        <v>418</v>
      </c>
      <c r="I697" s="47" t="s">
        <v>22</v>
      </c>
      <c r="J697" s="3">
        <v>0.7</v>
      </c>
      <c r="K697" s="49" t="s">
        <v>135</v>
      </c>
      <c r="L697" s="30" t="s">
        <v>136</v>
      </c>
      <c r="M697" s="49" t="s">
        <v>137</v>
      </c>
      <c r="N697" s="3">
        <v>0.9</v>
      </c>
      <c r="O697" s="10">
        <v>0.2</v>
      </c>
      <c r="P697" s="3"/>
      <c r="Q697" s="3">
        <f t="shared" si="31"/>
        <v>0</v>
      </c>
      <c r="R697" s="48">
        <f t="shared" si="30"/>
        <v>0</v>
      </c>
      <c r="S697" s="10" t="s">
        <v>23</v>
      </c>
      <c r="T697" s="193"/>
    </row>
    <row r="698" spans="1:20" ht="22.2" thickBot="1" x14ac:dyDescent="0.35">
      <c r="A698" s="142">
        <v>2078</v>
      </c>
      <c r="B698" s="81" t="s">
        <v>20</v>
      </c>
      <c r="C698" s="82" t="s">
        <v>267</v>
      </c>
      <c r="D698" s="113">
        <v>5369</v>
      </c>
      <c r="E698" s="118" t="s">
        <v>336</v>
      </c>
      <c r="F698" s="119" t="s">
        <v>143</v>
      </c>
      <c r="G698" s="214" t="s">
        <v>340</v>
      </c>
      <c r="H698" s="84" t="s">
        <v>418</v>
      </c>
      <c r="I698" s="85" t="s">
        <v>26</v>
      </c>
      <c r="J698" s="86">
        <v>0.3</v>
      </c>
      <c r="K698" s="115" t="s">
        <v>138</v>
      </c>
      <c r="L698" s="114" t="s">
        <v>139</v>
      </c>
      <c r="M698" s="115" t="s">
        <v>140</v>
      </c>
      <c r="N698" s="86">
        <v>1</v>
      </c>
      <c r="O698" s="91">
        <v>1</v>
      </c>
      <c r="P698" s="86"/>
      <c r="Q698" s="86">
        <f t="shared" si="31"/>
        <v>0</v>
      </c>
      <c r="R698" s="104">
        <f t="shared" si="30"/>
        <v>0</v>
      </c>
      <c r="S698" s="91" t="s">
        <v>23</v>
      </c>
      <c r="T698" s="147"/>
    </row>
    <row r="699" spans="1:20" ht="21.6" x14ac:dyDescent="0.3">
      <c r="A699" s="144">
        <v>2070</v>
      </c>
      <c r="B699" s="64" t="s">
        <v>20</v>
      </c>
      <c r="C699" s="65" t="s">
        <v>267</v>
      </c>
      <c r="D699" s="111">
        <v>5179</v>
      </c>
      <c r="E699" s="116" t="s">
        <v>335</v>
      </c>
      <c r="F699" s="117" t="s">
        <v>143</v>
      </c>
      <c r="G699" s="212" t="s">
        <v>340</v>
      </c>
      <c r="H699" s="67" t="s">
        <v>418</v>
      </c>
      <c r="I699" s="98" t="s">
        <v>22</v>
      </c>
      <c r="J699" s="69">
        <v>0.7</v>
      </c>
      <c r="K699" s="101" t="s">
        <v>513</v>
      </c>
      <c r="L699" s="105" t="s">
        <v>511</v>
      </c>
      <c r="M699" s="101" t="s">
        <v>411</v>
      </c>
      <c r="N699" s="69">
        <v>0.95</v>
      </c>
      <c r="O699" s="69">
        <v>0.15</v>
      </c>
      <c r="P699" s="69"/>
      <c r="Q699" s="69">
        <f t="shared" si="31"/>
        <v>0</v>
      </c>
      <c r="R699" s="100">
        <f t="shared" si="30"/>
        <v>0</v>
      </c>
      <c r="S699" s="69" t="s">
        <v>23</v>
      </c>
      <c r="T699" s="192">
        <f>SUM(R699:R706)%</f>
        <v>0</v>
      </c>
    </row>
    <row r="700" spans="1:20" ht="21.6" x14ac:dyDescent="0.3">
      <c r="A700" s="139">
        <v>2072</v>
      </c>
      <c r="B700" s="42" t="s">
        <v>20</v>
      </c>
      <c r="C700" s="43" t="s">
        <v>267</v>
      </c>
      <c r="D700" s="50">
        <v>5179</v>
      </c>
      <c r="E700" s="52" t="s">
        <v>335</v>
      </c>
      <c r="F700" s="53" t="s">
        <v>143</v>
      </c>
      <c r="G700" s="213" t="s">
        <v>340</v>
      </c>
      <c r="H700" s="45" t="s">
        <v>418</v>
      </c>
      <c r="I700" s="7" t="s">
        <v>22</v>
      </c>
      <c r="J700" s="3">
        <v>0.7</v>
      </c>
      <c r="K700" s="1" t="s">
        <v>124</v>
      </c>
      <c r="L700" s="8" t="s">
        <v>125</v>
      </c>
      <c r="M700" s="7" t="s">
        <v>126</v>
      </c>
      <c r="N700" s="3">
        <v>0.95</v>
      </c>
      <c r="O700" s="3">
        <v>0.15</v>
      </c>
      <c r="P700" s="6"/>
      <c r="Q700" s="3">
        <f t="shared" si="31"/>
        <v>0</v>
      </c>
      <c r="R700" s="4">
        <f t="shared" si="30"/>
        <v>0</v>
      </c>
      <c r="S700" s="3" t="s">
        <v>23</v>
      </c>
      <c r="T700" s="195"/>
    </row>
    <row r="701" spans="1:20" ht="21.6" x14ac:dyDescent="0.3">
      <c r="A701" s="139">
        <v>2073</v>
      </c>
      <c r="B701" s="42" t="s">
        <v>20</v>
      </c>
      <c r="C701" s="43" t="s">
        <v>267</v>
      </c>
      <c r="D701" s="50">
        <v>5179</v>
      </c>
      <c r="E701" s="52" t="s">
        <v>335</v>
      </c>
      <c r="F701" s="53" t="s">
        <v>143</v>
      </c>
      <c r="G701" s="213" t="s">
        <v>340</v>
      </c>
      <c r="H701" s="45" t="s">
        <v>418</v>
      </c>
      <c r="I701" s="7" t="s">
        <v>22</v>
      </c>
      <c r="J701" s="3">
        <v>0.7</v>
      </c>
      <c r="K701" s="1" t="s">
        <v>51</v>
      </c>
      <c r="L701" s="8" t="s">
        <v>127</v>
      </c>
      <c r="M701" s="7" t="s">
        <v>128</v>
      </c>
      <c r="N701" s="6">
        <v>0.05</v>
      </c>
      <c r="O701" s="3">
        <v>0.1</v>
      </c>
      <c r="P701" s="11"/>
      <c r="Q701" s="3">
        <f t="shared" si="31"/>
        <v>0</v>
      </c>
      <c r="R701" s="4">
        <f t="shared" si="30"/>
        <v>0</v>
      </c>
      <c r="S701" s="3" t="s">
        <v>24</v>
      </c>
      <c r="T701" s="195"/>
    </row>
    <row r="702" spans="1:20" ht="21.6" x14ac:dyDescent="0.3">
      <c r="A702" s="139">
        <v>2074</v>
      </c>
      <c r="B702" s="42" t="s">
        <v>20</v>
      </c>
      <c r="C702" s="43" t="s">
        <v>267</v>
      </c>
      <c r="D702" s="50">
        <v>5179</v>
      </c>
      <c r="E702" s="52" t="s">
        <v>335</v>
      </c>
      <c r="F702" s="53" t="s">
        <v>143</v>
      </c>
      <c r="G702" s="213" t="s">
        <v>340</v>
      </c>
      <c r="H702" s="45" t="s">
        <v>418</v>
      </c>
      <c r="I702" s="7" t="s">
        <v>22</v>
      </c>
      <c r="J702" s="3">
        <v>0.7</v>
      </c>
      <c r="K702" s="1" t="s">
        <v>305</v>
      </c>
      <c r="L702" s="8" t="s">
        <v>257</v>
      </c>
      <c r="M702" s="13" t="s">
        <v>306</v>
      </c>
      <c r="N702" s="3">
        <v>0.95</v>
      </c>
      <c r="O702" s="3">
        <v>0.1</v>
      </c>
      <c r="P702" s="3"/>
      <c r="Q702" s="3">
        <f t="shared" si="31"/>
        <v>0</v>
      </c>
      <c r="R702" s="4">
        <f t="shared" si="30"/>
        <v>0</v>
      </c>
      <c r="S702" s="3" t="s">
        <v>23</v>
      </c>
      <c r="T702" s="195"/>
    </row>
    <row r="703" spans="1:20" ht="21.6" x14ac:dyDescent="0.3">
      <c r="A703" s="139">
        <v>2075</v>
      </c>
      <c r="B703" s="42" t="s">
        <v>20</v>
      </c>
      <c r="C703" s="43" t="s">
        <v>267</v>
      </c>
      <c r="D703" s="50">
        <v>5179</v>
      </c>
      <c r="E703" s="52" t="s">
        <v>335</v>
      </c>
      <c r="F703" s="53" t="s">
        <v>143</v>
      </c>
      <c r="G703" s="213" t="s">
        <v>340</v>
      </c>
      <c r="H703" s="45" t="s">
        <v>418</v>
      </c>
      <c r="I703" s="47" t="s">
        <v>22</v>
      </c>
      <c r="J703" s="3">
        <v>0.7</v>
      </c>
      <c r="K703" s="49" t="s">
        <v>129</v>
      </c>
      <c r="L703" s="30" t="s">
        <v>130</v>
      </c>
      <c r="M703" s="47" t="s">
        <v>131</v>
      </c>
      <c r="N703" s="3">
        <v>0.9</v>
      </c>
      <c r="O703" s="10">
        <v>0.2</v>
      </c>
      <c r="P703" s="3"/>
      <c r="Q703" s="3">
        <f t="shared" si="31"/>
        <v>0</v>
      </c>
      <c r="R703" s="48">
        <f t="shared" si="30"/>
        <v>0</v>
      </c>
      <c r="S703" s="10" t="s">
        <v>23</v>
      </c>
      <c r="T703" s="193"/>
    </row>
    <row r="704" spans="1:20" ht="21.6" x14ac:dyDescent="0.3">
      <c r="A704" s="139">
        <v>2076</v>
      </c>
      <c r="B704" s="42" t="s">
        <v>20</v>
      </c>
      <c r="C704" s="43" t="s">
        <v>267</v>
      </c>
      <c r="D704" s="50">
        <v>5179</v>
      </c>
      <c r="E704" s="52" t="s">
        <v>335</v>
      </c>
      <c r="F704" s="53" t="s">
        <v>143</v>
      </c>
      <c r="G704" s="213" t="s">
        <v>340</v>
      </c>
      <c r="H704" s="45" t="s">
        <v>418</v>
      </c>
      <c r="I704" s="47" t="s">
        <v>22</v>
      </c>
      <c r="J704" s="3">
        <v>0.7</v>
      </c>
      <c r="K704" s="49" t="s">
        <v>132</v>
      </c>
      <c r="L704" s="30" t="s">
        <v>133</v>
      </c>
      <c r="M704" s="47" t="s">
        <v>134</v>
      </c>
      <c r="N704" s="4">
        <v>0</v>
      </c>
      <c r="O704" s="10">
        <v>0.1</v>
      </c>
      <c r="P704" s="3"/>
      <c r="Q704" s="3">
        <f t="shared" si="31"/>
        <v>0</v>
      </c>
      <c r="R704" s="48">
        <f t="shared" si="30"/>
        <v>0</v>
      </c>
      <c r="S704" s="10" t="s">
        <v>24</v>
      </c>
      <c r="T704" s="193"/>
    </row>
    <row r="705" spans="1:20" ht="21.6" x14ac:dyDescent="0.3">
      <c r="A705" s="139">
        <v>2077</v>
      </c>
      <c r="B705" s="42" t="s">
        <v>20</v>
      </c>
      <c r="C705" s="43" t="s">
        <v>267</v>
      </c>
      <c r="D705" s="50">
        <v>5179</v>
      </c>
      <c r="E705" s="52" t="s">
        <v>335</v>
      </c>
      <c r="F705" s="53" t="s">
        <v>143</v>
      </c>
      <c r="G705" s="213" t="s">
        <v>340</v>
      </c>
      <c r="H705" s="45" t="s">
        <v>418</v>
      </c>
      <c r="I705" s="47" t="s">
        <v>22</v>
      </c>
      <c r="J705" s="3">
        <v>0.7</v>
      </c>
      <c r="K705" s="49" t="s">
        <v>135</v>
      </c>
      <c r="L705" s="30" t="s">
        <v>136</v>
      </c>
      <c r="M705" s="49" t="s">
        <v>137</v>
      </c>
      <c r="N705" s="3">
        <v>0.9</v>
      </c>
      <c r="O705" s="10">
        <v>0.2</v>
      </c>
      <c r="P705" s="3"/>
      <c r="Q705" s="3">
        <f t="shared" si="31"/>
        <v>0</v>
      </c>
      <c r="R705" s="48">
        <f t="shared" si="30"/>
        <v>0</v>
      </c>
      <c r="S705" s="10" t="s">
        <v>23</v>
      </c>
      <c r="T705" s="193"/>
    </row>
    <row r="706" spans="1:20" ht="22.2" thickBot="1" x14ac:dyDescent="0.35">
      <c r="A706" s="142">
        <v>2078</v>
      </c>
      <c r="B706" s="81" t="s">
        <v>20</v>
      </c>
      <c r="C706" s="82" t="s">
        <v>267</v>
      </c>
      <c r="D706" s="113">
        <v>5179</v>
      </c>
      <c r="E706" s="118" t="s">
        <v>335</v>
      </c>
      <c r="F706" s="119" t="s">
        <v>143</v>
      </c>
      <c r="G706" s="214" t="s">
        <v>340</v>
      </c>
      <c r="H706" s="84" t="s">
        <v>418</v>
      </c>
      <c r="I706" s="85" t="s">
        <v>26</v>
      </c>
      <c r="J706" s="86">
        <v>0.3</v>
      </c>
      <c r="K706" s="115" t="s">
        <v>138</v>
      </c>
      <c r="L706" s="114" t="s">
        <v>139</v>
      </c>
      <c r="M706" s="115" t="s">
        <v>140</v>
      </c>
      <c r="N706" s="86">
        <v>1</v>
      </c>
      <c r="O706" s="91">
        <v>1</v>
      </c>
      <c r="P706" s="86"/>
      <c r="Q706" s="86">
        <f t="shared" si="31"/>
        <v>0</v>
      </c>
      <c r="R706" s="104">
        <f t="shared" si="30"/>
        <v>0</v>
      </c>
      <c r="S706" s="91" t="s">
        <v>23</v>
      </c>
      <c r="T706" s="147"/>
    </row>
    <row r="707" spans="1:20" ht="21.6" x14ac:dyDescent="0.3">
      <c r="A707" s="144">
        <v>2070</v>
      </c>
      <c r="B707" s="64" t="s">
        <v>20</v>
      </c>
      <c r="C707" s="65" t="s">
        <v>267</v>
      </c>
      <c r="D707" s="111">
        <v>5289</v>
      </c>
      <c r="E707" s="116" t="s">
        <v>337</v>
      </c>
      <c r="F707" s="117" t="s">
        <v>143</v>
      </c>
      <c r="G707" s="212" t="s">
        <v>340</v>
      </c>
      <c r="H707" s="67" t="s">
        <v>418</v>
      </c>
      <c r="I707" s="98" t="s">
        <v>22</v>
      </c>
      <c r="J707" s="69">
        <v>0.7</v>
      </c>
      <c r="K707" s="101" t="s">
        <v>513</v>
      </c>
      <c r="L707" s="105" t="s">
        <v>511</v>
      </c>
      <c r="M707" s="101" t="s">
        <v>411</v>
      </c>
      <c r="N707" s="69">
        <v>0.95</v>
      </c>
      <c r="O707" s="69">
        <v>0.15</v>
      </c>
      <c r="P707" s="69"/>
      <c r="Q707" s="69">
        <f t="shared" si="31"/>
        <v>0</v>
      </c>
      <c r="R707" s="100">
        <f t="shared" si="30"/>
        <v>0</v>
      </c>
      <c r="S707" s="69" t="s">
        <v>23</v>
      </c>
      <c r="T707" s="192">
        <f>SUM(R707:R714)%</f>
        <v>0</v>
      </c>
    </row>
    <row r="708" spans="1:20" ht="21.6" x14ac:dyDescent="0.3">
      <c r="A708" s="139">
        <v>2071</v>
      </c>
      <c r="B708" s="42" t="s">
        <v>20</v>
      </c>
      <c r="C708" s="43" t="s">
        <v>267</v>
      </c>
      <c r="D708" s="50">
        <v>5289</v>
      </c>
      <c r="E708" s="52" t="s">
        <v>337</v>
      </c>
      <c r="F708" s="53" t="s">
        <v>143</v>
      </c>
      <c r="G708" s="213" t="s">
        <v>340</v>
      </c>
      <c r="H708" s="45" t="s">
        <v>418</v>
      </c>
      <c r="I708" s="7" t="s">
        <v>22</v>
      </c>
      <c r="J708" s="3">
        <v>0.7</v>
      </c>
      <c r="K708" s="1" t="s">
        <v>124</v>
      </c>
      <c r="L708" s="8" t="s">
        <v>125</v>
      </c>
      <c r="M708" s="7" t="s">
        <v>126</v>
      </c>
      <c r="N708" s="3">
        <v>0.95</v>
      </c>
      <c r="O708" s="3">
        <v>0.15</v>
      </c>
      <c r="P708" s="6"/>
      <c r="Q708" s="3">
        <f t="shared" si="31"/>
        <v>0</v>
      </c>
      <c r="R708" s="4">
        <f t="shared" si="30"/>
        <v>0</v>
      </c>
      <c r="S708" s="3" t="s">
        <v>23</v>
      </c>
      <c r="T708" s="195"/>
    </row>
    <row r="709" spans="1:20" ht="21.6" x14ac:dyDescent="0.3">
      <c r="A709" s="139">
        <v>2072</v>
      </c>
      <c r="B709" s="42" t="s">
        <v>20</v>
      </c>
      <c r="C709" s="43" t="s">
        <v>267</v>
      </c>
      <c r="D709" s="50">
        <v>5289</v>
      </c>
      <c r="E709" s="52" t="s">
        <v>337</v>
      </c>
      <c r="F709" s="53" t="s">
        <v>143</v>
      </c>
      <c r="G709" s="213" t="s">
        <v>340</v>
      </c>
      <c r="H709" s="45" t="s">
        <v>418</v>
      </c>
      <c r="I709" s="7" t="s">
        <v>22</v>
      </c>
      <c r="J709" s="3">
        <v>0.7</v>
      </c>
      <c r="K709" s="1" t="s">
        <v>51</v>
      </c>
      <c r="L709" s="8" t="s">
        <v>127</v>
      </c>
      <c r="M709" s="7" t="s">
        <v>128</v>
      </c>
      <c r="N709" s="6">
        <v>0.05</v>
      </c>
      <c r="O709" s="3">
        <v>0.1</v>
      </c>
      <c r="P709" s="11"/>
      <c r="Q709" s="3">
        <f t="shared" si="31"/>
        <v>0</v>
      </c>
      <c r="R709" s="4">
        <f t="shared" si="30"/>
        <v>0</v>
      </c>
      <c r="S709" s="3" t="s">
        <v>24</v>
      </c>
      <c r="T709" s="195"/>
    </row>
    <row r="710" spans="1:20" ht="21.6" x14ac:dyDescent="0.3">
      <c r="A710" s="139">
        <v>2073</v>
      </c>
      <c r="B710" s="42" t="s">
        <v>20</v>
      </c>
      <c r="C710" s="43" t="s">
        <v>267</v>
      </c>
      <c r="D710" s="50">
        <v>5289</v>
      </c>
      <c r="E710" s="52" t="s">
        <v>337</v>
      </c>
      <c r="F710" s="53" t="s">
        <v>143</v>
      </c>
      <c r="G710" s="213" t="s">
        <v>340</v>
      </c>
      <c r="H710" s="45" t="s">
        <v>418</v>
      </c>
      <c r="I710" s="7" t="s">
        <v>22</v>
      </c>
      <c r="J710" s="3">
        <v>0.7</v>
      </c>
      <c r="K710" s="1" t="s">
        <v>305</v>
      </c>
      <c r="L710" s="8" t="s">
        <v>257</v>
      </c>
      <c r="M710" s="13" t="s">
        <v>306</v>
      </c>
      <c r="N710" s="3">
        <v>0.95</v>
      </c>
      <c r="O710" s="3">
        <v>0.1</v>
      </c>
      <c r="P710" s="3"/>
      <c r="Q710" s="3">
        <f t="shared" si="31"/>
        <v>0</v>
      </c>
      <c r="R710" s="4">
        <f t="shared" si="30"/>
        <v>0</v>
      </c>
      <c r="S710" s="3" t="s">
        <v>23</v>
      </c>
      <c r="T710" s="195"/>
    </row>
    <row r="711" spans="1:20" ht="21.6" x14ac:dyDescent="0.3">
      <c r="A711" s="139">
        <v>2074</v>
      </c>
      <c r="B711" s="42" t="s">
        <v>20</v>
      </c>
      <c r="C711" s="43" t="s">
        <v>267</v>
      </c>
      <c r="D711" s="50">
        <v>5289</v>
      </c>
      <c r="E711" s="52" t="s">
        <v>337</v>
      </c>
      <c r="F711" s="53" t="s">
        <v>143</v>
      </c>
      <c r="G711" s="213" t="s">
        <v>340</v>
      </c>
      <c r="H711" s="45" t="s">
        <v>418</v>
      </c>
      <c r="I711" s="47" t="s">
        <v>22</v>
      </c>
      <c r="J711" s="3">
        <v>0.7</v>
      </c>
      <c r="K711" s="49" t="s">
        <v>129</v>
      </c>
      <c r="L711" s="30" t="s">
        <v>130</v>
      </c>
      <c r="M711" s="47" t="s">
        <v>131</v>
      </c>
      <c r="N711" s="3">
        <v>0.9</v>
      </c>
      <c r="O711" s="10">
        <v>0.2</v>
      </c>
      <c r="P711" s="3"/>
      <c r="Q711" s="3">
        <f t="shared" si="31"/>
        <v>0</v>
      </c>
      <c r="R711" s="4">
        <f t="shared" si="30"/>
        <v>0</v>
      </c>
      <c r="S711" s="3" t="s">
        <v>23</v>
      </c>
      <c r="T711" s="195"/>
    </row>
    <row r="712" spans="1:20" ht="21.6" x14ac:dyDescent="0.3">
      <c r="A712" s="139">
        <v>2075</v>
      </c>
      <c r="B712" s="42" t="s">
        <v>20</v>
      </c>
      <c r="C712" s="43" t="s">
        <v>267</v>
      </c>
      <c r="D712" s="50">
        <v>5289</v>
      </c>
      <c r="E712" s="52" t="s">
        <v>337</v>
      </c>
      <c r="F712" s="53" t="s">
        <v>143</v>
      </c>
      <c r="G712" s="213" t="s">
        <v>340</v>
      </c>
      <c r="H712" s="45" t="s">
        <v>418</v>
      </c>
      <c r="I712" s="47" t="s">
        <v>22</v>
      </c>
      <c r="J712" s="3">
        <v>0.7</v>
      </c>
      <c r="K712" s="49" t="s">
        <v>132</v>
      </c>
      <c r="L712" s="30" t="s">
        <v>133</v>
      </c>
      <c r="M712" s="47" t="s">
        <v>134</v>
      </c>
      <c r="N712" s="4">
        <v>0</v>
      </c>
      <c r="O712" s="10">
        <v>0.1</v>
      </c>
      <c r="P712" s="3"/>
      <c r="Q712" s="3">
        <f t="shared" si="31"/>
        <v>0</v>
      </c>
      <c r="R712" s="48">
        <f t="shared" si="30"/>
        <v>0</v>
      </c>
      <c r="S712" s="10" t="s">
        <v>24</v>
      </c>
      <c r="T712" s="193"/>
    </row>
    <row r="713" spans="1:20" ht="21.6" x14ac:dyDescent="0.3">
      <c r="A713" s="139">
        <v>2076</v>
      </c>
      <c r="B713" s="42" t="s">
        <v>20</v>
      </c>
      <c r="C713" s="43" t="s">
        <v>267</v>
      </c>
      <c r="D713" s="50">
        <v>5289</v>
      </c>
      <c r="E713" s="52" t="s">
        <v>337</v>
      </c>
      <c r="F713" s="53" t="s">
        <v>143</v>
      </c>
      <c r="G713" s="213" t="s">
        <v>340</v>
      </c>
      <c r="H713" s="45" t="s">
        <v>418</v>
      </c>
      <c r="I713" s="47" t="s">
        <v>22</v>
      </c>
      <c r="J713" s="3">
        <v>0.7</v>
      </c>
      <c r="K713" s="49" t="s">
        <v>135</v>
      </c>
      <c r="L713" s="30" t="s">
        <v>136</v>
      </c>
      <c r="M713" s="49" t="s">
        <v>137</v>
      </c>
      <c r="N713" s="3">
        <v>0.9</v>
      </c>
      <c r="O713" s="10">
        <v>0.2</v>
      </c>
      <c r="P713" s="3"/>
      <c r="Q713" s="3">
        <f t="shared" si="31"/>
        <v>0</v>
      </c>
      <c r="R713" s="48">
        <f t="shared" si="30"/>
        <v>0</v>
      </c>
      <c r="S713" s="10" t="s">
        <v>23</v>
      </c>
      <c r="T713" s="193"/>
    </row>
    <row r="714" spans="1:20" ht="22.2" thickBot="1" x14ac:dyDescent="0.35">
      <c r="A714" s="142">
        <v>2077</v>
      </c>
      <c r="B714" s="81" t="s">
        <v>20</v>
      </c>
      <c r="C714" s="82" t="s">
        <v>267</v>
      </c>
      <c r="D714" s="113">
        <v>5289</v>
      </c>
      <c r="E714" s="118" t="s">
        <v>337</v>
      </c>
      <c r="F714" s="119" t="s">
        <v>143</v>
      </c>
      <c r="G714" s="214" t="s">
        <v>340</v>
      </c>
      <c r="H714" s="84" t="s">
        <v>418</v>
      </c>
      <c r="I714" s="85" t="s">
        <v>26</v>
      </c>
      <c r="J714" s="86">
        <v>0.3</v>
      </c>
      <c r="K714" s="115" t="s">
        <v>138</v>
      </c>
      <c r="L714" s="114" t="s">
        <v>139</v>
      </c>
      <c r="M714" s="115" t="s">
        <v>140</v>
      </c>
      <c r="N714" s="86">
        <v>1</v>
      </c>
      <c r="O714" s="91">
        <v>1</v>
      </c>
      <c r="P714" s="86"/>
      <c r="Q714" s="86">
        <f t="shared" si="31"/>
        <v>0</v>
      </c>
      <c r="R714" s="104">
        <f t="shared" si="30"/>
        <v>0</v>
      </c>
      <c r="S714" s="91" t="s">
        <v>23</v>
      </c>
      <c r="T714" s="147"/>
    </row>
    <row r="715" spans="1:20" ht="21.6" x14ac:dyDescent="0.3">
      <c r="A715" s="144">
        <v>2070</v>
      </c>
      <c r="B715" s="64" t="s">
        <v>20</v>
      </c>
      <c r="C715" s="65" t="s">
        <v>267</v>
      </c>
      <c r="D715" s="111">
        <v>5541</v>
      </c>
      <c r="E715" s="116" t="s">
        <v>338</v>
      </c>
      <c r="F715" s="117" t="s">
        <v>143</v>
      </c>
      <c r="G715" s="212" t="s">
        <v>340</v>
      </c>
      <c r="H715" s="67" t="s">
        <v>418</v>
      </c>
      <c r="I715" s="98" t="s">
        <v>22</v>
      </c>
      <c r="J715" s="69">
        <v>0.7</v>
      </c>
      <c r="K715" s="101" t="s">
        <v>513</v>
      </c>
      <c r="L715" s="105" t="s">
        <v>511</v>
      </c>
      <c r="M715" s="101" t="s">
        <v>411</v>
      </c>
      <c r="N715" s="69">
        <v>0.95</v>
      </c>
      <c r="O715" s="69">
        <v>0.15</v>
      </c>
      <c r="P715" s="69"/>
      <c r="Q715" s="69">
        <f t="shared" si="31"/>
        <v>0</v>
      </c>
      <c r="R715" s="100">
        <f t="shared" si="30"/>
        <v>0</v>
      </c>
      <c r="S715" s="69" t="s">
        <v>23</v>
      </c>
      <c r="T715" s="192">
        <f>SUM(R715:R722)%</f>
        <v>0</v>
      </c>
    </row>
    <row r="716" spans="1:20" ht="21.6" x14ac:dyDescent="0.3">
      <c r="A716" s="139">
        <v>2072</v>
      </c>
      <c r="B716" s="42" t="s">
        <v>20</v>
      </c>
      <c r="C716" s="43" t="s">
        <v>267</v>
      </c>
      <c r="D716" s="50">
        <v>5541</v>
      </c>
      <c r="E716" s="52" t="s">
        <v>338</v>
      </c>
      <c r="F716" s="53" t="s">
        <v>143</v>
      </c>
      <c r="G716" s="213" t="s">
        <v>340</v>
      </c>
      <c r="H716" s="45" t="s">
        <v>418</v>
      </c>
      <c r="I716" s="7" t="s">
        <v>22</v>
      </c>
      <c r="J716" s="3">
        <v>0.7</v>
      </c>
      <c r="K716" s="1" t="s">
        <v>124</v>
      </c>
      <c r="L716" s="8" t="s">
        <v>125</v>
      </c>
      <c r="M716" s="7" t="s">
        <v>126</v>
      </c>
      <c r="N716" s="3">
        <v>0.95</v>
      </c>
      <c r="O716" s="3">
        <v>0.15</v>
      </c>
      <c r="P716" s="6"/>
      <c r="Q716" s="3">
        <f t="shared" si="31"/>
        <v>0</v>
      </c>
      <c r="R716" s="4">
        <f t="shared" si="30"/>
        <v>0</v>
      </c>
      <c r="S716" s="3" t="s">
        <v>23</v>
      </c>
      <c r="T716" s="195"/>
    </row>
    <row r="717" spans="1:20" ht="21.6" x14ac:dyDescent="0.3">
      <c r="A717" s="139">
        <v>2073</v>
      </c>
      <c r="B717" s="42" t="s">
        <v>20</v>
      </c>
      <c r="C717" s="43" t="s">
        <v>267</v>
      </c>
      <c r="D717" s="50">
        <v>5541</v>
      </c>
      <c r="E717" s="52" t="s">
        <v>338</v>
      </c>
      <c r="F717" s="53" t="s">
        <v>143</v>
      </c>
      <c r="G717" s="213" t="s">
        <v>340</v>
      </c>
      <c r="H717" s="45" t="s">
        <v>418</v>
      </c>
      <c r="I717" s="7" t="s">
        <v>22</v>
      </c>
      <c r="J717" s="3">
        <v>0.7</v>
      </c>
      <c r="K717" s="1" t="s">
        <v>51</v>
      </c>
      <c r="L717" s="8" t="s">
        <v>127</v>
      </c>
      <c r="M717" s="7" t="s">
        <v>128</v>
      </c>
      <c r="N717" s="6">
        <v>0.05</v>
      </c>
      <c r="O717" s="3">
        <v>0.1</v>
      </c>
      <c r="P717" s="11"/>
      <c r="Q717" s="3">
        <f t="shared" si="31"/>
        <v>0</v>
      </c>
      <c r="R717" s="4">
        <f t="shared" ref="R717:R780" si="32">IF(AND(Q717&gt;=60%,Q717&lt;100%),Q717*((O717*J717)),IF(Q717=100%,((O717*J717)*Q717)*100%,IF(Q717&gt;100%,((J717*O717)*100%)*100%,0)))*100</f>
        <v>0</v>
      </c>
      <c r="S717" s="3" t="s">
        <v>24</v>
      </c>
      <c r="T717" s="195"/>
    </row>
    <row r="718" spans="1:20" ht="21.6" x14ac:dyDescent="0.3">
      <c r="A718" s="139">
        <v>2074</v>
      </c>
      <c r="B718" s="42" t="s">
        <v>20</v>
      </c>
      <c r="C718" s="43" t="s">
        <v>267</v>
      </c>
      <c r="D718" s="50">
        <v>5541</v>
      </c>
      <c r="E718" s="52" t="s">
        <v>338</v>
      </c>
      <c r="F718" s="53" t="s">
        <v>143</v>
      </c>
      <c r="G718" s="213" t="s">
        <v>340</v>
      </c>
      <c r="H718" s="45" t="s">
        <v>418</v>
      </c>
      <c r="I718" s="7" t="s">
        <v>22</v>
      </c>
      <c r="J718" s="3">
        <v>0.7</v>
      </c>
      <c r="K718" s="1" t="s">
        <v>305</v>
      </c>
      <c r="L718" s="8" t="s">
        <v>257</v>
      </c>
      <c r="M718" s="13" t="s">
        <v>306</v>
      </c>
      <c r="N718" s="3">
        <v>0.95</v>
      </c>
      <c r="O718" s="3">
        <v>0.1</v>
      </c>
      <c r="P718" s="3"/>
      <c r="Q718" s="3">
        <f t="shared" si="31"/>
        <v>0</v>
      </c>
      <c r="R718" s="4">
        <f t="shared" si="32"/>
        <v>0</v>
      </c>
      <c r="S718" s="3" t="s">
        <v>23</v>
      </c>
      <c r="T718" s="195"/>
    </row>
    <row r="719" spans="1:20" ht="21.6" x14ac:dyDescent="0.3">
      <c r="A719" s="139">
        <v>2075</v>
      </c>
      <c r="B719" s="42" t="s">
        <v>20</v>
      </c>
      <c r="C719" s="43" t="s">
        <v>267</v>
      </c>
      <c r="D719" s="50">
        <v>5541</v>
      </c>
      <c r="E719" s="52" t="s">
        <v>338</v>
      </c>
      <c r="F719" s="53" t="s">
        <v>143</v>
      </c>
      <c r="G719" s="213" t="s">
        <v>340</v>
      </c>
      <c r="H719" s="45" t="s">
        <v>418</v>
      </c>
      <c r="I719" s="47" t="s">
        <v>22</v>
      </c>
      <c r="J719" s="3">
        <v>0.7</v>
      </c>
      <c r="K719" s="49" t="s">
        <v>129</v>
      </c>
      <c r="L719" s="30" t="s">
        <v>130</v>
      </c>
      <c r="M719" s="47" t="s">
        <v>131</v>
      </c>
      <c r="N719" s="3">
        <v>0.9</v>
      </c>
      <c r="O719" s="10">
        <v>0.2</v>
      </c>
      <c r="P719" s="3"/>
      <c r="Q719" s="3">
        <f t="shared" si="31"/>
        <v>0</v>
      </c>
      <c r="R719" s="48">
        <f t="shared" si="32"/>
        <v>0</v>
      </c>
      <c r="S719" s="10" t="s">
        <v>23</v>
      </c>
      <c r="T719" s="193"/>
    </row>
    <row r="720" spans="1:20" ht="21.6" x14ac:dyDescent="0.3">
      <c r="A720" s="139">
        <v>2076</v>
      </c>
      <c r="B720" s="42" t="s">
        <v>20</v>
      </c>
      <c r="C720" s="43" t="s">
        <v>267</v>
      </c>
      <c r="D720" s="50">
        <v>5541</v>
      </c>
      <c r="E720" s="52" t="s">
        <v>338</v>
      </c>
      <c r="F720" s="53" t="s">
        <v>143</v>
      </c>
      <c r="G720" s="213" t="s">
        <v>340</v>
      </c>
      <c r="H720" s="45" t="s">
        <v>418</v>
      </c>
      <c r="I720" s="47" t="s">
        <v>22</v>
      </c>
      <c r="J720" s="3">
        <v>0.7</v>
      </c>
      <c r="K720" s="49" t="s">
        <v>132</v>
      </c>
      <c r="L720" s="30" t="s">
        <v>133</v>
      </c>
      <c r="M720" s="47" t="s">
        <v>134</v>
      </c>
      <c r="N720" s="4">
        <v>0</v>
      </c>
      <c r="O720" s="10">
        <v>0.1</v>
      </c>
      <c r="P720" s="3"/>
      <c r="Q720" s="3">
        <f t="shared" si="31"/>
        <v>0</v>
      </c>
      <c r="R720" s="48">
        <f t="shared" si="32"/>
        <v>0</v>
      </c>
      <c r="S720" s="10" t="s">
        <v>24</v>
      </c>
      <c r="T720" s="193"/>
    </row>
    <row r="721" spans="1:20" ht="21.6" x14ac:dyDescent="0.3">
      <c r="A721" s="139">
        <v>2077</v>
      </c>
      <c r="B721" s="42" t="s">
        <v>20</v>
      </c>
      <c r="C721" s="43" t="s">
        <v>267</v>
      </c>
      <c r="D721" s="50">
        <v>5541</v>
      </c>
      <c r="E721" s="52" t="s">
        <v>338</v>
      </c>
      <c r="F721" s="53" t="s">
        <v>143</v>
      </c>
      <c r="G721" s="213" t="s">
        <v>340</v>
      </c>
      <c r="H721" s="45" t="s">
        <v>418</v>
      </c>
      <c r="I721" s="47" t="s">
        <v>22</v>
      </c>
      <c r="J721" s="3">
        <v>0.7</v>
      </c>
      <c r="K721" s="49" t="s">
        <v>135</v>
      </c>
      <c r="L721" s="30" t="s">
        <v>136</v>
      </c>
      <c r="M721" s="49" t="s">
        <v>137</v>
      </c>
      <c r="N721" s="3">
        <v>0.9</v>
      </c>
      <c r="O721" s="10">
        <v>0.2</v>
      </c>
      <c r="P721" s="3"/>
      <c r="Q721" s="3">
        <f t="shared" si="31"/>
        <v>0</v>
      </c>
      <c r="R721" s="48">
        <f t="shared" si="32"/>
        <v>0</v>
      </c>
      <c r="S721" s="10" t="s">
        <v>23</v>
      </c>
      <c r="T721" s="193"/>
    </row>
    <row r="722" spans="1:20" ht="22.2" thickBot="1" x14ac:dyDescent="0.35">
      <c r="A722" s="142">
        <v>2078</v>
      </c>
      <c r="B722" s="81" t="s">
        <v>20</v>
      </c>
      <c r="C722" s="82" t="s">
        <v>267</v>
      </c>
      <c r="D722" s="113">
        <v>5541</v>
      </c>
      <c r="E722" s="118" t="s">
        <v>338</v>
      </c>
      <c r="F722" s="119" t="s">
        <v>143</v>
      </c>
      <c r="G722" s="214" t="s">
        <v>340</v>
      </c>
      <c r="H722" s="84" t="s">
        <v>418</v>
      </c>
      <c r="I722" s="85" t="s">
        <v>26</v>
      </c>
      <c r="J722" s="86">
        <v>0.3</v>
      </c>
      <c r="K722" s="115" t="s">
        <v>138</v>
      </c>
      <c r="L722" s="114" t="s">
        <v>139</v>
      </c>
      <c r="M722" s="115" t="s">
        <v>140</v>
      </c>
      <c r="N722" s="86">
        <v>1</v>
      </c>
      <c r="O722" s="91">
        <v>1</v>
      </c>
      <c r="P722" s="86"/>
      <c r="Q722" s="86">
        <f t="shared" si="31"/>
        <v>0</v>
      </c>
      <c r="R722" s="104">
        <f t="shared" si="32"/>
        <v>0</v>
      </c>
      <c r="S722" s="91" t="s">
        <v>23</v>
      </c>
      <c r="T722" s="147"/>
    </row>
    <row r="723" spans="1:20" ht="21.6" x14ac:dyDescent="0.3">
      <c r="A723" s="144">
        <v>2070</v>
      </c>
      <c r="B723" s="64" t="s">
        <v>20</v>
      </c>
      <c r="C723" s="65" t="s">
        <v>267</v>
      </c>
      <c r="D723" s="111">
        <v>3805</v>
      </c>
      <c r="E723" s="116" t="s">
        <v>332</v>
      </c>
      <c r="F723" s="117" t="s">
        <v>143</v>
      </c>
      <c r="G723" s="212" t="s">
        <v>340</v>
      </c>
      <c r="H723" s="67" t="s">
        <v>418</v>
      </c>
      <c r="I723" s="98" t="s">
        <v>22</v>
      </c>
      <c r="J723" s="69">
        <v>0.7</v>
      </c>
      <c r="K723" s="101" t="s">
        <v>513</v>
      </c>
      <c r="L723" s="105" t="s">
        <v>511</v>
      </c>
      <c r="M723" s="101" t="s">
        <v>411</v>
      </c>
      <c r="N723" s="69">
        <v>0.95</v>
      </c>
      <c r="O723" s="69">
        <v>0.15</v>
      </c>
      <c r="P723" s="69"/>
      <c r="Q723" s="69">
        <f t="shared" si="31"/>
        <v>0</v>
      </c>
      <c r="R723" s="100">
        <f t="shared" si="32"/>
        <v>0</v>
      </c>
      <c r="S723" s="69" t="s">
        <v>23</v>
      </c>
      <c r="T723" s="192">
        <f>SUM(R723:R730)%</f>
        <v>0</v>
      </c>
    </row>
    <row r="724" spans="1:20" ht="21.6" x14ac:dyDescent="0.3">
      <c r="A724" s="139">
        <v>2072</v>
      </c>
      <c r="B724" s="42" t="s">
        <v>20</v>
      </c>
      <c r="C724" s="43" t="s">
        <v>267</v>
      </c>
      <c r="D724" s="50">
        <v>3805</v>
      </c>
      <c r="E724" s="52" t="s">
        <v>332</v>
      </c>
      <c r="F724" s="53" t="s">
        <v>143</v>
      </c>
      <c r="G724" s="213" t="s">
        <v>340</v>
      </c>
      <c r="H724" s="45" t="s">
        <v>418</v>
      </c>
      <c r="I724" s="7" t="s">
        <v>22</v>
      </c>
      <c r="J724" s="3">
        <v>0.7</v>
      </c>
      <c r="K724" s="1" t="s">
        <v>124</v>
      </c>
      <c r="L724" s="8" t="s">
        <v>125</v>
      </c>
      <c r="M724" s="7" t="s">
        <v>126</v>
      </c>
      <c r="N724" s="3">
        <v>0.95</v>
      </c>
      <c r="O724" s="3">
        <v>0.15</v>
      </c>
      <c r="P724" s="6"/>
      <c r="Q724" s="3">
        <f t="shared" si="31"/>
        <v>0</v>
      </c>
      <c r="R724" s="4">
        <f t="shared" si="32"/>
        <v>0</v>
      </c>
      <c r="S724" s="3" t="s">
        <v>23</v>
      </c>
      <c r="T724" s="195"/>
    </row>
    <row r="725" spans="1:20" ht="21.6" x14ac:dyDescent="0.3">
      <c r="A725" s="139">
        <v>2073</v>
      </c>
      <c r="B725" s="42" t="s">
        <v>20</v>
      </c>
      <c r="C725" s="43" t="s">
        <v>267</v>
      </c>
      <c r="D725" s="50">
        <v>3805</v>
      </c>
      <c r="E725" s="52" t="s">
        <v>332</v>
      </c>
      <c r="F725" s="53" t="s">
        <v>143</v>
      </c>
      <c r="G725" s="213" t="s">
        <v>340</v>
      </c>
      <c r="H725" s="45" t="s">
        <v>418</v>
      </c>
      <c r="I725" s="7" t="s">
        <v>22</v>
      </c>
      <c r="J725" s="3">
        <v>0.7</v>
      </c>
      <c r="K725" s="1" t="s">
        <v>51</v>
      </c>
      <c r="L725" s="8" t="s">
        <v>127</v>
      </c>
      <c r="M725" s="7" t="s">
        <v>128</v>
      </c>
      <c r="N725" s="6">
        <v>0.05</v>
      </c>
      <c r="O725" s="3">
        <v>0.1</v>
      </c>
      <c r="P725" s="11"/>
      <c r="Q725" s="3">
        <f t="shared" si="31"/>
        <v>0</v>
      </c>
      <c r="R725" s="4">
        <f t="shared" si="32"/>
        <v>0</v>
      </c>
      <c r="S725" s="3" t="s">
        <v>24</v>
      </c>
      <c r="T725" s="195"/>
    </row>
    <row r="726" spans="1:20" ht="21.6" x14ac:dyDescent="0.3">
      <c r="A726" s="139">
        <v>2074</v>
      </c>
      <c r="B726" s="42" t="s">
        <v>20</v>
      </c>
      <c r="C726" s="43" t="s">
        <v>267</v>
      </c>
      <c r="D726" s="50">
        <v>3805</v>
      </c>
      <c r="E726" s="52" t="s">
        <v>332</v>
      </c>
      <c r="F726" s="53" t="s">
        <v>143</v>
      </c>
      <c r="G726" s="213" t="s">
        <v>340</v>
      </c>
      <c r="H726" s="45" t="s">
        <v>418</v>
      </c>
      <c r="I726" s="7" t="s">
        <v>22</v>
      </c>
      <c r="J726" s="3">
        <v>0.7</v>
      </c>
      <c r="K726" s="1" t="s">
        <v>305</v>
      </c>
      <c r="L726" s="8" t="s">
        <v>257</v>
      </c>
      <c r="M726" s="13" t="s">
        <v>306</v>
      </c>
      <c r="N726" s="3">
        <v>0.95</v>
      </c>
      <c r="O726" s="3">
        <v>0.1</v>
      </c>
      <c r="P726" s="3"/>
      <c r="Q726" s="3">
        <f t="shared" si="31"/>
        <v>0</v>
      </c>
      <c r="R726" s="4">
        <f t="shared" si="32"/>
        <v>0</v>
      </c>
      <c r="S726" s="3" t="s">
        <v>23</v>
      </c>
      <c r="T726" s="195"/>
    </row>
    <row r="727" spans="1:20" ht="21.6" x14ac:dyDescent="0.3">
      <c r="A727" s="139">
        <v>2075</v>
      </c>
      <c r="B727" s="42" t="s">
        <v>20</v>
      </c>
      <c r="C727" s="43" t="s">
        <v>267</v>
      </c>
      <c r="D727" s="50">
        <v>3805</v>
      </c>
      <c r="E727" s="52" t="s">
        <v>332</v>
      </c>
      <c r="F727" s="53" t="s">
        <v>143</v>
      </c>
      <c r="G727" s="213" t="s">
        <v>340</v>
      </c>
      <c r="H727" s="45" t="s">
        <v>418</v>
      </c>
      <c r="I727" s="47" t="s">
        <v>22</v>
      </c>
      <c r="J727" s="3">
        <v>0.7</v>
      </c>
      <c r="K727" s="49" t="s">
        <v>129</v>
      </c>
      <c r="L727" s="30" t="s">
        <v>130</v>
      </c>
      <c r="M727" s="47" t="s">
        <v>131</v>
      </c>
      <c r="N727" s="3">
        <v>0.9</v>
      </c>
      <c r="O727" s="10">
        <v>0.2</v>
      </c>
      <c r="P727" s="3"/>
      <c r="Q727" s="3">
        <f t="shared" si="31"/>
        <v>0</v>
      </c>
      <c r="R727" s="48">
        <f t="shared" si="32"/>
        <v>0</v>
      </c>
      <c r="S727" s="10" t="s">
        <v>23</v>
      </c>
      <c r="T727" s="193"/>
    </row>
    <row r="728" spans="1:20" ht="21.6" x14ac:dyDescent="0.3">
      <c r="A728" s="139">
        <v>2076</v>
      </c>
      <c r="B728" s="42" t="s">
        <v>20</v>
      </c>
      <c r="C728" s="43" t="s">
        <v>267</v>
      </c>
      <c r="D728" s="50">
        <v>3805</v>
      </c>
      <c r="E728" s="52" t="s">
        <v>332</v>
      </c>
      <c r="F728" s="53" t="s">
        <v>143</v>
      </c>
      <c r="G728" s="213" t="s">
        <v>340</v>
      </c>
      <c r="H728" s="45" t="s">
        <v>418</v>
      </c>
      <c r="I728" s="47" t="s">
        <v>22</v>
      </c>
      <c r="J728" s="3">
        <v>0.7</v>
      </c>
      <c r="K728" s="49" t="s">
        <v>132</v>
      </c>
      <c r="L728" s="30" t="s">
        <v>133</v>
      </c>
      <c r="M728" s="47" t="s">
        <v>134</v>
      </c>
      <c r="N728" s="4">
        <v>0</v>
      </c>
      <c r="O728" s="10">
        <v>0.1</v>
      </c>
      <c r="P728" s="3"/>
      <c r="Q728" s="3">
        <f t="shared" si="31"/>
        <v>0</v>
      </c>
      <c r="R728" s="48">
        <f t="shared" si="32"/>
        <v>0</v>
      </c>
      <c r="S728" s="10" t="s">
        <v>24</v>
      </c>
      <c r="T728" s="193"/>
    </row>
    <row r="729" spans="1:20" ht="21.6" x14ac:dyDescent="0.3">
      <c r="A729" s="139">
        <v>2077</v>
      </c>
      <c r="B729" s="42" t="s">
        <v>20</v>
      </c>
      <c r="C729" s="43" t="s">
        <v>267</v>
      </c>
      <c r="D729" s="50">
        <v>3805</v>
      </c>
      <c r="E729" s="52" t="s">
        <v>332</v>
      </c>
      <c r="F729" s="53" t="s">
        <v>143</v>
      </c>
      <c r="G729" s="213" t="s">
        <v>340</v>
      </c>
      <c r="H729" s="45" t="s">
        <v>418</v>
      </c>
      <c r="I729" s="47" t="s">
        <v>22</v>
      </c>
      <c r="J729" s="3">
        <v>0.7</v>
      </c>
      <c r="K729" s="49" t="s">
        <v>135</v>
      </c>
      <c r="L729" s="30" t="s">
        <v>136</v>
      </c>
      <c r="M729" s="49" t="s">
        <v>137</v>
      </c>
      <c r="N729" s="3">
        <v>0.9</v>
      </c>
      <c r="O729" s="10">
        <v>0.2</v>
      </c>
      <c r="P729" s="3"/>
      <c r="Q729" s="3">
        <f t="shared" si="31"/>
        <v>0</v>
      </c>
      <c r="R729" s="48">
        <f t="shared" si="32"/>
        <v>0</v>
      </c>
      <c r="S729" s="10" t="s">
        <v>23</v>
      </c>
      <c r="T729" s="193"/>
    </row>
    <row r="730" spans="1:20" ht="22.2" thickBot="1" x14ac:dyDescent="0.35">
      <c r="A730" s="142">
        <v>2078</v>
      </c>
      <c r="B730" s="81" t="s">
        <v>20</v>
      </c>
      <c r="C730" s="82" t="s">
        <v>267</v>
      </c>
      <c r="D730" s="113">
        <v>3805</v>
      </c>
      <c r="E730" s="118" t="s">
        <v>332</v>
      </c>
      <c r="F730" s="119" t="s">
        <v>143</v>
      </c>
      <c r="G730" s="214" t="s">
        <v>340</v>
      </c>
      <c r="H730" s="84" t="s">
        <v>418</v>
      </c>
      <c r="I730" s="85" t="s">
        <v>26</v>
      </c>
      <c r="J730" s="86">
        <v>0.3</v>
      </c>
      <c r="K730" s="115" t="s">
        <v>138</v>
      </c>
      <c r="L730" s="114" t="s">
        <v>139</v>
      </c>
      <c r="M730" s="115" t="s">
        <v>140</v>
      </c>
      <c r="N730" s="86">
        <v>1</v>
      </c>
      <c r="O730" s="91">
        <v>1</v>
      </c>
      <c r="P730" s="86"/>
      <c r="Q730" s="86">
        <f t="shared" si="31"/>
        <v>0</v>
      </c>
      <c r="R730" s="104">
        <f t="shared" si="32"/>
        <v>0</v>
      </c>
      <c r="S730" s="91" t="s">
        <v>23</v>
      </c>
      <c r="T730" s="147"/>
    </row>
    <row r="731" spans="1:20" ht="21.6" x14ac:dyDescent="0.3">
      <c r="A731" s="144">
        <v>2070</v>
      </c>
      <c r="B731" s="64" t="s">
        <v>20</v>
      </c>
      <c r="C731" s="65" t="s">
        <v>267</v>
      </c>
      <c r="D731" s="111">
        <v>5594</v>
      </c>
      <c r="E731" s="116" t="s">
        <v>333</v>
      </c>
      <c r="F731" s="117" t="s">
        <v>143</v>
      </c>
      <c r="G731" s="212" t="s">
        <v>340</v>
      </c>
      <c r="H731" s="67" t="s">
        <v>418</v>
      </c>
      <c r="I731" s="98" t="s">
        <v>22</v>
      </c>
      <c r="J731" s="69">
        <v>0.7</v>
      </c>
      <c r="K731" s="101" t="s">
        <v>513</v>
      </c>
      <c r="L731" s="105" t="s">
        <v>511</v>
      </c>
      <c r="M731" s="101" t="s">
        <v>411</v>
      </c>
      <c r="N731" s="69">
        <v>0.95</v>
      </c>
      <c r="O731" s="69">
        <v>0.15</v>
      </c>
      <c r="P731" s="69"/>
      <c r="Q731" s="69">
        <f t="shared" si="31"/>
        <v>0</v>
      </c>
      <c r="R731" s="100">
        <f t="shared" si="32"/>
        <v>0</v>
      </c>
      <c r="S731" s="69" t="s">
        <v>23</v>
      </c>
      <c r="T731" s="192">
        <f>SUM(R731:R738)%</f>
        <v>0</v>
      </c>
    </row>
    <row r="732" spans="1:20" ht="21.6" x14ac:dyDescent="0.3">
      <c r="A732" s="139">
        <v>2072</v>
      </c>
      <c r="B732" s="42" t="s">
        <v>20</v>
      </c>
      <c r="C732" s="43" t="s">
        <v>267</v>
      </c>
      <c r="D732" s="50">
        <v>5594</v>
      </c>
      <c r="E732" s="52" t="s">
        <v>333</v>
      </c>
      <c r="F732" s="53" t="s">
        <v>143</v>
      </c>
      <c r="G732" s="213" t="s">
        <v>340</v>
      </c>
      <c r="H732" s="45" t="s">
        <v>418</v>
      </c>
      <c r="I732" s="7" t="s">
        <v>22</v>
      </c>
      <c r="J732" s="3">
        <v>0.7</v>
      </c>
      <c r="K732" s="1" t="s">
        <v>124</v>
      </c>
      <c r="L732" s="8" t="s">
        <v>125</v>
      </c>
      <c r="M732" s="7" t="s">
        <v>126</v>
      </c>
      <c r="N732" s="3">
        <v>0.95</v>
      </c>
      <c r="O732" s="3">
        <v>0.15</v>
      </c>
      <c r="P732" s="6"/>
      <c r="Q732" s="3">
        <f t="shared" si="31"/>
        <v>0</v>
      </c>
      <c r="R732" s="4">
        <f t="shared" si="32"/>
        <v>0</v>
      </c>
      <c r="S732" s="3" t="s">
        <v>23</v>
      </c>
      <c r="T732" s="195"/>
    </row>
    <row r="733" spans="1:20" ht="21.6" x14ac:dyDescent="0.3">
      <c r="A733" s="139">
        <v>2073</v>
      </c>
      <c r="B733" s="42" t="s">
        <v>20</v>
      </c>
      <c r="C733" s="43" t="s">
        <v>267</v>
      </c>
      <c r="D733" s="50">
        <v>5594</v>
      </c>
      <c r="E733" s="52" t="s">
        <v>333</v>
      </c>
      <c r="F733" s="53" t="s">
        <v>143</v>
      </c>
      <c r="G733" s="213" t="s">
        <v>340</v>
      </c>
      <c r="H733" s="45" t="s">
        <v>418</v>
      </c>
      <c r="I733" s="7" t="s">
        <v>22</v>
      </c>
      <c r="J733" s="3">
        <v>0.7</v>
      </c>
      <c r="K733" s="1" t="s">
        <v>51</v>
      </c>
      <c r="L733" s="8" t="s">
        <v>127</v>
      </c>
      <c r="M733" s="7" t="s">
        <v>128</v>
      </c>
      <c r="N733" s="6">
        <v>0.05</v>
      </c>
      <c r="O733" s="3">
        <v>0.1</v>
      </c>
      <c r="P733" s="11"/>
      <c r="Q733" s="3">
        <f t="shared" si="31"/>
        <v>0</v>
      </c>
      <c r="R733" s="4">
        <f t="shared" si="32"/>
        <v>0</v>
      </c>
      <c r="S733" s="3" t="s">
        <v>24</v>
      </c>
      <c r="T733" s="195"/>
    </row>
    <row r="734" spans="1:20" ht="21.6" x14ac:dyDescent="0.3">
      <c r="A734" s="139">
        <v>2074</v>
      </c>
      <c r="B734" s="42" t="s">
        <v>20</v>
      </c>
      <c r="C734" s="43" t="s">
        <v>267</v>
      </c>
      <c r="D734" s="50">
        <v>5594</v>
      </c>
      <c r="E734" s="52" t="s">
        <v>333</v>
      </c>
      <c r="F734" s="53" t="s">
        <v>143</v>
      </c>
      <c r="G734" s="213" t="s">
        <v>340</v>
      </c>
      <c r="H734" s="45" t="s">
        <v>418</v>
      </c>
      <c r="I734" s="7" t="s">
        <v>22</v>
      </c>
      <c r="J734" s="3">
        <v>0.7</v>
      </c>
      <c r="K734" s="1" t="s">
        <v>305</v>
      </c>
      <c r="L734" s="8" t="s">
        <v>257</v>
      </c>
      <c r="M734" s="13" t="s">
        <v>306</v>
      </c>
      <c r="N734" s="3">
        <v>0.95</v>
      </c>
      <c r="O734" s="3">
        <v>0.1</v>
      </c>
      <c r="P734" s="3"/>
      <c r="Q734" s="3">
        <f t="shared" si="31"/>
        <v>0</v>
      </c>
      <c r="R734" s="4">
        <f t="shared" si="32"/>
        <v>0</v>
      </c>
      <c r="S734" s="3" t="s">
        <v>23</v>
      </c>
      <c r="T734" s="195"/>
    </row>
    <row r="735" spans="1:20" ht="21.6" x14ac:dyDescent="0.3">
      <c r="A735" s="139">
        <v>2075</v>
      </c>
      <c r="B735" s="42" t="s">
        <v>20</v>
      </c>
      <c r="C735" s="43" t="s">
        <v>267</v>
      </c>
      <c r="D735" s="50">
        <v>5594</v>
      </c>
      <c r="E735" s="52" t="s">
        <v>333</v>
      </c>
      <c r="F735" s="53" t="s">
        <v>143</v>
      </c>
      <c r="G735" s="213" t="s">
        <v>340</v>
      </c>
      <c r="H735" s="45" t="s">
        <v>418</v>
      </c>
      <c r="I735" s="47" t="s">
        <v>22</v>
      </c>
      <c r="J735" s="3">
        <v>0.7</v>
      </c>
      <c r="K735" s="49" t="s">
        <v>129</v>
      </c>
      <c r="L735" s="30" t="s">
        <v>130</v>
      </c>
      <c r="M735" s="47" t="s">
        <v>131</v>
      </c>
      <c r="N735" s="3">
        <v>0.9</v>
      </c>
      <c r="O735" s="10">
        <v>0.2</v>
      </c>
      <c r="P735" s="3"/>
      <c r="Q735" s="3">
        <f t="shared" si="31"/>
        <v>0</v>
      </c>
      <c r="R735" s="48">
        <f t="shared" si="32"/>
        <v>0</v>
      </c>
      <c r="S735" s="10" t="s">
        <v>23</v>
      </c>
      <c r="T735" s="193"/>
    </row>
    <row r="736" spans="1:20" ht="21.6" x14ac:dyDescent="0.3">
      <c r="A736" s="139">
        <v>2076</v>
      </c>
      <c r="B736" s="42" t="s">
        <v>20</v>
      </c>
      <c r="C736" s="43" t="s">
        <v>267</v>
      </c>
      <c r="D736" s="50">
        <v>5594</v>
      </c>
      <c r="E736" s="52" t="s">
        <v>333</v>
      </c>
      <c r="F736" s="53" t="s">
        <v>143</v>
      </c>
      <c r="G736" s="213" t="s">
        <v>340</v>
      </c>
      <c r="H736" s="45" t="s">
        <v>418</v>
      </c>
      <c r="I736" s="47" t="s">
        <v>22</v>
      </c>
      <c r="J736" s="3">
        <v>0.7</v>
      </c>
      <c r="K736" s="49" t="s">
        <v>132</v>
      </c>
      <c r="L736" s="30" t="s">
        <v>133</v>
      </c>
      <c r="M736" s="47" t="s">
        <v>134</v>
      </c>
      <c r="N736" s="4">
        <v>0</v>
      </c>
      <c r="O736" s="10">
        <v>0.1</v>
      </c>
      <c r="P736" s="3"/>
      <c r="Q736" s="3">
        <f t="shared" si="31"/>
        <v>0</v>
      </c>
      <c r="R736" s="48">
        <f t="shared" si="32"/>
        <v>0</v>
      </c>
      <c r="S736" s="10" t="s">
        <v>24</v>
      </c>
      <c r="T736" s="193"/>
    </row>
    <row r="737" spans="1:20" ht="21.6" x14ac:dyDescent="0.3">
      <c r="A737" s="139">
        <v>2077</v>
      </c>
      <c r="B737" s="42" t="s">
        <v>20</v>
      </c>
      <c r="C737" s="43" t="s">
        <v>267</v>
      </c>
      <c r="D737" s="50">
        <v>5594</v>
      </c>
      <c r="E737" s="52" t="s">
        <v>333</v>
      </c>
      <c r="F737" s="53" t="s">
        <v>143</v>
      </c>
      <c r="G737" s="213" t="s">
        <v>340</v>
      </c>
      <c r="H737" s="45" t="s">
        <v>418</v>
      </c>
      <c r="I737" s="47" t="s">
        <v>22</v>
      </c>
      <c r="J737" s="3">
        <v>0.7</v>
      </c>
      <c r="K737" s="49" t="s">
        <v>135</v>
      </c>
      <c r="L737" s="30" t="s">
        <v>136</v>
      </c>
      <c r="M737" s="49" t="s">
        <v>137</v>
      </c>
      <c r="N737" s="3">
        <v>0.9</v>
      </c>
      <c r="O737" s="10">
        <v>0.2</v>
      </c>
      <c r="P737" s="3"/>
      <c r="Q737" s="3">
        <f t="shared" si="31"/>
        <v>0</v>
      </c>
      <c r="R737" s="48">
        <f t="shared" si="32"/>
        <v>0</v>
      </c>
      <c r="S737" s="10" t="s">
        <v>23</v>
      </c>
      <c r="T737" s="193"/>
    </row>
    <row r="738" spans="1:20" ht="22.2" thickBot="1" x14ac:dyDescent="0.35">
      <c r="A738" s="142">
        <v>2078</v>
      </c>
      <c r="B738" s="81" t="s">
        <v>20</v>
      </c>
      <c r="C738" s="82" t="s">
        <v>267</v>
      </c>
      <c r="D738" s="113">
        <v>5594</v>
      </c>
      <c r="E738" s="118" t="s">
        <v>333</v>
      </c>
      <c r="F738" s="119" t="s">
        <v>143</v>
      </c>
      <c r="G738" s="214" t="s">
        <v>340</v>
      </c>
      <c r="H738" s="84" t="s">
        <v>418</v>
      </c>
      <c r="I738" s="85" t="s">
        <v>26</v>
      </c>
      <c r="J738" s="86">
        <v>0.3</v>
      </c>
      <c r="K738" s="115" t="s">
        <v>138</v>
      </c>
      <c r="L738" s="114" t="s">
        <v>139</v>
      </c>
      <c r="M738" s="115" t="s">
        <v>140</v>
      </c>
      <c r="N738" s="86">
        <v>1</v>
      </c>
      <c r="O738" s="91">
        <v>1</v>
      </c>
      <c r="P738" s="86"/>
      <c r="Q738" s="86">
        <f t="shared" si="31"/>
        <v>0</v>
      </c>
      <c r="R738" s="104">
        <f t="shared" si="32"/>
        <v>0</v>
      </c>
      <c r="S738" s="91" t="s">
        <v>23</v>
      </c>
      <c r="T738" s="147"/>
    </row>
    <row r="739" spans="1:20" ht="21.6" x14ac:dyDescent="0.3">
      <c r="A739" s="144">
        <v>2070</v>
      </c>
      <c r="B739" s="64" t="s">
        <v>20</v>
      </c>
      <c r="C739" s="65" t="s">
        <v>267</v>
      </c>
      <c r="D739" s="111">
        <v>6094</v>
      </c>
      <c r="E739" s="116" t="s">
        <v>508</v>
      </c>
      <c r="F739" s="117" t="s">
        <v>143</v>
      </c>
      <c r="G739" s="212" t="s">
        <v>340</v>
      </c>
      <c r="H739" s="67" t="s">
        <v>418</v>
      </c>
      <c r="I739" s="98" t="s">
        <v>22</v>
      </c>
      <c r="J739" s="69">
        <v>0.7</v>
      </c>
      <c r="K739" s="101" t="s">
        <v>513</v>
      </c>
      <c r="L739" s="105" t="s">
        <v>511</v>
      </c>
      <c r="M739" s="101" t="s">
        <v>411</v>
      </c>
      <c r="N739" s="69">
        <v>0.95</v>
      </c>
      <c r="O739" s="69">
        <v>0.15</v>
      </c>
      <c r="P739" s="69"/>
      <c r="Q739" s="69">
        <f t="shared" si="31"/>
        <v>0</v>
      </c>
      <c r="R739" s="100">
        <f t="shared" si="32"/>
        <v>0</v>
      </c>
      <c r="S739" s="69" t="s">
        <v>23</v>
      </c>
      <c r="T739" s="192">
        <f>SUM(R739:R746)%</f>
        <v>0</v>
      </c>
    </row>
    <row r="740" spans="1:20" ht="21.6" x14ac:dyDescent="0.3">
      <c r="A740" s="139">
        <v>2072</v>
      </c>
      <c r="B740" s="42" t="s">
        <v>20</v>
      </c>
      <c r="C740" s="43" t="s">
        <v>267</v>
      </c>
      <c r="D740" s="50">
        <v>6094</v>
      </c>
      <c r="E740" s="52" t="s">
        <v>508</v>
      </c>
      <c r="F740" s="53" t="s">
        <v>143</v>
      </c>
      <c r="G740" s="213" t="s">
        <v>340</v>
      </c>
      <c r="H740" s="45" t="s">
        <v>418</v>
      </c>
      <c r="I740" s="7" t="s">
        <v>22</v>
      </c>
      <c r="J740" s="3">
        <v>0.7</v>
      </c>
      <c r="K740" s="1" t="s">
        <v>124</v>
      </c>
      <c r="L740" s="8" t="s">
        <v>125</v>
      </c>
      <c r="M740" s="7" t="s">
        <v>126</v>
      </c>
      <c r="N740" s="3">
        <v>0.95</v>
      </c>
      <c r="O740" s="3">
        <v>0.15</v>
      </c>
      <c r="P740" s="6"/>
      <c r="Q740" s="3">
        <f t="shared" si="31"/>
        <v>0</v>
      </c>
      <c r="R740" s="4">
        <f t="shared" si="32"/>
        <v>0</v>
      </c>
      <c r="S740" s="3" t="s">
        <v>23</v>
      </c>
      <c r="T740" s="195"/>
    </row>
    <row r="741" spans="1:20" ht="21.6" x14ac:dyDescent="0.3">
      <c r="A741" s="139">
        <v>2073</v>
      </c>
      <c r="B741" s="42" t="s">
        <v>20</v>
      </c>
      <c r="C741" s="43" t="s">
        <v>267</v>
      </c>
      <c r="D741" s="50">
        <v>6094</v>
      </c>
      <c r="E741" s="52" t="s">
        <v>508</v>
      </c>
      <c r="F741" s="53" t="s">
        <v>143</v>
      </c>
      <c r="G741" s="213" t="s">
        <v>340</v>
      </c>
      <c r="H741" s="45" t="s">
        <v>418</v>
      </c>
      <c r="I741" s="7" t="s">
        <v>22</v>
      </c>
      <c r="J741" s="3">
        <v>0.7</v>
      </c>
      <c r="K741" s="1" t="s">
        <v>51</v>
      </c>
      <c r="L741" s="8" t="s">
        <v>127</v>
      </c>
      <c r="M741" s="7" t="s">
        <v>128</v>
      </c>
      <c r="N741" s="6">
        <v>0.05</v>
      </c>
      <c r="O741" s="3">
        <v>0.1</v>
      </c>
      <c r="P741" s="11"/>
      <c r="Q741" s="3">
        <f t="shared" si="31"/>
        <v>0</v>
      </c>
      <c r="R741" s="4">
        <f t="shared" si="32"/>
        <v>0</v>
      </c>
      <c r="S741" s="3" t="s">
        <v>24</v>
      </c>
      <c r="T741" s="195"/>
    </row>
    <row r="742" spans="1:20" ht="21.6" x14ac:dyDescent="0.3">
      <c r="A742" s="139">
        <v>2074</v>
      </c>
      <c r="B742" s="42" t="s">
        <v>20</v>
      </c>
      <c r="C742" s="43" t="s">
        <v>267</v>
      </c>
      <c r="D742" s="50">
        <v>6094</v>
      </c>
      <c r="E742" s="52" t="s">
        <v>508</v>
      </c>
      <c r="F742" s="53" t="s">
        <v>143</v>
      </c>
      <c r="G742" s="213" t="s">
        <v>340</v>
      </c>
      <c r="H742" s="45" t="s">
        <v>418</v>
      </c>
      <c r="I742" s="7" t="s">
        <v>22</v>
      </c>
      <c r="J742" s="3">
        <v>0.7</v>
      </c>
      <c r="K742" s="1" t="s">
        <v>305</v>
      </c>
      <c r="L742" s="8" t="s">
        <v>257</v>
      </c>
      <c r="M742" s="13" t="s">
        <v>306</v>
      </c>
      <c r="N742" s="3">
        <v>0.95</v>
      </c>
      <c r="O742" s="3">
        <v>0.1</v>
      </c>
      <c r="P742" s="3"/>
      <c r="Q742" s="3">
        <f t="shared" si="31"/>
        <v>0</v>
      </c>
      <c r="R742" s="4">
        <f t="shared" si="32"/>
        <v>0</v>
      </c>
      <c r="S742" s="3" t="s">
        <v>23</v>
      </c>
      <c r="T742" s="195"/>
    </row>
    <row r="743" spans="1:20" ht="21.6" x14ac:dyDescent="0.3">
      <c r="A743" s="139">
        <v>2075</v>
      </c>
      <c r="B743" s="42" t="s">
        <v>20</v>
      </c>
      <c r="C743" s="43" t="s">
        <v>267</v>
      </c>
      <c r="D743" s="50">
        <v>6094</v>
      </c>
      <c r="E743" s="52" t="s">
        <v>508</v>
      </c>
      <c r="F743" s="53" t="s">
        <v>143</v>
      </c>
      <c r="G743" s="213" t="s">
        <v>340</v>
      </c>
      <c r="H743" s="45" t="s">
        <v>418</v>
      </c>
      <c r="I743" s="47" t="s">
        <v>22</v>
      </c>
      <c r="J743" s="3">
        <v>0.7</v>
      </c>
      <c r="K743" s="49" t="s">
        <v>129</v>
      </c>
      <c r="L743" s="30" t="s">
        <v>130</v>
      </c>
      <c r="M743" s="47" t="s">
        <v>131</v>
      </c>
      <c r="N743" s="3">
        <v>0.9</v>
      </c>
      <c r="O743" s="10">
        <v>0.2</v>
      </c>
      <c r="P743" s="3"/>
      <c r="Q743" s="3">
        <f t="shared" si="31"/>
        <v>0</v>
      </c>
      <c r="R743" s="48">
        <f t="shared" si="32"/>
        <v>0</v>
      </c>
      <c r="S743" s="10" t="s">
        <v>23</v>
      </c>
      <c r="T743" s="193"/>
    </row>
    <row r="744" spans="1:20" ht="21.6" x14ac:dyDescent="0.3">
      <c r="A744" s="139">
        <v>2076</v>
      </c>
      <c r="B744" s="42" t="s">
        <v>20</v>
      </c>
      <c r="C744" s="43" t="s">
        <v>267</v>
      </c>
      <c r="D744" s="50">
        <v>6094</v>
      </c>
      <c r="E744" s="52" t="s">
        <v>508</v>
      </c>
      <c r="F744" s="53" t="s">
        <v>143</v>
      </c>
      <c r="G744" s="213" t="s">
        <v>340</v>
      </c>
      <c r="H744" s="45" t="s">
        <v>418</v>
      </c>
      <c r="I744" s="47" t="s">
        <v>22</v>
      </c>
      <c r="J744" s="3">
        <v>0.7</v>
      </c>
      <c r="K744" s="49" t="s">
        <v>132</v>
      </c>
      <c r="L744" s="30" t="s">
        <v>133</v>
      </c>
      <c r="M744" s="47" t="s">
        <v>134</v>
      </c>
      <c r="N744" s="4">
        <v>0</v>
      </c>
      <c r="O744" s="10">
        <v>0.1</v>
      </c>
      <c r="P744" s="3"/>
      <c r="Q744" s="3">
        <f t="shared" si="31"/>
        <v>0</v>
      </c>
      <c r="R744" s="48">
        <f t="shared" si="32"/>
        <v>0</v>
      </c>
      <c r="S744" s="10" t="s">
        <v>24</v>
      </c>
      <c r="T744" s="193"/>
    </row>
    <row r="745" spans="1:20" ht="21.6" x14ac:dyDescent="0.3">
      <c r="A745" s="139">
        <v>2077</v>
      </c>
      <c r="B745" s="42" t="s">
        <v>20</v>
      </c>
      <c r="C745" s="43" t="s">
        <v>267</v>
      </c>
      <c r="D745" s="50">
        <v>6094</v>
      </c>
      <c r="E745" s="52" t="s">
        <v>508</v>
      </c>
      <c r="F745" s="53" t="s">
        <v>143</v>
      </c>
      <c r="G745" s="213" t="s">
        <v>340</v>
      </c>
      <c r="H745" s="45" t="s">
        <v>418</v>
      </c>
      <c r="I745" s="47" t="s">
        <v>22</v>
      </c>
      <c r="J745" s="3">
        <v>0.7</v>
      </c>
      <c r="K745" s="49" t="s">
        <v>135</v>
      </c>
      <c r="L745" s="30" t="s">
        <v>136</v>
      </c>
      <c r="M745" s="49" t="s">
        <v>137</v>
      </c>
      <c r="N745" s="3">
        <v>0.9</v>
      </c>
      <c r="O745" s="10">
        <v>0.2</v>
      </c>
      <c r="P745" s="3"/>
      <c r="Q745" s="3">
        <f t="shared" si="31"/>
        <v>0</v>
      </c>
      <c r="R745" s="48">
        <f t="shared" si="32"/>
        <v>0</v>
      </c>
      <c r="S745" s="10" t="s">
        <v>23</v>
      </c>
      <c r="T745" s="193"/>
    </row>
    <row r="746" spans="1:20" ht="22.2" thickBot="1" x14ac:dyDescent="0.35">
      <c r="A746" s="142">
        <v>2078</v>
      </c>
      <c r="B746" s="81" t="s">
        <v>20</v>
      </c>
      <c r="C746" s="82" t="s">
        <v>267</v>
      </c>
      <c r="D746" s="113">
        <v>6094</v>
      </c>
      <c r="E746" s="118" t="s">
        <v>508</v>
      </c>
      <c r="F746" s="119" t="s">
        <v>143</v>
      </c>
      <c r="G746" s="214" t="s">
        <v>340</v>
      </c>
      <c r="H746" s="84" t="s">
        <v>418</v>
      </c>
      <c r="I746" s="85" t="s">
        <v>26</v>
      </c>
      <c r="J746" s="86">
        <v>0.3</v>
      </c>
      <c r="K746" s="115" t="s">
        <v>138</v>
      </c>
      <c r="L746" s="114" t="s">
        <v>139</v>
      </c>
      <c r="M746" s="115" t="s">
        <v>140</v>
      </c>
      <c r="N746" s="86">
        <v>1</v>
      </c>
      <c r="O746" s="91">
        <v>1</v>
      </c>
      <c r="P746" s="86"/>
      <c r="Q746" s="86">
        <f t="shared" si="31"/>
        <v>0</v>
      </c>
      <c r="R746" s="104">
        <f t="shared" si="32"/>
        <v>0</v>
      </c>
      <c r="S746" s="91" t="s">
        <v>23</v>
      </c>
      <c r="T746" s="147"/>
    </row>
    <row r="747" spans="1:20" ht="21.6" x14ac:dyDescent="0.3">
      <c r="A747" s="144">
        <v>2070</v>
      </c>
      <c r="B747" s="64" t="s">
        <v>20</v>
      </c>
      <c r="C747" s="65" t="s">
        <v>267</v>
      </c>
      <c r="D747" s="111">
        <v>6526</v>
      </c>
      <c r="E747" s="116" t="s">
        <v>339</v>
      </c>
      <c r="F747" s="117" t="s">
        <v>143</v>
      </c>
      <c r="G747" s="212" t="s">
        <v>340</v>
      </c>
      <c r="H747" s="67" t="s">
        <v>418</v>
      </c>
      <c r="I747" s="98" t="s">
        <v>22</v>
      </c>
      <c r="J747" s="69">
        <v>0.7</v>
      </c>
      <c r="K747" s="101" t="s">
        <v>513</v>
      </c>
      <c r="L747" s="105" t="s">
        <v>511</v>
      </c>
      <c r="M747" s="101" t="s">
        <v>411</v>
      </c>
      <c r="N747" s="69">
        <v>0.95</v>
      </c>
      <c r="O747" s="69">
        <v>0.15</v>
      </c>
      <c r="P747" s="69"/>
      <c r="Q747" s="69">
        <f t="shared" si="31"/>
        <v>0</v>
      </c>
      <c r="R747" s="100">
        <f t="shared" si="32"/>
        <v>0</v>
      </c>
      <c r="S747" s="69" t="s">
        <v>23</v>
      </c>
      <c r="T747" s="192">
        <f>SUM(R747:R754)%</f>
        <v>0</v>
      </c>
    </row>
    <row r="748" spans="1:20" ht="21.6" x14ac:dyDescent="0.3">
      <c r="A748" s="139">
        <v>2072</v>
      </c>
      <c r="B748" s="42" t="s">
        <v>20</v>
      </c>
      <c r="C748" s="43" t="s">
        <v>267</v>
      </c>
      <c r="D748" s="50">
        <v>6526</v>
      </c>
      <c r="E748" s="52" t="s">
        <v>339</v>
      </c>
      <c r="F748" s="53" t="s">
        <v>143</v>
      </c>
      <c r="G748" s="213" t="s">
        <v>340</v>
      </c>
      <c r="H748" s="45" t="s">
        <v>418</v>
      </c>
      <c r="I748" s="7" t="s">
        <v>22</v>
      </c>
      <c r="J748" s="3">
        <v>0.7</v>
      </c>
      <c r="K748" s="1" t="s">
        <v>124</v>
      </c>
      <c r="L748" s="8" t="s">
        <v>125</v>
      </c>
      <c r="M748" s="7" t="s">
        <v>126</v>
      </c>
      <c r="N748" s="3">
        <v>0.95</v>
      </c>
      <c r="O748" s="3">
        <v>0.15</v>
      </c>
      <c r="P748" s="6"/>
      <c r="Q748" s="3">
        <f t="shared" si="31"/>
        <v>0</v>
      </c>
      <c r="R748" s="4">
        <f t="shared" si="32"/>
        <v>0</v>
      </c>
      <c r="S748" s="3" t="s">
        <v>23</v>
      </c>
      <c r="T748" s="195"/>
    </row>
    <row r="749" spans="1:20" ht="21.6" x14ac:dyDescent="0.3">
      <c r="A749" s="139">
        <v>2073</v>
      </c>
      <c r="B749" s="42" t="s">
        <v>20</v>
      </c>
      <c r="C749" s="43" t="s">
        <v>267</v>
      </c>
      <c r="D749" s="50">
        <v>6526</v>
      </c>
      <c r="E749" s="52" t="s">
        <v>339</v>
      </c>
      <c r="F749" s="53" t="s">
        <v>143</v>
      </c>
      <c r="G749" s="213" t="s">
        <v>340</v>
      </c>
      <c r="H749" s="45" t="s">
        <v>418</v>
      </c>
      <c r="I749" s="7" t="s">
        <v>22</v>
      </c>
      <c r="J749" s="3">
        <v>0.7</v>
      </c>
      <c r="K749" s="1" t="s">
        <v>51</v>
      </c>
      <c r="L749" s="8" t="s">
        <v>127</v>
      </c>
      <c r="M749" s="7" t="s">
        <v>128</v>
      </c>
      <c r="N749" s="6">
        <v>0.05</v>
      </c>
      <c r="O749" s="3">
        <v>0.1</v>
      </c>
      <c r="P749" s="11"/>
      <c r="Q749" s="3">
        <f t="shared" si="31"/>
        <v>0</v>
      </c>
      <c r="R749" s="4">
        <f t="shared" si="32"/>
        <v>0</v>
      </c>
      <c r="S749" s="3" t="s">
        <v>24</v>
      </c>
      <c r="T749" s="195"/>
    </row>
    <row r="750" spans="1:20" ht="21.6" x14ac:dyDescent="0.3">
      <c r="A750" s="139">
        <v>2074</v>
      </c>
      <c r="B750" s="42" t="s">
        <v>20</v>
      </c>
      <c r="C750" s="43" t="s">
        <v>267</v>
      </c>
      <c r="D750" s="50">
        <v>6526</v>
      </c>
      <c r="E750" s="52" t="s">
        <v>339</v>
      </c>
      <c r="F750" s="53" t="s">
        <v>143</v>
      </c>
      <c r="G750" s="213" t="s">
        <v>340</v>
      </c>
      <c r="H750" s="45" t="s">
        <v>418</v>
      </c>
      <c r="I750" s="7" t="s">
        <v>22</v>
      </c>
      <c r="J750" s="3">
        <v>0.7</v>
      </c>
      <c r="K750" s="1" t="s">
        <v>305</v>
      </c>
      <c r="L750" s="8" t="s">
        <v>257</v>
      </c>
      <c r="M750" s="13" t="s">
        <v>306</v>
      </c>
      <c r="N750" s="3">
        <v>0.95</v>
      </c>
      <c r="O750" s="3">
        <v>0.1</v>
      </c>
      <c r="P750" s="3"/>
      <c r="Q750" s="3">
        <f t="shared" si="31"/>
        <v>0</v>
      </c>
      <c r="R750" s="4">
        <f t="shared" si="32"/>
        <v>0</v>
      </c>
      <c r="S750" s="3" t="s">
        <v>23</v>
      </c>
      <c r="T750" s="195"/>
    </row>
    <row r="751" spans="1:20" ht="21.6" x14ac:dyDescent="0.3">
      <c r="A751" s="139">
        <v>2075</v>
      </c>
      <c r="B751" s="42" t="s">
        <v>20</v>
      </c>
      <c r="C751" s="43" t="s">
        <v>267</v>
      </c>
      <c r="D751" s="50">
        <v>6526</v>
      </c>
      <c r="E751" s="52" t="s">
        <v>339</v>
      </c>
      <c r="F751" s="53" t="s">
        <v>143</v>
      </c>
      <c r="G751" s="213" t="s">
        <v>340</v>
      </c>
      <c r="H751" s="45" t="s">
        <v>418</v>
      </c>
      <c r="I751" s="47" t="s">
        <v>22</v>
      </c>
      <c r="J751" s="3">
        <v>0.7</v>
      </c>
      <c r="K751" s="49" t="s">
        <v>129</v>
      </c>
      <c r="L751" s="30" t="s">
        <v>130</v>
      </c>
      <c r="M751" s="47" t="s">
        <v>131</v>
      </c>
      <c r="N751" s="3">
        <v>0.9</v>
      </c>
      <c r="O751" s="10">
        <v>0.2</v>
      </c>
      <c r="P751" s="3"/>
      <c r="Q751" s="3">
        <f t="shared" si="31"/>
        <v>0</v>
      </c>
      <c r="R751" s="48">
        <f t="shared" si="32"/>
        <v>0</v>
      </c>
      <c r="S751" s="10" t="s">
        <v>23</v>
      </c>
      <c r="T751" s="193"/>
    </row>
    <row r="752" spans="1:20" ht="21.6" x14ac:dyDescent="0.3">
      <c r="A752" s="139">
        <v>2076</v>
      </c>
      <c r="B752" s="42" t="s">
        <v>20</v>
      </c>
      <c r="C752" s="43" t="s">
        <v>267</v>
      </c>
      <c r="D752" s="50">
        <v>6526</v>
      </c>
      <c r="E752" s="52" t="s">
        <v>339</v>
      </c>
      <c r="F752" s="53" t="s">
        <v>143</v>
      </c>
      <c r="G752" s="213" t="s">
        <v>340</v>
      </c>
      <c r="H752" s="45" t="s">
        <v>418</v>
      </c>
      <c r="I752" s="47" t="s">
        <v>22</v>
      </c>
      <c r="J752" s="3">
        <v>0.7</v>
      </c>
      <c r="K752" s="49" t="s">
        <v>132</v>
      </c>
      <c r="L752" s="30" t="s">
        <v>133</v>
      </c>
      <c r="M752" s="47" t="s">
        <v>134</v>
      </c>
      <c r="N752" s="4">
        <v>0</v>
      </c>
      <c r="O752" s="10">
        <v>0.1</v>
      </c>
      <c r="P752" s="3"/>
      <c r="Q752" s="3">
        <f t="shared" si="31"/>
        <v>0</v>
      </c>
      <c r="R752" s="48">
        <f t="shared" si="32"/>
        <v>0</v>
      </c>
      <c r="S752" s="10" t="s">
        <v>24</v>
      </c>
      <c r="T752" s="193"/>
    </row>
    <row r="753" spans="1:20" ht="21.6" x14ac:dyDescent="0.3">
      <c r="A753" s="139">
        <v>2077</v>
      </c>
      <c r="B753" s="42" t="s">
        <v>20</v>
      </c>
      <c r="C753" s="43" t="s">
        <v>267</v>
      </c>
      <c r="D753" s="50">
        <v>6526</v>
      </c>
      <c r="E753" s="52" t="s">
        <v>339</v>
      </c>
      <c r="F753" s="53" t="s">
        <v>143</v>
      </c>
      <c r="G753" s="213" t="s">
        <v>340</v>
      </c>
      <c r="H753" s="45" t="s">
        <v>418</v>
      </c>
      <c r="I753" s="47" t="s">
        <v>22</v>
      </c>
      <c r="J753" s="3">
        <v>0.7</v>
      </c>
      <c r="K753" s="49" t="s">
        <v>135</v>
      </c>
      <c r="L753" s="30" t="s">
        <v>136</v>
      </c>
      <c r="M753" s="49" t="s">
        <v>137</v>
      </c>
      <c r="N753" s="3">
        <v>0.9</v>
      </c>
      <c r="O753" s="10">
        <v>0.2</v>
      </c>
      <c r="P753" s="3"/>
      <c r="Q753" s="3">
        <f t="shared" si="31"/>
        <v>0</v>
      </c>
      <c r="R753" s="48">
        <f t="shared" si="32"/>
        <v>0</v>
      </c>
      <c r="S753" s="10" t="s">
        <v>23</v>
      </c>
      <c r="T753" s="193"/>
    </row>
    <row r="754" spans="1:20" ht="22.2" thickBot="1" x14ac:dyDescent="0.35">
      <c r="A754" s="142">
        <v>2078</v>
      </c>
      <c r="B754" s="81" t="s">
        <v>20</v>
      </c>
      <c r="C754" s="82" t="s">
        <v>267</v>
      </c>
      <c r="D754" s="113">
        <v>6526</v>
      </c>
      <c r="E754" s="118" t="s">
        <v>339</v>
      </c>
      <c r="F754" s="119" t="s">
        <v>143</v>
      </c>
      <c r="G754" s="214" t="s">
        <v>340</v>
      </c>
      <c r="H754" s="84" t="s">
        <v>418</v>
      </c>
      <c r="I754" s="85" t="s">
        <v>26</v>
      </c>
      <c r="J754" s="86">
        <v>0.3</v>
      </c>
      <c r="K754" s="115" t="s">
        <v>138</v>
      </c>
      <c r="L754" s="114" t="s">
        <v>139</v>
      </c>
      <c r="M754" s="115" t="s">
        <v>140</v>
      </c>
      <c r="N754" s="86">
        <v>1</v>
      </c>
      <c r="O754" s="91">
        <v>1</v>
      </c>
      <c r="P754" s="86"/>
      <c r="Q754" s="86">
        <f t="shared" si="31"/>
        <v>0</v>
      </c>
      <c r="R754" s="104">
        <f t="shared" si="32"/>
        <v>0</v>
      </c>
      <c r="S754" s="91" t="s">
        <v>23</v>
      </c>
      <c r="T754" s="147"/>
    </row>
    <row r="755" spans="1:20" ht="21.6" x14ac:dyDescent="0.3">
      <c r="A755" s="144">
        <v>2070</v>
      </c>
      <c r="B755" s="64" t="s">
        <v>20</v>
      </c>
      <c r="C755" s="65" t="s">
        <v>267</v>
      </c>
      <c r="D755" s="66" t="s">
        <v>237</v>
      </c>
      <c r="E755" s="64" t="s">
        <v>238</v>
      </c>
      <c r="F755" s="64" t="s">
        <v>143</v>
      </c>
      <c r="G755" s="210" t="s">
        <v>29</v>
      </c>
      <c r="H755" s="67" t="s">
        <v>422</v>
      </c>
      <c r="I755" s="98" t="s">
        <v>22</v>
      </c>
      <c r="J755" s="69">
        <v>0.7</v>
      </c>
      <c r="K755" s="101" t="s">
        <v>513</v>
      </c>
      <c r="L755" s="105" t="s">
        <v>511</v>
      </c>
      <c r="M755" s="101" t="s">
        <v>411</v>
      </c>
      <c r="N755" s="69">
        <v>0.95</v>
      </c>
      <c r="O755" s="69">
        <v>0.15</v>
      </c>
      <c r="P755" s="168"/>
      <c r="Q755" s="69">
        <f t="shared" si="31"/>
        <v>0</v>
      </c>
      <c r="R755" s="100">
        <f t="shared" si="32"/>
        <v>0</v>
      </c>
      <c r="S755" s="69" t="s">
        <v>23</v>
      </c>
      <c r="T755" s="192">
        <f>SUM(R755:R762)%</f>
        <v>0</v>
      </c>
    </row>
    <row r="756" spans="1:20" ht="21.6" x14ac:dyDescent="0.3">
      <c r="A756" s="139">
        <v>2072</v>
      </c>
      <c r="B756" s="42" t="s">
        <v>20</v>
      </c>
      <c r="C756" s="43" t="s">
        <v>267</v>
      </c>
      <c r="D756" s="44" t="s">
        <v>237</v>
      </c>
      <c r="E756" s="42" t="s">
        <v>238</v>
      </c>
      <c r="F756" s="42" t="s">
        <v>143</v>
      </c>
      <c r="G756" s="207" t="s">
        <v>29</v>
      </c>
      <c r="H756" s="45" t="s">
        <v>422</v>
      </c>
      <c r="I756" s="7" t="s">
        <v>22</v>
      </c>
      <c r="J756" s="3">
        <v>0.7</v>
      </c>
      <c r="K756" s="1" t="s">
        <v>124</v>
      </c>
      <c r="L756" s="8" t="s">
        <v>125</v>
      </c>
      <c r="M756" s="7" t="s">
        <v>126</v>
      </c>
      <c r="N756" s="3">
        <v>0.95</v>
      </c>
      <c r="O756" s="3">
        <v>0.15</v>
      </c>
      <c r="P756" s="6"/>
      <c r="Q756" s="3">
        <f t="shared" ref="Q756:Q819" si="33">ROUND(IF(OR(N756="",P756=""),0,IF(AND(N756=0,P756=0),1,IF(S756="+",P756/N756,N756/P756))),2)</f>
        <v>0</v>
      </c>
      <c r="R756" s="4">
        <f t="shared" si="32"/>
        <v>0</v>
      </c>
      <c r="S756" s="3" t="s">
        <v>23</v>
      </c>
      <c r="T756" s="195"/>
    </row>
    <row r="757" spans="1:20" ht="21.6" x14ac:dyDescent="0.3">
      <c r="A757" s="139">
        <v>2073</v>
      </c>
      <c r="B757" s="42" t="s">
        <v>20</v>
      </c>
      <c r="C757" s="43" t="s">
        <v>267</v>
      </c>
      <c r="D757" s="44" t="s">
        <v>237</v>
      </c>
      <c r="E757" s="42" t="s">
        <v>238</v>
      </c>
      <c r="F757" s="42" t="s">
        <v>143</v>
      </c>
      <c r="G757" s="207" t="s">
        <v>29</v>
      </c>
      <c r="H757" s="45" t="s">
        <v>422</v>
      </c>
      <c r="I757" s="7" t="s">
        <v>22</v>
      </c>
      <c r="J757" s="3">
        <v>0.7</v>
      </c>
      <c r="K757" s="1" t="s">
        <v>51</v>
      </c>
      <c r="L757" s="8" t="s">
        <v>127</v>
      </c>
      <c r="M757" s="7" t="s">
        <v>128</v>
      </c>
      <c r="N757" s="6">
        <v>0.05</v>
      </c>
      <c r="O757" s="3">
        <v>0.1</v>
      </c>
      <c r="P757" s="11"/>
      <c r="Q757" s="3">
        <f t="shared" si="33"/>
        <v>0</v>
      </c>
      <c r="R757" s="4">
        <f t="shared" si="32"/>
        <v>0</v>
      </c>
      <c r="S757" s="3" t="s">
        <v>24</v>
      </c>
      <c r="T757" s="195"/>
    </row>
    <row r="758" spans="1:20" ht="21.6" x14ac:dyDescent="0.3">
      <c r="A758" s="139">
        <v>2074</v>
      </c>
      <c r="B758" s="42" t="s">
        <v>20</v>
      </c>
      <c r="C758" s="43" t="s">
        <v>267</v>
      </c>
      <c r="D758" s="44" t="s">
        <v>237</v>
      </c>
      <c r="E758" s="42" t="s">
        <v>238</v>
      </c>
      <c r="F758" s="42" t="s">
        <v>143</v>
      </c>
      <c r="G758" s="207" t="s">
        <v>29</v>
      </c>
      <c r="H758" s="45" t="s">
        <v>422</v>
      </c>
      <c r="I758" s="7" t="s">
        <v>22</v>
      </c>
      <c r="J758" s="3">
        <v>0.7</v>
      </c>
      <c r="K758" s="1" t="s">
        <v>305</v>
      </c>
      <c r="L758" s="8" t="s">
        <v>257</v>
      </c>
      <c r="M758" s="13" t="s">
        <v>306</v>
      </c>
      <c r="N758" s="3">
        <v>0.95</v>
      </c>
      <c r="O758" s="3">
        <v>0.1</v>
      </c>
      <c r="P758" s="3"/>
      <c r="Q758" s="3">
        <f t="shared" si="33"/>
        <v>0</v>
      </c>
      <c r="R758" s="4">
        <f t="shared" si="32"/>
        <v>0</v>
      </c>
      <c r="S758" s="3" t="s">
        <v>23</v>
      </c>
      <c r="T758" s="195"/>
    </row>
    <row r="759" spans="1:20" ht="21.6" x14ac:dyDescent="0.3">
      <c r="A759" s="139">
        <v>2075</v>
      </c>
      <c r="B759" s="42" t="s">
        <v>20</v>
      </c>
      <c r="C759" s="43" t="s">
        <v>267</v>
      </c>
      <c r="D759" s="44" t="s">
        <v>237</v>
      </c>
      <c r="E759" s="42" t="s">
        <v>238</v>
      </c>
      <c r="F759" s="42" t="s">
        <v>143</v>
      </c>
      <c r="G759" s="207" t="s">
        <v>29</v>
      </c>
      <c r="H759" s="45" t="s">
        <v>422</v>
      </c>
      <c r="I759" s="47" t="s">
        <v>22</v>
      </c>
      <c r="J759" s="3">
        <v>0.7</v>
      </c>
      <c r="K759" s="49" t="s">
        <v>129</v>
      </c>
      <c r="L759" s="30" t="s">
        <v>130</v>
      </c>
      <c r="M759" s="47" t="s">
        <v>131</v>
      </c>
      <c r="N759" s="3">
        <v>0.9</v>
      </c>
      <c r="O759" s="10">
        <v>0.2</v>
      </c>
      <c r="P759" s="3"/>
      <c r="Q759" s="3">
        <f t="shared" si="33"/>
        <v>0</v>
      </c>
      <c r="R759" s="48">
        <f t="shared" si="32"/>
        <v>0</v>
      </c>
      <c r="S759" s="10" t="s">
        <v>23</v>
      </c>
      <c r="T759" s="193"/>
    </row>
    <row r="760" spans="1:20" ht="21.6" x14ac:dyDescent="0.3">
      <c r="A760" s="139">
        <v>2076</v>
      </c>
      <c r="B760" s="42" t="s">
        <v>20</v>
      </c>
      <c r="C760" s="43" t="s">
        <v>267</v>
      </c>
      <c r="D760" s="44" t="s">
        <v>237</v>
      </c>
      <c r="E760" s="42" t="s">
        <v>238</v>
      </c>
      <c r="F760" s="42" t="s">
        <v>143</v>
      </c>
      <c r="G760" s="207" t="s">
        <v>29</v>
      </c>
      <c r="H760" s="45" t="s">
        <v>422</v>
      </c>
      <c r="I760" s="47" t="s">
        <v>22</v>
      </c>
      <c r="J760" s="3">
        <v>0.7</v>
      </c>
      <c r="K760" s="49" t="s">
        <v>132</v>
      </c>
      <c r="L760" s="30" t="s">
        <v>133</v>
      </c>
      <c r="M760" s="47" t="s">
        <v>134</v>
      </c>
      <c r="N760" s="4">
        <v>0</v>
      </c>
      <c r="O760" s="10">
        <v>0.1</v>
      </c>
      <c r="P760" s="3"/>
      <c r="Q760" s="3">
        <f t="shared" si="33"/>
        <v>0</v>
      </c>
      <c r="R760" s="48">
        <f t="shared" si="32"/>
        <v>0</v>
      </c>
      <c r="S760" s="10" t="s">
        <v>24</v>
      </c>
      <c r="T760" s="193"/>
    </row>
    <row r="761" spans="1:20" ht="21.6" x14ac:dyDescent="0.3">
      <c r="A761" s="139">
        <v>2077</v>
      </c>
      <c r="B761" s="42" t="s">
        <v>20</v>
      </c>
      <c r="C761" s="43" t="s">
        <v>267</v>
      </c>
      <c r="D761" s="44" t="s">
        <v>237</v>
      </c>
      <c r="E761" s="42" t="s">
        <v>238</v>
      </c>
      <c r="F761" s="42" t="s">
        <v>143</v>
      </c>
      <c r="G761" s="207" t="s">
        <v>29</v>
      </c>
      <c r="H761" s="45" t="s">
        <v>422</v>
      </c>
      <c r="I761" s="47" t="s">
        <v>22</v>
      </c>
      <c r="J761" s="3">
        <v>0.7</v>
      </c>
      <c r="K761" s="49" t="s">
        <v>135</v>
      </c>
      <c r="L761" s="30" t="s">
        <v>136</v>
      </c>
      <c r="M761" s="49" t="s">
        <v>137</v>
      </c>
      <c r="N761" s="3">
        <v>0.9</v>
      </c>
      <c r="O761" s="10">
        <v>0.2</v>
      </c>
      <c r="P761" s="51"/>
      <c r="Q761" s="3">
        <f t="shared" si="33"/>
        <v>0</v>
      </c>
      <c r="R761" s="48">
        <f t="shared" si="32"/>
        <v>0</v>
      </c>
      <c r="S761" s="10" t="s">
        <v>23</v>
      </c>
      <c r="T761" s="193"/>
    </row>
    <row r="762" spans="1:20" ht="22.2" thickBot="1" x14ac:dyDescent="0.35">
      <c r="A762" s="142">
        <v>2078</v>
      </c>
      <c r="B762" s="81" t="s">
        <v>20</v>
      </c>
      <c r="C762" s="82" t="s">
        <v>267</v>
      </c>
      <c r="D762" s="83" t="s">
        <v>237</v>
      </c>
      <c r="E762" s="81" t="s">
        <v>238</v>
      </c>
      <c r="F762" s="81" t="s">
        <v>143</v>
      </c>
      <c r="G762" s="209" t="s">
        <v>29</v>
      </c>
      <c r="H762" s="84" t="s">
        <v>422</v>
      </c>
      <c r="I762" s="85" t="s">
        <v>26</v>
      </c>
      <c r="J762" s="86">
        <v>0.3</v>
      </c>
      <c r="K762" s="115" t="s">
        <v>138</v>
      </c>
      <c r="L762" s="114" t="s">
        <v>139</v>
      </c>
      <c r="M762" s="115" t="s">
        <v>140</v>
      </c>
      <c r="N762" s="86">
        <v>1</v>
      </c>
      <c r="O762" s="91">
        <v>1</v>
      </c>
      <c r="P762" s="86"/>
      <c r="Q762" s="86">
        <f t="shared" si="33"/>
        <v>0</v>
      </c>
      <c r="R762" s="104">
        <f t="shared" si="32"/>
        <v>0</v>
      </c>
      <c r="S762" s="91" t="s">
        <v>23</v>
      </c>
      <c r="T762" s="147"/>
    </row>
    <row r="763" spans="1:20" ht="21.6" x14ac:dyDescent="0.3">
      <c r="A763" s="144">
        <v>2079</v>
      </c>
      <c r="B763" s="64" t="s">
        <v>20</v>
      </c>
      <c r="C763" s="65" t="s">
        <v>267</v>
      </c>
      <c r="D763" s="66" t="s">
        <v>239</v>
      </c>
      <c r="E763" s="64" t="s">
        <v>240</v>
      </c>
      <c r="F763" s="64" t="s">
        <v>143</v>
      </c>
      <c r="G763" s="210" t="s">
        <v>29</v>
      </c>
      <c r="H763" s="67" t="s">
        <v>422</v>
      </c>
      <c r="I763" s="98" t="s">
        <v>22</v>
      </c>
      <c r="J763" s="69">
        <v>0.7</v>
      </c>
      <c r="K763" s="101" t="s">
        <v>513</v>
      </c>
      <c r="L763" s="105" t="s">
        <v>511</v>
      </c>
      <c r="M763" s="101" t="s">
        <v>411</v>
      </c>
      <c r="N763" s="69">
        <v>0.95</v>
      </c>
      <c r="O763" s="69">
        <v>0.15</v>
      </c>
      <c r="P763" s="69"/>
      <c r="Q763" s="69">
        <f t="shared" si="33"/>
        <v>0</v>
      </c>
      <c r="R763" s="100">
        <f t="shared" si="32"/>
        <v>0</v>
      </c>
      <c r="S763" s="69" t="s">
        <v>23</v>
      </c>
      <c r="T763" s="192">
        <f>SUM(R763:R770)%</f>
        <v>0</v>
      </c>
    </row>
    <row r="764" spans="1:20" ht="21.6" x14ac:dyDescent="0.3">
      <c r="A764" s="139">
        <v>2081</v>
      </c>
      <c r="B764" s="42" t="s">
        <v>20</v>
      </c>
      <c r="C764" s="43" t="s">
        <v>267</v>
      </c>
      <c r="D764" s="44" t="s">
        <v>239</v>
      </c>
      <c r="E764" s="42" t="s">
        <v>240</v>
      </c>
      <c r="F764" s="42" t="s">
        <v>143</v>
      </c>
      <c r="G764" s="207" t="s">
        <v>29</v>
      </c>
      <c r="H764" s="45" t="s">
        <v>422</v>
      </c>
      <c r="I764" s="7" t="s">
        <v>22</v>
      </c>
      <c r="J764" s="3">
        <v>0.7</v>
      </c>
      <c r="K764" s="1" t="s">
        <v>124</v>
      </c>
      <c r="L764" s="8" t="s">
        <v>125</v>
      </c>
      <c r="M764" s="7" t="s">
        <v>126</v>
      </c>
      <c r="N764" s="3">
        <v>0.95</v>
      </c>
      <c r="O764" s="3">
        <v>0.15</v>
      </c>
      <c r="P764" s="6"/>
      <c r="Q764" s="3">
        <f t="shared" si="33"/>
        <v>0</v>
      </c>
      <c r="R764" s="4">
        <f t="shared" si="32"/>
        <v>0</v>
      </c>
      <c r="S764" s="3" t="s">
        <v>23</v>
      </c>
      <c r="T764" s="195"/>
    </row>
    <row r="765" spans="1:20" ht="21.6" x14ac:dyDescent="0.3">
      <c r="A765" s="139">
        <v>2082</v>
      </c>
      <c r="B765" s="42" t="s">
        <v>20</v>
      </c>
      <c r="C765" s="43" t="s">
        <v>267</v>
      </c>
      <c r="D765" s="44" t="s">
        <v>239</v>
      </c>
      <c r="E765" s="42" t="s">
        <v>240</v>
      </c>
      <c r="F765" s="42" t="s">
        <v>143</v>
      </c>
      <c r="G765" s="207" t="s">
        <v>29</v>
      </c>
      <c r="H765" s="45" t="s">
        <v>422</v>
      </c>
      <c r="I765" s="7" t="s">
        <v>22</v>
      </c>
      <c r="J765" s="3">
        <v>0.7</v>
      </c>
      <c r="K765" s="1" t="s">
        <v>51</v>
      </c>
      <c r="L765" s="8" t="s">
        <v>127</v>
      </c>
      <c r="M765" s="7" t="s">
        <v>128</v>
      </c>
      <c r="N765" s="6">
        <v>0.05</v>
      </c>
      <c r="O765" s="3">
        <v>0.1</v>
      </c>
      <c r="P765" s="11"/>
      <c r="Q765" s="3">
        <f t="shared" si="33"/>
        <v>0</v>
      </c>
      <c r="R765" s="4">
        <f t="shared" si="32"/>
        <v>0</v>
      </c>
      <c r="S765" s="3" t="s">
        <v>24</v>
      </c>
      <c r="T765" s="195"/>
    </row>
    <row r="766" spans="1:20" ht="21.6" x14ac:dyDescent="0.3">
      <c r="A766" s="139">
        <v>2083</v>
      </c>
      <c r="B766" s="42" t="s">
        <v>20</v>
      </c>
      <c r="C766" s="43" t="s">
        <v>267</v>
      </c>
      <c r="D766" s="44" t="s">
        <v>239</v>
      </c>
      <c r="E766" s="42" t="s">
        <v>240</v>
      </c>
      <c r="F766" s="42" t="s">
        <v>143</v>
      </c>
      <c r="G766" s="207" t="s">
        <v>29</v>
      </c>
      <c r="H766" s="45" t="s">
        <v>422</v>
      </c>
      <c r="I766" s="7" t="s">
        <v>22</v>
      </c>
      <c r="J766" s="3">
        <v>0.7</v>
      </c>
      <c r="K766" s="1" t="s">
        <v>305</v>
      </c>
      <c r="L766" s="8" t="s">
        <v>257</v>
      </c>
      <c r="M766" s="13" t="s">
        <v>306</v>
      </c>
      <c r="N766" s="3">
        <v>0.95</v>
      </c>
      <c r="O766" s="3">
        <v>0.1</v>
      </c>
      <c r="P766" s="3"/>
      <c r="Q766" s="3">
        <f t="shared" si="33"/>
        <v>0</v>
      </c>
      <c r="R766" s="4">
        <f t="shared" si="32"/>
        <v>0</v>
      </c>
      <c r="S766" s="3" t="s">
        <v>23</v>
      </c>
      <c r="T766" s="195"/>
    </row>
    <row r="767" spans="1:20" ht="21.6" x14ac:dyDescent="0.3">
      <c r="A767" s="139">
        <v>2084</v>
      </c>
      <c r="B767" s="42" t="s">
        <v>20</v>
      </c>
      <c r="C767" s="43" t="s">
        <v>267</v>
      </c>
      <c r="D767" s="44" t="s">
        <v>239</v>
      </c>
      <c r="E767" s="42" t="s">
        <v>240</v>
      </c>
      <c r="F767" s="42" t="s">
        <v>143</v>
      </c>
      <c r="G767" s="207" t="s">
        <v>29</v>
      </c>
      <c r="H767" s="45" t="s">
        <v>422</v>
      </c>
      <c r="I767" s="47" t="s">
        <v>22</v>
      </c>
      <c r="J767" s="3">
        <v>0.7</v>
      </c>
      <c r="K767" s="49" t="s">
        <v>129</v>
      </c>
      <c r="L767" s="30" t="s">
        <v>130</v>
      </c>
      <c r="M767" s="47" t="s">
        <v>131</v>
      </c>
      <c r="N767" s="3">
        <v>0.9</v>
      </c>
      <c r="O767" s="10">
        <v>0.2</v>
      </c>
      <c r="P767" s="3"/>
      <c r="Q767" s="3">
        <f t="shared" si="33"/>
        <v>0</v>
      </c>
      <c r="R767" s="48">
        <f t="shared" si="32"/>
        <v>0</v>
      </c>
      <c r="S767" s="10" t="s">
        <v>23</v>
      </c>
      <c r="T767" s="193"/>
    </row>
    <row r="768" spans="1:20" ht="21.6" x14ac:dyDescent="0.3">
      <c r="A768" s="139">
        <v>2085</v>
      </c>
      <c r="B768" s="42" t="s">
        <v>20</v>
      </c>
      <c r="C768" s="43" t="s">
        <v>267</v>
      </c>
      <c r="D768" s="44" t="s">
        <v>239</v>
      </c>
      <c r="E768" s="42" t="s">
        <v>240</v>
      </c>
      <c r="F768" s="42" t="s">
        <v>143</v>
      </c>
      <c r="G768" s="207" t="s">
        <v>29</v>
      </c>
      <c r="H768" s="45" t="s">
        <v>422</v>
      </c>
      <c r="I768" s="47" t="s">
        <v>22</v>
      </c>
      <c r="J768" s="3">
        <v>0.7</v>
      </c>
      <c r="K768" s="49" t="s">
        <v>132</v>
      </c>
      <c r="L768" s="30" t="s">
        <v>133</v>
      </c>
      <c r="M768" s="47" t="s">
        <v>134</v>
      </c>
      <c r="N768" s="4">
        <v>0</v>
      </c>
      <c r="O768" s="10">
        <v>0.1</v>
      </c>
      <c r="P768" s="3"/>
      <c r="Q768" s="3">
        <f t="shared" si="33"/>
        <v>0</v>
      </c>
      <c r="R768" s="48">
        <f t="shared" si="32"/>
        <v>0</v>
      </c>
      <c r="S768" s="10" t="s">
        <v>24</v>
      </c>
      <c r="T768" s="193"/>
    </row>
    <row r="769" spans="1:20" ht="21.6" x14ac:dyDescent="0.3">
      <c r="A769" s="139">
        <v>2086</v>
      </c>
      <c r="B769" s="42" t="s">
        <v>20</v>
      </c>
      <c r="C769" s="43" t="s">
        <v>267</v>
      </c>
      <c r="D769" s="44" t="s">
        <v>239</v>
      </c>
      <c r="E769" s="42" t="s">
        <v>240</v>
      </c>
      <c r="F769" s="42" t="s">
        <v>143</v>
      </c>
      <c r="G769" s="207" t="s">
        <v>29</v>
      </c>
      <c r="H769" s="45" t="s">
        <v>422</v>
      </c>
      <c r="I769" s="47" t="s">
        <v>22</v>
      </c>
      <c r="J769" s="3">
        <v>0.7</v>
      </c>
      <c r="K769" s="49" t="s">
        <v>135</v>
      </c>
      <c r="L769" s="30" t="s">
        <v>136</v>
      </c>
      <c r="M769" s="49" t="s">
        <v>137</v>
      </c>
      <c r="N769" s="3">
        <v>0.9</v>
      </c>
      <c r="O769" s="10">
        <v>0.2</v>
      </c>
      <c r="P769" s="51"/>
      <c r="Q769" s="3">
        <f t="shared" si="33"/>
        <v>0</v>
      </c>
      <c r="R769" s="48">
        <f t="shared" si="32"/>
        <v>0</v>
      </c>
      <c r="S769" s="10" t="s">
        <v>23</v>
      </c>
      <c r="T769" s="193"/>
    </row>
    <row r="770" spans="1:20" ht="22.2" thickBot="1" x14ac:dyDescent="0.35">
      <c r="A770" s="142">
        <v>2087</v>
      </c>
      <c r="B770" s="81" t="s">
        <v>20</v>
      </c>
      <c r="C770" s="82" t="s">
        <v>267</v>
      </c>
      <c r="D770" s="83" t="s">
        <v>239</v>
      </c>
      <c r="E770" s="81" t="s">
        <v>240</v>
      </c>
      <c r="F770" s="81" t="s">
        <v>143</v>
      </c>
      <c r="G770" s="209" t="s">
        <v>29</v>
      </c>
      <c r="H770" s="84" t="s">
        <v>422</v>
      </c>
      <c r="I770" s="85" t="s">
        <v>26</v>
      </c>
      <c r="J770" s="86">
        <v>0.3</v>
      </c>
      <c r="K770" s="115" t="s">
        <v>138</v>
      </c>
      <c r="L770" s="114" t="s">
        <v>139</v>
      </c>
      <c r="M770" s="115" t="s">
        <v>140</v>
      </c>
      <c r="N770" s="86">
        <v>1</v>
      </c>
      <c r="O770" s="91">
        <v>1</v>
      </c>
      <c r="P770" s="86"/>
      <c r="Q770" s="86">
        <f t="shared" si="33"/>
        <v>0</v>
      </c>
      <c r="R770" s="104">
        <f t="shared" si="32"/>
        <v>0</v>
      </c>
      <c r="S770" s="91" t="s">
        <v>23</v>
      </c>
      <c r="T770" s="147"/>
    </row>
    <row r="771" spans="1:20" ht="21.6" x14ac:dyDescent="0.3">
      <c r="A771" s="144">
        <v>2088</v>
      </c>
      <c r="B771" s="64" t="s">
        <v>20</v>
      </c>
      <c r="C771" s="65" t="s">
        <v>267</v>
      </c>
      <c r="D771" s="66" t="s">
        <v>241</v>
      </c>
      <c r="E771" s="64" t="s">
        <v>242</v>
      </c>
      <c r="F771" s="64" t="s">
        <v>145</v>
      </c>
      <c r="G771" s="210" t="s">
        <v>29</v>
      </c>
      <c r="H771" s="67" t="s">
        <v>422</v>
      </c>
      <c r="I771" s="98" t="s">
        <v>22</v>
      </c>
      <c r="J771" s="69">
        <v>0.7</v>
      </c>
      <c r="K771" s="101" t="s">
        <v>513</v>
      </c>
      <c r="L771" s="105" t="s">
        <v>511</v>
      </c>
      <c r="M771" s="101" t="s">
        <v>411</v>
      </c>
      <c r="N771" s="69">
        <v>0.95</v>
      </c>
      <c r="O771" s="69">
        <v>0.15</v>
      </c>
      <c r="P771" s="69"/>
      <c r="Q771" s="69">
        <f t="shared" si="33"/>
        <v>0</v>
      </c>
      <c r="R771" s="100">
        <f t="shared" si="32"/>
        <v>0</v>
      </c>
      <c r="S771" s="69" t="s">
        <v>23</v>
      </c>
      <c r="T771" s="192">
        <f>SUM(R771:R778)%</f>
        <v>0</v>
      </c>
    </row>
    <row r="772" spans="1:20" ht="21.6" x14ac:dyDescent="0.3">
      <c r="A772" s="139">
        <v>2090</v>
      </c>
      <c r="B772" s="42" t="s">
        <v>20</v>
      </c>
      <c r="C772" s="43" t="s">
        <v>267</v>
      </c>
      <c r="D772" s="44" t="s">
        <v>241</v>
      </c>
      <c r="E772" s="42" t="s">
        <v>242</v>
      </c>
      <c r="F772" s="42" t="s">
        <v>145</v>
      </c>
      <c r="G772" s="207" t="s">
        <v>29</v>
      </c>
      <c r="H772" s="45" t="s">
        <v>422</v>
      </c>
      <c r="I772" s="7" t="s">
        <v>22</v>
      </c>
      <c r="J772" s="3">
        <v>0.7</v>
      </c>
      <c r="K772" s="1" t="s">
        <v>124</v>
      </c>
      <c r="L772" s="8" t="s">
        <v>125</v>
      </c>
      <c r="M772" s="7" t="s">
        <v>126</v>
      </c>
      <c r="N772" s="3">
        <v>0.95</v>
      </c>
      <c r="O772" s="3">
        <v>0.15</v>
      </c>
      <c r="P772" s="6"/>
      <c r="Q772" s="3">
        <f t="shared" si="33"/>
        <v>0</v>
      </c>
      <c r="R772" s="4">
        <f t="shared" si="32"/>
        <v>0</v>
      </c>
      <c r="S772" s="3" t="s">
        <v>23</v>
      </c>
      <c r="T772" s="195"/>
    </row>
    <row r="773" spans="1:20" ht="21.6" x14ac:dyDescent="0.3">
      <c r="A773" s="139">
        <v>2091</v>
      </c>
      <c r="B773" s="42" t="s">
        <v>20</v>
      </c>
      <c r="C773" s="43" t="s">
        <v>267</v>
      </c>
      <c r="D773" s="44" t="s">
        <v>241</v>
      </c>
      <c r="E773" s="42" t="s">
        <v>242</v>
      </c>
      <c r="F773" s="42" t="s">
        <v>145</v>
      </c>
      <c r="G773" s="207" t="s">
        <v>29</v>
      </c>
      <c r="H773" s="45" t="s">
        <v>422</v>
      </c>
      <c r="I773" s="7" t="s">
        <v>22</v>
      </c>
      <c r="J773" s="3">
        <v>0.7</v>
      </c>
      <c r="K773" s="1" t="s">
        <v>51</v>
      </c>
      <c r="L773" s="8" t="s">
        <v>127</v>
      </c>
      <c r="M773" s="7" t="s">
        <v>128</v>
      </c>
      <c r="N773" s="6">
        <v>0.05</v>
      </c>
      <c r="O773" s="3">
        <v>0.1</v>
      </c>
      <c r="P773" s="11"/>
      <c r="Q773" s="3">
        <f t="shared" si="33"/>
        <v>0</v>
      </c>
      <c r="R773" s="4">
        <f t="shared" si="32"/>
        <v>0</v>
      </c>
      <c r="S773" s="3" t="s">
        <v>24</v>
      </c>
      <c r="T773" s="195"/>
    </row>
    <row r="774" spans="1:20" ht="21.6" x14ac:dyDescent="0.3">
      <c r="A774" s="139">
        <v>2092</v>
      </c>
      <c r="B774" s="42" t="s">
        <v>20</v>
      </c>
      <c r="C774" s="43" t="s">
        <v>267</v>
      </c>
      <c r="D774" s="44" t="s">
        <v>241</v>
      </c>
      <c r="E774" s="42" t="s">
        <v>242</v>
      </c>
      <c r="F774" s="42" t="s">
        <v>145</v>
      </c>
      <c r="G774" s="207" t="s">
        <v>29</v>
      </c>
      <c r="H774" s="45" t="s">
        <v>422</v>
      </c>
      <c r="I774" s="7" t="s">
        <v>22</v>
      </c>
      <c r="J774" s="3">
        <v>0.7</v>
      </c>
      <c r="K774" s="1" t="s">
        <v>305</v>
      </c>
      <c r="L774" s="8" t="s">
        <v>257</v>
      </c>
      <c r="M774" s="13" t="s">
        <v>306</v>
      </c>
      <c r="N774" s="3">
        <v>0.95</v>
      </c>
      <c r="O774" s="3">
        <v>0.1</v>
      </c>
      <c r="P774" s="3"/>
      <c r="Q774" s="3">
        <f t="shared" si="33"/>
        <v>0</v>
      </c>
      <c r="R774" s="4">
        <f t="shared" si="32"/>
        <v>0</v>
      </c>
      <c r="S774" s="3" t="s">
        <v>23</v>
      </c>
      <c r="T774" s="195"/>
    </row>
    <row r="775" spans="1:20" ht="21.6" x14ac:dyDescent="0.3">
      <c r="A775" s="139">
        <v>2093</v>
      </c>
      <c r="B775" s="42" t="s">
        <v>20</v>
      </c>
      <c r="C775" s="43" t="s">
        <v>267</v>
      </c>
      <c r="D775" s="44" t="s">
        <v>241</v>
      </c>
      <c r="E775" s="42" t="s">
        <v>242</v>
      </c>
      <c r="F775" s="42" t="s">
        <v>145</v>
      </c>
      <c r="G775" s="207" t="s">
        <v>29</v>
      </c>
      <c r="H775" s="45" t="s">
        <v>422</v>
      </c>
      <c r="I775" s="47" t="s">
        <v>22</v>
      </c>
      <c r="J775" s="3">
        <v>0.7</v>
      </c>
      <c r="K775" s="49" t="s">
        <v>129</v>
      </c>
      <c r="L775" s="30" t="s">
        <v>130</v>
      </c>
      <c r="M775" s="47" t="s">
        <v>131</v>
      </c>
      <c r="N775" s="3">
        <v>0.9</v>
      </c>
      <c r="O775" s="10">
        <v>0.2</v>
      </c>
      <c r="P775" s="3"/>
      <c r="Q775" s="3">
        <f t="shared" si="33"/>
        <v>0</v>
      </c>
      <c r="R775" s="48">
        <f t="shared" si="32"/>
        <v>0</v>
      </c>
      <c r="S775" s="10" t="s">
        <v>23</v>
      </c>
      <c r="T775" s="193"/>
    </row>
    <row r="776" spans="1:20" ht="21.6" x14ac:dyDescent="0.3">
      <c r="A776" s="139">
        <v>2094</v>
      </c>
      <c r="B776" s="42" t="s">
        <v>20</v>
      </c>
      <c r="C776" s="43" t="s">
        <v>267</v>
      </c>
      <c r="D776" s="44" t="s">
        <v>241</v>
      </c>
      <c r="E776" s="42" t="s">
        <v>242</v>
      </c>
      <c r="F776" s="42" t="s">
        <v>145</v>
      </c>
      <c r="G776" s="207" t="s">
        <v>29</v>
      </c>
      <c r="H776" s="45" t="s">
        <v>422</v>
      </c>
      <c r="I776" s="47" t="s">
        <v>22</v>
      </c>
      <c r="J776" s="3">
        <v>0.7</v>
      </c>
      <c r="K776" s="49" t="s">
        <v>132</v>
      </c>
      <c r="L776" s="30" t="s">
        <v>133</v>
      </c>
      <c r="M776" s="47" t="s">
        <v>134</v>
      </c>
      <c r="N776" s="4">
        <v>0</v>
      </c>
      <c r="O776" s="10">
        <v>0.1</v>
      </c>
      <c r="P776" s="3"/>
      <c r="Q776" s="3">
        <f t="shared" si="33"/>
        <v>0</v>
      </c>
      <c r="R776" s="48">
        <f t="shared" si="32"/>
        <v>0</v>
      </c>
      <c r="S776" s="10" t="s">
        <v>24</v>
      </c>
      <c r="T776" s="193"/>
    </row>
    <row r="777" spans="1:20" ht="21.6" x14ac:dyDescent="0.3">
      <c r="A777" s="139">
        <v>2095</v>
      </c>
      <c r="B777" s="42" t="s">
        <v>20</v>
      </c>
      <c r="C777" s="43" t="s">
        <v>267</v>
      </c>
      <c r="D777" s="44" t="s">
        <v>241</v>
      </c>
      <c r="E777" s="42" t="s">
        <v>242</v>
      </c>
      <c r="F777" s="42" t="s">
        <v>145</v>
      </c>
      <c r="G777" s="207" t="s">
        <v>29</v>
      </c>
      <c r="H777" s="45" t="s">
        <v>422</v>
      </c>
      <c r="I777" s="47" t="s">
        <v>22</v>
      </c>
      <c r="J777" s="3">
        <v>0.7</v>
      </c>
      <c r="K777" s="49" t="s">
        <v>135</v>
      </c>
      <c r="L777" s="30" t="s">
        <v>136</v>
      </c>
      <c r="M777" s="49" t="s">
        <v>137</v>
      </c>
      <c r="N777" s="3">
        <v>0.9</v>
      </c>
      <c r="O777" s="10">
        <v>0.2</v>
      </c>
      <c r="P777" s="51"/>
      <c r="Q777" s="3">
        <f t="shared" si="33"/>
        <v>0</v>
      </c>
      <c r="R777" s="48">
        <f t="shared" si="32"/>
        <v>0</v>
      </c>
      <c r="S777" s="10" t="s">
        <v>23</v>
      </c>
      <c r="T777" s="193"/>
    </row>
    <row r="778" spans="1:20" ht="22.2" thickBot="1" x14ac:dyDescent="0.35">
      <c r="A778" s="142">
        <v>2096</v>
      </c>
      <c r="B778" s="81" t="s">
        <v>20</v>
      </c>
      <c r="C778" s="82" t="s">
        <v>267</v>
      </c>
      <c r="D778" s="83" t="s">
        <v>241</v>
      </c>
      <c r="E778" s="81" t="s">
        <v>242</v>
      </c>
      <c r="F778" s="81" t="s">
        <v>145</v>
      </c>
      <c r="G778" s="209" t="s">
        <v>29</v>
      </c>
      <c r="H778" s="84" t="s">
        <v>422</v>
      </c>
      <c r="I778" s="85" t="s">
        <v>26</v>
      </c>
      <c r="J778" s="86">
        <v>0.3</v>
      </c>
      <c r="K778" s="115" t="s">
        <v>138</v>
      </c>
      <c r="L778" s="114" t="s">
        <v>139</v>
      </c>
      <c r="M778" s="115" t="s">
        <v>140</v>
      </c>
      <c r="N778" s="86">
        <v>1</v>
      </c>
      <c r="O778" s="91">
        <v>1</v>
      </c>
      <c r="P778" s="86"/>
      <c r="Q778" s="86">
        <f t="shared" si="33"/>
        <v>0</v>
      </c>
      <c r="R778" s="104">
        <f t="shared" si="32"/>
        <v>0</v>
      </c>
      <c r="S778" s="91" t="s">
        <v>23</v>
      </c>
      <c r="T778" s="147"/>
    </row>
    <row r="779" spans="1:20" ht="21.6" x14ac:dyDescent="0.3">
      <c r="A779" s="144">
        <v>2097</v>
      </c>
      <c r="B779" s="64" t="s">
        <v>20</v>
      </c>
      <c r="C779" s="65" t="s">
        <v>267</v>
      </c>
      <c r="D779" s="66" t="s">
        <v>243</v>
      </c>
      <c r="E779" s="64" t="s">
        <v>244</v>
      </c>
      <c r="F779" s="64" t="s">
        <v>143</v>
      </c>
      <c r="G779" s="210" t="s">
        <v>29</v>
      </c>
      <c r="H779" s="67" t="s">
        <v>422</v>
      </c>
      <c r="I779" s="98" t="s">
        <v>22</v>
      </c>
      <c r="J779" s="69">
        <v>0.7</v>
      </c>
      <c r="K779" s="101" t="s">
        <v>513</v>
      </c>
      <c r="L779" s="105" t="s">
        <v>511</v>
      </c>
      <c r="M779" s="101" t="s">
        <v>411</v>
      </c>
      <c r="N779" s="69">
        <v>0.95</v>
      </c>
      <c r="O779" s="69">
        <v>0.15</v>
      </c>
      <c r="P779" s="69"/>
      <c r="Q779" s="69">
        <f t="shared" si="33"/>
        <v>0</v>
      </c>
      <c r="R779" s="100">
        <f t="shared" si="32"/>
        <v>0</v>
      </c>
      <c r="S779" s="69" t="s">
        <v>23</v>
      </c>
      <c r="T779" s="192">
        <f>SUM(R779:R786)%</f>
        <v>0</v>
      </c>
    </row>
    <row r="780" spans="1:20" ht="21.6" x14ac:dyDescent="0.3">
      <c r="A780" s="139">
        <v>2099</v>
      </c>
      <c r="B780" s="42" t="s">
        <v>20</v>
      </c>
      <c r="C780" s="43" t="s">
        <v>267</v>
      </c>
      <c r="D780" s="44" t="s">
        <v>243</v>
      </c>
      <c r="E780" s="42" t="s">
        <v>244</v>
      </c>
      <c r="F780" s="42" t="s">
        <v>143</v>
      </c>
      <c r="G780" s="207" t="s">
        <v>29</v>
      </c>
      <c r="H780" s="45" t="s">
        <v>422</v>
      </c>
      <c r="I780" s="7" t="s">
        <v>22</v>
      </c>
      <c r="J780" s="3">
        <v>0.7</v>
      </c>
      <c r="K780" s="1" t="s">
        <v>124</v>
      </c>
      <c r="L780" s="8" t="s">
        <v>125</v>
      </c>
      <c r="M780" s="7" t="s">
        <v>126</v>
      </c>
      <c r="N780" s="3">
        <v>0.95</v>
      </c>
      <c r="O780" s="3">
        <v>0.15</v>
      </c>
      <c r="P780" s="6"/>
      <c r="Q780" s="3">
        <f t="shared" si="33"/>
        <v>0</v>
      </c>
      <c r="R780" s="4">
        <f t="shared" si="32"/>
        <v>0</v>
      </c>
      <c r="S780" s="3" t="s">
        <v>23</v>
      </c>
      <c r="T780" s="195"/>
    </row>
    <row r="781" spans="1:20" ht="21.6" x14ac:dyDescent="0.3">
      <c r="A781" s="139">
        <v>2100</v>
      </c>
      <c r="B781" s="42" t="s">
        <v>20</v>
      </c>
      <c r="C781" s="43" t="s">
        <v>267</v>
      </c>
      <c r="D781" s="44" t="s">
        <v>243</v>
      </c>
      <c r="E781" s="42" t="s">
        <v>244</v>
      </c>
      <c r="F781" s="42" t="s">
        <v>143</v>
      </c>
      <c r="G781" s="207" t="s">
        <v>29</v>
      </c>
      <c r="H781" s="45" t="s">
        <v>422</v>
      </c>
      <c r="I781" s="7" t="s">
        <v>22</v>
      </c>
      <c r="J781" s="3">
        <v>0.7</v>
      </c>
      <c r="K781" s="1" t="s">
        <v>51</v>
      </c>
      <c r="L781" s="8" t="s">
        <v>127</v>
      </c>
      <c r="M781" s="7" t="s">
        <v>128</v>
      </c>
      <c r="N781" s="6">
        <v>0.05</v>
      </c>
      <c r="O781" s="3">
        <v>0.1</v>
      </c>
      <c r="P781" s="11"/>
      <c r="Q781" s="3">
        <f t="shared" si="33"/>
        <v>0</v>
      </c>
      <c r="R781" s="4">
        <f t="shared" ref="R781:R844" si="34">IF(AND(Q781&gt;=60%,Q781&lt;100%),Q781*((O781*J781)),IF(Q781=100%,((O781*J781)*Q781)*100%,IF(Q781&gt;100%,((J781*O781)*100%)*100%,0)))*100</f>
        <v>0</v>
      </c>
      <c r="S781" s="3" t="s">
        <v>24</v>
      </c>
      <c r="T781" s="195"/>
    </row>
    <row r="782" spans="1:20" ht="21.6" x14ac:dyDescent="0.3">
      <c r="A782" s="139">
        <v>2101</v>
      </c>
      <c r="B782" s="42" t="s">
        <v>20</v>
      </c>
      <c r="C782" s="43" t="s">
        <v>267</v>
      </c>
      <c r="D782" s="44" t="s">
        <v>243</v>
      </c>
      <c r="E782" s="42" t="s">
        <v>244</v>
      </c>
      <c r="F782" s="42" t="s">
        <v>143</v>
      </c>
      <c r="G782" s="207" t="s">
        <v>29</v>
      </c>
      <c r="H782" s="45" t="s">
        <v>422</v>
      </c>
      <c r="I782" s="7" t="s">
        <v>22</v>
      </c>
      <c r="J782" s="3">
        <v>0.7</v>
      </c>
      <c r="K782" s="1" t="s">
        <v>305</v>
      </c>
      <c r="L782" s="8" t="s">
        <v>257</v>
      </c>
      <c r="M782" s="13" t="s">
        <v>306</v>
      </c>
      <c r="N782" s="3">
        <v>0.95</v>
      </c>
      <c r="O782" s="3">
        <v>0.1</v>
      </c>
      <c r="P782" s="3"/>
      <c r="Q782" s="3">
        <f t="shared" si="33"/>
        <v>0</v>
      </c>
      <c r="R782" s="4">
        <f t="shared" si="34"/>
        <v>0</v>
      </c>
      <c r="S782" s="3" t="s">
        <v>23</v>
      </c>
      <c r="T782" s="195"/>
    </row>
    <row r="783" spans="1:20" ht="21.6" x14ac:dyDescent="0.3">
      <c r="A783" s="139">
        <v>2102</v>
      </c>
      <c r="B783" s="42" t="s">
        <v>20</v>
      </c>
      <c r="C783" s="43" t="s">
        <v>267</v>
      </c>
      <c r="D783" s="44" t="s">
        <v>243</v>
      </c>
      <c r="E783" s="42" t="s">
        <v>244</v>
      </c>
      <c r="F783" s="42" t="s">
        <v>143</v>
      </c>
      <c r="G783" s="207" t="s">
        <v>29</v>
      </c>
      <c r="H783" s="45" t="s">
        <v>422</v>
      </c>
      <c r="I783" s="47" t="s">
        <v>22</v>
      </c>
      <c r="J783" s="3">
        <v>0.7</v>
      </c>
      <c r="K783" s="49" t="s">
        <v>129</v>
      </c>
      <c r="L783" s="30" t="s">
        <v>130</v>
      </c>
      <c r="M783" s="47" t="s">
        <v>131</v>
      </c>
      <c r="N783" s="3">
        <v>0.9</v>
      </c>
      <c r="O783" s="10">
        <v>0.2</v>
      </c>
      <c r="P783" s="3"/>
      <c r="Q783" s="3">
        <f t="shared" si="33"/>
        <v>0</v>
      </c>
      <c r="R783" s="48">
        <f t="shared" si="34"/>
        <v>0</v>
      </c>
      <c r="S783" s="10" t="s">
        <v>23</v>
      </c>
      <c r="T783" s="193"/>
    </row>
    <row r="784" spans="1:20" ht="21.6" x14ac:dyDescent="0.3">
      <c r="A784" s="139">
        <v>2103</v>
      </c>
      <c r="B784" s="42" t="s">
        <v>20</v>
      </c>
      <c r="C784" s="43" t="s">
        <v>267</v>
      </c>
      <c r="D784" s="44" t="s">
        <v>243</v>
      </c>
      <c r="E784" s="42" t="s">
        <v>244</v>
      </c>
      <c r="F784" s="42" t="s">
        <v>143</v>
      </c>
      <c r="G784" s="207" t="s">
        <v>29</v>
      </c>
      <c r="H784" s="45" t="s">
        <v>422</v>
      </c>
      <c r="I784" s="47" t="s">
        <v>22</v>
      </c>
      <c r="J784" s="3">
        <v>0.7</v>
      </c>
      <c r="K784" s="49" t="s">
        <v>132</v>
      </c>
      <c r="L784" s="30" t="s">
        <v>133</v>
      </c>
      <c r="M784" s="47" t="s">
        <v>134</v>
      </c>
      <c r="N784" s="4">
        <v>0</v>
      </c>
      <c r="O784" s="10">
        <v>0.1</v>
      </c>
      <c r="P784" s="3"/>
      <c r="Q784" s="3">
        <f t="shared" si="33"/>
        <v>0</v>
      </c>
      <c r="R784" s="48">
        <f t="shared" si="34"/>
        <v>0</v>
      </c>
      <c r="S784" s="10" t="s">
        <v>24</v>
      </c>
      <c r="T784" s="193"/>
    </row>
    <row r="785" spans="1:20" ht="21.6" x14ac:dyDescent="0.3">
      <c r="A785" s="139">
        <v>2104</v>
      </c>
      <c r="B785" s="42" t="s">
        <v>20</v>
      </c>
      <c r="C785" s="43" t="s">
        <v>267</v>
      </c>
      <c r="D785" s="44" t="s">
        <v>243</v>
      </c>
      <c r="E785" s="42" t="s">
        <v>244</v>
      </c>
      <c r="F785" s="42" t="s">
        <v>143</v>
      </c>
      <c r="G785" s="207" t="s">
        <v>29</v>
      </c>
      <c r="H785" s="45" t="s">
        <v>422</v>
      </c>
      <c r="I785" s="47" t="s">
        <v>22</v>
      </c>
      <c r="J785" s="3">
        <v>0.7</v>
      </c>
      <c r="K785" s="49" t="s">
        <v>135</v>
      </c>
      <c r="L785" s="30" t="s">
        <v>136</v>
      </c>
      <c r="M785" s="49" t="s">
        <v>137</v>
      </c>
      <c r="N785" s="3">
        <v>0.9</v>
      </c>
      <c r="O785" s="10">
        <v>0.2</v>
      </c>
      <c r="P785" s="51"/>
      <c r="Q785" s="3">
        <f t="shared" si="33"/>
        <v>0</v>
      </c>
      <c r="R785" s="48">
        <f t="shared" si="34"/>
        <v>0</v>
      </c>
      <c r="S785" s="10" t="s">
        <v>23</v>
      </c>
      <c r="T785" s="193"/>
    </row>
    <row r="786" spans="1:20" ht="22.2" thickBot="1" x14ac:dyDescent="0.35">
      <c r="A786" s="142">
        <v>2105</v>
      </c>
      <c r="B786" s="81" t="s">
        <v>20</v>
      </c>
      <c r="C786" s="82" t="s">
        <v>267</v>
      </c>
      <c r="D786" s="83" t="s">
        <v>243</v>
      </c>
      <c r="E786" s="81" t="s">
        <v>244</v>
      </c>
      <c r="F786" s="81" t="s">
        <v>143</v>
      </c>
      <c r="G786" s="209" t="s">
        <v>29</v>
      </c>
      <c r="H786" s="84" t="s">
        <v>422</v>
      </c>
      <c r="I786" s="85" t="s">
        <v>26</v>
      </c>
      <c r="J786" s="86">
        <v>0.3</v>
      </c>
      <c r="K786" s="115" t="s">
        <v>138</v>
      </c>
      <c r="L786" s="114" t="s">
        <v>139</v>
      </c>
      <c r="M786" s="115" t="s">
        <v>140</v>
      </c>
      <c r="N786" s="86">
        <v>1</v>
      </c>
      <c r="O786" s="91">
        <v>1</v>
      </c>
      <c r="P786" s="86"/>
      <c r="Q786" s="86">
        <f t="shared" si="33"/>
        <v>0</v>
      </c>
      <c r="R786" s="104">
        <f t="shared" si="34"/>
        <v>0</v>
      </c>
      <c r="S786" s="91" t="s">
        <v>23</v>
      </c>
      <c r="T786" s="147"/>
    </row>
    <row r="787" spans="1:20" ht="21.6" x14ac:dyDescent="0.3">
      <c r="A787" s="144">
        <v>2106</v>
      </c>
      <c r="B787" s="64" t="s">
        <v>20</v>
      </c>
      <c r="C787" s="65" t="s">
        <v>267</v>
      </c>
      <c r="D787" s="66" t="s">
        <v>245</v>
      </c>
      <c r="E787" s="64" t="s">
        <v>246</v>
      </c>
      <c r="F787" s="64" t="s">
        <v>123</v>
      </c>
      <c r="G787" s="210" t="s">
        <v>29</v>
      </c>
      <c r="H787" s="67" t="s">
        <v>422</v>
      </c>
      <c r="I787" s="98" t="s">
        <v>22</v>
      </c>
      <c r="J787" s="69">
        <v>0.7</v>
      </c>
      <c r="K787" s="101" t="s">
        <v>513</v>
      </c>
      <c r="L787" s="105" t="s">
        <v>511</v>
      </c>
      <c r="M787" s="101" t="s">
        <v>411</v>
      </c>
      <c r="N787" s="69">
        <v>0.95</v>
      </c>
      <c r="O787" s="69">
        <v>0.15</v>
      </c>
      <c r="P787" s="69"/>
      <c r="Q787" s="69">
        <f t="shared" si="33"/>
        <v>0</v>
      </c>
      <c r="R787" s="100">
        <f t="shared" si="34"/>
        <v>0</v>
      </c>
      <c r="S787" s="69" t="s">
        <v>23</v>
      </c>
      <c r="T787" s="192">
        <f>SUM(R787:R794)%</f>
        <v>0</v>
      </c>
    </row>
    <row r="788" spans="1:20" ht="21.6" x14ac:dyDescent="0.3">
      <c r="A788" s="139">
        <v>2108</v>
      </c>
      <c r="B788" s="42" t="s">
        <v>20</v>
      </c>
      <c r="C788" s="43" t="s">
        <v>267</v>
      </c>
      <c r="D788" s="44" t="s">
        <v>245</v>
      </c>
      <c r="E788" s="42" t="s">
        <v>246</v>
      </c>
      <c r="F788" s="42" t="s">
        <v>123</v>
      </c>
      <c r="G788" s="207" t="s">
        <v>29</v>
      </c>
      <c r="H788" s="45" t="s">
        <v>422</v>
      </c>
      <c r="I788" s="7" t="s">
        <v>22</v>
      </c>
      <c r="J788" s="3">
        <v>0.7</v>
      </c>
      <c r="K788" s="1" t="s">
        <v>124</v>
      </c>
      <c r="L788" s="8" t="s">
        <v>125</v>
      </c>
      <c r="M788" s="7" t="s">
        <v>126</v>
      </c>
      <c r="N788" s="3">
        <v>0.95</v>
      </c>
      <c r="O788" s="3">
        <v>0.15</v>
      </c>
      <c r="P788" s="6"/>
      <c r="Q788" s="3">
        <f t="shared" si="33"/>
        <v>0</v>
      </c>
      <c r="R788" s="4">
        <f t="shared" si="34"/>
        <v>0</v>
      </c>
      <c r="S788" s="3" t="s">
        <v>23</v>
      </c>
      <c r="T788" s="195"/>
    </row>
    <row r="789" spans="1:20" ht="21.6" x14ac:dyDescent="0.3">
      <c r="A789" s="139">
        <v>2109</v>
      </c>
      <c r="B789" s="42" t="s">
        <v>20</v>
      </c>
      <c r="C789" s="43" t="s">
        <v>267</v>
      </c>
      <c r="D789" s="44" t="s">
        <v>245</v>
      </c>
      <c r="E789" s="42" t="s">
        <v>246</v>
      </c>
      <c r="F789" s="42" t="s">
        <v>123</v>
      </c>
      <c r="G789" s="207" t="s">
        <v>29</v>
      </c>
      <c r="H789" s="45" t="s">
        <v>422</v>
      </c>
      <c r="I789" s="7" t="s">
        <v>22</v>
      </c>
      <c r="J789" s="3">
        <v>0.7</v>
      </c>
      <c r="K789" s="1" t="s">
        <v>51</v>
      </c>
      <c r="L789" s="8" t="s">
        <v>127</v>
      </c>
      <c r="M789" s="7" t="s">
        <v>128</v>
      </c>
      <c r="N789" s="6">
        <v>0.05</v>
      </c>
      <c r="O789" s="3">
        <v>0.1</v>
      </c>
      <c r="P789" s="11"/>
      <c r="Q789" s="3">
        <f t="shared" si="33"/>
        <v>0</v>
      </c>
      <c r="R789" s="4">
        <f t="shared" si="34"/>
        <v>0</v>
      </c>
      <c r="S789" s="3" t="s">
        <v>24</v>
      </c>
      <c r="T789" s="195"/>
    </row>
    <row r="790" spans="1:20" ht="21.6" x14ac:dyDescent="0.3">
      <c r="A790" s="139">
        <v>2110</v>
      </c>
      <c r="B790" s="42" t="s">
        <v>20</v>
      </c>
      <c r="C790" s="43" t="s">
        <v>267</v>
      </c>
      <c r="D790" s="44" t="s">
        <v>245</v>
      </c>
      <c r="E790" s="42" t="s">
        <v>246</v>
      </c>
      <c r="F790" s="42" t="s">
        <v>123</v>
      </c>
      <c r="G790" s="207" t="s">
        <v>29</v>
      </c>
      <c r="H790" s="45" t="s">
        <v>422</v>
      </c>
      <c r="I790" s="7" t="s">
        <v>22</v>
      </c>
      <c r="J790" s="3">
        <v>0.7</v>
      </c>
      <c r="K790" s="1" t="s">
        <v>305</v>
      </c>
      <c r="L790" s="8" t="s">
        <v>257</v>
      </c>
      <c r="M790" s="13" t="s">
        <v>306</v>
      </c>
      <c r="N790" s="3">
        <v>0.95</v>
      </c>
      <c r="O790" s="3">
        <v>0.1</v>
      </c>
      <c r="P790" s="3"/>
      <c r="Q790" s="3">
        <f t="shared" si="33"/>
        <v>0</v>
      </c>
      <c r="R790" s="4">
        <f t="shared" si="34"/>
        <v>0</v>
      </c>
      <c r="S790" s="3" t="s">
        <v>23</v>
      </c>
      <c r="T790" s="195"/>
    </row>
    <row r="791" spans="1:20" ht="21.6" x14ac:dyDescent="0.3">
      <c r="A791" s="139">
        <v>2111</v>
      </c>
      <c r="B791" s="42" t="s">
        <v>20</v>
      </c>
      <c r="C791" s="43" t="s">
        <v>267</v>
      </c>
      <c r="D791" s="44" t="s">
        <v>245</v>
      </c>
      <c r="E791" s="42" t="s">
        <v>246</v>
      </c>
      <c r="F791" s="42" t="s">
        <v>123</v>
      </c>
      <c r="G791" s="207" t="s">
        <v>29</v>
      </c>
      <c r="H791" s="45" t="s">
        <v>422</v>
      </c>
      <c r="I791" s="47" t="s">
        <v>22</v>
      </c>
      <c r="J791" s="3">
        <v>0.7</v>
      </c>
      <c r="K791" s="49" t="s">
        <v>129</v>
      </c>
      <c r="L791" s="30" t="s">
        <v>130</v>
      </c>
      <c r="M791" s="47" t="s">
        <v>131</v>
      </c>
      <c r="N791" s="3">
        <v>0.9</v>
      </c>
      <c r="O791" s="10">
        <v>0.2</v>
      </c>
      <c r="P791" s="3"/>
      <c r="Q791" s="3">
        <f t="shared" si="33"/>
        <v>0</v>
      </c>
      <c r="R791" s="48">
        <f t="shared" si="34"/>
        <v>0</v>
      </c>
      <c r="S791" s="10" t="s">
        <v>23</v>
      </c>
      <c r="T791" s="193"/>
    </row>
    <row r="792" spans="1:20" ht="21.6" x14ac:dyDescent="0.3">
      <c r="A792" s="139">
        <v>2112</v>
      </c>
      <c r="B792" s="42" t="s">
        <v>20</v>
      </c>
      <c r="C792" s="43" t="s">
        <v>267</v>
      </c>
      <c r="D792" s="44" t="s">
        <v>245</v>
      </c>
      <c r="E792" s="42" t="s">
        <v>246</v>
      </c>
      <c r="F792" s="42" t="s">
        <v>123</v>
      </c>
      <c r="G792" s="207" t="s">
        <v>29</v>
      </c>
      <c r="H792" s="45" t="s">
        <v>422</v>
      </c>
      <c r="I792" s="47" t="s">
        <v>22</v>
      </c>
      <c r="J792" s="3">
        <v>0.7</v>
      </c>
      <c r="K792" s="49" t="s">
        <v>132</v>
      </c>
      <c r="L792" s="30" t="s">
        <v>133</v>
      </c>
      <c r="M792" s="47" t="s">
        <v>134</v>
      </c>
      <c r="N792" s="4">
        <v>0</v>
      </c>
      <c r="O792" s="10">
        <v>0.1</v>
      </c>
      <c r="P792" s="3"/>
      <c r="Q792" s="3">
        <f t="shared" si="33"/>
        <v>0</v>
      </c>
      <c r="R792" s="48">
        <f t="shared" si="34"/>
        <v>0</v>
      </c>
      <c r="S792" s="10" t="s">
        <v>24</v>
      </c>
      <c r="T792" s="193"/>
    </row>
    <row r="793" spans="1:20" ht="21.6" x14ac:dyDescent="0.3">
      <c r="A793" s="139">
        <v>2113</v>
      </c>
      <c r="B793" s="42" t="s">
        <v>20</v>
      </c>
      <c r="C793" s="43" t="s">
        <v>267</v>
      </c>
      <c r="D793" s="44" t="s">
        <v>245</v>
      </c>
      <c r="E793" s="42" t="s">
        <v>246</v>
      </c>
      <c r="F793" s="42" t="s">
        <v>123</v>
      </c>
      <c r="G793" s="207" t="s">
        <v>29</v>
      </c>
      <c r="H793" s="45" t="s">
        <v>422</v>
      </c>
      <c r="I793" s="47" t="s">
        <v>22</v>
      </c>
      <c r="J793" s="3">
        <v>0.7</v>
      </c>
      <c r="K793" s="49" t="s">
        <v>135</v>
      </c>
      <c r="L793" s="30" t="s">
        <v>136</v>
      </c>
      <c r="M793" s="49" t="s">
        <v>137</v>
      </c>
      <c r="N793" s="3">
        <v>0.9</v>
      </c>
      <c r="O793" s="10">
        <v>0.2</v>
      </c>
      <c r="P793" s="51"/>
      <c r="Q793" s="3">
        <f t="shared" si="33"/>
        <v>0</v>
      </c>
      <c r="R793" s="48">
        <f t="shared" si="34"/>
        <v>0</v>
      </c>
      <c r="S793" s="10" t="s">
        <v>23</v>
      </c>
      <c r="T793" s="193"/>
    </row>
    <row r="794" spans="1:20" ht="22.2" thickBot="1" x14ac:dyDescent="0.35">
      <c r="A794" s="142">
        <v>2114</v>
      </c>
      <c r="B794" s="81" t="s">
        <v>20</v>
      </c>
      <c r="C794" s="82" t="s">
        <v>267</v>
      </c>
      <c r="D794" s="83" t="s">
        <v>245</v>
      </c>
      <c r="E794" s="81" t="s">
        <v>246</v>
      </c>
      <c r="F794" s="81" t="s">
        <v>123</v>
      </c>
      <c r="G794" s="209" t="s">
        <v>29</v>
      </c>
      <c r="H794" s="84" t="s">
        <v>422</v>
      </c>
      <c r="I794" s="85" t="s">
        <v>26</v>
      </c>
      <c r="J794" s="86">
        <v>0.3</v>
      </c>
      <c r="K794" s="115" t="s">
        <v>138</v>
      </c>
      <c r="L794" s="114" t="s">
        <v>139</v>
      </c>
      <c r="M794" s="115" t="s">
        <v>140</v>
      </c>
      <c r="N794" s="86">
        <v>1</v>
      </c>
      <c r="O794" s="91">
        <v>1</v>
      </c>
      <c r="P794" s="86"/>
      <c r="Q794" s="86">
        <f t="shared" si="33"/>
        <v>0</v>
      </c>
      <c r="R794" s="104">
        <f t="shared" si="34"/>
        <v>0</v>
      </c>
      <c r="S794" s="91" t="s">
        <v>23</v>
      </c>
      <c r="T794" s="147"/>
    </row>
    <row r="795" spans="1:20" ht="21.6" x14ac:dyDescent="0.3">
      <c r="A795" s="144">
        <v>2115</v>
      </c>
      <c r="B795" s="64" t="s">
        <v>20</v>
      </c>
      <c r="C795" s="65" t="s">
        <v>267</v>
      </c>
      <c r="D795" s="66" t="s">
        <v>247</v>
      </c>
      <c r="E795" s="64" t="s">
        <v>248</v>
      </c>
      <c r="F795" s="64" t="s">
        <v>123</v>
      </c>
      <c r="G795" s="210" t="s">
        <v>29</v>
      </c>
      <c r="H795" s="67" t="s">
        <v>422</v>
      </c>
      <c r="I795" s="98" t="s">
        <v>22</v>
      </c>
      <c r="J795" s="69">
        <v>0.7</v>
      </c>
      <c r="K795" s="101" t="s">
        <v>513</v>
      </c>
      <c r="L795" s="105" t="s">
        <v>511</v>
      </c>
      <c r="M795" s="101" t="s">
        <v>411</v>
      </c>
      <c r="N795" s="69">
        <v>0.95</v>
      </c>
      <c r="O795" s="69">
        <v>0.15</v>
      </c>
      <c r="P795" s="69"/>
      <c r="Q795" s="69">
        <f t="shared" si="33"/>
        <v>0</v>
      </c>
      <c r="R795" s="100">
        <f t="shared" si="34"/>
        <v>0</v>
      </c>
      <c r="S795" s="69" t="s">
        <v>23</v>
      </c>
      <c r="T795" s="192">
        <f>SUM(R795:R802)%</f>
        <v>0</v>
      </c>
    </row>
    <row r="796" spans="1:20" ht="21.6" x14ac:dyDescent="0.3">
      <c r="A796" s="139">
        <v>2117</v>
      </c>
      <c r="B796" s="42" t="s">
        <v>20</v>
      </c>
      <c r="C796" s="43" t="s">
        <v>267</v>
      </c>
      <c r="D796" s="44" t="s">
        <v>247</v>
      </c>
      <c r="E796" s="42" t="s">
        <v>248</v>
      </c>
      <c r="F796" s="42" t="s">
        <v>123</v>
      </c>
      <c r="G796" s="207" t="s">
        <v>29</v>
      </c>
      <c r="H796" s="45" t="s">
        <v>422</v>
      </c>
      <c r="I796" s="7" t="s">
        <v>22</v>
      </c>
      <c r="J796" s="3">
        <v>0.7</v>
      </c>
      <c r="K796" s="1" t="s">
        <v>124</v>
      </c>
      <c r="L796" s="8" t="s">
        <v>125</v>
      </c>
      <c r="M796" s="7" t="s">
        <v>126</v>
      </c>
      <c r="N796" s="3">
        <v>0.95</v>
      </c>
      <c r="O796" s="3">
        <v>0.15</v>
      </c>
      <c r="P796" s="6"/>
      <c r="Q796" s="3">
        <f t="shared" si="33"/>
        <v>0</v>
      </c>
      <c r="R796" s="4">
        <f t="shared" si="34"/>
        <v>0</v>
      </c>
      <c r="S796" s="3" t="s">
        <v>23</v>
      </c>
      <c r="T796" s="195"/>
    </row>
    <row r="797" spans="1:20" ht="21.6" x14ac:dyDescent="0.3">
      <c r="A797" s="139">
        <v>2118</v>
      </c>
      <c r="B797" s="42" t="s">
        <v>20</v>
      </c>
      <c r="C797" s="43" t="s">
        <v>267</v>
      </c>
      <c r="D797" s="44" t="s">
        <v>247</v>
      </c>
      <c r="E797" s="42" t="s">
        <v>248</v>
      </c>
      <c r="F797" s="42" t="s">
        <v>123</v>
      </c>
      <c r="G797" s="207" t="s">
        <v>29</v>
      </c>
      <c r="H797" s="45" t="s">
        <v>422</v>
      </c>
      <c r="I797" s="7" t="s">
        <v>22</v>
      </c>
      <c r="J797" s="3">
        <v>0.7</v>
      </c>
      <c r="K797" s="1" t="s">
        <v>51</v>
      </c>
      <c r="L797" s="8" t="s">
        <v>127</v>
      </c>
      <c r="M797" s="7" t="s">
        <v>128</v>
      </c>
      <c r="N797" s="6">
        <v>0.05</v>
      </c>
      <c r="O797" s="3">
        <v>0.1</v>
      </c>
      <c r="P797" s="11"/>
      <c r="Q797" s="3">
        <f t="shared" si="33"/>
        <v>0</v>
      </c>
      <c r="R797" s="4">
        <f t="shared" si="34"/>
        <v>0</v>
      </c>
      <c r="S797" s="3" t="s">
        <v>24</v>
      </c>
      <c r="T797" s="195"/>
    </row>
    <row r="798" spans="1:20" ht="21.6" x14ac:dyDescent="0.3">
      <c r="A798" s="139">
        <v>2119</v>
      </c>
      <c r="B798" s="42" t="s">
        <v>20</v>
      </c>
      <c r="C798" s="43" t="s">
        <v>267</v>
      </c>
      <c r="D798" s="44" t="s">
        <v>247</v>
      </c>
      <c r="E798" s="42" t="s">
        <v>248</v>
      </c>
      <c r="F798" s="42" t="s">
        <v>123</v>
      </c>
      <c r="G798" s="207" t="s">
        <v>29</v>
      </c>
      <c r="H798" s="45" t="s">
        <v>422</v>
      </c>
      <c r="I798" s="7" t="s">
        <v>22</v>
      </c>
      <c r="J798" s="3">
        <v>0.7</v>
      </c>
      <c r="K798" s="1" t="s">
        <v>305</v>
      </c>
      <c r="L798" s="8" t="s">
        <v>257</v>
      </c>
      <c r="M798" s="13" t="s">
        <v>306</v>
      </c>
      <c r="N798" s="3">
        <v>0.95</v>
      </c>
      <c r="O798" s="3">
        <v>0.1</v>
      </c>
      <c r="P798" s="3"/>
      <c r="Q798" s="3">
        <f t="shared" si="33"/>
        <v>0</v>
      </c>
      <c r="R798" s="4">
        <f t="shared" si="34"/>
        <v>0</v>
      </c>
      <c r="S798" s="3" t="s">
        <v>23</v>
      </c>
      <c r="T798" s="195"/>
    </row>
    <row r="799" spans="1:20" ht="21.6" x14ac:dyDescent="0.3">
      <c r="A799" s="139">
        <v>2120</v>
      </c>
      <c r="B799" s="42" t="s">
        <v>20</v>
      </c>
      <c r="C799" s="43" t="s">
        <v>267</v>
      </c>
      <c r="D799" s="44" t="s">
        <v>247</v>
      </c>
      <c r="E799" s="42" t="s">
        <v>248</v>
      </c>
      <c r="F799" s="42" t="s">
        <v>123</v>
      </c>
      <c r="G799" s="207" t="s">
        <v>29</v>
      </c>
      <c r="H799" s="45" t="s">
        <v>422</v>
      </c>
      <c r="I799" s="47" t="s">
        <v>22</v>
      </c>
      <c r="J799" s="3">
        <v>0.7</v>
      </c>
      <c r="K799" s="49" t="s">
        <v>129</v>
      </c>
      <c r="L799" s="30" t="s">
        <v>130</v>
      </c>
      <c r="M799" s="47" t="s">
        <v>131</v>
      </c>
      <c r="N799" s="3">
        <v>0.9</v>
      </c>
      <c r="O799" s="10">
        <v>0.2</v>
      </c>
      <c r="P799" s="3"/>
      <c r="Q799" s="3">
        <f t="shared" si="33"/>
        <v>0</v>
      </c>
      <c r="R799" s="48">
        <f t="shared" si="34"/>
        <v>0</v>
      </c>
      <c r="S799" s="10" t="s">
        <v>23</v>
      </c>
      <c r="T799" s="193"/>
    </row>
    <row r="800" spans="1:20" ht="21.6" x14ac:dyDescent="0.3">
      <c r="A800" s="139">
        <v>2121</v>
      </c>
      <c r="B800" s="42" t="s">
        <v>20</v>
      </c>
      <c r="C800" s="43" t="s">
        <v>267</v>
      </c>
      <c r="D800" s="44" t="s">
        <v>247</v>
      </c>
      <c r="E800" s="42" t="s">
        <v>248</v>
      </c>
      <c r="F800" s="42" t="s">
        <v>123</v>
      </c>
      <c r="G800" s="207" t="s">
        <v>29</v>
      </c>
      <c r="H800" s="45" t="s">
        <v>422</v>
      </c>
      <c r="I800" s="47" t="s">
        <v>22</v>
      </c>
      <c r="J800" s="3">
        <v>0.7</v>
      </c>
      <c r="K800" s="49" t="s">
        <v>132</v>
      </c>
      <c r="L800" s="30" t="s">
        <v>133</v>
      </c>
      <c r="M800" s="47" t="s">
        <v>134</v>
      </c>
      <c r="N800" s="4">
        <v>0</v>
      </c>
      <c r="O800" s="10">
        <v>0.1</v>
      </c>
      <c r="P800" s="3"/>
      <c r="Q800" s="3">
        <f t="shared" si="33"/>
        <v>0</v>
      </c>
      <c r="R800" s="48">
        <f t="shared" si="34"/>
        <v>0</v>
      </c>
      <c r="S800" s="10" t="s">
        <v>24</v>
      </c>
      <c r="T800" s="193"/>
    </row>
    <row r="801" spans="1:20" ht="21.6" x14ac:dyDescent="0.3">
      <c r="A801" s="139">
        <v>2122</v>
      </c>
      <c r="B801" s="42" t="s">
        <v>20</v>
      </c>
      <c r="C801" s="43" t="s">
        <v>267</v>
      </c>
      <c r="D801" s="44" t="s">
        <v>247</v>
      </c>
      <c r="E801" s="42" t="s">
        <v>248</v>
      </c>
      <c r="F801" s="42" t="s">
        <v>123</v>
      </c>
      <c r="G801" s="207" t="s">
        <v>29</v>
      </c>
      <c r="H801" s="45" t="s">
        <v>422</v>
      </c>
      <c r="I801" s="47" t="s">
        <v>22</v>
      </c>
      <c r="J801" s="3">
        <v>0.7</v>
      </c>
      <c r="K801" s="49" t="s">
        <v>135</v>
      </c>
      <c r="L801" s="30" t="s">
        <v>136</v>
      </c>
      <c r="M801" s="49" t="s">
        <v>137</v>
      </c>
      <c r="N801" s="3">
        <v>0.9</v>
      </c>
      <c r="O801" s="10">
        <v>0.2</v>
      </c>
      <c r="P801" s="51"/>
      <c r="Q801" s="3">
        <f t="shared" si="33"/>
        <v>0</v>
      </c>
      <c r="R801" s="48">
        <f t="shared" si="34"/>
        <v>0</v>
      </c>
      <c r="S801" s="10" t="s">
        <v>23</v>
      </c>
      <c r="T801" s="193"/>
    </row>
    <row r="802" spans="1:20" ht="22.2" thickBot="1" x14ac:dyDescent="0.35">
      <c r="A802" s="142">
        <v>2123</v>
      </c>
      <c r="B802" s="81" t="s">
        <v>20</v>
      </c>
      <c r="C802" s="82" t="s">
        <v>267</v>
      </c>
      <c r="D802" s="83" t="s">
        <v>247</v>
      </c>
      <c r="E802" s="81" t="s">
        <v>248</v>
      </c>
      <c r="F802" s="81" t="s">
        <v>123</v>
      </c>
      <c r="G802" s="209" t="s">
        <v>29</v>
      </c>
      <c r="H802" s="84" t="s">
        <v>422</v>
      </c>
      <c r="I802" s="85" t="s">
        <v>26</v>
      </c>
      <c r="J802" s="86">
        <v>0.3</v>
      </c>
      <c r="K802" s="115" t="s">
        <v>138</v>
      </c>
      <c r="L802" s="114" t="s">
        <v>139</v>
      </c>
      <c r="M802" s="115" t="s">
        <v>140</v>
      </c>
      <c r="N802" s="86">
        <v>1</v>
      </c>
      <c r="O802" s="91">
        <v>1</v>
      </c>
      <c r="P802" s="86"/>
      <c r="Q802" s="86">
        <f t="shared" si="33"/>
        <v>0</v>
      </c>
      <c r="R802" s="104">
        <f t="shared" si="34"/>
        <v>0</v>
      </c>
      <c r="S802" s="91" t="s">
        <v>23</v>
      </c>
      <c r="T802" s="147"/>
    </row>
    <row r="803" spans="1:20" ht="21.6" x14ac:dyDescent="0.3">
      <c r="A803" s="144">
        <v>2124</v>
      </c>
      <c r="B803" s="64" t="s">
        <v>20</v>
      </c>
      <c r="C803" s="65" t="s">
        <v>267</v>
      </c>
      <c r="D803" s="66" t="s">
        <v>249</v>
      </c>
      <c r="E803" s="64" t="s">
        <v>235</v>
      </c>
      <c r="F803" s="64" t="s">
        <v>123</v>
      </c>
      <c r="G803" s="210" t="s">
        <v>29</v>
      </c>
      <c r="H803" s="67" t="s">
        <v>422</v>
      </c>
      <c r="I803" s="98" t="s">
        <v>22</v>
      </c>
      <c r="J803" s="69">
        <v>0.7</v>
      </c>
      <c r="K803" s="101" t="s">
        <v>513</v>
      </c>
      <c r="L803" s="105" t="s">
        <v>511</v>
      </c>
      <c r="M803" s="101" t="s">
        <v>411</v>
      </c>
      <c r="N803" s="69">
        <v>0.95</v>
      </c>
      <c r="O803" s="69">
        <v>0.15</v>
      </c>
      <c r="P803" s="69"/>
      <c r="Q803" s="69">
        <f t="shared" si="33"/>
        <v>0</v>
      </c>
      <c r="R803" s="100">
        <f t="shared" si="34"/>
        <v>0</v>
      </c>
      <c r="S803" s="69" t="s">
        <v>23</v>
      </c>
      <c r="T803" s="192">
        <f>SUM(R803:R810)%</f>
        <v>0</v>
      </c>
    </row>
    <row r="804" spans="1:20" ht="21.6" x14ac:dyDescent="0.3">
      <c r="A804" s="139">
        <v>2126</v>
      </c>
      <c r="B804" s="42" t="s">
        <v>20</v>
      </c>
      <c r="C804" s="43" t="s">
        <v>267</v>
      </c>
      <c r="D804" s="44" t="s">
        <v>249</v>
      </c>
      <c r="E804" s="42" t="s">
        <v>235</v>
      </c>
      <c r="F804" s="42" t="s">
        <v>123</v>
      </c>
      <c r="G804" s="207" t="s">
        <v>29</v>
      </c>
      <c r="H804" s="45" t="s">
        <v>422</v>
      </c>
      <c r="I804" s="7" t="s">
        <v>22</v>
      </c>
      <c r="J804" s="3">
        <v>0.7</v>
      </c>
      <c r="K804" s="1" t="s">
        <v>124</v>
      </c>
      <c r="L804" s="8" t="s">
        <v>125</v>
      </c>
      <c r="M804" s="7" t="s">
        <v>126</v>
      </c>
      <c r="N804" s="3">
        <v>0.95</v>
      </c>
      <c r="O804" s="3">
        <v>0.15</v>
      </c>
      <c r="P804" s="6"/>
      <c r="Q804" s="3">
        <f t="shared" si="33"/>
        <v>0</v>
      </c>
      <c r="R804" s="4">
        <f t="shared" si="34"/>
        <v>0</v>
      </c>
      <c r="S804" s="3" t="s">
        <v>23</v>
      </c>
      <c r="T804" s="195"/>
    </row>
    <row r="805" spans="1:20" ht="21.6" x14ac:dyDescent="0.3">
      <c r="A805" s="139">
        <v>2127</v>
      </c>
      <c r="B805" s="42" t="s">
        <v>20</v>
      </c>
      <c r="C805" s="43" t="s">
        <v>267</v>
      </c>
      <c r="D805" s="44" t="s">
        <v>249</v>
      </c>
      <c r="E805" s="42" t="s">
        <v>235</v>
      </c>
      <c r="F805" s="42" t="s">
        <v>123</v>
      </c>
      <c r="G805" s="207" t="s">
        <v>29</v>
      </c>
      <c r="H805" s="45" t="s">
        <v>422</v>
      </c>
      <c r="I805" s="7" t="s">
        <v>22</v>
      </c>
      <c r="J805" s="3">
        <v>0.7</v>
      </c>
      <c r="K805" s="1" t="s">
        <v>51</v>
      </c>
      <c r="L805" s="8" t="s">
        <v>127</v>
      </c>
      <c r="M805" s="7" t="s">
        <v>128</v>
      </c>
      <c r="N805" s="6">
        <v>0.05</v>
      </c>
      <c r="O805" s="3">
        <v>0.1</v>
      </c>
      <c r="P805" s="11"/>
      <c r="Q805" s="3">
        <f t="shared" si="33"/>
        <v>0</v>
      </c>
      <c r="R805" s="4">
        <f t="shared" si="34"/>
        <v>0</v>
      </c>
      <c r="S805" s="3" t="s">
        <v>24</v>
      </c>
      <c r="T805" s="195"/>
    </row>
    <row r="806" spans="1:20" ht="21.6" x14ac:dyDescent="0.3">
      <c r="A806" s="139">
        <v>2128</v>
      </c>
      <c r="B806" s="42" t="s">
        <v>20</v>
      </c>
      <c r="C806" s="43" t="s">
        <v>267</v>
      </c>
      <c r="D806" s="44" t="s">
        <v>249</v>
      </c>
      <c r="E806" s="42" t="s">
        <v>235</v>
      </c>
      <c r="F806" s="42" t="s">
        <v>123</v>
      </c>
      <c r="G806" s="207" t="s">
        <v>29</v>
      </c>
      <c r="H806" s="45" t="s">
        <v>422</v>
      </c>
      <c r="I806" s="7" t="s">
        <v>22</v>
      </c>
      <c r="J806" s="3">
        <v>0.7</v>
      </c>
      <c r="K806" s="1" t="s">
        <v>305</v>
      </c>
      <c r="L806" s="8" t="s">
        <v>257</v>
      </c>
      <c r="M806" s="13" t="s">
        <v>306</v>
      </c>
      <c r="N806" s="3">
        <v>0.95</v>
      </c>
      <c r="O806" s="3">
        <v>0.1</v>
      </c>
      <c r="P806" s="3"/>
      <c r="Q806" s="3">
        <f t="shared" si="33"/>
        <v>0</v>
      </c>
      <c r="R806" s="4">
        <f t="shared" si="34"/>
        <v>0</v>
      </c>
      <c r="S806" s="3" t="s">
        <v>23</v>
      </c>
      <c r="T806" s="195"/>
    </row>
    <row r="807" spans="1:20" ht="21.6" x14ac:dyDescent="0.3">
      <c r="A807" s="139">
        <v>2129</v>
      </c>
      <c r="B807" s="42" t="s">
        <v>20</v>
      </c>
      <c r="C807" s="43" t="s">
        <v>267</v>
      </c>
      <c r="D807" s="44" t="s">
        <v>249</v>
      </c>
      <c r="E807" s="42" t="s">
        <v>235</v>
      </c>
      <c r="F807" s="42" t="s">
        <v>123</v>
      </c>
      <c r="G807" s="207" t="s">
        <v>29</v>
      </c>
      <c r="H807" s="45" t="s">
        <v>422</v>
      </c>
      <c r="I807" s="47" t="s">
        <v>22</v>
      </c>
      <c r="J807" s="3">
        <v>0.7</v>
      </c>
      <c r="K807" s="49" t="s">
        <v>129</v>
      </c>
      <c r="L807" s="30" t="s">
        <v>130</v>
      </c>
      <c r="M807" s="47" t="s">
        <v>131</v>
      </c>
      <c r="N807" s="3">
        <v>0.9</v>
      </c>
      <c r="O807" s="10">
        <v>0.2</v>
      </c>
      <c r="P807" s="3"/>
      <c r="Q807" s="3">
        <f t="shared" si="33"/>
        <v>0</v>
      </c>
      <c r="R807" s="48">
        <f t="shared" si="34"/>
        <v>0</v>
      </c>
      <c r="S807" s="10" t="s">
        <v>23</v>
      </c>
      <c r="T807" s="193"/>
    </row>
    <row r="808" spans="1:20" ht="21.6" x14ac:dyDescent="0.3">
      <c r="A808" s="139">
        <v>2130</v>
      </c>
      <c r="B808" s="42" t="s">
        <v>20</v>
      </c>
      <c r="C808" s="43" t="s">
        <v>267</v>
      </c>
      <c r="D808" s="44" t="s">
        <v>249</v>
      </c>
      <c r="E808" s="42" t="s">
        <v>235</v>
      </c>
      <c r="F808" s="42" t="s">
        <v>123</v>
      </c>
      <c r="G808" s="207" t="s">
        <v>29</v>
      </c>
      <c r="H808" s="45" t="s">
        <v>422</v>
      </c>
      <c r="I808" s="47" t="s">
        <v>22</v>
      </c>
      <c r="J808" s="3">
        <v>0.7</v>
      </c>
      <c r="K808" s="49" t="s">
        <v>132</v>
      </c>
      <c r="L808" s="30" t="s">
        <v>133</v>
      </c>
      <c r="M808" s="47" t="s">
        <v>134</v>
      </c>
      <c r="N808" s="4">
        <v>0</v>
      </c>
      <c r="O808" s="10">
        <v>0.1</v>
      </c>
      <c r="P808" s="3"/>
      <c r="Q808" s="3">
        <f t="shared" si="33"/>
        <v>0</v>
      </c>
      <c r="R808" s="48">
        <f t="shared" si="34"/>
        <v>0</v>
      </c>
      <c r="S808" s="10" t="s">
        <v>24</v>
      </c>
      <c r="T808" s="193"/>
    </row>
    <row r="809" spans="1:20" ht="21.6" x14ac:dyDescent="0.3">
      <c r="A809" s="139">
        <v>2131</v>
      </c>
      <c r="B809" s="42" t="s">
        <v>20</v>
      </c>
      <c r="C809" s="43" t="s">
        <v>267</v>
      </c>
      <c r="D809" s="44" t="s">
        <v>249</v>
      </c>
      <c r="E809" s="42" t="s">
        <v>235</v>
      </c>
      <c r="F809" s="42" t="s">
        <v>123</v>
      </c>
      <c r="G809" s="207" t="s">
        <v>29</v>
      </c>
      <c r="H809" s="45" t="s">
        <v>422</v>
      </c>
      <c r="I809" s="47" t="s">
        <v>22</v>
      </c>
      <c r="J809" s="3">
        <v>0.7</v>
      </c>
      <c r="K809" s="49" t="s">
        <v>135</v>
      </c>
      <c r="L809" s="30" t="s">
        <v>136</v>
      </c>
      <c r="M809" s="49" t="s">
        <v>137</v>
      </c>
      <c r="N809" s="3">
        <v>0.9</v>
      </c>
      <c r="O809" s="10">
        <v>0.2</v>
      </c>
      <c r="P809" s="51"/>
      <c r="Q809" s="3">
        <f t="shared" si="33"/>
        <v>0</v>
      </c>
      <c r="R809" s="48">
        <f t="shared" si="34"/>
        <v>0</v>
      </c>
      <c r="S809" s="10" t="s">
        <v>23</v>
      </c>
      <c r="T809" s="193"/>
    </row>
    <row r="810" spans="1:20" ht="22.2" thickBot="1" x14ac:dyDescent="0.35">
      <c r="A810" s="142">
        <v>2132</v>
      </c>
      <c r="B810" s="81" t="s">
        <v>20</v>
      </c>
      <c r="C810" s="82" t="s">
        <v>267</v>
      </c>
      <c r="D810" s="83" t="s">
        <v>249</v>
      </c>
      <c r="E810" s="81" t="s">
        <v>235</v>
      </c>
      <c r="F810" s="81" t="s">
        <v>123</v>
      </c>
      <c r="G810" s="209" t="s">
        <v>29</v>
      </c>
      <c r="H810" s="84" t="s">
        <v>422</v>
      </c>
      <c r="I810" s="85" t="s">
        <v>26</v>
      </c>
      <c r="J810" s="86">
        <v>0.3</v>
      </c>
      <c r="K810" s="115" t="s">
        <v>138</v>
      </c>
      <c r="L810" s="114" t="s">
        <v>139</v>
      </c>
      <c r="M810" s="115" t="s">
        <v>140</v>
      </c>
      <c r="N810" s="86">
        <v>1</v>
      </c>
      <c r="O810" s="91">
        <v>1</v>
      </c>
      <c r="P810" s="86"/>
      <c r="Q810" s="86">
        <f t="shared" si="33"/>
        <v>0</v>
      </c>
      <c r="R810" s="104">
        <f t="shared" si="34"/>
        <v>0</v>
      </c>
      <c r="S810" s="91" t="s">
        <v>23</v>
      </c>
      <c r="T810" s="147"/>
    </row>
    <row r="811" spans="1:20" ht="21.6" x14ac:dyDescent="0.3">
      <c r="A811" s="144">
        <v>2142</v>
      </c>
      <c r="B811" s="64" t="s">
        <v>20</v>
      </c>
      <c r="C811" s="65" t="s">
        <v>267</v>
      </c>
      <c r="D811" s="66" t="s">
        <v>251</v>
      </c>
      <c r="E811" s="64" t="s">
        <v>252</v>
      </c>
      <c r="F811" s="64" t="s">
        <v>145</v>
      </c>
      <c r="G811" s="210" t="s">
        <v>29</v>
      </c>
      <c r="H811" s="67" t="s">
        <v>422</v>
      </c>
      <c r="I811" s="98" t="s">
        <v>22</v>
      </c>
      <c r="J811" s="69">
        <v>0.7</v>
      </c>
      <c r="K811" s="101" t="s">
        <v>513</v>
      </c>
      <c r="L811" s="105" t="s">
        <v>511</v>
      </c>
      <c r="M811" s="101" t="s">
        <v>411</v>
      </c>
      <c r="N811" s="69">
        <v>0.95</v>
      </c>
      <c r="O811" s="69">
        <v>0.15</v>
      </c>
      <c r="P811" s="69"/>
      <c r="Q811" s="69">
        <f t="shared" si="33"/>
        <v>0</v>
      </c>
      <c r="R811" s="100">
        <f t="shared" si="34"/>
        <v>0</v>
      </c>
      <c r="S811" s="69" t="s">
        <v>23</v>
      </c>
      <c r="T811" s="192">
        <f>SUM(R811:R818)%</f>
        <v>0</v>
      </c>
    </row>
    <row r="812" spans="1:20" ht="21.6" x14ac:dyDescent="0.3">
      <c r="A812" s="139">
        <v>2144</v>
      </c>
      <c r="B812" s="42" t="s">
        <v>20</v>
      </c>
      <c r="C812" s="43" t="s">
        <v>267</v>
      </c>
      <c r="D812" s="44" t="s">
        <v>251</v>
      </c>
      <c r="E812" s="42" t="s">
        <v>252</v>
      </c>
      <c r="F812" s="42" t="s">
        <v>145</v>
      </c>
      <c r="G812" s="207" t="s">
        <v>29</v>
      </c>
      <c r="H812" s="45" t="s">
        <v>422</v>
      </c>
      <c r="I812" s="7" t="s">
        <v>22</v>
      </c>
      <c r="J812" s="3">
        <v>0.7</v>
      </c>
      <c r="K812" s="1" t="s">
        <v>124</v>
      </c>
      <c r="L812" s="8" t="s">
        <v>125</v>
      </c>
      <c r="M812" s="7" t="s">
        <v>126</v>
      </c>
      <c r="N812" s="3">
        <v>0.95</v>
      </c>
      <c r="O812" s="3">
        <v>0.15</v>
      </c>
      <c r="P812" s="6"/>
      <c r="Q812" s="3">
        <f t="shared" si="33"/>
        <v>0</v>
      </c>
      <c r="R812" s="4">
        <f t="shared" si="34"/>
        <v>0</v>
      </c>
      <c r="S812" s="3" t="s">
        <v>23</v>
      </c>
      <c r="T812" s="195"/>
    </row>
    <row r="813" spans="1:20" ht="21.6" x14ac:dyDescent="0.3">
      <c r="A813" s="139">
        <v>2145</v>
      </c>
      <c r="B813" s="42" t="s">
        <v>20</v>
      </c>
      <c r="C813" s="43" t="s">
        <v>267</v>
      </c>
      <c r="D813" s="44" t="s">
        <v>251</v>
      </c>
      <c r="E813" s="42" t="s">
        <v>252</v>
      </c>
      <c r="F813" s="42" t="s">
        <v>145</v>
      </c>
      <c r="G813" s="207" t="s">
        <v>29</v>
      </c>
      <c r="H813" s="45" t="s">
        <v>422</v>
      </c>
      <c r="I813" s="7" t="s">
        <v>22</v>
      </c>
      <c r="J813" s="3">
        <v>0.7</v>
      </c>
      <c r="K813" s="1" t="s">
        <v>51</v>
      </c>
      <c r="L813" s="8" t="s">
        <v>127</v>
      </c>
      <c r="M813" s="7" t="s">
        <v>128</v>
      </c>
      <c r="N813" s="6">
        <v>0.05</v>
      </c>
      <c r="O813" s="3">
        <v>0.1</v>
      </c>
      <c r="P813" s="11"/>
      <c r="Q813" s="3">
        <f t="shared" si="33"/>
        <v>0</v>
      </c>
      <c r="R813" s="4">
        <f t="shared" si="34"/>
        <v>0</v>
      </c>
      <c r="S813" s="3" t="s">
        <v>24</v>
      </c>
      <c r="T813" s="195"/>
    </row>
    <row r="814" spans="1:20" ht="21.6" x14ac:dyDescent="0.3">
      <c r="A814" s="139">
        <v>2146</v>
      </c>
      <c r="B814" s="42" t="s">
        <v>20</v>
      </c>
      <c r="C814" s="43" t="s">
        <v>267</v>
      </c>
      <c r="D814" s="44" t="s">
        <v>251</v>
      </c>
      <c r="E814" s="42" t="s">
        <v>252</v>
      </c>
      <c r="F814" s="42" t="s">
        <v>145</v>
      </c>
      <c r="G814" s="207" t="s">
        <v>29</v>
      </c>
      <c r="H814" s="45" t="s">
        <v>422</v>
      </c>
      <c r="I814" s="7" t="s">
        <v>22</v>
      </c>
      <c r="J814" s="3">
        <v>0.7</v>
      </c>
      <c r="K814" s="1" t="s">
        <v>305</v>
      </c>
      <c r="L814" s="8" t="s">
        <v>257</v>
      </c>
      <c r="M814" s="13" t="s">
        <v>306</v>
      </c>
      <c r="N814" s="3">
        <v>0.95</v>
      </c>
      <c r="O814" s="3">
        <v>0.1</v>
      </c>
      <c r="P814" s="3"/>
      <c r="Q814" s="3">
        <f t="shared" si="33"/>
        <v>0</v>
      </c>
      <c r="R814" s="4">
        <f t="shared" si="34"/>
        <v>0</v>
      </c>
      <c r="S814" s="3" t="s">
        <v>23</v>
      </c>
      <c r="T814" s="195"/>
    </row>
    <row r="815" spans="1:20" ht="21.6" x14ac:dyDescent="0.3">
      <c r="A815" s="139">
        <v>2147</v>
      </c>
      <c r="B815" s="42" t="s">
        <v>20</v>
      </c>
      <c r="C815" s="43" t="s">
        <v>267</v>
      </c>
      <c r="D815" s="44" t="s">
        <v>251</v>
      </c>
      <c r="E815" s="42" t="s">
        <v>252</v>
      </c>
      <c r="F815" s="42" t="s">
        <v>145</v>
      </c>
      <c r="G815" s="207" t="s">
        <v>29</v>
      </c>
      <c r="H815" s="45" t="s">
        <v>422</v>
      </c>
      <c r="I815" s="47" t="s">
        <v>22</v>
      </c>
      <c r="J815" s="3">
        <v>0.7</v>
      </c>
      <c r="K815" s="49" t="s">
        <v>129</v>
      </c>
      <c r="L815" s="30" t="s">
        <v>130</v>
      </c>
      <c r="M815" s="47" t="s">
        <v>131</v>
      </c>
      <c r="N815" s="3">
        <v>0.9</v>
      </c>
      <c r="O815" s="10">
        <v>0.2</v>
      </c>
      <c r="P815" s="3"/>
      <c r="Q815" s="3">
        <f t="shared" si="33"/>
        <v>0</v>
      </c>
      <c r="R815" s="48">
        <f t="shared" si="34"/>
        <v>0</v>
      </c>
      <c r="S815" s="10" t="s">
        <v>23</v>
      </c>
      <c r="T815" s="193"/>
    </row>
    <row r="816" spans="1:20" ht="21.6" x14ac:dyDescent="0.3">
      <c r="A816" s="139">
        <v>2148</v>
      </c>
      <c r="B816" s="42" t="s">
        <v>20</v>
      </c>
      <c r="C816" s="43" t="s">
        <v>267</v>
      </c>
      <c r="D816" s="44" t="s">
        <v>251</v>
      </c>
      <c r="E816" s="42" t="s">
        <v>252</v>
      </c>
      <c r="F816" s="42" t="s">
        <v>145</v>
      </c>
      <c r="G816" s="207" t="s">
        <v>29</v>
      </c>
      <c r="H816" s="45" t="s">
        <v>422</v>
      </c>
      <c r="I816" s="47" t="s">
        <v>22</v>
      </c>
      <c r="J816" s="3">
        <v>0.7</v>
      </c>
      <c r="K816" s="49" t="s">
        <v>132</v>
      </c>
      <c r="L816" s="30" t="s">
        <v>133</v>
      </c>
      <c r="M816" s="47" t="s">
        <v>134</v>
      </c>
      <c r="N816" s="4">
        <v>0</v>
      </c>
      <c r="O816" s="10">
        <v>0.1</v>
      </c>
      <c r="P816" s="3"/>
      <c r="Q816" s="3">
        <f t="shared" si="33"/>
        <v>0</v>
      </c>
      <c r="R816" s="48">
        <f t="shared" si="34"/>
        <v>0</v>
      </c>
      <c r="S816" s="10" t="s">
        <v>24</v>
      </c>
      <c r="T816" s="193"/>
    </row>
    <row r="817" spans="1:20" ht="21.6" x14ac:dyDescent="0.3">
      <c r="A817" s="139">
        <v>2149</v>
      </c>
      <c r="B817" s="42" t="s">
        <v>20</v>
      </c>
      <c r="C817" s="43" t="s">
        <v>267</v>
      </c>
      <c r="D817" s="44" t="s">
        <v>251</v>
      </c>
      <c r="E817" s="42" t="s">
        <v>252</v>
      </c>
      <c r="F817" s="42" t="s">
        <v>145</v>
      </c>
      <c r="G817" s="207" t="s">
        <v>29</v>
      </c>
      <c r="H817" s="45" t="s">
        <v>422</v>
      </c>
      <c r="I817" s="47" t="s">
        <v>22</v>
      </c>
      <c r="J817" s="3">
        <v>0.7</v>
      </c>
      <c r="K817" s="49" t="s">
        <v>135</v>
      </c>
      <c r="L817" s="30" t="s">
        <v>136</v>
      </c>
      <c r="M817" s="49" t="s">
        <v>137</v>
      </c>
      <c r="N817" s="3">
        <v>0.9</v>
      </c>
      <c r="O817" s="10">
        <v>0.2</v>
      </c>
      <c r="P817" s="51"/>
      <c r="Q817" s="3">
        <f t="shared" si="33"/>
        <v>0</v>
      </c>
      <c r="R817" s="48">
        <f t="shared" si="34"/>
        <v>0</v>
      </c>
      <c r="S817" s="10" t="s">
        <v>23</v>
      </c>
      <c r="T817" s="193"/>
    </row>
    <row r="818" spans="1:20" ht="22.2" thickBot="1" x14ac:dyDescent="0.35">
      <c r="A818" s="142">
        <v>2150</v>
      </c>
      <c r="B818" s="81" t="s">
        <v>20</v>
      </c>
      <c r="C818" s="82" t="s">
        <v>267</v>
      </c>
      <c r="D818" s="83" t="s">
        <v>251</v>
      </c>
      <c r="E818" s="81" t="s">
        <v>252</v>
      </c>
      <c r="F818" s="81" t="s">
        <v>145</v>
      </c>
      <c r="G818" s="209" t="s">
        <v>29</v>
      </c>
      <c r="H818" s="84" t="s">
        <v>422</v>
      </c>
      <c r="I818" s="85" t="s">
        <v>26</v>
      </c>
      <c r="J818" s="86">
        <v>0.3</v>
      </c>
      <c r="K818" s="115" t="s">
        <v>138</v>
      </c>
      <c r="L818" s="114" t="s">
        <v>139</v>
      </c>
      <c r="M818" s="115" t="s">
        <v>140</v>
      </c>
      <c r="N818" s="86">
        <v>1</v>
      </c>
      <c r="O818" s="91">
        <v>1</v>
      </c>
      <c r="P818" s="86"/>
      <c r="Q818" s="86">
        <f t="shared" si="33"/>
        <v>0</v>
      </c>
      <c r="R818" s="104">
        <f t="shared" si="34"/>
        <v>0</v>
      </c>
      <c r="S818" s="91" t="s">
        <v>23</v>
      </c>
      <c r="T818" s="147"/>
    </row>
    <row r="819" spans="1:20" ht="21.6" x14ac:dyDescent="0.3">
      <c r="A819" s="144">
        <v>2142</v>
      </c>
      <c r="B819" s="64" t="s">
        <v>20</v>
      </c>
      <c r="C819" s="65" t="s">
        <v>267</v>
      </c>
      <c r="D819" s="66" t="s">
        <v>292</v>
      </c>
      <c r="E819" s="64" t="s">
        <v>291</v>
      </c>
      <c r="F819" s="64" t="s">
        <v>123</v>
      </c>
      <c r="G819" s="210" t="s">
        <v>29</v>
      </c>
      <c r="H819" s="67" t="s">
        <v>422</v>
      </c>
      <c r="I819" s="98" t="s">
        <v>22</v>
      </c>
      <c r="J819" s="69">
        <v>0.7</v>
      </c>
      <c r="K819" s="101" t="s">
        <v>513</v>
      </c>
      <c r="L819" s="105" t="s">
        <v>511</v>
      </c>
      <c r="M819" s="101" t="s">
        <v>411</v>
      </c>
      <c r="N819" s="69">
        <v>0.95</v>
      </c>
      <c r="O819" s="69">
        <v>0.15</v>
      </c>
      <c r="P819" s="69"/>
      <c r="Q819" s="69">
        <f t="shared" si="33"/>
        <v>0</v>
      </c>
      <c r="R819" s="100">
        <f t="shared" si="34"/>
        <v>0</v>
      </c>
      <c r="S819" s="69" t="s">
        <v>23</v>
      </c>
      <c r="T819" s="192">
        <f>SUM(R819:R826)%</f>
        <v>0</v>
      </c>
    </row>
    <row r="820" spans="1:20" ht="21.6" x14ac:dyDescent="0.3">
      <c r="A820" s="139">
        <v>2144</v>
      </c>
      <c r="B820" s="42" t="s">
        <v>20</v>
      </c>
      <c r="C820" s="43" t="s">
        <v>267</v>
      </c>
      <c r="D820" s="44" t="s">
        <v>292</v>
      </c>
      <c r="E820" s="42" t="s">
        <v>291</v>
      </c>
      <c r="F820" s="42" t="s">
        <v>123</v>
      </c>
      <c r="G820" s="207" t="s">
        <v>29</v>
      </c>
      <c r="H820" s="45" t="s">
        <v>422</v>
      </c>
      <c r="I820" s="7" t="s">
        <v>22</v>
      </c>
      <c r="J820" s="3">
        <v>0.7</v>
      </c>
      <c r="K820" s="1" t="s">
        <v>124</v>
      </c>
      <c r="L820" s="8" t="s">
        <v>125</v>
      </c>
      <c r="M820" s="7" t="s">
        <v>126</v>
      </c>
      <c r="N820" s="3">
        <v>0.95</v>
      </c>
      <c r="O820" s="3">
        <v>0.15</v>
      </c>
      <c r="P820" s="6"/>
      <c r="Q820" s="3">
        <f t="shared" ref="Q820:Q883" si="35">ROUND(IF(OR(N820="",P820=""),0,IF(AND(N820=0,P820=0),1,IF(S820="+",P820/N820,N820/P820))),2)</f>
        <v>0</v>
      </c>
      <c r="R820" s="4">
        <f t="shared" si="34"/>
        <v>0</v>
      </c>
      <c r="S820" s="3" t="s">
        <v>23</v>
      </c>
      <c r="T820" s="195"/>
    </row>
    <row r="821" spans="1:20" ht="21.6" x14ac:dyDescent="0.3">
      <c r="A821" s="139">
        <v>2145</v>
      </c>
      <c r="B821" s="42" t="s">
        <v>20</v>
      </c>
      <c r="C821" s="43" t="s">
        <v>267</v>
      </c>
      <c r="D821" s="44" t="s">
        <v>292</v>
      </c>
      <c r="E821" s="42" t="s">
        <v>291</v>
      </c>
      <c r="F821" s="42" t="s">
        <v>123</v>
      </c>
      <c r="G821" s="207" t="s">
        <v>29</v>
      </c>
      <c r="H821" s="45" t="s">
        <v>422</v>
      </c>
      <c r="I821" s="7" t="s">
        <v>22</v>
      </c>
      <c r="J821" s="3">
        <v>0.7</v>
      </c>
      <c r="K821" s="1" t="s">
        <v>51</v>
      </c>
      <c r="L821" s="8" t="s">
        <v>127</v>
      </c>
      <c r="M821" s="7" t="s">
        <v>128</v>
      </c>
      <c r="N821" s="6">
        <v>0.05</v>
      </c>
      <c r="O821" s="3">
        <v>0.1</v>
      </c>
      <c r="P821" s="11"/>
      <c r="Q821" s="3">
        <f t="shared" si="35"/>
        <v>0</v>
      </c>
      <c r="R821" s="4">
        <f t="shared" si="34"/>
        <v>0</v>
      </c>
      <c r="S821" s="3" t="s">
        <v>24</v>
      </c>
      <c r="T821" s="195"/>
    </row>
    <row r="822" spans="1:20" ht="21.6" x14ac:dyDescent="0.3">
      <c r="A822" s="139">
        <v>2146</v>
      </c>
      <c r="B822" s="42" t="s">
        <v>20</v>
      </c>
      <c r="C822" s="43" t="s">
        <v>267</v>
      </c>
      <c r="D822" s="44" t="s">
        <v>292</v>
      </c>
      <c r="E822" s="42" t="s">
        <v>291</v>
      </c>
      <c r="F822" s="42" t="s">
        <v>123</v>
      </c>
      <c r="G822" s="207" t="s">
        <v>29</v>
      </c>
      <c r="H822" s="45" t="s">
        <v>422</v>
      </c>
      <c r="I822" s="7" t="s">
        <v>22</v>
      </c>
      <c r="J822" s="3">
        <v>0.7</v>
      </c>
      <c r="K822" s="1" t="s">
        <v>305</v>
      </c>
      <c r="L822" s="8" t="s">
        <v>257</v>
      </c>
      <c r="M822" s="13" t="s">
        <v>306</v>
      </c>
      <c r="N822" s="3">
        <v>0.95</v>
      </c>
      <c r="O822" s="3">
        <v>0.1</v>
      </c>
      <c r="P822" s="3"/>
      <c r="Q822" s="3">
        <f t="shared" si="35"/>
        <v>0</v>
      </c>
      <c r="R822" s="4">
        <f t="shared" si="34"/>
        <v>0</v>
      </c>
      <c r="S822" s="3" t="s">
        <v>23</v>
      </c>
      <c r="T822" s="195"/>
    </row>
    <row r="823" spans="1:20" ht="21.6" x14ac:dyDescent="0.3">
      <c r="A823" s="139">
        <v>2147</v>
      </c>
      <c r="B823" s="42" t="s">
        <v>20</v>
      </c>
      <c r="C823" s="43" t="s">
        <v>267</v>
      </c>
      <c r="D823" s="44" t="s">
        <v>292</v>
      </c>
      <c r="E823" s="42" t="s">
        <v>291</v>
      </c>
      <c r="F823" s="42" t="s">
        <v>123</v>
      </c>
      <c r="G823" s="207" t="s">
        <v>29</v>
      </c>
      <c r="H823" s="45" t="s">
        <v>422</v>
      </c>
      <c r="I823" s="47" t="s">
        <v>22</v>
      </c>
      <c r="J823" s="3">
        <v>0.7</v>
      </c>
      <c r="K823" s="49" t="s">
        <v>129</v>
      </c>
      <c r="L823" s="30" t="s">
        <v>130</v>
      </c>
      <c r="M823" s="47" t="s">
        <v>131</v>
      </c>
      <c r="N823" s="3">
        <v>0.9</v>
      </c>
      <c r="O823" s="10">
        <v>0.2</v>
      </c>
      <c r="P823" s="3"/>
      <c r="Q823" s="3">
        <f t="shared" si="35"/>
        <v>0</v>
      </c>
      <c r="R823" s="48">
        <f t="shared" si="34"/>
        <v>0</v>
      </c>
      <c r="S823" s="10" t="s">
        <v>23</v>
      </c>
      <c r="T823" s="193"/>
    </row>
    <row r="824" spans="1:20" ht="21.6" x14ac:dyDescent="0.3">
      <c r="A824" s="139">
        <v>2148</v>
      </c>
      <c r="B824" s="42" t="s">
        <v>20</v>
      </c>
      <c r="C824" s="43" t="s">
        <v>267</v>
      </c>
      <c r="D824" s="44" t="s">
        <v>292</v>
      </c>
      <c r="E824" s="42" t="s">
        <v>291</v>
      </c>
      <c r="F824" s="42" t="s">
        <v>123</v>
      </c>
      <c r="G824" s="207" t="s">
        <v>29</v>
      </c>
      <c r="H824" s="45" t="s">
        <v>422</v>
      </c>
      <c r="I824" s="47" t="s">
        <v>22</v>
      </c>
      <c r="J824" s="3">
        <v>0.7</v>
      </c>
      <c r="K824" s="49" t="s">
        <v>132</v>
      </c>
      <c r="L824" s="30" t="s">
        <v>133</v>
      </c>
      <c r="M824" s="47" t="s">
        <v>134</v>
      </c>
      <c r="N824" s="4">
        <v>0</v>
      </c>
      <c r="O824" s="10">
        <v>0.1</v>
      </c>
      <c r="P824" s="3"/>
      <c r="Q824" s="3">
        <f t="shared" si="35"/>
        <v>0</v>
      </c>
      <c r="R824" s="48">
        <f t="shared" si="34"/>
        <v>0</v>
      </c>
      <c r="S824" s="10" t="s">
        <v>24</v>
      </c>
      <c r="T824" s="193"/>
    </row>
    <row r="825" spans="1:20" ht="21.6" x14ac:dyDescent="0.3">
      <c r="A825" s="139">
        <v>2149</v>
      </c>
      <c r="B825" s="42" t="s">
        <v>20</v>
      </c>
      <c r="C825" s="43" t="s">
        <v>267</v>
      </c>
      <c r="D825" s="44" t="s">
        <v>292</v>
      </c>
      <c r="E825" s="42" t="s">
        <v>291</v>
      </c>
      <c r="F825" s="42" t="s">
        <v>123</v>
      </c>
      <c r="G825" s="207" t="s">
        <v>29</v>
      </c>
      <c r="H825" s="45" t="s">
        <v>422</v>
      </c>
      <c r="I825" s="47" t="s">
        <v>22</v>
      </c>
      <c r="J825" s="3">
        <v>0.7</v>
      </c>
      <c r="K825" s="49" t="s">
        <v>135</v>
      </c>
      <c r="L825" s="30" t="s">
        <v>136</v>
      </c>
      <c r="M825" s="49" t="s">
        <v>137</v>
      </c>
      <c r="N825" s="3">
        <v>0.9</v>
      </c>
      <c r="O825" s="10">
        <v>0.2</v>
      </c>
      <c r="P825" s="51"/>
      <c r="Q825" s="3">
        <f t="shared" si="35"/>
        <v>0</v>
      </c>
      <c r="R825" s="48">
        <f t="shared" si="34"/>
        <v>0</v>
      </c>
      <c r="S825" s="10" t="s">
        <v>23</v>
      </c>
      <c r="T825" s="193"/>
    </row>
    <row r="826" spans="1:20" ht="22.2" thickBot="1" x14ac:dyDescent="0.35">
      <c r="A826" s="142">
        <v>2150</v>
      </c>
      <c r="B826" s="81" t="s">
        <v>20</v>
      </c>
      <c r="C826" s="82" t="s">
        <v>267</v>
      </c>
      <c r="D826" s="83" t="s">
        <v>292</v>
      </c>
      <c r="E826" s="81" t="s">
        <v>291</v>
      </c>
      <c r="F826" s="81" t="s">
        <v>123</v>
      </c>
      <c r="G826" s="209" t="s">
        <v>29</v>
      </c>
      <c r="H826" s="84" t="s">
        <v>422</v>
      </c>
      <c r="I826" s="85" t="s">
        <v>26</v>
      </c>
      <c r="J826" s="86">
        <v>0.3</v>
      </c>
      <c r="K826" s="115" t="s">
        <v>138</v>
      </c>
      <c r="L826" s="114" t="s">
        <v>139</v>
      </c>
      <c r="M826" s="115" t="s">
        <v>140</v>
      </c>
      <c r="N826" s="86">
        <v>1</v>
      </c>
      <c r="O826" s="91">
        <v>1</v>
      </c>
      <c r="P826" s="86"/>
      <c r="Q826" s="86">
        <f t="shared" si="35"/>
        <v>0</v>
      </c>
      <c r="R826" s="104">
        <f t="shared" si="34"/>
        <v>0</v>
      </c>
      <c r="S826" s="91" t="s">
        <v>23</v>
      </c>
      <c r="T826" s="147"/>
    </row>
    <row r="827" spans="1:20" ht="21.6" x14ac:dyDescent="0.3">
      <c r="A827" s="144">
        <v>2142</v>
      </c>
      <c r="B827" s="64" t="s">
        <v>20</v>
      </c>
      <c r="C827" s="65" t="s">
        <v>267</v>
      </c>
      <c r="D827" s="66" t="s">
        <v>294</v>
      </c>
      <c r="E827" s="64" t="s">
        <v>293</v>
      </c>
      <c r="F827" s="64" t="s">
        <v>123</v>
      </c>
      <c r="G827" s="210" t="s">
        <v>29</v>
      </c>
      <c r="H827" s="67" t="s">
        <v>422</v>
      </c>
      <c r="I827" s="98" t="s">
        <v>22</v>
      </c>
      <c r="J827" s="69">
        <v>0.7</v>
      </c>
      <c r="K827" s="101" t="s">
        <v>513</v>
      </c>
      <c r="L827" s="105" t="s">
        <v>511</v>
      </c>
      <c r="M827" s="101" t="s">
        <v>411</v>
      </c>
      <c r="N827" s="69">
        <v>0.95</v>
      </c>
      <c r="O827" s="69">
        <v>0.15</v>
      </c>
      <c r="P827" s="69"/>
      <c r="Q827" s="69">
        <f t="shared" si="35"/>
        <v>0</v>
      </c>
      <c r="R827" s="100">
        <f t="shared" si="34"/>
        <v>0</v>
      </c>
      <c r="S827" s="69" t="s">
        <v>23</v>
      </c>
      <c r="T827" s="192">
        <f>SUM(R827:R834)%</f>
        <v>0</v>
      </c>
    </row>
    <row r="828" spans="1:20" ht="21.6" x14ac:dyDescent="0.3">
      <c r="A828" s="139">
        <v>2144</v>
      </c>
      <c r="B828" s="42" t="s">
        <v>20</v>
      </c>
      <c r="C828" s="43" t="s">
        <v>267</v>
      </c>
      <c r="D828" s="44" t="s">
        <v>294</v>
      </c>
      <c r="E828" s="42" t="s">
        <v>293</v>
      </c>
      <c r="F828" s="42" t="s">
        <v>123</v>
      </c>
      <c r="G828" s="207" t="s">
        <v>29</v>
      </c>
      <c r="H828" s="45" t="s">
        <v>422</v>
      </c>
      <c r="I828" s="7" t="s">
        <v>22</v>
      </c>
      <c r="J828" s="3">
        <v>0.7</v>
      </c>
      <c r="K828" s="1" t="s">
        <v>124</v>
      </c>
      <c r="L828" s="8" t="s">
        <v>125</v>
      </c>
      <c r="M828" s="7" t="s">
        <v>126</v>
      </c>
      <c r="N828" s="3">
        <v>0.95</v>
      </c>
      <c r="O828" s="3">
        <v>0.15</v>
      </c>
      <c r="P828" s="6"/>
      <c r="Q828" s="3">
        <f t="shared" si="35"/>
        <v>0</v>
      </c>
      <c r="R828" s="4">
        <f t="shared" si="34"/>
        <v>0</v>
      </c>
      <c r="S828" s="3" t="s">
        <v>23</v>
      </c>
      <c r="T828" s="195"/>
    </row>
    <row r="829" spans="1:20" ht="21.6" x14ac:dyDescent="0.3">
      <c r="A829" s="139">
        <v>2145</v>
      </c>
      <c r="B829" s="42" t="s">
        <v>20</v>
      </c>
      <c r="C829" s="43" t="s">
        <v>267</v>
      </c>
      <c r="D829" s="44" t="s">
        <v>294</v>
      </c>
      <c r="E829" s="42" t="s">
        <v>293</v>
      </c>
      <c r="F829" s="42" t="s">
        <v>123</v>
      </c>
      <c r="G829" s="207" t="s">
        <v>29</v>
      </c>
      <c r="H829" s="45" t="s">
        <v>422</v>
      </c>
      <c r="I829" s="7" t="s">
        <v>22</v>
      </c>
      <c r="J829" s="3">
        <v>0.7</v>
      </c>
      <c r="K829" s="1" t="s">
        <v>51</v>
      </c>
      <c r="L829" s="8" t="s">
        <v>127</v>
      </c>
      <c r="M829" s="7" t="s">
        <v>128</v>
      </c>
      <c r="N829" s="6">
        <v>0.05</v>
      </c>
      <c r="O829" s="3">
        <v>0.1</v>
      </c>
      <c r="P829" s="11"/>
      <c r="Q829" s="3">
        <f t="shared" si="35"/>
        <v>0</v>
      </c>
      <c r="R829" s="4">
        <f t="shared" si="34"/>
        <v>0</v>
      </c>
      <c r="S829" s="3" t="s">
        <v>24</v>
      </c>
      <c r="T829" s="195"/>
    </row>
    <row r="830" spans="1:20" ht="21.6" x14ac:dyDescent="0.3">
      <c r="A830" s="139">
        <v>2146</v>
      </c>
      <c r="B830" s="42" t="s">
        <v>20</v>
      </c>
      <c r="C830" s="43" t="s">
        <v>267</v>
      </c>
      <c r="D830" s="44" t="s">
        <v>294</v>
      </c>
      <c r="E830" s="42" t="s">
        <v>293</v>
      </c>
      <c r="F830" s="42" t="s">
        <v>123</v>
      </c>
      <c r="G830" s="207" t="s">
        <v>29</v>
      </c>
      <c r="H830" s="45" t="s">
        <v>422</v>
      </c>
      <c r="I830" s="7" t="s">
        <v>22</v>
      </c>
      <c r="J830" s="3">
        <v>0.7</v>
      </c>
      <c r="K830" s="1" t="s">
        <v>305</v>
      </c>
      <c r="L830" s="8" t="s">
        <v>257</v>
      </c>
      <c r="M830" s="13" t="s">
        <v>306</v>
      </c>
      <c r="N830" s="3">
        <v>0.95</v>
      </c>
      <c r="O830" s="3">
        <v>0.1</v>
      </c>
      <c r="P830" s="3"/>
      <c r="Q830" s="3">
        <f t="shared" si="35"/>
        <v>0</v>
      </c>
      <c r="R830" s="4">
        <f t="shared" si="34"/>
        <v>0</v>
      </c>
      <c r="S830" s="3" t="s">
        <v>23</v>
      </c>
      <c r="T830" s="195"/>
    </row>
    <row r="831" spans="1:20" ht="21.6" x14ac:dyDescent="0.3">
      <c r="A831" s="139">
        <v>2147</v>
      </c>
      <c r="B831" s="42" t="s">
        <v>20</v>
      </c>
      <c r="C831" s="43" t="s">
        <v>267</v>
      </c>
      <c r="D831" s="44" t="s">
        <v>294</v>
      </c>
      <c r="E831" s="42" t="s">
        <v>293</v>
      </c>
      <c r="F831" s="42" t="s">
        <v>123</v>
      </c>
      <c r="G831" s="207" t="s">
        <v>29</v>
      </c>
      <c r="H831" s="45" t="s">
        <v>422</v>
      </c>
      <c r="I831" s="47" t="s">
        <v>22</v>
      </c>
      <c r="J831" s="3">
        <v>0.7</v>
      </c>
      <c r="K831" s="49" t="s">
        <v>129</v>
      </c>
      <c r="L831" s="30" t="s">
        <v>130</v>
      </c>
      <c r="M831" s="47" t="s">
        <v>131</v>
      </c>
      <c r="N831" s="3">
        <v>0.9</v>
      </c>
      <c r="O831" s="10">
        <v>0.2</v>
      </c>
      <c r="P831" s="3"/>
      <c r="Q831" s="3">
        <f t="shared" si="35"/>
        <v>0</v>
      </c>
      <c r="R831" s="48">
        <f t="shared" si="34"/>
        <v>0</v>
      </c>
      <c r="S831" s="10" t="s">
        <v>23</v>
      </c>
      <c r="T831" s="193"/>
    </row>
    <row r="832" spans="1:20" ht="21.6" x14ac:dyDescent="0.3">
      <c r="A832" s="139">
        <v>2148</v>
      </c>
      <c r="B832" s="42" t="s">
        <v>20</v>
      </c>
      <c r="C832" s="43" t="s">
        <v>267</v>
      </c>
      <c r="D832" s="44" t="s">
        <v>294</v>
      </c>
      <c r="E832" s="42" t="s">
        <v>293</v>
      </c>
      <c r="F832" s="42" t="s">
        <v>123</v>
      </c>
      <c r="G832" s="207" t="s">
        <v>29</v>
      </c>
      <c r="H832" s="45" t="s">
        <v>422</v>
      </c>
      <c r="I832" s="47" t="s">
        <v>22</v>
      </c>
      <c r="J832" s="3">
        <v>0.7</v>
      </c>
      <c r="K832" s="49" t="s">
        <v>132</v>
      </c>
      <c r="L832" s="30" t="s">
        <v>133</v>
      </c>
      <c r="M832" s="47" t="s">
        <v>134</v>
      </c>
      <c r="N832" s="4">
        <v>0</v>
      </c>
      <c r="O832" s="10">
        <v>0.1</v>
      </c>
      <c r="P832" s="3"/>
      <c r="Q832" s="3">
        <f t="shared" si="35"/>
        <v>0</v>
      </c>
      <c r="R832" s="48">
        <f t="shared" si="34"/>
        <v>0</v>
      </c>
      <c r="S832" s="10" t="s">
        <v>24</v>
      </c>
      <c r="T832" s="193"/>
    </row>
    <row r="833" spans="1:20" ht="21.6" x14ac:dyDescent="0.3">
      <c r="A833" s="139">
        <v>2149</v>
      </c>
      <c r="B833" s="42" t="s">
        <v>20</v>
      </c>
      <c r="C833" s="43" t="s">
        <v>267</v>
      </c>
      <c r="D833" s="44" t="s">
        <v>294</v>
      </c>
      <c r="E833" s="42" t="s">
        <v>293</v>
      </c>
      <c r="F833" s="42" t="s">
        <v>123</v>
      </c>
      <c r="G833" s="207" t="s">
        <v>29</v>
      </c>
      <c r="H833" s="45" t="s">
        <v>422</v>
      </c>
      <c r="I833" s="47" t="s">
        <v>22</v>
      </c>
      <c r="J833" s="3">
        <v>0.7</v>
      </c>
      <c r="K833" s="49" t="s">
        <v>135</v>
      </c>
      <c r="L833" s="30" t="s">
        <v>136</v>
      </c>
      <c r="M833" s="49" t="s">
        <v>137</v>
      </c>
      <c r="N833" s="3">
        <v>0.9</v>
      </c>
      <c r="O833" s="10">
        <v>0.2</v>
      </c>
      <c r="P833" s="51"/>
      <c r="Q833" s="3">
        <f t="shared" si="35"/>
        <v>0</v>
      </c>
      <c r="R833" s="48">
        <f t="shared" si="34"/>
        <v>0</v>
      </c>
      <c r="S833" s="10" t="s">
        <v>23</v>
      </c>
      <c r="T833" s="193"/>
    </row>
    <row r="834" spans="1:20" ht="22.2" thickBot="1" x14ac:dyDescent="0.35">
      <c r="A834" s="142">
        <v>2150</v>
      </c>
      <c r="B834" s="81" t="s">
        <v>20</v>
      </c>
      <c r="C834" s="82" t="s">
        <v>267</v>
      </c>
      <c r="D834" s="83" t="s">
        <v>294</v>
      </c>
      <c r="E834" s="81" t="s">
        <v>293</v>
      </c>
      <c r="F834" s="81" t="s">
        <v>123</v>
      </c>
      <c r="G834" s="209" t="s">
        <v>29</v>
      </c>
      <c r="H834" s="84" t="s">
        <v>422</v>
      </c>
      <c r="I834" s="85" t="s">
        <v>26</v>
      </c>
      <c r="J834" s="86">
        <v>0.3</v>
      </c>
      <c r="K834" s="115" t="s">
        <v>138</v>
      </c>
      <c r="L834" s="114" t="s">
        <v>139</v>
      </c>
      <c r="M834" s="115" t="s">
        <v>140</v>
      </c>
      <c r="N834" s="86">
        <v>1</v>
      </c>
      <c r="O834" s="91">
        <v>1</v>
      </c>
      <c r="P834" s="86"/>
      <c r="Q834" s="86">
        <f t="shared" si="35"/>
        <v>0</v>
      </c>
      <c r="R834" s="104">
        <f t="shared" si="34"/>
        <v>0</v>
      </c>
      <c r="S834" s="91" t="s">
        <v>23</v>
      </c>
      <c r="T834" s="147"/>
    </row>
    <row r="835" spans="1:20" ht="21.6" x14ac:dyDescent="0.3">
      <c r="A835" s="144">
        <v>2142</v>
      </c>
      <c r="B835" s="64" t="s">
        <v>20</v>
      </c>
      <c r="C835" s="65" t="s">
        <v>267</v>
      </c>
      <c r="D835" s="66" t="s">
        <v>290</v>
      </c>
      <c r="E835" s="64" t="s">
        <v>289</v>
      </c>
      <c r="F835" s="64" t="s">
        <v>123</v>
      </c>
      <c r="G835" s="210" t="s">
        <v>29</v>
      </c>
      <c r="H835" s="67" t="s">
        <v>422</v>
      </c>
      <c r="I835" s="98" t="s">
        <v>22</v>
      </c>
      <c r="J835" s="69">
        <v>0.7</v>
      </c>
      <c r="K835" s="101" t="s">
        <v>513</v>
      </c>
      <c r="L835" s="105" t="s">
        <v>511</v>
      </c>
      <c r="M835" s="101" t="s">
        <v>411</v>
      </c>
      <c r="N835" s="69">
        <v>0.95</v>
      </c>
      <c r="O835" s="69">
        <v>0.15</v>
      </c>
      <c r="P835" s="69"/>
      <c r="Q835" s="69">
        <f t="shared" si="35"/>
        <v>0</v>
      </c>
      <c r="R835" s="100">
        <f t="shared" si="34"/>
        <v>0</v>
      </c>
      <c r="S835" s="69" t="s">
        <v>23</v>
      </c>
      <c r="T835" s="192">
        <f>SUM(R835:R842)%</f>
        <v>0</v>
      </c>
    </row>
    <row r="836" spans="1:20" ht="21.6" x14ac:dyDescent="0.3">
      <c r="A836" s="139">
        <v>2144</v>
      </c>
      <c r="B836" s="42" t="s">
        <v>20</v>
      </c>
      <c r="C836" s="43" t="s">
        <v>267</v>
      </c>
      <c r="D836" s="44" t="s">
        <v>290</v>
      </c>
      <c r="E836" s="42" t="s">
        <v>289</v>
      </c>
      <c r="F836" s="42" t="s">
        <v>123</v>
      </c>
      <c r="G836" s="207" t="s">
        <v>29</v>
      </c>
      <c r="H836" s="45" t="s">
        <v>422</v>
      </c>
      <c r="I836" s="7" t="s">
        <v>22</v>
      </c>
      <c r="J836" s="3">
        <v>0.7</v>
      </c>
      <c r="K836" s="1" t="s">
        <v>124</v>
      </c>
      <c r="L836" s="8" t="s">
        <v>125</v>
      </c>
      <c r="M836" s="7" t="s">
        <v>126</v>
      </c>
      <c r="N836" s="3">
        <v>0.95</v>
      </c>
      <c r="O836" s="3">
        <v>0.15</v>
      </c>
      <c r="P836" s="6"/>
      <c r="Q836" s="3">
        <f t="shared" si="35"/>
        <v>0</v>
      </c>
      <c r="R836" s="4">
        <f t="shared" si="34"/>
        <v>0</v>
      </c>
      <c r="S836" s="3" t="s">
        <v>23</v>
      </c>
      <c r="T836" s="195"/>
    </row>
    <row r="837" spans="1:20" ht="21.6" x14ac:dyDescent="0.3">
      <c r="A837" s="139">
        <v>2145</v>
      </c>
      <c r="B837" s="42" t="s">
        <v>20</v>
      </c>
      <c r="C837" s="43" t="s">
        <v>267</v>
      </c>
      <c r="D837" s="44" t="s">
        <v>290</v>
      </c>
      <c r="E837" s="42" t="s">
        <v>289</v>
      </c>
      <c r="F837" s="42" t="s">
        <v>123</v>
      </c>
      <c r="G837" s="207" t="s">
        <v>29</v>
      </c>
      <c r="H837" s="45" t="s">
        <v>422</v>
      </c>
      <c r="I837" s="7" t="s">
        <v>22</v>
      </c>
      <c r="J837" s="3">
        <v>0.7</v>
      </c>
      <c r="K837" s="1" t="s">
        <v>51</v>
      </c>
      <c r="L837" s="8" t="s">
        <v>127</v>
      </c>
      <c r="M837" s="7" t="s">
        <v>128</v>
      </c>
      <c r="N837" s="6">
        <v>0.05</v>
      </c>
      <c r="O837" s="3">
        <v>0.1</v>
      </c>
      <c r="P837" s="11"/>
      <c r="Q837" s="3">
        <f t="shared" si="35"/>
        <v>0</v>
      </c>
      <c r="R837" s="4">
        <f t="shared" si="34"/>
        <v>0</v>
      </c>
      <c r="S837" s="3" t="s">
        <v>24</v>
      </c>
      <c r="T837" s="195"/>
    </row>
    <row r="838" spans="1:20" ht="21.6" x14ac:dyDescent="0.3">
      <c r="A838" s="139">
        <v>2146</v>
      </c>
      <c r="B838" s="42" t="s">
        <v>20</v>
      </c>
      <c r="C838" s="43" t="s">
        <v>267</v>
      </c>
      <c r="D838" s="44" t="s">
        <v>290</v>
      </c>
      <c r="E838" s="42" t="s">
        <v>289</v>
      </c>
      <c r="F838" s="42" t="s">
        <v>123</v>
      </c>
      <c r="G838" s="207" t="s">
        <v>29</v>
      </c>
      <c r="H838" s="45" t="s">
        <v>422</v>
      </c>
      <c r="I838" s="7" t="s">
        <v>22</v>
      </c>
      <c r="J838" s="3">
        <v>0.7</v>
      </c>
      <c r="K838" s="1" t="s">
        <v>305</v>
      </c>
      <c r="L838" s="8" t="s">
        <v>257</v>
      </c>
      <c r="M838" s="13" t="s">
        <v>306</v>
      </c>
      <c r="N838" s="3">
        <v>0.95</v>
      </c>
      <c r="O838" s="3">
        <v>0.1</v>
      </c>
      <c r="P838" s="3"/>
      <c r="Q838" s="3">
        <f t="shared" si="35"/>
        <v>0</v>
      </c>
      <c r="R838" s="4">
        <f t="shared" si="34"/>
        <v>0</v>
      </c>
      <c r="S838" s="3" t="s">
        <v>23</v>
      </c>
      <c r="T838" s="195"/>
    </row>
    <row r="839" spans="1:20" ht="21.6" x14ac:dyDescent="0.3">
      <c r="A839" s="139">
        <v>2147</v>
      </c>
      <c r="B839" s="42" t="s">
        <v>20</v>
      </c>
      <c r="C839" s="43" t="s">
        <v>267</v>
      </c>
      <c r="D839" s="44" t="s">
        <v>290</v>
      </c>
      <c r="E839" s="42" t="s">
        <v>289</v>
      </c>
      <c r="F839" s="42" t="s">
        <v>123</v>
      </c>
      <c r="G839" s="207" t="s">
        <v>29</v>
      </c>
      <c r="H839" s="45" t="s">
        <v>422</v>
      </c>
      <c r="I839" s="47" t="s">
        <v>22</v>
      </c>
      <c r="J839" s="3">
        <v>0.7</v>
      </c>
      <c r="K839" s="49" t="s">
        <v>129</v>
      </c>
      <c r="L839" s="30" t="s">
        <v>130</v>
      </c>
      <c r="M839" s="47" t="s">
        <v>131</v>
      </c>
      <c r="N839" s="3">
        <v>0.9</v>
      </c>
      <c r="O839" s="10">
        <v>0.2</v>
      </c>
      <c r="P839" s="3"/>
      <c r="Q839" s="3">
        <f t="shared" si="35"/>
        <v>0</v>
      </c>
      <c r="R839" s="48">
        <f t="shared" si="34"/>
        <v>0</v>
      </c>
      <c r="S839" s="10" t="s">
        <v>23</v>
      </c>
      <c r="T839" s="193"/>
    </row>
    <row r="840" spans="1:20" ht="21.6" x14ac:dyDescent="0.3">
      <c r="A840" s="139">
        <v>2148</v>
      </c>
      <c r="B840" s="42" t="s">
        <v>20</v>
      </c>
      <c r="C840" s="43" t="s">
        <v>267</v>
      </c>
      <c r="D840" s="44" t="s">
        <v>290</v>
      </c>
      <c r="E840" s="42" t="s">
        <v>289</v>
      </c>
      <c r="F840" s="42" t="s">
        <v>123</v>
      </c>
      <c r="G840" s="207" t="s">
        <v>29</v>
      </c>
      <c r="H840" s="45" t="s">
        <v>422</v>
      </c>
      <c r="I840" s="47" t="s">
        <v>22</v>
      </c>
      <c r="J840" s="3">
        <v>0.7</v>
      </c>
      <c r="K840" s="49" t="s">
        <v>132</v>
      </c>
      <c r="L840" s="30" t="s">
        <v>133</v>
      </c>
      <c r="M840" s="47" t="s">
        <v>134</v>
      </c>
      <c r="N840" s="4">
        <v>0</v>
      </c>
      <c r="O840" s="10">
        <v>0.1</v>
      </c>
      <c r="P840" s="3"/>
      <c r="Q840" s="3">
        <f t="shared" si="35"/>
        <v>0</v>
      </c>
      <c r="R840" s="48">
        <f t="shared" si="34"/>
        <v>0</v>
      </c>
      <c r="S840" s="10" t="s">
        <v>24</v>
      </c>
      <c r="T840" s="193"/>
    </row>
    <row r="841" spans="1:20" ht="21.6" x14ac:dyDescent="0.3">
      <c r="A841" s="139">
        <v>2149</v>
      </c>
      <c r="B841" s="42" t="s">
        <v>20</v>
      </c>
      <c r="C841" s="43" t="s">
        <v>267</v>
      </c>
      <c r="D841" s="44" t="s">
        <v>290</v>
      </c>
      <c r="E841" s="42" t="s">
        <v>289</v>
      </c>
      <c r="F841" s="42" t="s">
        <v>123</v>
      </c>
      <c r="G841" s="207" t="s">
        <v>29</v>
      </c>
      <c r="H841" s="45" t="s">
        <v>422</v>
      </c>
      <c r="I841" s="47" t="s">
        <v>22</v>
      </c>
      <c r="J841" s="3">
        <v>0.7</v>
      </c>
      <c r="K841" s="49" t="s">
        <v>135</v>
      </c>
      <c r="L841" s="30" t="s">
        <v>136</v>
      </c>
      <c r="M841" s="49" t="s">
        <v>137</v>
      </c>
      <c r="N841" s="3">
        <v>0.9</v>
      </c>
      <c r="O841" s="10">
        <v>0.2</v>
      </c>
      <c r="P841" s="51"/>
      <c r="Q841" s="3">
        <f t="shared" si="35"/>
        <v>0</v>
      </c>
      <c r="R841" s="48">
        <f t="shared" si="34"/>
        <v>0</v>
      </c>
      <c r="S841" s="10" t="s">
        <v>23</v>
      </c>
      <c r="T841" s="193"/>
    </row>
    <row r="842" spans="1:20" ht="22.2" thickBot="1" x14ac:dyDescent="0.35">
      <c r="A842" s="142">
        <v>2150</v>
      </c>
      <c r="B842" s="81" t="s">
        <v>20</v>
      </c>
      <c r="C842" s="82" t="s">
        <v>267</v>
      </c>
      <c r="D842" s="83" t="s">
        <v>290</v>
      </c>
      <c r="E842" s="81" t="s">
        <v>289</v>
      </c>
      <c r="F842" s="81" t="s">
        <v>123</v>
      </c>
      <c r="G842" s="209" t="s">
        <v>29</v>
      </c>
      <c r="H842" s="84" t="s">
        <v>422</v>
      </c>
      <c r="I842" s="85" t="s">
        <v>26</v>
      </c>
      <c r="J842" s="86">
        <v>0.3</v>
      </c>
      <c r="K842" s="115" t="s">
        <v>138</v>
      </c>
      <c r="L842" s="114" t="s">
        <v>139</v>
      </c>
      <c r="M842" s="115" t="s">
        <v>140</v>
      </c>
      <c r="N842" s="86">
        <v>1</v>
      </c>
      <c r="O842" s="91">
        <v>1</v>
      </c>
      <c r="P842" s="86"/>
      <c r="Q842" s="86">
        <f t="shared" si="35"/>
        <v>0</v>
      </c>
      <c r="R842" s="104">
        <f t="shared" si="34"/>
        <v>0</v>
      </c>
      <c r="S842" s="91" t="s">
        <v>23</v>
      </c>
      <c r="T842" s="147"/>
    </row>
    <row r="843" spans="1:20" ht="21.6" x14ac:dyDescent="0.3">
      <c r="A843" s="144">
        <v>2151</v>
      </c>
      <c r="B843" s="64" t="s">
        <v>20</v>
      </c>
      <c r="C843" s="65" t="s">
        <v>267</v>
      </c>
      <c r="D843" s="66" t="s">
        <v>253</v>
      </c>
      <c r="E843" s="64" t="s">
        <v>254</v>
      </c>
      <c r="F843" s="64" t="s">
        <v>145</v>
      </c>
      <c r="G843" s="210" t="s">
        <v>29</v>
      </c>
      <c r="H843" s="67" t="s">
        <v>422</v>
      </c>
      <c r="I843" s="98" t="s">
        <v>22</v>
      </c>
      <c r="J843" s="69">
        <v>0.7</v>
      </c>
      <c r="K843" s="101" t="s">
        <v>513</v>
      </c>
      <c r="L843" s="105" t="s">
        <v>511</v>
      </c>
      <c r="M843" s="101" t="s">
        <v>411</v>
      </c>
      <c r="N843" s="69">
        <v>0.95</v>
      </c>
      <c r="O843" s="69">
        <v>0.15</v>
      </c>
      <c r="P843" s="69"/>
      <c r="Q843" s="69">
        <f t="shared" si="35"/>
        <v>0</v>
      </c>
      <c r="R843" s="100">
        <f t="shared" si="34"/>
        <v>0</v>
      </c>
      <c r="S843" s="69" t="s">
        <v>23</v>
      </c>
      <c r="T843" s="192">
        <f>SUM(R843:R850)%</f>
        <v>0</v>
      </c>
    </row>
    <row r="844" spans="1:20" ht="21.6" x14ac:dyDescent="0.3">
      <c r="A844" s="139">
        <v>2153</v>
      </c>
      <c r="B844" s="42" t="s">
        <v>20</v>
      </c>
      <c r="C844" s="43" t="s">
        <v>267</v>
      </c>
      <c r="D844" s="44" t="s">
        <v>253</v>
      </c>
      <c r="E844" s="42" t="s">
        <v>254</v>
      </c>
      <c r="F844" s="42" t="s">
        <v>145</v>
      </c>
      <c r="G844" s="207" t="s">
        <v>29</v>
      </c>
      <c r="H844" s="45" t="s">
        <v>422</v>
      </c>
      <c r="I844" s="7" t="s">
        <v>22</v>
      </c>
      <c r="J844" s="3">
        <v>0.7</v>
      </c>
      <c r="K844" s="1" t="s">
        <v>124</v>
      </c>
      <c r="L844" s="8" t="s">
        <v>125</v>
      </c>
      <c r="M844" s="7" t="s">
        <v>126</v>
      </c>
      <c r="N844" s="3">
        <v>0.95</v>
      </c>
      <c r="O844" s="3">
        <v>0.15</v>
      </c>
      <c r="P844" s="6"/>
      <c r="Q844" s="3">
        <f t="shared" si="35"/>
        <v>0</v>
      </c>
      <c r="R844" s="4">
        <f t="shared" si="34"/>
        <v>0</v>
      </c>
      <c r="S844" s="3" t="s">
        <v>23</v>
      </c>
      <c r="T844" s="195"/>
    </row>
    <row r="845" spans="1:20" ht="21.6" x14ac:dyDescent="0.3">
      <c r="A845" s="139">
        <v>2154</v>
      </c>
      <c r="B845" s="42" t="s">
        <v>20</v>
      </c>
      <c r="C845" s="43" t="s">
        <v>267</v>
      </c>
      <c r="D845" s="44" t="s">
        <v>253</v>
      </c>
      <c r="E845" s="42" t="s">
        <v>254</v>
      </c>
      <c r="F845" s="42" t="s">
        <v>145</v>
      </c>
      <c r="G845" s="207" t="s">
        <v>29</v>
      </c>
      <c r="H845" s="45" t="s">
        <v>422</v>
      </c>
      <c r="I845" s="7" t="s">
        <v>22</v>
      </c>
      <c r="J845" s="3">
        <v>0.7</v>
      </c>
      <c r="K845" s="1" t="s">
        <v>51</v>
      </c>
      <c r="L845" s="8" t="s">
        <v>127</v>
      </c>
      <c r="M845" s="7" t="s">
        <v>128</v>
      </c>
      <c r="N845" s="6">
        <v>0.05</v>
      </c>
      <c r="O845" s="3">
        <v>0.1</v>
      </c>
      <c r="P845" s="11"/>
      <c r="Q845" s="3">
        <f t="shared" si="35"/>
        <v>0</v>
      </c>
      <c r="R845" s="4">
        <f t="shared" ref="R845:R908" si="36">IF(AND(Q845&gt;=60%,Q845&lt;100%),Q845*((O845*J845)),IF(Q845=100%,((O845*J845)*Q845)*100%,IF(Q845&gt;100%,((J845*O845)*100%)*100%,0)))*100</f>
        <v>0</v>
      </c>
      <c r="S845" s="3" t="s">
        <v>24</v>
      </c>
      <c r="T845" s="195"/>
    </row>
    <row r="846" spans="1:20" ht="21.6" x14ac:dyDescent="0.3">
      <c r="A846" s="139">
        <v>2155</v>
      </c>
      <c r="B846" s="42" t="s">
        <v>20</v>
      </c>
      <c r="C846" s="43" t="s">
        <v>267</v>
      </c>
      <c r="D846" s="44" t="s">
        <v>253</v>
      </c>
      <c r="E846" s="42" t="s">
        <v>254</v>
      </c>
      <c r="F846" s="42" t="s">
        <v>145</v>
      </c>
      <c r="G846" s="207" t="s">
        <v>29</v>
      </c>
      <c r="H846" s="45" t="s">
        <v>422</v>
      </c>
      <c r="I846" s="7" t="s">
        <v>22</v>
      </c>
      <c r="J846" s="3">
        <v>0.7</v>
      </c>
      <c r="K846" s="1" t="s">
        <v>305</v>
      </c>
      <c r="L846" s="8" t="s">
        <v>257</v>
      </c>
      <c r="M846" s="13" t="s">
        <v>306</v>
      </c>
      <c r="N846" s="3">
        <v>0.95</v>
      </c>
      <c r="O846" s="3">
        <v>0.1</v>
      </c>
      <c r="P846" s="3"/>
      <c r="Q846" s="3">
        <f t="shared" si="35"/>
        <v>0</v>
      </c>
      <c r="R846" s="4">
        <f t="shared" si="36"/>
        <v>0</v>
      </c>
      <c r="S846" s="3" t="s">
        <v>23</v>
      </c>
      <c r="T846" s="195"/>
    </row>
    <row r="847" spans="1:20" ht="21.6" x14ac:dyDescent="0.3">
      <c r="A847" s="139">
        <v>2156</v>
      </c>
      <c r="B847" s="42" t="s">
        <v>20</v>
      </c>
      <c r="C847" s="43" t="s">
        <v>267</v>
      </c>
      <c r="D847" s="44" t="s">
        <v>253</v>
      </c>
      <c r="E847" s="42" t="s">
        <v>254</v>
      </c>
      <c r="F847" s="42" t="s">
        <v>145</v>
      </c>
      <c r="G847" s="207" t="s">
        <v>29</v>
      </c>
      <c r="H847" s="45" t="s">
        <v>422</v>
      </c>
      <c r="I847" s="47" t="s">
        <v>22</v>
      </c>
      <c r="J847" s="3">
        <v>0.7</v>
      </c>
      <c r="K847" s="49" t="s">
        <v>129</v>
      </c>
      <c r="L847" s="30" t="s">
        <v>130</v>
      </c>
      <c r="M847" s="47" t="s">
        <v>131</v>
      </c>
      <c r="N847" s="3">
        <v>0.9</v>
      </c>
      <c r="O847" s="10">
        <v>0.2</v>
      </c>
      <c r="P847" s="3"/>
      <c r="Q847" s="3">
        <f t="shared" si="35"/>
        <v>0</v>
      </c>
      <c r="R847" s="48">
        <f t="shared" si="36"/>
        <v>0</v>
      </c>
      <c r="S847" s="10" t="s">
        <v>23</v>
      </c>
      <c r="T847" s="193"/>
    </row>
    <row r="848" spans="1:20" ht="21.6" x14ac:dyDescent="0.3">
      <c r="A848" s="139">
        <v>2157</v>
      </c>
      <c r="B848" s="42" t="s">
        <v>20</v>
      </c>
      <c r="C848" s="43" t="s">
        <v>267</v>
      </c>
      <c r="D848" s="44" t="s">
        <v>253</v>
      </c>
      <c r="E848" s="42" t="s">
        <v>254</v>
      </c>
      <c r="F848" s="42" t="s">
        <v>145</v>
      </c>
      <c r="G848" s="207" t="s">
        <v>29</v>
      </c>
      <c r="H848" s="45" t="s">
        <v>422</v>
      </c>
      <c r="I848" s="47" t="s">
        <v>22</v>
      </c>
      <c r="J848" s="3">
        <v>0.7</v>
      </c>
      <c r="K848" s="49" t="s">
        <v>132</v>
      </c>
      <c r="L848" s="30" t="s">
        <v>133</v>
      </c>
      <c r="M848" s="47" t="s">
        <v>134</v>
      </c>
      <c r="N848" s="4">
        <v>0</v>
      </c>
      <c r="O848" s="10">
        <v>0.1</v>
      </c>
      <c r="P848" s="3"/>
      <c r="Q848" s="3">
        <f t="shared" si="35"/>
        <v>0</v>
      </c>
      <c r="R848" s="48">
        <f t="shared" si="36"/>
        <v>0</v>
      </c>
      <c r="S848" s="10" t="s">
        <v>24</v>
      </c>
      <c r="T848" s="193"/>
    </row>
    <row r="849" spans="1:20" ht="21.6" x14ac:dyDescent="0.3">
      <c r="A849" s="139">
        <v>2158</v>
      </c>
      <c r="B849" s="42" t="s">
        <v>20</v>
      </c>
      <c r="C849" s="43" t="s">
        <v>267</v>
      </c>
      <c r="D849" s="44" t="s">
        <v>253</v>
      </c>
      <c r="E849" s="42" t="s">
        <v>254</v>
      </c>
      <c r="F849" s="42" t="s">
        <v>145</v>
      </c>
      <c r="G849" s="207" t="s">
        <v>29</v>
      </c>
      <c r="H849" s="45" t="s">
        <v>422</v>
      </c>
      <c r="I849" s="47" t="s">
        <v>22</v>
      </c>
      <c r="J849" s="3">
        <v>0.7</v>
      </c>
      <c r="K849" s="49" t="s">
        <v>135</v>
      </c>
      <c r="L849" s="30" t="s">
        <v>136</v>
      </c>
      <c r="M849" s="49" t="s">
        <v>137</v>
      </c>
      <c r="N849" s="3">
        <v>0.9</v>
      </c>
      <c r="O849" s="10">
        <v>0.2</v>
      </c>
      <c r="P849" s="51"/>
      <c r="Q849" s="3">
        <f t="shared" si="35"/>
        <v>0</v>
      </c>
      <c r="R849" s="48">
        <f t="shared" si="36"/>
        <v>0</v>
      </c>
      <c r="S849" s="10" t="s">
        <v>23</v>
      </c>
      <c r="T849" s="193"/>
    </row>
    <row r="850" spans="1:20" ht="22.2" thickBot="1" x14ac:dyDescent="0.35">
      <c r="A850" s="142">
        <v>2159</v>
      </c>
      <c r="B850" s="81" t="s">
        <v>20</v>
      </c>
      <c r="C850" s="82" t="s">
        <v>267</v>
      </c>
      <c r="D850" s="83" t="s">
        <v>253</v>
      </c>
      <c r="E850" s="81" t="s">
        <v>254</v>
      </c>
      <c r="F850" s="81" t="s">
        <v>145</v>
      </c>
      <c r="G850" s="209" t="s">
        <v>29</v>
      </c>
      <c r="H850" s="84" t="s">
        <v>422</v>
      </c>
      <c r="I850" s="85" t="s">
        <v>26</v>
      </c>
      <c r="J850" s="86">
        <v>0.3</v>
      </c>
      <c r="K850" s="115" t="s">
        <v>138</v>
      </c>
      <c r="L850" s="114" t="s">
        <v>139</v>
      </c>
      <c r="M850" s="115" t="s">
        <v>140</v>
      </c>
      <c r="N850" s="86">
        <v>1</v>
      </c>
      <c r="O850" s="91">
        <v>1</v>
      </c>
      <c r="P850" s="86"/>
      <c r="Q850" s="86">
        <f t="shared" si="35"/>
        <v>0</v>
      </c>
      <c r="R850" s="104">
        <f t="shared" si="36"/>
        <v>0</v>
      </c>
      <c r="S850" s="91" t="s">
        <v>23</v>
      </c>
      <c r="T850" s="147"/>
    </row>
    <row r="851" spans="1:20" ht="21.6" x14ac:dyDescent="0.3">
      <c r="A851" s="144">
        <v>2169</v>
      </c>
      <c r="B851" s="64" t="s">
        <v>20</v>
      </c>
      <c r="C851" s="65" t="s">
        <v>267</v>
      </c>
      <c r="D851" s="66" t="s">
        <v>255</v>
      </c>
      <c r="E851" s="64" t="s">
        <v>256</v>
      </c>
      <c r="F851" s="64" t="s">
        <v>123</v>
      </c>
      <c r="G851" s="210" t="s">
        <v>29</v>
      </c>
      <c r="H851" s="67" t="s">
        <v>422</v>
      </c>
      <c r="I851" s="98" t="s">
        <v>22</v>
      </c>
      <c r="J851" s="69">
        <v>0.7</v>
      </c>
      <c r="K851" s="101" t="s">
        <v>513</v>
      </c>
      <c r="L851" s="105" t="s">
        <v>511</v>
      </c>
      <c r="M851" s="101" t="s">
        <v>411</v>
      </c>
      <c r="N851" s="69">
        <v>0.95</v>
      </c>
      <c r="O851" s="69">
        <v>0.15</v>
      </c>
      <c r="P851" s="69"/>
      <c r="Q851" s="69">
        <f t="shared" si="35"/>
        <v>0</v>
      </c>
      <c r="R851" s="100">
        <f t="shared" si="36"/>
        <v>0</v>
      </c>
      <c r="S851" s="69" t="s">
        <v>23</v>
      </c>
      <c r="T851" s="192">
        <f>SUM(R851:R858)%</f>
        <v>0</v>
      </c>
    </row>
    <row r="852" spans="1:20" ht="21.6" x14ac:dyDescent="0.3">
      <c r="A852" s="139">
        <v>2171</v>
      </c>
      <c r="B852" s="42" t="s">
        <v>20</v>
      </c>
      <c r="C852" s="43" t="s">
        <v>267</v>
      </c>
      <c r="D852" s="44" t="s">
        <v>255</v>
      </c>
      <c r="E852" s="42" t="s">
        <v>256</v>
      </c>
      <c r="F852" s="42" t="s">
        <v>123</v>
      </c>
      <c r="G852" s="207" t="s">
        <v>29</v>
      </c>
      <c r="H852" s="45" t="s">
        <v>422</v>
      </c>
      <c r="I852" s="7" t="s">
        <v>22</v>
      </c>
      <c r="J852" s="3">
        <v>0.7</v>
      </c>
      <c r="K852" s="1" t="s">
        <v>124</v>
      </c>
      <c r="L852" s="8" t="s">
        <v>125</v>
      </c>
      <c r="M852" s="7" t="s">
        <v>126</v>
      </c>
      <c r="N852" s="3">
        <v>0.95</v>
      </c>
      <c r="O852" s="3">
        <v>0.15</v>
      </c>
      <c r="P852" s="6"/>
      <c r="Q852" s="3">
        <f t="shared" si="35"/>
        <v>0</v>
      </c>
      <c r="R852" s="4">
        <f t="shared" si="36"/>
        <v>0</v>
      </c>
      <c r="S852" s="3" t="s">
        <v>23</v>
      </c>
      <c r="T852" s="195"/>
    </row>
    <row r="853" spans="1:20" ht="21.6" x14ac:dyDescent="0.3">
      <c r="A853" s="139">
        <v>2172</v>
      </c>
      <c r="B853" s="42" t="s">
        <v>20</v>
      </c>
      <c r="C853" s="43" t="s">
        <v>267</v>
      </c>
      <c r="D853" s="44" t="s">
        <v>255</v>
      </c>
      <c r="E853" s="42" t="s">
        <v>256</v>
      </c>
      <c r="F853" s="42" t="s">
        <v>123</v>
      </c>
      <c r="G853" s="207" t="s">
        <v>29</v>
      </c>
      <c r="H853" s="45" t="s">
        <v>422</v>
      </c>
      <c r="I853" s="7" t="s">
        <v>22</v>
      </c>
      <c r="J853" s="3">
        <v>0.7</v>
      </c>
      <c r="K853" s="1" t="s">
        <v>51</v>
      </c>
      <c r="L853" s="8" t="s">
        <v>127</v>
      </c>
      <c r="M853" s="7" t="s">
        <v>128</v>
      </c>
      <c r="N853" s="6">
        <v>0.05</v>
      </c>
      <c r="O853" s="3">
        <v>0.1</v>
      </c>
      <c r="P853" s="11"/>
      <c r="Q853" s="3">
        <f t="shared" si="35"/>
        <v>0</v>
      </c>
      <c r="R853" s="4">
        <f t="shared" si="36"/>
        <v>0</v>
      </c>
      <c r="S853" s="3" t="s">
        <v>24</v>
      </c>
      <c r="T853" s="195"/>
    </row>
    <row r="854" spans="1:20" ht="21.6" x14ac:dyDescent="0.3">
      <c r="A854" s="139">
        <v>2173</v>
      </c>
      <c r="B854" s="42" t="s">
        <v>20</v>
      </c>
      <c r="C854" s="43" t="s">
        <v>267</v>
      </c>
      <c r="D854" s="44" t="s">
        <v>255</v>
      </c>
      <c r="E854" s="42" t="s">
        <v>256</v>
      </c>
      <c r="F854" s="42" t="s">
        <v>123</v>
      </c>
      <c r="G854" s="207" t="s">
        <v>29</v>
      </c>
      <c r="H854" s="45" t="s">
        <v>422</v>
      </c>
      <c r="I854" s="7" t="s">
        <v>22</v>
      </c>
      <c r="J854" s="3">
        <v>0.7</v>
      </c>
      <c r="K854" s="1" t="s">
        <v>305</v>
      </c>
      <c r="L854" s="8" t="s">
        <v>257</v>
      </c>
      <c r="M854" s="13" t="s">
        <v>306</v>
      </c>
      <c r="N854" s="3">
        <v>0.95</v>
      </c>
      <c r="O854" s="3">
        <v>0.1</v>
      </c>
      <c r="P854" s="3"/>
      <c r="Q854" s="3">
        <f t="shared" si="35"/>
        <v>0</v>
      </c>
      <c r="R854" s="4">
        <f t="shared" si="36"/>
        <v>0</v>
      </c>
      <c r="S854" s="3" t="s">
        <v>23</v>
      </c>
      <c r="T854" s="195"/>
    </row>
    <row r="855" spans="1:20" ht="21.6" x14ac:dyDescent="0.3">
      <c r="A855" s="139">
        <v>2174</v>
      </c>
      <c r="B855" s="42" t="s">
        <v>20</v>
      </c>
      <c r="C855" s="43" t="s">
        <v>267</v>
      </c>
      <c r="D855" s="44" t="s">
        <v>255</v>
      </c>
      <c r="E855" s="42" t="s">
        <v>256</v>
      </c>
      <c r="F855" s="42" t="s">
        <v>123</v>
      </c>
      <c r="G855" s="207" t="s">
        <v>29</v>
      </c>
      <c r="H855" s="45" t="s">
        <v>422</v>
      </c>
      <c r="I855" s="47" t="s">
        <v>22</v>
      </c>
      <c r="J855" s="3">
        <v>0.7</v>
      </c>
      <c r="K855" s="49" t="s">
        <v>129</v>
      </c>
      <c r="L855" s="30" t="s">
        <v>130</v>
      </c>
      <c r="M855" s="47" t="s">
        <v>131</v>
      </c>
      <c r="N855" s="3">
        <v>0.9</v>
      </c>
      <c r="O855" s="10">
        <v>0.2</v>
      </c>
      <c r="P855" s="3"/>
      <c r="Q855" s="3">
        <f t="shared" si="35"/>
        <v>0</v>
      </c>
      <c r="R855" s="48">
        <f t="shared" si="36"/>
        <v>0</v>
      </c>
      <c r="S855" s="10" t="s">
        <v>23</v>
      </c>
      <c r="T855" s="193"/>
    </row>
    <row r="856" spans="1:20" ht="21.6" x14ac:dyDescent="0.3">
      <c r="A856" s="139">
        <v>2175</v>
      </c>
      <c r="B856" s="42" t="s">
        <v>20</v>
      </c>
      <c r="C856" s="43" t="s">
        <v>267</v>
      </c>
      <c r="D856" s="44" t="s">
        <v>255</v>
      </c>
      <c r="E856" s="42" t="s">
        <v>256</v>
      </c>
      <c r="F856" s="42" t="s">
        <v>123</v>
      </c>
      <c r="G856" s="207" t="s">
        <v>29</v>
      </c>
      <c r="H856" s="45" t="s">
        <v>422</v>
      </c>
      <c r="I856" s="47" t="s">
        <v>22</v>
      </c>
      <c r="J856" s="3">
        <v>0.7</v>
      </c>
      <c r="K856" s="49" t="s">
        <v>132</v>
      </c>
      <c r="L856" s="30" t="s">
        <v>133</v>
      </c>
      <c r="M856" s="47" t="s">
        <v>134</v>
      </c>
      <c r="N856" s="4">
        <v>0</v>
      </c>
      <c r="O856" s="10">
        <v>0.1</v>
      </c>
      <c r="P856" s="3"/>
      <c r="Q856" s="3">
        <f t="shared" si="35"/>
        <v>0</v>
      </c>
      <c r="R856" s="48">
        <f t="shared" si="36"/>
        <v>0</v>
      </c>
      <c r="S856" s="10" t="s">
        <v>24</v>
      </c>
      <c r="T856" s="193"/>
    </row>
    <row r="857" spans="1:20" ht="21.6" x14ac:dyDescent="0.3">
      <c r="A857" s="139">
        <v>2176</v>
      </c>
      <c r="B857" s="42" t="s">
        <v>20</v>
      </c>
      <c r="C857" s="43" t="s">
        <v>267</v>
      </c>
      <c r="D857" s="44" t="s">
        <v>255</v>
      </c>
      <c r="E857" s="42" t="s">
        <v>256</v>
      </c>
      <c r="F857" s="42" t="s">
        <v>123</v>
      </c>
      <c r="G857" s="207" t="s">
        <v>29</v>
      </c>
      <c r="H857" s="45" t="s">
        <v>422</v>
      </c>
      <c r="I857" s="47" t="s">
        <v>22</v>
      </c>
      <c r="J857" s="3">
        <v>0.7</v>
      </c>
      <c r="K857" s="49" t="s">
        <v>135</v>
      </c>
      <c r="L857" s="30" t="s">
        <v>136</v>
      </c>
      <c r="M857" s="49" t="s">
        <v>137</v>
      </c>
      <c r="N857" s="3">
        <v>0.9</v>
      </c>
      <c r="O857" s="10">
        <v>0.2</v>
      </c>
      <c r="P857" s="51"/>
      <c r="Q857" s="3">
        <f t="shared" si="35"/>
        <v>0</v>
      </c>
      <c r="R857" s="48">
        <f t="shared" si="36"/>
        <v>0</v>
      </c>
      <c r="S857" s="10" t="s">
        <v>23</v>
      </c>
      <c r="T857" s="193"/>
    </row>
    <row r="858" spans="1:20" ht="22.2" thickBot="1" x14ac:dyDescent="0.35">
      <c r="A858" s="142">
        <v>2177</v>
      </c>
      <c r="B858" s="81" t="s">
        <v>20</v>
      </c>
      <c r="C858" s="82" t="s">
        <v>267</v>
      </c>
      <c r="D858" s="83" t="s">
        <v>255</v>
      </c>
      <c r="E858" s="81" t="s">
        <v>256</v>
      </c>
      <c r="F858" s="81" t="s">
        <v>123</v>
      </c>
      <c r="G858" s="209" t="s">
        <v>29</v>
      </c>
      <c r="H858" s="84" t="s">
        <v>422</v>
      </c>
      <c r="I858" s="85" t="s">
        <v>26</v>
      </c>
      <c r="J858" s="86">
        <v>0.3</v>
      </c>
      <c r="K858" s="115" t="s">
        <v>138</v>
      </c>
      <c r="L858" s="114" t="s">
        <v>139</v>
      </c>
      <c r="M858" s="115" t="s">
        <v>140</v>
      </c>
      <c r="N858" s="86">
        <v>1</v>
      </c>
      <c r="O858" s="91">
        <v>1</v>
      </c>
      <c r="P858" s="86"/>
      <c r="Q858" s="86">
        <f t="shared" si="35"/>
        <v>0</v>
      </c>
      <c r="R858" s="104">
        <f t="shared" si="36"/>
        <v>0</v>
      </c>
      <c r="S858" s="91" t="s">
        <v>23</v>
      </c>
      <c r="T858" s="147"/>
    </row>
    <row r="859" spans="1:20" ht="21.6" x14ac:dyDescent="0.3">
      <c r="A859" s="144">
        <v>2169</v>
      </c>
      <c r="B859" s="64" t="s">
        <v>20</v>
      </c>
      <c r="C859" s="65" t="s">
        <v>267</v>
      </c>
      <c r="D859" s="66" t="s">
        <v>288</v>
      </c>
      <c r="E859" s="64" t="s">
        <v>287</v>
      </c>
      <c r="F859" s="64" t="s">
        <v>264</v>
      </c>
      <c r="G859" s="210" t="s">
        <v>29</v>
      </c>
      <c r="H859" s="67" t="s">
        <v>422</v>
      </c>
      <c r="I859" s="98" t="s">
        <v>22</v>
      </c>
      <c r="J859" s="69">
        <v>0.7</v>
      </c>
      <c r="K859" s="101" t="s">
        <v>513</v>
      </c>
      <c r="L859" s="105" t="s">
        <v>511</v>
      </c>
      <c r="M859" s="101" t="s">
        <v>411</v>
      </c>
      <c r="N859" s="69">
        <v>0.95</v>
      </c>
      <c r="O859" s="69">
        <v>0.15</v>
      </c>
      <c r="P859" s="69"/>
      <c r="Q859" s="69">
        <f t="shared" si="35"/>
        <v>0</v>
      </c>
      <c r="R859" s="100">
        <f t="shared" si="36"/>
        <v>0</v>
      </c>
      <c r="S859" s="69" t="s">
        <v>23</v>
      </c>
      <c r="T859" s="192">
        <f>SUM(R859:R866)%</f>
        <v>0</v>
      </c>
    </row>
    <row r="860" spans="1:20" ht="21.6" x14ac:dyDescent="0.3">
      <c r="A860" s="139">
        <v>2171</v>
      </c>
      <c r="B860" s="42" t="s">
        <v>20</v>
      </c>
      <c r="C860" s="43" t="s">
        <v>267</v>
      </c>
      <c r="D860" s="44" t="s">
        <v>288</v>
      </c>
      <c r="E860" s="42" t="s">
        <v>287</v>
      </c>
      <c r="F860" s="42" t="s">
        <v>264</v>
      </c>
      <c r="G860" s="207" t="s">
        <v>29</v>
      </c>
      <c r="H860" s="45" t="s">
        <v>422</v>
      </c>
      <c r="I860" s="7" t="s">
        <v>22</v>
      </c>
      <c r="J860" s="3">
        <v>0.7</v>
      </c>
      <c r="K860" s="1" t="s">
        <v>124</v>
      </c>
      <c r="L860" s="8" t="s">
        <v>125</v>
      </c>
      <c r="M860" s="7" t="s">
        <v>126</v>
      </c>
      <c r="N860" s="3">
        <v>0.95</v>
      </c>
      <c r="O860" s="3">
        <v>0.15</v>
      </c>
      <c r="P860" s="6"/>
      <c r="Q860" s="3">
        <f t="shared" si="35"/>
        <v>0</v>
      </c>
      <c r="R860" s="4">
        <f t="shared" si="36"/>
        <v>0</v>
      </c>
      <c r="S860" s="3" t="s">
        <v>23</v>
      </c>
      <c r="T860" s="195"/>
    </row>
    <row r="861" spans="1:20" ht="21.6" x14ac:dyDescent="0.3">
      <c r="A861" s="139">
        <v>2172</v>
      </c>
      <c r="B861" s="42" t="s">
        <v>20</v>
      </c>
      <c r="C861" s="43" t="s">
        <v>267</v>
      </c>
      <c r="D861" s="44" t="s">
        <v>288</v>
      </c>
      <c r="E861" s="42" t="s">
        <v>287</v>
      </c>
      <c r="F861" s="42" t="s">
        <v>264</v>
      </c>
      <c r="G861" s="207" t="s">
        <v>29</v>
      </c>
      <c r="H861" s="45" t="s">
        <v>422</v>
      </c>
      <c r="I861" s="7" t="s">
        <v>22</v>
      </c>
      <c r="J861" s="3">
        <v>0.7</v>
      </c>
      <c r="K861" s="1" t="s">
        <v>51</v>
      </c>
      <c r="L861" s="8" t="s">
        <v>127</v>
      </c>
      <c r="M861" s="7" t="s">
        <v>128</v>
      </c>
      <c r="N861" s="6">
        <v>0.05</v>
      </c>
      <c r="O861" s="3">
        <v>0.1</v>
      </c>
      <c r="P861" s="11"/>
      <c r="Q861" s="3">
        <f t="shared" si="35"/>
        <v>0</v>
      </c>
      <c r="R861" s="4">
        <f t="shared" si="36"/>
        <v>0</v>
      </c>
      <c r="S861" s="3" t="s">
        <v>24</v>
      </c>
      <c r="T861" s="195"/>
    </row>
    <row r="862" spans="1:20" ht="21.6" x14ac:dyDescent="0.3">
      <c r="A862" s="139">
        <v>2173</v>
      </c>
      <c r="B862" s="42" t="s">
        <v>20</v>
      </c>
      <c r="C862" s="43" t="s">
        <v>267</v>
      </c>
      <c r="D862" s="44" t="s">
        <v>288</v>
      </c>
      <c r="E862" s="42" t="s">
        <v>287</v>
      </c>
      <c r="F862" s="42" t="s">
        <v>264</v>
      </c>
      <c r="G862" s="207" t="s">
        <v>29</v>
      </c>
      <c r="H862" s="45" t="s">
        <v>422</v>
      </c>
      <c r="I862" s="7" t="s">
        <v>22</v>
      </c>
      <c r="J862" s="3">
        <v>0.7</v>
      </c>
      <c r="K862" s="1" t="s">
        <v>305</v>
      </c>
      <c r="L862" s="8" t="s">
        <v>257</v>
      </c>
      <c r="M862" s="13" t="s">
        <v>306</v>
      </c>
      <c r="N862" s="3">
        <v>0.95</v>
      </c>
      <c r="O862" s="3">
        <v>0.1</v>
      </c>
      <c r="P862" s="3"/>
      <c r="Q862" s="3">
        <f t="shared" si="35"/>
        <v>0</v>
      </c>
      <c r="R862" s="4">
        <f t="shared" si="36"/>
        <v>0</v>
      </c>
      <c r="S862" s="3" t="s">
        <v>23</v>
      </c>
      <c r="T862" s="195"/>
    </row>
    <row r="863" spans="1:20" ht="21.6" x14ac:dyDescent="0.3">
      <c r="A863" s="139">
        <v>2174</v>
      </c>
      <c r="B863" s="42" t="s">
        <v>20</v>
      </c>
      <c r="C863" s="43" t="s">
        <v>267</v>
      </c>
      <c r="D863" s="44" t="s">
        <v>288</v>
      </c>
      <c r="E863" s="42" t="s">
        <v>287</v>
      </c>
      <c r="F863" s="42" t="s">
        <v>264</v>
      </c>
      <c r="G863" s="207" t="s">
        <v>29</v>
      </c>
      <c r="H863" s="45" t="s">
        <v>422</v>
      </c>
      <c r="I863" s="47" t="s">
        <v>22</v>
      </c>
      <c r="J863" s="3">
        <v>0.7</v>
      </c>
      <c r="K863" s="49" t="s">
        <v>129</v>
      </c>
      <c r="L863" s="30" t="s">
        <v>130</v>
      </c>
      <c r="M863" s="47" t="s">
        <v>131</v>
      </c>
      <c r="N863" s="3">
        <v>0.9</v>
      </c>
      <c r="O863" s="10">
        <v>0.2</v>
      </c>
      <c r="P863" s="3"/>
      <c r="Q863" s="3">
        <f t="shared" si="35"/>
        <v>0</v>
      </c>
      <c r="R863" s="48">
        <f t="shared" si="36"/>
        <v>0</v>
      </c>
      <c r="S863" s="10" t="s">
        <v>23</v>
      </c>
      <c r="T863" s="193"/>
    </row>
    <row r="864" spans="1:20" ht="21.6" x14ac:dyDescent="0.3">
      <c r="A864" s="139">
        <v>2175</v>
      </c>
      <c r="B864" s="42" t="s">
        <v>20</v>
      </c>
      <c r="C864" s="43" t="s">
        <v>267</v>
      </c>
      <c r="D864" s="44" t="s">
        <v>288</v>
      </c>
      <c r="E864" s="42" t="s">
        <v>287</v>
      </c>
      <c r="F864" s="42" t="s">
        <v>264</v>
      </c>
      <c r="G864" s="207" t="s">
        <v>29</v>
      </c>
      <c r="H864" s="45" t="s">
        <v>422</v>
      </c>
      <c r="I864" s="47" t="s">
        <v>22</v>
      </c>
      <c r="J864" s="3">
        <v>0.7</v>
      </c>
      <c r="K864" s="49" t="s">
        <v>132</v>
      </c>
      <c r="L864" s="30" t="s">
        <v>133</v>
      </c>
      <c r="M864" s="47" t="s">
        <v>134</v>
      </c>
      <c r="N864" s="4">
        <v>0</v>
      </c>
      <c r="O864" s="10">
        <v>0.1</v>
      </c>
      <c r="P864" s="3"/>
      <c r="Q864" s="3">
        <f t="shared" si="35"/>
        <v>0</v>
      </c>
      <c r="R864" s="48">
        <f t="shared" si="36"/>
        <v>0</v>
      </c>
      <c r="S864" s="10" t="s">
        <v>24</v>
      </c>
      <c r="T864" s="193"/>
    </row>
    <row r="865" spans="1:20" ht="21.6" x14ac:dyDescent="0.3">
      <c r="A865" s="139">
        <v>2176</v>
      </c>
      <c r="B865" s="42" t="s">
        <v>20</v>
      </c>
      <c r="C865" s="43" t="s">
        <v>267</v>
      </c>
      <c r="D865" s="44" t="s">
        <v>288</v>
      </c>
      <c r="E865" s="42" t="s">
        <v>287</v>
      </c>
      <c r="F865" s="42" t="s">
        <v>264</v>
      </c>
      <c r="G865" s="207" t="s">
        <v>29</v>
      </c>
      <c r="H865" s="45" t="s">
        <v>422</v>
      </c>
      <c r="I865" s="47" t="s">
        <v>22</v>
      </c>
      <c r="J865" s="3">
        <v>0.7</v>
      </c>
      <c r="K865" s="49" t="s">
        <v>135</v>
      </c>
      <c r="L865" s="30" t="s">
        <v>136</v>
      </c>
      <c r="M865" s="49" t="s">
        <v>137</v>
      </c>
      <c r="N865" s="3">
        <v>0.9</v>
      </c>
      <c r="O865" s="10">
        <v>0.2</v>
      </c>
      <c r="P865" s="51"/>
      <c r="Q865" s="3">
        <f t="shared" si="35"/>
        <v>0</v>
      </c>
      <c r="R865" s="48">
        <f t="shared" si="36"/>
        <v>0</v>
      </c>
      <c r="S865" s="10" t="s">
        <v>23</v>
      </c>
      <c r="T865" s="193"/>
    </row>
    <row r="866" spans="1:20" ht="22.2" thickBot="1" x14ac:dyDescent="0.35">
      <c r="A866" s="142">
        <v>2177</v>
      </c>
      <c r="B866" s="81" t="s">
        <v>20</v>
      </c>
      <c r="C866" s="82" t="s">
        <v>267</v>
      </c>
      <c r="D866" s="83" t="s">
        <v>288</v>
      </c>
      <c r="E866" s="81" t="s">
        <v>287</v>
      </c>
      <c r="F866" s="81" t="s">
        <v>264</v>
      </c>
      <c r="G866" s="209" t="s">
        <v>29</v>
      </c>
      <c r="H866" s="84" t="s">
        <v>422</v>
      </c>
      <c r="I866" s="85" t="s">
        <v>26</v>
      </c>
      <c r="J866" s="86">
        <v>0.3</v>
      </c>
      <c r="K866" s="115" t="s">
        <v>138</v>
      </c>
      <c r="L866" s="114" t="s">
        <v>139</v>
      </c>
      <c r="M866" s="115" t="s">
        <v>140</v>
      </c>
      <c r="N866" s="86">
        <v>1</v>
      </c>
      <c r="O866" s="91">
        <v>1</v>
      </c>
      <c r="P866" s="86"/>
      <c r="Q866" s="86">
        <f t="shared" si="35"/>
        <v>0</v>
      </c>
      <c r="R866" s="104">
        <f t="shared" si="36"/>
        <v>0</v>
      </c>
      <c r="S866" s="91" t="s">
        <v>23</v>
      </c>
      <c r="T866" s="147"/>
    </row>
    <row r="867" spans="1:20" ht="21.6" x14ac:dyDescent="0.3">
      <c r="A867" s="144">
        <v>2070</v>
      </c>
      <c r="B867" s="64" t="s">
        <v>20</v>
      </c>
      <c r="C867" s="65" t="s">
        <v>267</v>
      </c>
      <c r="D867" s="66" t="s">
        <v>342</v>
      </c>
      <c r="E867" s="64" t="s">
        <v>341</v>
      </c>
      <c r="F867" s="64" t="s">
        <v>143</v>
      </c>
      <c r="G867" s="210" t="s">
        <v>367</v>
      </c>
      <c r="H867" s="67" t="s">
        <v>469</v>
      </c>
      <c r="I867" s="98" t="s">
        <v>22</v>
      </c>
      <c r="J867" s="69">
        <v>0.7</v>
      </c>
      <c r="K867" s="101" t="s">
        <v>513</v>
      </c>
      <c r="L867" s="105" t="s">
        <v>511</v>
      </c>
      <c r="M867" s="101" t="s">
        <v>411</v>
      </c>
      <c r="N867" s="69">
        <v>0.95</v>
      </c>
      <c r="O867" s="69">
        <v>0.15</v>
      </c>
      <c r="P867" s="69"/>
      <c r="Q867" s="69">
        <f t="shared" si="35"/>
        <v>0</v>
      </c>
      <c r="R867" s="100">
        <f t="shared" si="36"/>
        <v>0</v>
      </c>
      <c r="S867" s="69" t="s">
        <v>23</v>
      </c>
      <c r="T867" s="192">
        <f>SUM(R867:R874)%</f>
        <v>0</v>
      </c>
    </row>
    <row r="868" spans="1:20" ht="21.6" x14ac:dyDescent="0.3">
      <c r="A868" s="139">
        <v>2072</v>
      </c>
      <c r="B868" s="42" t="s">
        <v>20</v>
      </c>
      <c r="C868" s="43" t="s">
        <v>267</v>
      </c>
      <c r="D868" s="44" t="s">
        <v>342</v>
      </c>
      <c r="E868" s="42" t="s">
        <v>341</v>
      </c>
      <c r="F868" s="42" t="s">
        <v>143</v>
      </c>
      <c r="G868" s="207" t="s">
        <v>367</v>
      </c>
      <c r="H868" s="45" t="s">
        <v>469</v>
      </c>
      <c r="I868" s="7" t="s">
        <v>22</v>
      </c>
      <c r="J868" s="3">
        <v>0.7</v>
      </c>
      <c r="K868" s="1" t="s">
        <v>124</v>
      </c>
      <c r="L868" s="8" t="s">
        <v>125</v>
      </c>
      <c r="M868" s="7" t="s">
        <v>126</v>
      </c>
      <c r="N868" s="3">
        <v>0.95</v>
      </c>
      <c r="O868" s="3">
        <v>0.15</v>
      </c>
      <c r="P868" s="6"/>
      <c r="Q868" s="3">
        <f t="shared" si="35"/>
        <v>0</v>
      </c>
      <c r="R868" s="4">
        <f t="shared" si="36"/>
        <v>0</v>
      </c>
      <c r="S868" s="3" t="s">
        <v>23</v>
      </c>
      <c r="T868" s="195"/>
    </row>
    <row r="869" spans="1:20" ht="21.6" x14ac:dyDescent="0.3">
      <c r="A869" s="139">
        <v>2073</v>
      </c>
      <c r="B869" s="42" t="s">
        <v>20</v>
      </c>
      <c r="C869" s="43" t="s">
        <v>267</v>
      </c>
      <c r="D869" s="44" t="s">
        <v>342</v>
      </c>
      <c r="E869" s="42" t="s">
        <v>341</v>
      </c>
      <c r="F869" s="42" t="s">
        <v>143</v>
      </c>
      <c r="G869" s="207" t="s">
        <v>367</v>
      </c>
      <c r="H869" s="45" t="s">
        <v>469</v>
      </c>
      <c r="I869" s="7" t="s">
        <v>22</v>
      </c>
      <c r="J869" s="3">
        <v>0.7</v>
      </c>
      <c r="K869" s="1" t="s">
        <v>51</v>
      </c>
      <c r="L869" s="8" t="s">
        <v>127</v>
      </c>
      <c r="M869" s="7" t="s">
        <v>128</v>
      </c>
      <c r="N869" s="6">
        <v>0.05</v>
      </c>
      <c r="O869" s="3">
        <v>0.1</v>
      </c>
      <c r="P869" s="11"/>
      <c r="Q869" s="3">
        <f t="shared" si="35"/>
        <v>0</v>
      </c>
      <c r="R869" s="4">
        <f t="shared" si="36"/>
        <v>0</v>
      </c>
      <c r="S869" s="3" t="s">
        <v>24</v>
      </c>
      <c r="T869" s="195"/>
    </row>
    <row r="870" spans="1:20" ht="21.6" x14ac:dyDescent="0.3">
      <c r="A870" s="139">
        <v>2074</v>
      </c>
      <c r="B870" s="42" t="s">
        <v>20</v>
      </c>
      <c r="C870" s="43" t="s">
        <v>267</v>
      </c>
      <c r="D870" s="44" t="s">
        <v>342</v>
      </c>
      <c r="E870" s="42" t="s">
        <v>341</v>
      </c>
      <c r="F870" s="42" t="s">
        <v>143</v>
      </c>
      <c r="G870" s="207" t="s">
        <v>367</v>
      </c>
      <c r="H870" s="45" t="s">
        <v>469</v>
      </c>
      <c r="I870" s="7" t="s">
        <v>22</v>
      </c>
      <c r="J870" s="3">
        <v>0.7</v>
      </c>
      <c r="K870" s="1" t="s">
        <v>305</v>
      </c>
      <c r="L870" s="8" t="s">
        <v>257</v>
      </c>
      <c r="M870" s="13" t="s">
        <v>306</v>
      </c>
      <c r="N870" s="3">
        <v>0.95</v>
      </c>
      <c r="O870" s="3">
        <v>0.1</v>
      </c>
      <c r="P870" s="3"/>
      <c r="Q870" s="3">
        <f t="shared" si="35"/>
        <v>0</v>
      </c>
      <c r="R870" s="4">
        <f t="shared" si="36"/>
        <v>0</v>
      </c>
      <c r="S870" s="3" t="s">
        <v>23</v>
      </c>
      <c r="T870" s="195"/>
    </row>
    <row r="871" spans="1:20" ht="21.6" x14ac:dyDescent="0.3">
      <c r="A871" s="139">
        <v>2075</v>
      </c>
      <c r="B871" s="42" t="s">
        <v>20</v>
      </c>
      <c r="C871" s="43" t="s">
        <v>267</v>
      </c>
      <c r="D871" s="44" t="s">
        <v>342</v>
      </c>
      <c r="E871" s="42" t="s">
        <v>341</v>
      </c>
      <c r="F871" s="42" t="s">
        <v>143</v>
      </c>
      <c r="G871" s="207" t="s">
        <v>367</v>
      </c>
      <c r="H871" s="45" t="s">
        <v>469</v>
      </c>
      <c r="I871" s="47" t="s">
        <v>22</v>
      </c>
      <c r="J871" s="3">
        <v>0.7</v>
      </c>
      <c r="K871" s="49" t="s">
        <v>129</v>
      </c>
      <c r="L871" s="30" t="s">
        <v>130</v>
      </c>
      <c r="M871" s="47" t="s">
        <v>131</v>
      </c>
      <c r="N871" s="3">
        <v>0.9</v>
      </c>
      <c r="O871" s="10">
        <v>0.2</v>
      </c>
      <c r="P871" s="3"/>
      <c r="Q871" s="3">
        <f t="shared" si="35"/>
        <v>0</v>
      </c>
      <c r="R871" s="48">
        <f t="shared" si="36"/>
        <v>0</v>
      </c>
      <c r="S871" s="10" t="s">
        <v>23</v>
      </c>
      <c r="T871" s="193"/>
    </row>
    <row r="872" spans="1:20" ht="21.6" x14ac:dyDescent="0.3">
      <c r="A872" s="139">
        <v>2076</v>
      </c>
      <c r="B872" s="42" t="s">
        <v>20</v>
      </c>
      <c r="C872" s="43" t="s">
        <v>267</v>
      </c>
      <c r="D872" s="44" t="s">
        <v>342</v>
      </c>
      <c r="E872" s="42" t="s">
        <v>341</v>
      </c>
      <c r="F872" s="42" t="s">
        <v>143</v>
      </c>
      <c r="G872" s="207" t="s">
        <v>367</v>
      </c>
      <c r="H872" s="45" t="s">
        <v>469</v>
      </c>
      <c r="I872" s="47" t="s">
        <v>22</v>
      </c>
      <c r="J872" s="3">
        <v>0.7</v>
      </c>
      <c r="K872" s="49" t="s">
        <v>132</v>
      </c>
      <c r="L872" s="30" t="s">
        <v>133</v>
      </c>
      <c r="M872" s="47" t="s">
        <v>134</v>
      </c>
      <c r="N872" s="4">
        <v>0</v>
      </c>
      <c r="O872" s="10">
        <v>0.1</v>
      </c>
      <c r="P872" s="3"/>
      <c r="Q872" s="3">
        <f t="shared" si="35"/>
        <v>0</v>
      </c>
      <c r="R872" s="48">
        <f t="shared" si="36"/>
        <v>0</v>
      </c>
      <c r="S872" s="10" t="s">
        <v>24</v>
      </c>
      <c r="T872" s="193"/>
    </row>
    <row r="873" spans="1:20" ht="21.6" x14ac:dyDescent="0.3">
      <c r="A873" s="139">
        <v>2077</v>
      </c>
      <c r="B873" s="42" t="s">
        <v>20</v>
      </c>
      <c r="C873" s="43" t="s">
        <v>267</v>
      </c>
      <c r="D873" s="44" t="s">
        <v>342</v>
      </c>
      <c r="E873" s="42" t="s">
        <v>341</v>
      </c>
      <c r="F873" s="42" t="s">
        <v>143</v>
      </c>
      <c r="G873" s="207" t="s">
        <v>367</v>
      </c>
      <c r="H873" s="45" t="s">
        <v>469</v>
      </c>
      <c r="I873" s="47" t="s">
        <v>22</v>
      </c>
      <c r="J873" s="3">
        <v>0.7</v>
      </c>
      <c r="K873" s="49" t="s">
        <v>135</v>
      </c>
      <c r="L873" s="30" t="s">
        <v>136</v>
      </c>
      <c r="M873" s="49" t="s">
        <v>137</v>
      </c>
      <c r="N873" s="3">
        <v>0.9</v>
      </c>
      <c r="O873" s="10">
        <v>0.2</v>
      </c>
      <c r="P873" s="51"/>
      <c r="Q873" s="3">
        <f t="shared" si="35"/>
        <v>0</v>
      </c>
      <c r="R873" s="48">
        <f t="shared" si="36"/>
        <v>0</v>
      </c>
      <c r="S873" s="10" t="s">
        <v>23</v>
      </c>
      <c r="T873" s="193"/>
    </row>
    <row r="874" spans="1:20" ht="22.2" thickBot="1" x14ac:dyDescent="0.35">
      <c r="A874" s="142">
        <v>2078</v>
      </c>
      <c r="B874" s="81" t="s">
        <v>20</v>
      </c>
      <c r="C874" s="82" t="s">
        <v>267</v>
      </c>
      <c r="D874" s="83" t="s">
        <v>342</v>
      </c>
      <c r="E874" s="81" t="s">
        <v>341</v>
      </c>
      <c r="F874" s="81" t="s">
        <v>143</v>
      </c>
      <c r="G874" s="209" t="s">
        <v>367</v>
      </c>
      <c r="H874" s="84" t="s">
        <v>469</v>
      </c>
      <c r="I874" s="85" t="s">
        <v>26</v>
      </c>
      <c r="J874" s="86">
        <v>0.3</v>
      </c>
      <c r="K874" s="115" t="s">
        <v>138</v>
      </c>
      <c r="L874" s="114" t="s">
        <v>139</v>
      </c>
      <c r="M874" s="115" t="s">
        <v>140</v>
      </c>
      <c r="N874" s="86">
        <v>1</v>
      </c>
      <c r="O874" s="91">
        <v>1</v>
      </c>
      <c r="P874" s="86"/>
      <c r="Q874" s="86">
        <f t="shared" si="35"/>
        <v>0</v>
      </c>
      <c r="R874" s="104">
        <f t="shared" si="36"/>
        <v>0</v>
      </c>
      <c r="S874" s="91" t="s">
        <v>23</v>
      </c>
      <c r="T874" s="147"/>
    </row>
    <row r="875" spans="1:20" ht="21.6" x14ac:dyDescent="0.3">
      <c r="A875" s="144">
        <v>2079</v>
      </c>
      <c r="B875" s="64" t="s">
        <v>20</v>
      </c>
      <c r="C875" s="65" t="s">
        <v>267</v>
      </c>
      <c r="D875" s="66" t="s">
        <v>344</v>
      </c>
      <c r="E875" s="64" t="s">
        <v>343</v>
      </c>
      <c r="F875" s="64" t="s">
        <v>143</v>
      </c>
      <c r="G875" s="210" t="s">
        <v>367</v>
      </c>
      <c r="H875" s="67" t="s">
        <v>469</v>
      </c>
      <c r="I875" s="98" t="s">
        <v>22</v>
      </c>
      <c r="J875" s="69">
        <v>0.7</v>
      </c>
      <c r="K875" s="101" t="s">
        <v>513</v>
      </c>
      <c r="L875" s="105" t="s">
        <v>511</v>
      </c>
      <c r="M875" s="101" t="s">
        <v>411</v>
      </c>
      <c r="N875" s="69">
        <v>0.95</v>
      </c>
      <c r="O875" s="69">
        <v>0.15</v>
      </c>
      <c r="P875" s="69"/>
      <c r="Q875" s="69">
        <f t="shared" si="35"/>
        <v>0</v>
      </c>
      <c r="R875" s="100">
        <f t="shared" si="36"/>
        <v>0</v>
      </c>
      <c r="S875" s="69" t="s">
        <v>23</v>
      </c>
      <c r="T875" s="192">
        <f>SUM(R875:R882)%</f>
        <v>0</v>
      </c>
    </row>
    <row r="876" spans="1:20" ht="21.6" x14ac:dyDescent="0.3">
      <c r="A876" s="139">
        <v>2081</v>
      </c>
      <c r="B876" s="42" t="s">
        <v>20</v>
      </c>
      <c r="C876" s="43" t="s">
        <v>267</v>
      </c>
      <c r="D876" s="44" t="s">
        <v>344</v>
      </c>
      <c r="E876" s="42" t="s">
        <v>343</v>
      </c>
      <c r="F876" s="42" t="s">
        <v>143</v>
      </c>
      <c r="G876" s="207" t="s">
        <v>367</v>
      </c>
      <c r="H876" s="45" t="s">
        <v>469</v>
      </c>
      <c r="I876" s="7" t="s">
        <v>22</v>
      </c>
      <c r="J876" s="3">
        <v>0.7</v>
      </c>
      <c r="K876" s="1" t="s">
        <v>124</v>
      </c>
      <c r="L876" s="8" t="s">
        <v>125</v>
      </c>
      <c r="M876" s="7" t="s">
        <v>126</v>
      </c>
      <c r="N876" s="3">
        <v>0.95</v>
      </c>
      <c r="O876" s="3">
        <v>0.15</v>
      </c>
      <c r="P876" s="6"/>
      <c r="Q876" s="3">
        <f t="shared" si="35"/>
        <v>0</v>
      </c>
      <c r="R876" s="4">
        <f t="shared" si="36"/>
        <v>0</v>
      </c>
      <c r="S876" s="3" t="s">
        <v>23</v>
      </c>
      <c r="T876" s="195"/>
    </row>
    <row r="877" spans="1:20" ht="21.6" x14ac:dyDescent="0.3">
      <c r="A877" s="139">
        <v>2082</v>
      </c>
      <c r="B877" s="42" t="s">
        <v>20</v>
      </c>
      <c r="C877" s="43" t="s">
        <v>267</v>
      </c>
      <c r="D877" s="44" t="s">
        <v>344</v>
      </c>
      <c r="E877" s="42" t="s">
        <v>343</v>
      </c>
      <c r="F877" s="42" t="s">
        <v>143</v>
      </c>
      <c r="G877" s="207" t="s">
        <v>367</v>
      </c>
      <c r="H877" s="45" t="s">
        <v>469</v>
      </c>
      <c r="I877" s="7" t="s">
        <v>22</v>
      </c>
      <c r="J877" s="3">
        <v>0.7</v>
      </c>
      <c r="K877" s="1" t="s">
        <v>51</v>
      </c>
      <c r="L877" s="8" t="s">
        <v>127</v>
      </c>
      <c r="M877" s="7" t="s">
        <v>128</v>
      </c>
      <c r="N877" s="6">
        <v>0.05</v>
      </c>
      <c r="O877" s="3">
        <v>0.1</v>
      </c>
      <c r="P877" s="11"/>
      <c r="Q877" s="3">
        <f t="shared" si="35"/>
        <v>0</v>
      </c>
      <c r="R877" s="4">
        <f t="shared" si="36"/>
        <v>0</v>
      </c>
      <c r="S877" s="3" t="s">
        <v>24</v>
      </c>
      <c r="T877" s="195"/>
    </row>
    <row r="878" spans="1:20" ht="21.6" x14ac:dyDescent="0.3">
      <c r="A878" s="139">
        <v>2083</v>
      </c>
      <c r="B878" s="42" t="s">
        <v>20</v>
      </c>
      <c r="C878" s="43" t="s">
        <v>267</v>
      </c>
      <c r="D878" s="44" t="s">
        <v>344</v>
      </c>
      <c r="E878" s="42" t="s">
        <v>343</v>
      </c>
      <c r="F878" s="42" t="s">
        <v>143</v>
      </c>
      <c r="G878" s="207" t="s">
        <v>367</v>
      </c>
      <c r="H878" s="45" t="s">
        <v>469</v>
      </c>
      <c r="I878" s="7" t="s">
        <v>22</v>
      </c>
      <c r="J878" s="3">
        <v>0.7</v>
      </c>
      <c r="K878" s="1" t="s">
        <v>305</v>
      </c>
      <c r="L878" s="8" t="s">
        <v>257</v>
      </c>
      <c r="M878" s="13" t="s">
        <v>306</v>
      </c>
      <c r="N878" s="3">
        <v>0.95</v>
      </c>
      <c r="O878" s="3">
        <v>0.1</v>
      </c>
      <c r="P878" s="3"/>
      <c r="Q878" s="3">
        <f t="shared" si="35"/>
        <v>0</v>
      </c>
      <c r="R878" s="4">
        <f t="shared" si="36"/>
        <v>0</v>
      </c>
      <c r="S878" s="3" t="s">
        <v>23</v>
      </c>
      <c r="T878" s="195"/>
    </row>
    <row r="879" spans="1:20" ht="21.6" x14ac:dyDescent="0.3">
      <c r="A879" s="139">
        <v>2084</v>
      </c>
      <c r="B879" s="42" t="s">
        <v>20</v>
      </c>
      <c r="C879" s="43" t="s">
        <v>267</v>
      </c>
      <c r="D879" s="44" t="s">
        <v>344</v>
      </c>
      <c r="E879" s="42" t="s">
        <v>343</v>
      </c>
      <c r="F879" s="42" t="s">
        <v>143</v>
      </c>
      <c r="G879" s="207" t="s">
        <v>367</v>
      </c>
      <c r="H879" s="45" t="s">
        <v>469</v>
      </c>
      <c r="I879" s="47" t="s">
        <v>22</v>
      </c>
      <c r="J879" s="3">
        <v>0.7</v>
      </c>
      <c r="K879" s="49" t="s">
        <v>129</v>
      </c>
      <c r="L879" s="30" t="s">
        <v>130</v>
      </c>
      <c r="M879" s="47" t="s">
        <v>131</v>
      </c>
      <c r="N879" s="3">
        <v>0.9</v>
      </c>
      <c r="O879" s="10">
        <v>0.2</v>
      </c>
      <c r="P879" s="3"/>
      <c r="Q879" s="3">
        <f t="shared" si="35"/>
        <v>0</v>
      </c>
      <c r="R879" s="48">
        <f t="shared" si="36"/>
        <v>0</v>
      </c>
      <c r="S879" s="10" t="s">
        <v>23</v>
      </c>
      <c r="T879" s="193"/>
    </row>
    <row r="880" spans="1:20" ht="21.6" x14ac:dyDescent="0.3">
      <c r="A880" s="139">
        <v>2085</v>
      </c>
      <c r="B880" s="42" t="s">
        <v>20</v>
      </c>
      <c r="C880" s="43" t="s">
        <v>267</v>
      </c>
      <c r="D880" s="44" t="s">
        <v>344</v>
      </c>
      <c r="E880" s="42" t="s">
        <v>343</v>
      </c>
      <c r="F880" s="42" t="s">
        <v>143</v>
      </c>
      <c r="G880" s="207" t="s">
        <v>367</v>
      </c>
      <c r="H880" s="45" t="s">
        <v>469</v>
      </c>
      <c r="I880" s="47" t="s">
        <v>22</v>
      </c>
      <c r="J880" s="3">
        <v>0.7</v>
      </c>
      <c r="K880" s="49" t="s">
        <v>132</v>
      </c>
      <c r="L880" s="30" t="s">
        <v>133</v>
      </c>
      <c r="M880" s="47" t="s">
        <v>134</v>
      </c>
      <c r="N880" s="4">
        <v>0</v>
      </c>
      <c r="O880" s="10">
        <v>0.1</v>
      </c>
      <c r="P880" s="3"/>
      <c r="Q880" s="3">
        <f t="shared" si="35"/>
        <v>0</v>
      </c>
      <c r="R880" s="48">
        <f t="shared" si="36"/>
        <v>0</v>
      </c>
      <c r="S880" s="10" t="s">
        <v>24</v>
      </c>
      <c r="T880" s="193"/>
    </row>
    <row r="881" spans="1:20" ht="21.6" x14ac:dyDescent="0.3">
      <c r="A881" s="139">
        <v>2086</v>
      </c>
      <c r="B881" s="42" t="s">
        <v>20</v>
      </c>
      <c r="C881" s="43" t="s">
        <v>267</v>
      </c>
      <c r="D881" s="44" t="s">
        <v>344</v>
      </c>
      <c r="E881" s="42" t="s">
        <v>343</v>
      </c>
      <c r="F881" s="42" t="s">
        <v>143</v>
      </c>
      <c r="G881" s="207" t="s">
        <v>367</v>
      </c>
      <c r="H881" s="45" t="s">
        <v>469</v>
      </c>
      <c r="I881" s="47" t="s">
        <v>22</v>
      </c>
      <c r="J881" s="3">
        <v>0.7</v>
      </c>
      <c r="K881" s="49" t="s">
        <v>135</v>
      </c>
      <c r="L881" s="30" t="s">
        <v>136</v>
      </c>
      <c r="M881" s="49" t="s">
        <v>137</v>
      </c>
      <c r="N881" s="3">
        <v>0.9</v>
      </c>
      <c r="O881" s="10">
        <v>0.2</v>
      </c>
      <c r="P881" s="51"/>
      <c r="Q881" s="3">
        <f t="shared" si="35"/>
        <v>0</v>
      </c>
      <c r="R881" s="48">
        <f t="shared" si="36"/>
        <v>0</v>
      </c>
      <c r="S881" s="10" t="s">
        <v>23</v>
      </c>
      <c r="T881" s="193"/>
    </row>
    <row r="882" spans="1:20" ht="22.2" thickBot="1" x14ac:dyDescent="0.35">
      <c r="A882" s="142">
        <v>2087</v>
      </c>
      <c r="B882" s="81" t="s">
        <v>20</v>
      </c>
      <c r="C882" s="82" t="s">
        <v>267</v>
      </c>
      <c r="D882" s="83" t="s">
        <v>344</v>
      </c>
      <c r="E882" s="81" t="s">
        <v>343</v>
      </c>
      <c r="F882" s="81" t="s">
        <v>143</v>
      </c>
      <c r="G882" s="209" t="s">
        <v>367</v>
      </c>
      <c r="H882" s="84" t="s">
        <v>469</v>
      </c>
      <c r="I882" s="85" t="s">
        <v>26</v>
      </c>
      <c r="J882" s="86">
        <v>0.3</v>
      </c>
      <c r="K882" s="115" t="s">
        <v>138</v>
      </c>
      <c r="L882" s="114" t="s">
        <v>139</v>
      </c>
      <c r="M882" s="115" t="s">
        <v>140</v>
      </c>
      <c r="N882" s="86">
        <v>1</v>
      </c>
      <c r="O882" s="91">
        <v>1</v>
      </c>
      <c r="P882" s="86"/>
      <c r="Q882" s="86">
        <f t="shared" si="35"/>
        <v>0</v>
      </c>
      <c r="R882" s="104">
        <f t="shared" si="36"/>
        <v>0</v>
      </c>
      <c r="S882" s="91" t="s">
        <v>23</v>
      </c>
      <c r="T882" s="147"/>
    </row>
    <row r="883" spans="1:20" ht="21.6" x14ac:dyDescent="0.3">
      <c r="A883" s="144">
        <v>2088</v>
      </c>
      <c r="B883" s="64" t="s">
        <v>20</v>
      </c>
      <c r="C883" s="65" t="s">
        <v>267</v>
      </c>
      <c r="D883" s="66" t="s">
        <v>348</v>
      </c>
      <c r="E883" s="64" t="s">
        <v>347</v>
      </c>
      <c r="F883" s="64" t="s">
        <v>145</v>
      </c>
      <c r="G883" s="210" t="s">
        <v>367</v>
      </c>
      <c r="H883" s="67" t="s">
        <v>469</v>
      </c>
      <c r="I883" s="98" t="s">
        <v>22</v>
      </c>
      <c r="J883" s="69">
        <v>0.7</v>
      </c>
      <c r="K883" s="101" t="s">
        <v>513</v>
      </c>
      <c r="L883" s="105" t="s">
        <v>511</v>
      </c>
      <c r="M883" s="101" t="s">
        <v>411</v>
      </c>
      <c r="N883" s="69">
        <v>0.95</v>
      </c>
      <c r="O883" s="69">
        <v>0.15</v>
      </c>
      <c r="P883" s="69"/>
      <c r="Q883" s="69">
        <f t="shared" si="35"/>
        <v>0</v>
      </c>
      <c r="R883" s="100">
        <f t="shared" si="36"/>
        <v>0</v>
      </c>
      <c r="S883" s="69" t="s">
        <v>23</v>
      </c>
      <c r="T883" s="192">
        <f>SUM(R883:R890)%</f>
        <v>0</v>
      </c>
    </row>
    <row r="884" spans="1:20" ht="21.6" x14ac:dyDescent="0.3">
      <c r="A884" s="139">
        <v>2090</v>
      </c>
      <c r="B884" s="42" t="s">
        <v>20</v>
      </c>
      <c r="C884" s="43" t="s">
        <v>267</v>
      </c>
      <c r="D884" s="44" t="s">
        <v>348</v>
      </c>
      <c r="E884" s="42" t="s">
        <v>347</v>
      </c>
      <c r="F884" s="42" t="s">
        <v>145</v>
      </c>
      <c r="G884" s="207" t="s">
        <v>367</v>
      </c>
      <c r="H884" s="45" t="s">
        <v>469</v>
      </c>
      <c r="I884" s="7" t="s">
        <v>22</v>
      </c>
      <c r="J884" s="3">
        <v>0.7</v>
      </c>
      <c r="K884" s="1" t="s">
        <v>124</v>
      </c>
      <c r="L884" s="8" t="s">
        <v>125</v>
      </c>
      <c r="M884" s="7" t="s">
        <v>126</v>
      </c>
      <c r="N884" s="3">
        <v>0.95</v>
      </c>
      <c r="O884" s="3">
        <v>0.15</v>
      </c>
      <c r="P884" s="6"/>
      <c r="Q884" s="3">
        <f t="shared" ref="Q884:Q947" si="37">ROUND(IF(OR(N884="",P884=""),0,IF(AND(N884=0,P884=0),1,IF(S884="+",P884/N884,N884/P884))),2)</f>
        <v>0</v>
      </c>
      <c r="R884" s="4">
        <f t="shared" si="36"/>
        <v>0</v>
      </c>
      <c r="S884" s="3" t="s">
        <v>23</v>
      </c>
      <c r="T884" s="195"/>
    </row>
    <row r="885" spans="1:20" ht="21.6" x14ac:dyDescent="0.3">
      <c r="A885" s="139">
        <v>2091</v>
      </c>
      <c r="B885" s="42" t="s">
        <v>20</v>
      </c>
      <c r="C885" s="43" t="s">
        <v>267</v>
      </c>
      <c r="D885" s="44" t="s">
        <v>348</v>
      </c>
      <c r="E885" s="42" t="s">
        <v>347</v>
      </c>
      <c r="F885" s="42" t="s">
        <v>145</v>
      </c>
      <c r="G885" s="207" t="s">
        <v>367</v>
      </c>
      <c r="H885" s="45" t="s">
        <v>469</v>
      </c>
      <c r="I885" s="7" t="s">
        <v>22</v>
      </c>
      <c r="J885" s="3">
        <v>0.7</v>
      </c>
      <c r="K885" s="1" t="s">
        <v>51</v>
      </c>
      <c r="L885" s="8" t="s">
        <v>127</v>
      </c>
      <c r="M885" s="7" t="s">
        <v>128</v>
      </c>
      <c r="N885" s="6">
        <v>0.05</v>
      </c>
      <c r="O885" s="3">
        <v>0.1</v>
      </c>
      <c r="P885" s="11"/>
      <c r="Q885" s="3">
        <f t="shared" si="37"/>
        <v>0</v>
      </c>
      <c r="R885" s="4">
        <f t="shared" si="36"/>
        <v>0</v>
      </c>
      <c r="S885" s="3" t="s">
        <v>24</v>
      </c>
      <c r="T885" s="195"/>
    </row>
    <row r="886" spans="1:20" ht="21.6" x14ac:dyDescent="0.3">
      <c r="A886" s="139">
        <v>2092</v>
      </c>
      <c r="B886" s="42" t="s">
        <v>20</v>
      </c>
      <c r="C886" s="43" t="s">
        <v>267</v>
      </c>
      <c r="D886" s="44" t="s">
        <v>348</v>
      </c>
      <c r="E886" s="42" t="s">
        <v>347</v>
      </c>
      <c r="F886" s="42" t="s">
        <v>145</v>
      </c>
      <c r="G886" s="207" t="s">
        <v>367</v>
      </c>
      <c r="H886" s="45" t="s">
        <v>469</v>
      </c>
      <c r="I886" s="7" t="s">
        <v>22</v>
      </c>
      <c r="J886" s="3">
        <v>0.7</v>
      </c>
      <c r="K886" s="1" t="s">
        <v>305</v>
      </c>
      <c r="L886" s="8" t="s">
        <v>257</v>
      </c>
      <c r="M886" s="13" t="s">
        <v>306</v>
      </c>
      <c r="N886" s="3">
        <v>0.95</v>
      </c>
      <c r="O886" s="3">
        <v>0.1</v>
      </c>
      <c r="P886" s="3"/>
      <c r="Q886" s="3">
        <f t="shared" si="37"/>
        <v>0</v>
      </c>
      <c r="R886" s="4">
        <f t="shared" si="36"/>
        <v>0</v>
      </c>
      <c r="S886" s="3" t="s">
        <v>23</v>
      </c>
      <c r="T886" s="195"/>
    </row>
    <row r="887" spans="1:20" ht="21.6" x14ac:dyDescent="0.3">
      <c r="A887" s="139">
        <v>2093</v>
      </c>
      <c r="B887" s="42" t="s">
        <v>20</v>
      </c>
      <c r="C887" s="43" t="s">
        <v>267</v>
      </c>
      <c r="D887" s="44" t="s">
        <v>348</v>
      </c>
      <c r="E887" s="42" t="s">
        <v>347</v>
      </c>
      <c r="F887" s="42" t="s">
        <v>145</v>
      </c>
      <c r="G887" s="207" t="s">
        <v>367</v>
      </c>
      <c r="H887" s="45" t="s">
        <v>469</v>
      </c>
      <c r="I887" s="47" t="s">
        <v>22</v>
      </c>
      <c r="J887" s="3">
        <v>0.7</v>
      </c>
      <c r="K887" s="49" t="s">
        <v>129</v>
      </c>
      <c r="L887" s="30" t="s">
        <v>130</v>
      </c>
      <c r="M887" s="47" t="s">
        <v>131</v>
      </c>
      <c r="N887" s="3">
        <v>0.9</v>
      </c>
      <c r="O887" s="10">
        <v>0.2</v>
      </c>
      <c r="P887" s="3"/>
      <c r="Q887" s="3">
        <f t="shared" si="37"/>
        <v>0</v>
      </c>
      <c r="R887" s="48">
        <f t="shared" si="36"/>
        <v>0</v>
      </c>
      <c r="S887" s="10" t="s">
        <v>23</v>
      </c>
      <c r="T887" s="193"/>
    </row>
    <row r="888" spans="1:20" ht="21.6" x14ac:dyDescent="0.3">
      <c r="A888" s="139">
        <v>2094</v>
      </c>
      <c r="B888" s="42" t="s">
        <v>20</v>
      </c>
      <c r="C888" s="43" t="s">
        <v>267</v>
      </c>
      <c r="D888" s="44" t="s">
        <v>348</v>
      </c>
      <c r="E888" s="42" t="s">
        <v>347</v>
      </c>
      <c r="F888" s="42" t="s">
        <v>145</v>
      </c>
      <c r="G888" s="207" t="s">
        <v>367</v>
      </c>
      <c r="H888" s="45" t="s">
        <v>469</v>
      </c>
      <c r="I888" s="47" t="s">
        <v>22</v>
      </c>
      <c r="J888" s="3">
        <v>0.7</v>
      </c>
      <c r="K888" s="49" t="s">
        <v>132</v>
      </c>
      <c r="L888" s="30" t="s">
        <v>133</v>
      </c>
      <c r="M888" s="47" t="s">
        <v>134</v>
      </c>
      <c r="N888" s="4">
        <v>0</v>
      </c>
      <c r="O888" s="10">
        <v>0.1</v>
      </c>
      <c r="P888" s="3"/>
      <c r="Q888" s="3">
        <f t="shared" si="37"/>
        <v>0</v>
      </c>
      <c r="R888" s="48">
        <f t="shared" si="36"/>
        <v>0</v>
      </c>
      <c r="S888" s="10" t="s">
        <v>24</v>
      </c>
      <c r="T888" s="193"/>
    </row>
    <row r="889" spans="1:20" ht="21.6" x14ac:dyDescent="0.3">
      <c r="A889" s="139">
        <v>2095</v>
      </c>
      <c r="B889" s="42" t="s">
        <v>20</v>
      </c>
      <c r="C889" s="43" t="s">
        <v>267</v>
      </c>
      <c r="D889" s="44" t="s">
        <v>348</v>
      </c>
      <c r="E889" s="42" t="s">
        <v>347</v>
      </c>
      <c r="F889" s="42" t="s">
        <v>145</v>
      </c>
      <c r="G889" s="207" t="s">
        <v>367</v>
      </c>
      <c r="H889" s="45" t="s">
        <v>469</v>
      </c>
      <c r="I889" s="47" t="s">
        <v>22</v>
      </c>
      <c r="J889" s="3">
        <v>0.7</v>
      </c>
      <c r="K889" s="49" t="s">
        <v>135</v>
      </c>
      <c r="L889" s="30" t="s">
        <v>136</v>
      </c>
      <c r="M889" s="49" t="s">
        <v>137</v>
      </c>
      <c r="N889" s="3">
        <v>0.9</v>
      </c>
      <c r="O889" s="10">
        <v>0.2</v>
      </c>
      <c r="P889" s="51"/>
      <c r="Q889" s="3">
        <f t="shared" si="37"/>
        <v>0</v>
      </c>
      <c r="R889" s="48">
        <f t="shared" si="36"/>
        <v>0</v>
      </c>
      <c r="S889" s="10" t="s">
        <v>23</v>
      </c>
      <c r="T889" s="193"/>
    </row>
    <row r="890" spans="1:20" ht="22.2" thickBot="1" x14ac:dyDescent="0.35">
      <c r="A890" s="142">
        <v>2096</v>
      </c>
      <c r="B890" s="81" t="s">
        <v>20</v>
      </c>
      <c r="C890" s="82" t="s">
        <v>267</v>
      </c>
      <c r="D890" s="83" t="s">
        <v>348</v>
      </c>
      <c r="E890" s="81" t="s">
        <v>347</v>
      </c>
      <c r="F890" s="81" t="s">
        <v>145</v>
      </c>
      <c r="G890" s="209" t="s">
        <v>367</v>
      </c>
      <c r="H890" s="84" t="s">
        <v>469</v>
      </c>
      <c r="I890" s="85" t="s">
        <v>26</v>
      </c>
      <c r="J890" s="86">
        <v>0.3</v>
      </c>
      <c r="K890" s="115" t="s">
        <v>138</v>
      </c>
      <c r="L890" s="114" t="s">
        <v>139</v>
      </c>
      <c r="M890" s="115" t="s">
        <v>140</v>
      </c>
      <c r="N890" s="86">
        <v>1</v>
      </c>
      <c r="O890" s="91">
        <v>1</v>
      </c>
      <c r="P890" s="86"/>
      <c r="Q890" s="86">
        <f t="shared" si="37"/>
        <v>0</v>
      </c>
      <c r="R890" s="104">
        <f t="shared" si="36"/>
        <v>0</v>
      </c>
      <c r="S890" s="91" t="s">
        <v>23</v>
      </c>
      <c r="T890" s="147"/>
    </row>
    <row r="891" spans="1:20" ht="21.6" x14ac:dyDescent="0.3">
      <c r="A891" s="144">
        <v>2097</v>
      </c>
      <c r="B891" s="64" t="s">
        <v>20</v>
      </c>
      <c r="C891" s="65" t="s">
        <v>267</v>
      </c>
      <c r="D891" s="66" t="s">
        <v>346</v>
      </c>
      <c r="E891" s="64" t="s">
        <v>345</v>
      </c>
      <c r="F891" s="64" t="s">
        <v>143</v>
      </c>
      <c r="G891" s="210" t="s">
        <v>367</v>
      </c>
      <c r="H891" s="67" t="s">
        <v>469</v>
      </c>
      <c r="I891" s="98" t="s">
        <v>22</v>
      </c>
      <c r="J891" s="69">
        <v>0.7</v>
      </c>
      <c r="K891" s="101" t="s">
        <v>513</v>
      </c>
      <c r="L891" s="105" t="s">
        <v>511</v>
      </c>
      <c r="M891" s="101" t="s">
        <v>411</v>
      </c>
      <c r="N891" s="69">
        <v>0.95</v>
      </c>
      <c r="O891" s="69">
        <v>0.15</v>
      </c>
      <c r="P891" s="69"/>
      <c r="Q891" s="69">
        <f t="shared" si="37"/>
        <v>0</v>
      </c>
      <c r="R891" s="100">
        <f t="shared" si="36"/>
        <v>0</v>
      </c>
      <c r="S891" s="69" t="s">
        <v>23</v>
      </c>
      <c r="T891" s="192">
        <f>SUM(R891:R898)%</f>
        <v>0</v>
      </c>
    </row>
    <row r="892" spans="1:20" ht="21.6" x14ac:dyDescent="0.3">
      <c r="A892" s="139">
        <v>2099</v>
      </c>
      <c r="B892" s="42" t="s">
        <v>20</v>
      </c>
      <c r="C892" s="43" t="s">
        <v>267</v>
      </c>
      <c r="D892" s="44" t="s">
        <v>346</v>
      </c>
      <c r="E892" s="42" t="s">
        <v>345</v>
      </c>
      <c r="F892" s="42" t="s">
        <v>143</v>
      </c>
      <c r="G892" s="207" t="s">
        <v>367</v>
      </c>
      <c r="H892" s="45" t="s">
        <v>469</v>
      </c>
      <c r="I892" s="7" t="s">
        <v>22</v>
      </c>
      <c r="J892" s="3">
        <v>0.7</v>
      </c>
      <c r="K892" s="1" t="s">
        <v>124</v>
      </c>
      <c r="L892" s="8" t="s">
        <v>125</v>
      </c>
      <c r="M892" s="7" t="s">
        <v>126</v>
      </c>
      <c r="N892" s="3">
        <v>0.95</v>
      </c>
      <c r="O892" s="3">
        <v>0.15</v>
      </c>
      <c r="P892" s="6"/>
      <c r="Q892" s="3">
        <f t="shared" si="37"/>
        <v>0</v>
      </c>
      <c r="R892" s="4">
        <f t="shared" si="36"/>
        <v>0</v>
      </c>
      <c r="S892" s="3" t="s">
        <v>23</v>
      </c>
      <c r="T892" s="195"/>
    </row>
    <row r="893" spans="1:20" ht="21.6" x14ac:dyDescent="0.3">
      <c r="A893" s="139">
        <v>2100</v>
      </c>
      <c r="B893" s="42" t="s">
        <v>20</v>
      </c>
      <c r="C893" s="43" t="s">
        <v>267</v>
      </c>
      <c r="D893" s="44" t="s">
        <v>346</v>
      </c>
      <c r="E893" s="42" t="s">
        <v>345</v>
      </c>
      <c r="F893" s="42" t="s">
        <v>143</v>
      </c>
      <c r="G893" s="207" t="s">
        <v>367</v>
      </c>
      <c r="H893" s="45" t="s">
        <v>469</v>
      </c>
      <c r="I893" s="7" t="s">
        <v>22</v>
      </c>
      <c r="J893" s="3">
        <v>0.7</v>
      </c>
      <c r="K893" s="1" t="s">
        <v>51</v>
      </c>
      <c r="L893" s="8" t="s">
        <v>127</v>
      </c>
      <c r="M893" s="7" t="s">
        <v>128</v>
      </c>
      <c r="N893" s="6">
        <v>0.05</v>
      </c>
      <c r="O893" s="3">
        <v>0.1</v>
      </c>
      <c r="P893" s="11"/>
      <c r="Q893" s="3">
        <f t="shared" si="37"/>
        <v>0</v>
      </c>
      <c r="R893" s="4">
        <f t="shared" si="36"/>
        <v>0</v>
      </c>
      <c r="S893" s="3" t="s">
        <v>24</v>
      </c>
      <c r="T893" s="195"/>
    </row>
    <row r="894" spans="1:20" ht="21.6" x14ac:dyDescent="0.3">
      <c r="A894" s="139">
        <v>2101</v>
      </c>
      <c r="B894" s="42" t="s">
        <v>20</v>
      </c>
      <c r="C894" s="43" t="s">
        <v>267</v>
      </c>
      <c r="D894" s="44" t="s">
        <v>346</v>
      </c>
      <c r="E894" s="42" t="s">
        <v>345</v>
      </c>
      <c r="F894" s="42" t="s">
        <v>143</v>
      </c>
      <c r="G894" s="207" t="s">
        <v>367</v>
      </c>
      <c r="H894" s="45" t="s">
        <v>469</v>
      </c>
      <c r="I894" s="7" t="s">
        <v>22</v>
      </c>
      <c r="J894" s="3">
        <v>0.7</v>
      </c>
      <c r="K894" s="1" t="s">
        <v>305</v>
      </c>
      <c r="L894" s="8" t="s">
        <v>257</v>
      </c>
      <c r="M894" s="13" t="s">
        <v>306</v>
      </c>
      <c r="N894" s="3">
        <v>0.95</v>
      </c>
      <c r="O894" s="3">
        <v>0.1</v>
      </c>
      <c r="P894" s="3"/>
      <c r="Q894" s="3">
        <f t="shared" si="37"/>
        <v>0</v>
      </c>
      <c r="R894" s="4">
        <f t="shared" si="36"/>
        <v>0</v>
      </c>
      <c r="S894" s="3" t="s">
        <v>23</v>
      </c>
      <c r="T894" s="195"/>
    </row>
    <row r="895" spans="1:20" ht="21.6" x14ac:dyDescent="0.3">
      <c r="A895" s="139">
        <v>2102</v>
      </c>
      <c r="B895" s="42" t="s">
        <v>20</v>
      </c>
      <c r="C895" s="43" t="s">
        <v>267</v>
      </c>
      <c r="D895" s="44" t="s">
        <v>346</v>
      </c>
      <c r="E895" s="42" t="s">
        <v>345</v>
      </c>
      <c r="F895" s="42" t="s">
        <v>143</v>
      </c>
      <c r="G895" s="207" t="s">
        <v>367</v>
      </c>
      <c r="H895" s="45" t="s">
        <v>469</v>
      </c>
      <c r="I895" s="47" t="s">
        <v>22</v>
      </c>
      <c r="J895" s="3">
        <v>0.7</v>
      </c>
      <c r="K895" s="49" t="s">
        <v>129</v>
      </c>
      <c r="L895" s="30" t="s">
        <v>130</v>
      </c>
      <c r="M895" s="47" t="s">
        <v>131</v>
      </c>
      <c r="N895" s="3">
        <v>0.9</v>
      </c>
      <c r="O895" s="10">
        <v>0.2</v>
      </c>
      <c r="P895" s="3"/>
      <c r="Q895" s="3">
        <f t="shared" si="37"/>
        <v>0</v>
      </c>
      <c r="R895" s="48">
        <f t="shared" si="36"/>
        <v>0</v>
      </c>
      <c r="S895" s="10" t="s">
        <v>23</v>
      </c>
      <c r="T895" s="193"/>
    </row>
    <row r="896" spans="1:20" ht="21.6" x14ac:dyDescent="0.3">
      <c r="A896" s="139">
        <v>2103</v>
      </c>
      <c r="B896" s="42" t="s">
        <v>20</v>
      </c>
      <c r="C896" s="43" t="s">
        <v>267</v>
      </c>
      <c r="D896" s="44" t="s">
        <v>346</v>
      </c>
      <c r="E896" s="42" t="s">
        <v>345</v>
      </c>
      <c r="F896" s="42" t="s">
        <v>143</v>
      </c>
      <c r="G896" s="207" t="s">
        <v>367</v>
      </c>
      <c r="H896" s="45" t="s">
        <v>469</v>
      </c>
      <c r="I896" s="47" t="s">
        <v>22</v>
      </c>
      <c r="J896" s="3">
        <v>0.7</v>
      </c>
      <c r="K896" s="49" t="s">
        <v>132</v>
      </c>
      <c r="L896" s="30" t="s">
        <v>133</v>
      </c>
      <c r="M896" s="47" t="s">
        <v>134</v>
      </c>
      <c r="N896" s="4">
        <v>0</v>
      </c>
      <c r="O896" s="10">
        <v>0.1</v>
      </c>
      <c r="P896" s="3"/>
      <c r="Q896" s="3">
        <f t="shared" si="37"/>
        <v>0</v>
      </c>
      <c r="R896" s="48">
        <f t="shared" si="36"/>
        <v>0</v>
      </c>
      <c r="S896" s="10" t="s">
        <v>24</v>
      </c>
      <c r="T896" s="193"/>
    </row>
    <row r="897" spans="1:20" ht="21.6" x14ac:dyDescent="0.3">
      <c r="A897" s="139">
        <v>2104</v>
      </c>
      <c r="B897" s="42" t="s">
        <v>20</v>
      </c>
      <c r="C897" s="43" t="s">
        <v>267</v>
      </c>
      <c r="D897" s="44" t="s">
        <v>346</v>
      </c>
      <c r="E897" s="42" t="s">
        <v>345</v>
      </c>
      <c r="F897" s="42" t="s">
        <v>143</v>
      </c>
      <c r="G897" s="207" t="s">
        <v>367</v>
      </c>
      <c r="H897" s="45" t="s">
        <v>469</v>
      </c>
      <c r="I897" s="47" t="s">
        <v>22</v>
      </c>
      <c r="J897" s="3">
        <v>0.7</v>
      </c>
      <c r="K897" s="49" t="s">
        <v>135</v>
      </c>
      <c r="L897" s="30" t="s">
        <v>136</v>
      </c>
      <c r="M897" s="49" t="s">
        <v>137</v>
      </c>
      <c r="N897" s="3">
        <v>0.9</v>
      </c>
      <c r="O897" s="10">
        <v>0.2</v>
      </c>
      <c r="P897" s="51"/>
      <c r="Q897" s="3">
        <f t="shared" si="37"/>
        <v>0</v>
      </c>
      <c r="R897" s="48">
        <f t="shared" si="36"/>
        <v>0</v>
      </c>
      <c r="S897" s="10" t="s">
        <v>23</v>
      </c>
      <c r="T897" s="193"/>
    </row>
    <row r="898" spans="1:20" ht="22.2" thickBot="1" x14ac:dyDescent="0.35">
      <c r="A898" s="142">
        <v>2105</v>
      </c>
      <c r="B898" s="81" t="s">
        <v>20</v>
      </c>
      <c r="C898" s="82" t="s">
        <v>267</v>
      </c>
      <c r="D898" s="83" t="s">
        <v>346</v>
      </c>
      <c r="E898" s="81" t="s">
        <v>345</v>
      </c>
      <c r="F898" s="81" t="s">
        <v>143</v>
      </c>
      <c r="G898" s="209" t="s">
        <v>367</v>
      </c>
      <c r="H898" s="84" t="s">
        <v>469</v>
      </c>
      <c r="I898" s="85" t="s">
        <v>26</v>
      </c>
      <c r="J898" s="86">
        <v>0.3</v>
      </c>
      <c r="K898" s="115" t="s">
        <v>138</v>
      </c>
      <c r="L898" s="114" t="s">
        <v>139</v>
      </c>
      <c r="M898" s="115" t="s">
        <v>140</v>
      </c>
      <c r="N898" s="86">
        <v>1</v>
      </c>
      <c r="O898" s="91">
        <v>1</v>
      </c>
      <c r="P898" s="86"/>
      <c r="Q898" s="86">
        <f t="shared" si="37"/>
        <v>0</v>
      </c>
      <c r="R898" s="104">
        <f t="shared" si="36"/>
        <v>0</v>
      </c>
      <c r="S898" s="91" t="s">
        <v>23</v>
      </c>
      <c r="T898" s="147"/>
    </row>
    <row r="899" spans="1:20" ht="21.6" x14ac:dyDescent="0.3">
      <c r="A899" s="144">
        <v>2106</v>
      </c>
      <c r="B899" s="64" t="s">
        <v>20</v>
      </c>
      <c r="C899" s="65" t="s">
        <v>267</v>
      </c>
      <c r="D899" s="66" t="s">
        <v>358</v>
      </c>
      <c r="E899" s="64" t="s">
        <v>357</v>
      </c>
      <c r="F899" s="64" t="s">
        <v>123</v>
      </c>
      <c r="G899" s="210" t="s">
        <v>367</v>
      </c>
      <c r="H899" s="67" t="s">
        <v>469</v>
      </c>
      <c r="I899" s="98" t="s">
        <v>22</v>
      </c>
      <c r="J899" s="69">
        <v>0.7</v>
      </c>
      <c r="K899" s="101" t="s">
        <v>513</v>
      </c>
      <c r="L899" s="105" t="s">
        <v>511</v>
      </c>
      <c r="M899" s="101" t="s">
        <v>411</v>
      </c>
      <c r="N899" s="69">
        <v>0.95</v>
      </c>
      <c r="O899" s="69">
        <v>0.15</v>
      </c>
      <c r="P899" s="69"/>
      <c r="Q899" s="69">
        <f t="shared" si="37"/>
        <v>0</v>
      </c>
      <c r="R899" s="100">
        <f t="shared" si="36"/>
        <v>0</v>
      </c>
      <c r="S899" s="69" t="s">
        <v>23</v>
      </c>
      <c r="T899" s="192">
        <f>SUM(R899:R906)%</f>
        <v>0</v>
      </c>
    </row>
    <row r="900" spans="1:20" ht="21.6" x14ac:dyDescent="0.3">
      <c r="A900" s="139">
        <v>2108</v>
      </c>
      <c r="B900" s="42" t="s">
        <v>20</v>
      </c>
      <c r="C900" s="43" t="s">
        <v>267</v>
      </c>
      <c r="D900" s="44" t="s">
        <v>358</v>
      </c>
      <c r="E900" s="42" t="s">
        <v>357</v>
      </c>
      <c r="F900" s="42" t="s">
        <v>123</v>
      </c>
      <c r="G900" s="207" t="s">
        <v>367</v>
      </c>
      <c r="H900" s="45" t="s">
        <v>469</v>
      </c>
      <c r="I900" s="7" t="s">
        <v>22</v>
      </c>
      <c r="J900" s="3">
        <v>0.7</v>
      </c>
      <c r="K900" s="1" t="s">
        <v>124</v>
      </c>
      <c r="L900" s="8" t="s">
        <v>125</v>
      </c>
      <c r="M900" s="7" t="s">
        <v>126</v>
      </c>
      <c r="N900" s="3">
        <v>0.95</v>
      </c>
      <c r="O900" s="3">
        <v>0.15</v>
      </c>
      <c r="P900" s="6"/>
      <c r="Q900" s="3">
        <f t="shared" si="37"/>
        <v>0</v>
      </c>
      <c r="R900" s="4">
        <f t="shared" si="36"/>
        <v>0</v>
      </c>
      <c r="S900" s="3" t="s">
        <v>23</v>
      </c>
      <c r="T900" s="195"/>
    </row>
    <row r="901" spans="1:20" ht="21.6" x14ac:dyDescent="0.3">
      <c r="A901" s="139">
        <v>2109</v>
      </c>
      <c r="B901" s="42" t="s">
        <v>20</v>
      </c>
      <c r="C901" s="43" t="s">
        <v>267</v>
      </c>
      <c r="D901" s="44" t="s">
        <v>358</v>
      </c>
      <c r="E901" s="42" t="s">
        <v>357</v>
      </c>
      <c r="F901" s="42" t="s">
        <v>123</v>
      </c>
      <c r="G901" s="207" t="s">
        <v>367</v>
      </c>
      <c r="H901" s="45" t="s">
        <v>469</v>
      </c>
      <c r="I901" s="7" t="s">
        <v>22</v>
      </c>
      <c r="J901" s="3">
        <v>0.7</v>
      </c>
      <c r="K901" s="1" t="s">
        <v>51</v>
      </c>
      <c r="L901" s="8" t="s">
        <v>127</v>
      </c>
      <c r="M901" s="7" t="s">
        <v>128</v>
      </c>
      <c r="N901" s="6">
        <v>0.05</v>
      </c>
      <c r="O901" s="3">
        <v>0.1</v>
      </c>
      <c r="P901" s="11"/>
      <c r="Q901" s="3">
        <f t="shared" si="37"/>
        <v>0</v>
      </c>
      <c r="R901" s="4">
        <f t="shared" si="36"/>
        <v>0</v>
      </c>
      <c r="S901" s="3" t="s">
        <v>24</v>
      </c>
      <c r="T901" s="195"/>
    </row>
    <row r="902" spans="1:20" ht="21.6" x14ac:dyDescent="0.3">
      <c r="A902" s="139">
        <v>2110</v>
      </c>
      <c r="B902" s="42" t="s">
        <v>20</v>
      </c>
      <c r="C902" s="43" t="s">
        <v>267</v>
      </c>
      <c r="D902" s="44" t="s">
        <v>358</v>
      </c>
      <c r="E902" s="42" t="s">
        <v>357</v>
      </c>
      <c r="F902" s="42" t="s">
        <v>123</v>
      </c>
      <c r="G902" s="207" t="s">
        <v>367</v>
      </c>
      <c r="H902" s="45" t="s">
        <v>469</v>
      </c>
      <c r="I902" s="7" t="s">
        <v>22</v>
      </c>
      <c r="J902" s="3">
        <v>0.7</v>
      </c>
      <c r="K902" s="1" t="s">
        <v>305</v>
      </c>
      <c r="L902" s="8" t="s">
        <v>257</v>
      </c>
      <c r="M902" s="13" t="s">
        <v>306</v>
      </c>
      <c r="N902" s="3">
        <v>0.95</v>
      </c>
      <c r="O902" s="3">
        <v>0.1</v>
      </c>
      <c r="P902" s="3"/>
      <c r="Q902" s="3">
        <f t="shared" si="37"/>
        <v>0</v>
      </c>
      <c r="R902" s="4">
        <f t="shared" si="36"/>
        <v>0</v>
      </c>
      <c r="S902" s="3" t="s">
        <v>23</v>
      </c>
      <c r="T902" s="195"/>
    </row>
    <row r="903" spans="1:20" ht="21.6" x14ac:dyDescent="0.3">
      <c r="A903" s="139">
        <v>2111</v>
      </c>
      <c r="B903" s="42" t="s">
        <v>20</v>
      </c>
      <c r="C903" s="43" t="s">
        <v>267</v>
      </c>
      <c r="D903" s="44" t="s">
        <v>358</v>
      </c>
      <c r="E903" s="42" t="s">
        <v>357</v>
      </c>
      <c r="F903" s="42" t="s">
        <v>123</v>
      </c>
      <c r="G903" s="207" t="s">
        <v>367</v>
      </c>
      <c r="H903" s="45" t="s">
        <v>469</v>
      </c>
      <c r="I903" s="47" t="s">
        <v>22</v>
      </c>
      <c r="J903" s="3">
        <v>0.7</v>
      </c>
      <c r="K903" s="49" t="s">
        <v>129</v>
      </c>
      <c r="L903" s="30" t="s">
        <v>130</v>
      </c>
      <c r="M903" s="47" t="s">
        <v>131</v>
      </c>
      <c r="N903" s="3">
        <v>0.9</v>
      </c>
      <c r="O903" s="10">
        <v>0.2</v>
      </c>
      <c r="P903" s="3"/>
      <c r="Q903" s="3">
        <f t="shared" si="37"/>
        <v>0</v>
      </c>
      <c r="R903" s="48">
        <f t="shared" si="36"/>
        <v>0</v>
      </c>
      <c r="S903" s="10" t="s">
        <v>23</v>
      </c>
      <c r="T903" s="193"/>
    </row>
    <row r="904" spans="1:20" ht="21.6" x14ac:dyDescent="0.3">
      <c r="A904" s="139">
        <v>2112</v>
      </c>
      <c r="B904" s="42" t="s">
        <v>20</v>
      </c>
      <c r="C904" s="43" t="s">
        <v>267</v>
      </c>
      <c r="D904" s="44" t="s">
        <v>358</v>
      </c>
      <c r="E904" s="42" t="s">
        <v>357</v>
      </c>
      <c r="F904" s="42" t="s">
        <v>123</v>
      </c>
      <c r="G904" s="207" t="s">
        <v>367</v>
      </c>
      <c r="H904" s="45" t="s">
        <v>469</v>
      </c>
      <c r="I904" s="47" t="s">
        <v>22</v>
      </c>
      <c r="J904" s="3">
        <v>0.7</v>
      </c>
      <c r="K904" s="49" t="s">
        <v>132</v>
      </c>
      <c r="L904" s="30" t="s">
        <v>133</v>
      </c>
      <c r="M904" s="47" t="s">
        <v>134</v>
      </c>
      <c r="N904" s="4">
        <v>0</v>
      </c>
      <c r="O904" s="10">
        <v>0.1</v>
      </c>
      <c r="P904" s="3"/>
      <c r="Q904" s="3">
        <f t="shared" si="37"/>
        <v>0</v>
      </c>
      <c r="R904" s="48">
        <f t="shared" si="36"/>
        <v>0</v>
      </c>
      <c r="S904" s="10" t="s">
        <v>24</v>
      </c>
      <c r="T904" s="193"/>
    </row>
    <row r="905" spans="1:20" ht="21.6" x14ac:dyDescent="0.3">
      <c r="A905" s="139">
        <v>2113</v>
      </c>
      <c r="B905" s="42" t="s">
        <v>20</v>
      </c>
      <c r="C905" s="43" t="s">
        <v>267</v>
      </c>
      <c r="D905" s="44" t="s">
        <v>358</v>
      </c>
      <c r="E905" s="42" t="s">
        <v>357</v>
      </c>
      <c r="F905" s="42" t="s">
        <v>123</v>
      </c>
      <c r="G905" s="207" t="s">
        <v>367</v>
      </c>
      <c r="H905" s="45" t="s">
        <v>469</v>
      </c>
      <c r="I905" s="47" t="s">
        <v>22</v>
      </c>
      <c r="J905" s="3">
        <v>0.7</v>
      </c>
      <c r="K905" s="49" t="s">
        <v>135</v>
      </c>
      <c r="L905" s="30" t="s">
        <v>136</v>
      </c>
      <c r="M905" s="49" t="s">
        <v>137</v>
      </c>
      <c r="N905" s="3">
        <v>0.9</v>
      </c>
      <c r="O905" s="10">
        <v>0.2</v>
      </c>
      <c r="P905" s="51"/>
      <c r="Q905" s="3">
        <f t="shared" si="37"/>
        <v>0</v>
      </c>
      <c r="R905" s="48">
        <f t="shared" si="36"/>
        <v>0</v>
      </c>
      <c r="S905" s="10" t="s">
        <v>23</v>
      </c>
      <c r="T905" s="193"/>
    </row>
    <row r="906" spans="1:20" ht="22.2" thickBot="1" x14ac:dyDescent="0.35">
      <c r="A906" s="142">
        <v>2114</v>
      </c>
      <c r="B906" s="81" t="s">
        <v>20</v>
      </c>
      <c r="C906" s="82" t="s">
        <v>267</v>
      </c>
      <c r="D906" s="83" t="s">
        <v>358</v>
      </c>
      <c r="E906" s="81" t="s">
        <v>357</v>
      </c>
      <c r="F906" s="81" t="s">
        <v>123</v>
      </c>
      <c r="G906" s="209" t="s">
        <v>367</v>
      </c>
      <c r="H906" s="84" t="s">
        <v>469</v>
      </c>
      <c r="I906" s="85" t="s">
        <v>26</v>
      </c>
      <c r="J906" s="86">
        <v>0.3</v>
      </c>
      <c r="K906" s="115" t="s">
        <v>138</v>
      </c>
      <c r="L906" s="114" t="s">
        <v>139</v>
      </c>
      <c r="M906" s="115" t="s">
        <v>140</v>
      </c>
      <c r="N906" s="86">
        <v>1</v>
      </c>
      <c r="O906" s="91">
        <v>1</v>
      </c>
      <c r="P906" s="86"/>
      <c r="Q906" s="86">
        <f t="shared" si="37"/>
        <v>0</v>
      </c>
      <c r="R906" s="104">
        <f t="shared" si="36"/>
        <v>0</v>
      </c>
      <c r="S906" s="91" t="s">
        <v>23</v>
      </c>
      <c r="T906" s="147"/>
    </row>
    <row r="907" spans="1:20" ht="21.6" x14ac:dyDescent="0.3">
      <c r="A907" s="144">
        <v>2115</v>
      </c>
      <c r="B907" s="64" t="s">
        <v>20</v>
      </c>
      <c r="C907" s="65" t="s">
        <v>267</v>
      </c>
      <c r="D907" s="66" t="s">
        <v>360</v>
      </c>
      <c r="E907" s="64" t="s">
        <v>359</v>
      </c>
      <c r="F907" s="64" t="s">
        <v>123</v>
      </c>
      <c r="G907" s="210" t="s">
        <v>367</v>
      </c>
      <c r="H907" s="67" t="s">
        <v>469</v>
      </c>
      <c r="I907" s="98" t="s">
        <v>22</v>
      </c>
      <c r="J907" s="69">
        <v>0.7</v>
      </c>
      <c r="K907" s="101" t="s">
        <v>513</v>
      </c>
      <c r="L907" s="105" t="s">
        <v>511</v>
      </c>
      <c r="M907" s="101" t="s">
        <v>411</v>
      </c>
      <c r="N907" s="69">
        <v>0.95</v>
      </c>
      <c r="O907" s="69">
        <v>0.15</v>
      </c>
      <c r="P907" s="69"/>
      <c r="Q907" s="69">
        <f t="shared" si="37"/>
        <v>0</v>
      </c>
      <c r="R907" s="100">
        <f t="shared" si="36"/>
        <v>0</v>
      </c>
      <c r="S907" s="69" t="s">
        <v>23</v>
      </c>
      <c r="T907" s="192">
        <f>SUM(R907:R914)%</f>
        <v>0</v>
      </c>
    </row>
    <row r="908" spans="1:20" ht="21.6" x14ac:dyDescent="0.3">
      <c r="A908" s="139">
        <v>2117</v>
      </c>
      <c r="B908" s="42" t="s">
        <v>20</v>
      </c>
      <c r="C908" s="43" t="s">
        <v>267</v>
      </c>
      <c r="D908" s="44" t="s">
        <v>360</v>
      </c>
      <c r="E908" s="42" t="s">
        <v>359</v>
      </c>
      <c r="F908" s="42" t="s">
        <v>123</v>
      </c>
      <c r="G908" s="207" t="s">
        <v>367</v>
      </c>
      <c r="H908" s="45" t="s">
        <v>469</v>
      </c>
      <c r="I908" s="7" t="s">
        <v>22</v>
      </c>
      <c r="J908" s="3">
        <v>0.7</v>
      </c>
      <c r="K908" s="1" t="s">
        <v>124</v>
      </c>
      <c r="L908" s="8" t="s">
        <v>125</v>
      </c>
      <c r="M908" s="7" t="s">
        <v>126</v>
      </c>
      <c r="N908" s="3">
        <v>0.95</v>
      </c>
      <c r="O908" s="3">
        <v>0.15</v>
      </c>
      <c r="P908" s="6"/>
      <c r="Q908" s="3">
        <f t="shared" si="37"/>
        <v>0</v>
      </c>
      <c r="R908" s="4">
        <f t="shared" si="36"/>
        <v>0</v>
      </c>
      <c r="S908" s="3" t="s">
        <v>23</v>
      </c>
      <c r="T908" s="195"/>
    </row>
    <row r="909" spans="1:20" ht="21.6" x14ac:dyDescent="0.3">
      <c r="A909" s="139">
        <v>2118</v>
      </c>
      <c r="B909" s="42" t="s">
        <v>20</v>
      </c>
      <c r="C909" s="43" t="s">
        <v>267</v>
      </c>
      <c r="D909" s="44" t="s">
        <v>360</v>
      </c>
      <c r="E909" s="42" t="s">
        <v>359</v>
      </c>
      <c r="F909" s="42" t="s">
        <v>123</v>
      </c>
      <c r="G909" s="207" t="s">
        <v>367</v>
      </c>
      <c r="H909" s="45" t="s">
        <v>469</v>
      </c>
      <c r="I909" s="7" t="s">
        <v>22</v>
      </c>
      <c r="J909" s="3">
        <v>0.7</v>
      </c>
      <c r="K909" s="1" t="s">
        <v>51</v>
      </c>
      <c r="L909" s="8" t="s">
        <v>127</v>
      </c>
      <c r="M909" s="7" t="s">
        <v>128</v>
      </c>
      <c r="N909" s="6">
        <v>0.05</v>
      </c>
      <c r="O909" s="3">
        <v>0.1</v>
      </c>
      <c r="P909" s="11"/>
      <c r="Q909" s="3">
        <f t="shared" si="37"/>
        <v>0</v>
      </c>
      <c r="R909" s="4">
        <f t="shared" ref="R909:R972" si="38">IF(AND(Q909&gt;=60%,Q909&lt;100%),Q909*((O909*J909)),IF(Q909=100%,((O909*J909)*Q909)*100%,IF(Q909&gt;100%,((J909*O909)*100%)*100%,0)))*100</f>
        <v>0</v>
      </c>
      <c r="S909" s="3" t="s">
        <v>24</v>
      </c>
      <c r="T909" s="195"/>
    </row>
    <row r="910" spans="1:20" ht="21.6" x14ac:dyDescent="0.3">
      <c r="A910" s="139">
        <v>2119</v>
      </c>
      <c r="B910" s="42" t="s">
        <v>20</v>
      </c>
      <c r="C910" s="43" t="s">
        <v>267</v>
      </c>
      <c r="D910" s="44" t="s">
        <v>360</v>
      </c>
      <c r="E910" s="42" t="s">
        <v>359</v>
      </c>
      <c r="F910" s="42" t="s">
        <v>123</v>
      </c>
      <c r="G910" s="207" t="s">
        <v>367</v>
      </c>
      <c r="H910" s="45" t="s">
        <v>469</v>
      </c>
      <c r="I910" s="7" t="s">
        <v>22</v>
      </c>
      <c r="J910" s="3">
        <v>0.7</v>
      </c>
      <c r="K910" s="1" t="s">
        <v>305</v>
      </c>
      <c r="L910" s="8" t="s">
        <v>257</v>
      </c>
      <c r="M910" s="13" t="s">
        <v>306</v>
      </c>
      <c r="N910" s="3">
        <v>0.95</v>
      </c>
      <c r="O910" s="3">
        <v>0.1</v>
      </c>
      <c r="P910" s="3"/>
      <c r="Q910" s="3">
        <f t="shared" si="37"/>
        <v>0</v>
      </c>
      <c r="R910" s="4">
        <f t="shared" si="38"/>
        <v>0</v>
      </c>
      <c r="S910" s="3" t="s">
        <v>23</v>
      </c>
      <c r="T910" s="195"/>
    </row>
    <row r="911" spans="1:20" ht="21.6" x14ac:dyDescent="0.3">
      <c r="A911" s="139">
        <v>2120</v>
      </c>
      <c r="B911" s="42" t="s">
        <v>20</v>
      </c>
      <c r="C911" s="43" t="s">
        <v>267</v>
      </c>
      <c r="D911" s="44" t="s">
        <v>360</v>
      </c>
      <c r="E911" s="42" t="s">
        <v>359</v>
      </c>
      <c r="F911" s="42" t="s">
        <v>123</v>
      </c>
      <c r="G911" s="207" t="s">
        <v>367</v>
      </c>
      <c r="H911" s="45" t="s">
        <v>469</v>
      </c>
      <c r="I911" s="47" t="s">
        <v>22</v>
      </c>
      <c r="J911" s="3">
        <v>0.7</v>
      </c>
      <c r="K911" s="49" t="s">
        <v>129</v>
      </c>
      <c r="L911" s="30" t="s">
        <v>130</v>
      </c>
      <c r="M911" s="47" t="s">
        <v>131</v>
      </c>
      <c r="N911" s="3">
        <v>0.9</v>
      </c>
      <c r="O911" s="10">
        <v>0.2</v>
      </c>
      <c r="P911" s="3"/>
      <c r="Q911" s="3">
        <f t="shared" si="37"/>
        <v>0</v>
      </c>
      <c r="R911" s="48">
        <f t="shared" si="38"/>
        <v>0</v>
      </c>
      <c r="S911" s="10" t="s">
        <v>23</v>
      </c>
      <c r="T911" s="193"/>
    </row>
    <row r="912" spans="1:20" ht="21.6" x14ac:dyDescent="0.3">
      <c r="A912" s="139">
        <v>2121</v>
      </c>
      <c r="B912" s="42" t="s">
        <v>20</v>
      </c>
      <c r="C912" s="43" t="s">
        <v>267</v>
      </c>
      <c r="D912" s="44" t="s">
        <v>360</v>
      </c>
      <c r="E912" s="42" t="s">
        <v>359</v>
      </c>
      <c r="F912" s="42" t="s">
        <v>123</v>
      </c>
      <c r="G912" s="207" t="s">
        <v>367</v>
      </c>
      <c r="H912" s="45" t="s">
        <v>469</v>
      </c>
      <c r="I912" s="47" t="s">
        <v>22</v>
      </c>
      <c r="J912" s="3">
        <v>0.7</v>
      </c>
      <c r="K912" s="49" t="s">
        <v>132</v>
      </c>
      <c r="L912" s="30" t="s">
        <v>133</v>
      </c>
      <c r="M912" s="47" t="s">
        <v>134</v>
      </c>
      <c r="N912" s="4">
        <v>0</v>
      </c>
      <c r="O912" s="10">
        <v>0.1</v>
      </c>
      <c r="P912" s="3"/>
      <c r="Q912" s="3">
        <f t="shared" si="37"/>
        <v>0</v>
      </c>
      <c r="R912" s="48">
        <f t="shared" si="38"/>
        <v>0</v>
      </c>
      <c r="S912" s="10" t="s">
        <v>24</v>
      </c>
      <c r="T912" s="193"/>
    </row>
    <row r="913" spans="1:20" ht="21.6" x14ac:dyDescent="0.3">
      <c r="A913" s="139">
        <v>2122</v>
      </c>
      <c r="B913" s="42" t="s">
        <v>20</v>
      </c>
      <c r="C913" s="43" t="s">
        <v>267</v>
      </c>
      <c r="D913" s="44" t="s">
        <v>360</v>
      </c>
      <c r="E913" s="42" t="s">
        <v>359</v>
      </c>
      <c r="F913" s="42" t="s">
        <v>123</v>
      </c>
      <c r="G913" s="207" t="s">
        <v>367</v>
      </c>
      <c r="H913" s="45" t="s">
        <v>469</v>
      </c>
      <c r="I913" s="47" t="s">
        <v>22</v>
      </c>
      <c r="J913" s="3">
        <v>0.7</v>
      </c>
      <c r="K913" s="49" t="s">
        <v>135</v>
      </c>
      <c r="L913" s="30" t="s">
        <v>136</v>
      </c>
      <c r="M913" s="49" t="s">
        <v>137</v>
      </c>
      <c r="N913" s="3">
        <v>0.9</v>
      </c>
      <c r="O913" s="10">
        <v>0.2</v>
      </c>
      <c r="P913" s="51"/>
      <c r="Q913" s="3">
        <f t="shared" si="37"/>
        <v>0</v>
      </c>
      <c r="R913" s="48">
        <f t="shared" si="38"/>
        <v>0</v>
      </c>
      <c r="S913" s="10" t="s">
        <v>23</v>
      </c>
      <c r="T913" s="193"/>
    </row>
    <row r="914" spans="1:20" ht="22.2" thickBot="1" x14ac:dyDescent="0.35">
      <c r="A914" s="142">
        <v>2123</v>
      </c>
      <c r="B914" s="81" t="s">
        <v>20</v>
      </c>
      <c r="C914" s="82" t="s">
        <v>267</v>
      </c>
      <c r="D914" s="83" t="s">
        <v>360</v>
      </c>
      <c r="E914" s="81" t="s">
        <v>359</v>
      </c>
      <c r="F914" s="81" t="s">
        <v>123</v>
      </c>
      <c r="G914" s="209" t="s">
        <v>367</v>
      </c>
      <c r="H914" s="84" t="s">
        <v>469</v>
      </c>
      <c r="I914" s="85" t="s">
        <v>26</v>
      </c>
      <c r="J914" s="86">
        <v>0.3</v>
      </c>
      <c r="K914" s="115" t="s">
        <v>138</v>
      </c>
      <c r="L914" s="114" t="s">
        <v>139</v>
      </c>
      <c r="M914" s="115" t="s">
        <v>140</v>
      </c>
      <c r="N914" s="86">
        <v>1</v>
      </c>
      <c r="O914" s="91">
        <v>1</v>
      </c>
      <c r="P914" s="86"/>
      <c r="Q914" s="86">
        <f t="shared" si="37"/>
        <v>0</v>
      </c>
      <c r="R914" s="104">
        <f t="shared" si="38"/>
        <v>0</v>
      </c>
      <c r="S914" s="91" t="s">
        <v>23</v>
      </c>
      <c r="T914" s="147"/>
    </row>
    <row r="915" spans="1:20" ht="21.6" x14ac:dyDescent="0.3">
      <c r="A915" s="144">
        <v>2124</v>
      </c>
      <c r="B915" s="64" t="s">
        <v>20</v>
      </c>
      <c r="C915" s="65" t="s">
        <v>267</v>
      </c>
      <c r="D915" s="66" t="s">
        <v>362</v>
      </c>
      <c r="E915" s="64" t="s">
        <v>361</v>
      </c>
      <c r="F915" s="64" t="s">
        <v>123</v>
      </c>
      <c r="G915" s="210" t="s">
        <v>367</v>
      </c>
      <c r="H915" s="67" t="s">
        <v>469</v>
      </c>
      <c r="I915" s="98" t="s">
        <v>22</v>
      </c>
      <c r="J915" s="69">
        <v>0.7</v>
      </c>
      <c r="K915" s="101" t="s">
        <v>513</v>
      </c>
      <c r="L915" s="105" t="s">
        <v>511</v>
      </c>
      <c r="M915" s="101" t="s">
        <v>411</v>
      </c>
      <c r="N915" s="69">
        <v>0.95</v>
      </c>
      <c r="O915" s="69">
        <v>0.15</v>
      </c>
      <c r="P915" s="69"/>
      <c r="Q915" s="69">
        <f t="shared" si="37"/>
        <v>0</v>
      </c>
      <c r="R915" s="100">
        <f t="shared" si="38"/>
        <v>0</v>
      </c>
      <c r="S915" s="69" t="s">
        <v>23</v>
      </c>
      <c r="T915" s="192">
        <f>SUM(R915:R922)%</f>
        <v>0</v>
      </c>
    </row>
    <row r="916" spans="1:20" ht="21.6" x14ac:dyDescent="0.3">
      <c r="A916" s="139">
        <v>2126</v>
      </c>
      <c r="B916" s="42" t="s">
        <v>20</v>
      </c>
      <c r="C916" s="43" t="s">
        <v>267</v>
      </c>
      <c r="D916" s="44" t="s">
        <v>362</v>
      </c>
      <c r="E916" s="42" t="s">
        <v>361</v>
      </c>
      <c r="F916" s="42" t="s">
        <v>123</v>
      </c>
      <c r="G916" s="207" t="s">
        <v>367</v>
      </c>
      <c r="H916" s="45" t="s">
        <v>469</v>
      </c>
      <c r="I916" s="7" t="s">
        <v>22</v>
      </c>
      <c r="J916" s="3">
        <v>0.7</v>
      </c>
      <c r="K916" s="1" t="s">
        <v>124</v>
      </c>
      <c r="L916" s="8" t="s">
        <v>125</v>
      </c>
      <c r="M916" s="7" t="s">
        <v>126</v>
      </c>
      <c r="N916" s="3">
        <v>0.95</v>
      </c>
      <c r="O916" s="3">
        <v>0.15</v>
      </c>
      <c r="P916" s="6"/>
      <c r="Q916" s="3">
        <f t="shared" si="37"/>
        <v>0</v>
      </c>
      <c r="R916" s="4">
        <f t="shared" si="38"/>
        <v>0</v>
      </c>
      <c r="S916" s="3" t="s">
        <v>23</v>
      </c>
      <c r="T916" s="195"/>
    </row>
    <row r="917" spans="1:20" ht="21.6" x14ac:dyDescent="0.3">
      <c r="A917" s="139">
        <v>2127</v>
      </c>
      <c r="B917" s="42" t="s">
        <v>20</v>
      </c>
      <c r="C917" s="43" t="s">
        <v>267</v>
      </c>
      <c r="D917" s="44" t="s">
        <v>362</v>
      </c>
      <c r="E917" s="42" t="s">
        <v>361</v>
      </c>
      <c r="F917" s="42" t="s">
        <v>123</v>
      </c>
      <c r="G917" s="207" t="s">
        <v>367</v>
      </c>
      <c r="H917" s="45" t="s">
        <v>469</v>
      </c>
      <c r="I917" s="7" t="s">
        <v>22</v>
      </c>
      <c r="J917" s="3">
        <v>0.7</v>
      </c>
      <c r="K917" s="1" t="s">
        <v>51</v>
      </c>
      <c r="L917" s="8" t="s">
        <v>127</v>
      </c>
      <c r="M917" s="7" t="s">
        <v>128</v>
      </c>
      <c r="N917" s="6">
        <v>0.05</v>
      </c>
      <c r="O917" s="3">
        <v>0.1</v>
      </c>
      <c r="P917" s="11"/>
      <c r="Q917" s="3">
        <f t="shared" si="37"/>
        <v>0</v>
      </c>
      <c r="R917" s="4">
        <f t="shared" si="38"/>
        <v>0</v>
      </c>
      <c r="S917" s="3" t="s">
        <v>24</v>
      </c>
      <c r="T917" s="195"/>
    </row>
    <row r="918" spans="1:20" ht="21.6" x14ac:dyDescent="0.3">
      <c r="A918" s="139">
        <v>2128</v>
      </c>
      <c r="B918" s="42" t="s">
        <v>20</v>
      </c>
      <c r="C918" s="43" t="s">
        <v>267</v>
      </c>
      <c r="D918" s="44" t="s">
        <v>362</v>
      </c>
      <c r="E918" s="42" t="s">
        <v>361</v>
      </c>
      <c r="F918" s="42" t="s">
        <v>123</v>
      </c>
      <c r="G918" s="207" t="s">
        <v>367</v>
      </c>
      <c r="H918" s="45" t="s">
        <v>469</v>
      </c>
      <c r="I918" s="7" t="s">
        <v>22</v>
      </c>
      <c r="J918" s="3">
        <v>0.7</v>
      </c>
      <c r="K918" s="1" t="s">
        <v>305</v>
      </c>
      <c r="L918" s="8" t="s">
        <v>257</v>
      </c>
      <c r="M918" s="13" t="s">
        <v>306</v>
      </c>
      <c r="N918" s="3">
        <v>0.95</v>
      </c>
      <c r="O918" s="3">
        <v>0.1</v>
      </c>
      <c r="P918" s="3"/>
      <c r="Q918" s="3">
        <f t="shared" si="37"/>
        <v>0</v>
      </c>
      <c r="R918" s="4">
        <f t="shared" si="38"/>
        <v>0</v>
      </c>
      <c r="S918" s="3" t="s">
        <v>23</v>
      </c>
      <c r="T918" s="195"/>
    </row>
    <row r="919" spans="1:20" ht="21.6" x14ac:dyDescent="0.3">
      <c r="A919" s="139">
        <v>2129</v>
      </c>
      <c r="B919" s="42" t="s">
        <v>20</v>
      </c>
      <c r="C919" s="43" t="s">
        <v>267</v>
      </c>
      <c r="D919" s="44" t="s">
        <v>362</v>
      </c>
      <c r="E919" s="42" t="s">
        <v>361</v>
      </c>
      <c r="F919" s="42" t="s">
        <v>123</v>
      </c>
      <c r="G919" s="207" t="s">
        <v>367</v>
      </c>
      <c r="H919" s="45" t="s">
        <v>469</v>
      </c>
      <c r="I919" s="47" t="s">
        <v>22</v>
      </c>
      <c r="J919" s="3">
        <v>0.7</v>
      </c>
      <c r="K919" s="49" t="s">
        <v>129</v>
      </c>
      <c r="L919" s="30" t="s">
        <v>130</v>
      </c>
      <c r="M919" s="47" t="s">
        <v>131</v>
      </c>
      <c r="N919" s="3">
        <v>0.9</v>
      </c>
      <c r="O919" s="10">
        <v>0.2</v>
      </c>
      <c r="P919" s="3"/>
      <c r="Q919" s="3">
        <f t="shared" si="37"/>
        <v>0</v>
      </c>
      <c r="R919" s="48">
        <f t="shared" si="38"/>
        <v>0</v>
      </c>
      <c r="S919" s="10" t="s">
        <v>23</v>
      </c>
      <c r="T919" s="193"/>
    </row>
    <row r="920" spans="1:20" ht="21.6" x14ac:dyDescent="0.3">
      <c r="A920" s="139">
        <v>2130</v>
      </c>
      <c r="B920" s="42" t="s">
        <v>20</v>
      </c>
      <c r="C920" s="43" t="s">
        <v>267</v>
      </c>
      <c r="D920" s="44" t="s">
        <v>362</v>
      </c>
      <c r="E920" s="42" t="s">
        <v>361</v>
      </c>
      <c r="F920" s="42" t="s">
        <v>123</v>
      </c>
      <c r="G920" s="207" t="s">
        <v>367</v>
      </c>
      <c r="H920" s="45" t="s">
        <v>469</v>
      </c>
      <c r="I920" s="47" t="s">
        <v>22</v>
      </c>
      <c r="J920" s="3">
        <v>0.7</v>
      </c>
      <c r="K920" s="49" t="s">
        <v>132</v>
      </c>
      <c r="L920" s="30" t="s">
        <v>133</v>
      </c>
      <c r="M920" s="47" t="s">
        <v>134</v>
      </c>
      <c r="N920" s="4">
        <v>0</v>
      </c>
      <c r="O920" s="10">
        <v>0.1</v>
      </c>
      <c r="P920" s="3"/>
      <c r="Q920" s="3">
        <f t="shared" si="37"/>
        <v>0</v>
      </c>
      <c r="R920" s="48">
        <f t="shared" si="38"/>
        <v>0</v>
      </c>
      <c r="S920" s="10" t="s">
        <v>24</v>
      </c>
      <c r="T920" s="193"/>
    </row>
    <row r="921" spans="1:20" ht="21.6" x14ac:dyDescent="0.3">
      <c r="A921" s="139">
        <v>2131</v>
      </c>
      <c r="B921" s="42" t="s">
        <v>20</v>
      </c>
      <c r="C921" s="43" t="s">
        <v>267</v>
      </c>
      <c r="D921" s="44" t="s">
        <v>362</v>
      </c>
      <c r="E921" s="42" t="s">
        <v>361</v>
      </c>
      <c r="F921" s="42" t="s">
        <v>123</v>
      </c>
      <c r="G921" s="207" t="s">
        <v>367</v>
      </c>
      <c r="H921" s="45" t="s">
        <v>469</v>
      </c>
      <c r="I921" s="47" t="s">
        <v>22</v>
      </c>
      <c r="J921" s="3">
        <v>0.7</v>
      </c>
      <c r="K921" s="49" t="s">
        <v>135</v>
      </c>
      <c r="L921" s="30" t="s">
        <v>136</v>
      </c>
      <c r="M921" s="49" t="s">
        <v>137</v>
      </c>
      <c r="N921" s="3">
        <v>0.9</v>
      </c>
      <c r="O921" s="10">
        <v>0.2</v>
      </c>
      <c r="P921" s="51"/>
      <c r="Q921" s="3">
        <f t="shared" si="37"/>
        <v>0</v>
      </c>
      <c r="R921" s="48">
        <f t="shared" si="38"/>
        <v>0</v>
      </c>
      <c r="S921" s="10" t="s">
        <v>23</v>
      </c>
      <c r="T921" s="193"/>
    </row>
    <row r="922" spans="1:20" ht="22.2" thickBot="1" x14ac:dyDescent="0.35">
      <c r="A922" s="142">
        <v>2132</v>
      </c>
      <c r="B922" s="81" t="s">
        <v>20</v>
      </c>
      <c r="C922" s="82" t="s">
        <v>267</v>
      </c>
      <c r="D922" s="83" t="s">
        <v>362</v>
      </c>
      <c r="E922" s="81" t="s">
        <v>361</v>
      </c>
      <c r="F922" s="81" t="s">
        <v>123</v>
      </c>
      <c r="G922" s="209" t="s">
        <v>367</v>
      </c>
      <c r="H922" s="84" t="s">
        <v>469</v>
      </c>
      <c r="I922" s="85" t="s">
        <v>26</v>
      </c>
      <c r="J922" s="86">
        <v>0.3</v>
      </c>
      <c r="K922" s="115" t="s">
        <v>138</v>
      </c>
      <c r="L922" s="114" t="s">
        <v>139</v>
      </c>
      <c r="M922" s="115" t="s">
        <v>140</v>
      </c>
      <c r="N922" s="86">
        <v>1</v>
      </c>
      <c r="O922" s="91">
        <v>1</v>
      </c>
      <c r="P922" s="86"/>
      <c r="Q922" s="86">
        <f t="shared" si="37"/>
        <v>0</v>
      </c>
      <c r="R922" s="104">
        <f t="shared" si="38"/>
        <v>0</v>
      </c>
      <c r="S922" s="91" t="s">
        <v>23</v>
      </c>
      <c r="T922" s="147"/>
    </row>
    <row r="923" spans="1:20" ht="21.6" x14ac:dyDescent="0.3">
      <c r="A923" s="144">
        <v>2142</v>
      </c>
      <c r="B923" s="64" t="s">
        <v>20</v>
      </c>
      <c r="C923" s="65" t="s">
        <v>267</v>
      </c>
      <c r="D923" s="66" t="s">
        <v>350</v>
      </c>
      <c r="E923" s="64" t="s">
        <v>349</v>
      </c>
      <c r="F923" s="64" t="s">
        <v>145</v>
      </c>
      <c r="G923" s="210" t="s">
        <v>367</v>
      </c>
      <c r="H923" s="67" t="s">
        <v>469</v>
      </c>
      <c r="I923" s="98" t="s">
        <v>22</v>
      </c>
      <c r="J923" s="69">
        <v>0.7</v>
      </c>
      <c r="K923" s="101" t="s">
        <v>513</v>
      </c>
      <c r="L923" s="105" t="s">
        <v>511</v>
      </c>
      <c r="M923" s="101" t="s">
        <v>411</v>
      </c>
      <c r="N923" s="69">
        <v>0.95</v>
      </c>
      <c r="O923" s="69">
        <v>0.15</v>
      </c>
      <c r="P923" s="69"/>
      <c r="Q923" s="69">
        <f t="shared" si="37"/>
        <v>0</v>
      </c>
      <c r="R923" s="100">
        <f t="shared" si="38"/>
        <v>0</v>
      </c>
      <c r="S923" s="69" t="s">
        <v>23</v>
      </c>
      <c r="T923" s="192">
        <f>SUM(R923:R930)%</f>
        <v>0</v>
      </c>
    </row>
    <row r="924" spans="1:20" ht="21.6" x14ac:dyDescent="0.3">
      <c r="A924" s="139">
        <v>2144</v>
      </c>
      <c r="B924" s="42" t="s">
        <v>20</v>
      </c>
      <c r="C924" s="43" t="s">
        <v>267</v>
      </c>
      <c r="D924" s="44" t="s">
        <v>350</v>
      </c>
      <c r="E924" s="42" t="s">
        <v>349</v>
      </c>
      <c r="F924" s="42" t="s">
        <v>145</v>
      </c>
      <c r="G924" s="207" t="s">
        <v>367</v>
      </c>
      <c r="H924" s="45" t="s">
        <v>469</v>
      </c>
      <c r="I924" s="7" t="s">
        <v>22</v>
      </c>
      <c r="J924" s="3">
        <v>0.7</v>
      </c>
      <c r="K924" s="1" t="s">
        <v>124</v>
      </c>
      <c r="L924" s="8" t="s">
        <v>125</v>
      </c>
      <c r="M924" s="7" t="s">
        <v>126</v>
      </c>
      <c r="N924" s="3">
        <v>0.95</v>
      </c>
      <c r="O924" s="3">
        <v>0.15</v>
      </c>
      <c r="P924" s="6"/>
      <c r="Q924" s="3">
        <f t="shared" si="37"/>
        <v>0</v>
      </c>
      <c r="R924" s="4">
        <f t="shared" si="38"/>
        <v>0</v>
      </c>
      <c r="S924" s="3" t="s">
        <v>23</v>
      </c>
      <c r="T924" s="195"/>
    </row>
    <row r="925" spans="1:20" ht="21.6" x14ac:dyDescent="0.3">
      <c r="A925" s="139">
        <v>2145</v>
      </c>
      <c r="B925" s="42" t="s">
        <v>20</v>
      </c>
      <c r="C925" s="43" t="s">
        <v>267</v>
      </c>
      <c r="D925" s="44" t="s">
        <v>350</v>
      </c>
      <c r="E925" s="42" t="s">
        <v>349</v>
      </c>
      <c r="F925" s="42" t="s">
        <v>145</v>
      </c>
      <c r="G925" s="207" t="s">
        <v>367</v>
      </c>
      <c r="H925" s="45" t="s">
        <v>469</v>
      </c>
      <c r="I925" s="7" t="s">
        <v>22</v>
      </c>
      <c r="J925" s="3">
        <v>0.7</v>
      </c>
      <c r="K925" s="1" t="s">
        <v>51</v>
      </c>
      <c r="L925" s="8" t="s">
        <v>127</v>
      </c>
      <c r="M925" s="7" t="s">
        <v>128</v>
      </c>
      <c r="N925" s="6">
        <v>0.05</v>
      </c>
      <c r="O925" s="3">
        <v>0.1</v>
      </c>
      <c r="P925" s="11"/>
      <c r="Q925" s="3">
        <f t="shared" si="37"/>
        <v>0</v>
      </c>
      <c r="R925" s="4">
        <f t="shared" si="38"/>
        <v>0</v>
      </c>
      <c r="S925" s="3" t="s">
        <v>24</v>
      </c>
      <c r="T925" s="195"/>
    </row>
    <row r="926" spans="1:20" ht="21.6" x14ac:dyDescent="0.3">
      <c r="A926" s="139">
        <v>2146</v>
      </c>
      <c r="B926" s="42" t="s">
        <v>20</v>
      </c>
      <c r="C926" s="43" t="s">
        <v>267</v>
      </c>
      <c r="D926" s="44" t="s">
        <v>350</v>
      </c>
      <c r="E926" s="42" t="s">
        <v>349</v>
      </c>
      <c r="F926" s="42" t="s">
        <v>145</v>
      </c>
      <c r="G926" s="207" t="s">
        <v>367</v>
      </c>
      <c r="H926" s="45" t="s">
        <v>469</v>
      </c>
      <c r="I926" s="7" t="s">
        <v>22</v>
      </c>
      <c r="J926" s="3">
        <v>0.7</v>
      </c>
      <c r="K926" s="1" t="s">
        <v>305</v>
      </c>
      <c r="L926" s="8" t="s">
        <v>257</v>
      </c>
      <c r="M926" s="13" t="s">
        <v>306</v>
      </c>
      <c r="N926" s="3">
        <v>0.95</v>
      </c>
      <c r="O926" s="3">
        <v>0.1</v>
      </c>
      <c r="P926" s="3"/>
      <c r="Q926" s="3">
        <f t="shared" si="37"/>
        <v>0</v>
      </c>
      <c r="R926" s="4">
        <f t="shared" si="38"/>
        <v>0</v>
      </c>
      <c r="S926" s="3" t="s">
        <v>23</v>
      </c>
      <c r="T926" s="195"/>
    </row>
    <row r="927" spans="1:20" ht="21.6" x14ac:dyDescent="0.3">
      <c r="A927" s="139">
        <v>2147</v>
      </c>
      <c r="B927" s="42" t="s">
        <v>20</v>
      </c>
      <c r="C927" s="43" t="s">
        <v>267</v>
      </c>
      <c r="D927" s="44" t="s">
        <v>350</v>
      </c>
      <c r="E927" s="42" t="s">
        <v>349</v>
      </c>
      <c r="F927" s="42" t="s">
        <v>145</v>
      </c>
      <c r="G927" s="207" t="s">
        <v>367</v>
      </c>
      <c r="H927" s="45" t="s">
        <v>469</v>
      </c>
      <c r="I927" s="47" t="s">
        <v>22</v>
      </c>
      <c r="J927" s="3">
        <v>0.7</v>
      </c>
      <c r="K927" s="49" t="s">
        <v>129</v>
      </c>
      <c r="L927" s="30" t="s">
        <v>130</v>
      </c>
      <c r="M927" s="47" t="s">
        <v>131</v>
      </c>
      <c r="N927" s="3">
        <v>0.9</v>
      </c>
      <c r="O927" s="10">
        <v>0.2</v>
      </c>
      <c r="P927" s="3"/>
      <c r="Q927" s="3">
        <f t="shared" si="37"/>
        <v>0</v>
      </c>
      <c r="R927" s="48">
        <f t="shared" si="38"/>
        <v>0</v>
      </c>
      <c r="S927" s="10" t="s">
        <v>23</v>
      </c>
      <c r="T927" s="193"/>
    </row>
    <row r="928" spans="1:20" ht="21.6" x14ac:dyDescent="0.3">
      <c r="A928" s="139">
        <v>2148</v>
      </c>
      <c r="B928" s="42" t="s">
        <v>20</v>
      </c>
      <c r="C928" s="43" t="s">
        <v>267</v>
      </c>
      <c r="D928" s="44" t="s">
        <v>350</v>
      </c>
      <c r="E928" s="42" t="s">
        <v>349</v>
      </c>
      <c r="F928" s="42" t="s">
        <v>145</v>
      </c>
      <c r="G928" s="207" t="s">
        <v>367</v>
      </c>
      <c r="H928" s="45" t="s">
        <v>469</v>
      </c>
      <c r="I928" s="47" t="s">
        <v>22</v>
      </c>
      <c r="J928" s="3">
        <v>0.7</v>
      </c>
      <c r="K928" s="49" t="s">
        <v>132</v>
      </c>
      <c r="L928" s="30" t="s">
        <v>133</v>
      </c>
      <c r="M928" s="47" t="s">
        <v>134</v>
      </c>
      <c r="N928" s="4">
        <v>0</v>
      </c>
      <c r="O928" s="10">
        <v>0.1</v>
      </c>
      <c r="P928" s="3"/>
      <c r="Q928" s="3">
        <f t="shared" si="37"/>
        <v>0</v>
      </c>
      <c r="R928" s="48">
        <f t="shared" si="38"/>
        <v>0</v>
      </c>
      <c r="S928" s="10" t="s">
        <v>24</v>
      </c>
      <c r="T928" s="193"/>
    </row>
    <row r="929" spans="1:20" ht="21.6" x14ac:dyDescent="0.3">
      <c r="A929" s="139">
        <v>2149</v>
      </c>
      <c r="B929" s="42" t="s">
        <v>20</v>
      </c>
      <c r="C929" s="43" t="s">
        <v>267</v>
      </c>
      <c r="D929" s="44" t="s">
        <v>350</v>
      </c>
      <c r="E929" s="42" t="s">
        <v>349</v>
      </c>
      <c r="F929" s="42" t="s">
        <v>145</v>
      </c>
      <c r="G929" s="207" t="s">
        <v>367</v>
      </c>
      <c r="H929" s="45" t="s">
        <v>469</v>
      </c>
      <c r="I929" s="47" t="s">
        <v>22</v>
      </c>
      <c r="J929" s="3">
        <v>0.7</v>
      </c>
      <c r="K929" s="49" t="s">
        <v>135</v>
      </c>
      <c r="L929" s="30" t="s">
        <v>136</v>
      </c>
      <c r="M929" s="49" t="s">
        <v>137</v>
      </c>
      <c r="N929" s="3">
        <v>0.9</v>
      </c>
      <c r="O929" s="10">
        <v>0.2</v>
      </c>
      <c r="P929" s="51"/>
      <c r="Q929" s="3">
        <f t="shared" si="37"/>
        <v>0</v>
      </c>
      <c r="R929" s="48">
        <f t="shared" si="38"/>
        <v>0</v>
      </c>
      <c r="S929" s="10" t="s">
        <v>23</v>
      </c>
      <c r="T929" s="193"/>
    </row>
    <row r="930" spans="1:20" ht="22.2" thickBot="1" x14ac:dyDescent="0.35">
      <c r="A930" s="142">
        <v>2150</v>
      </c>
      <c r="B930" s="81" t="s">
        <v>20</v>
      </c>
      <c r="C930" s="82" t="s">
        <v>267</v>
      </c>
      <c r="D930" s="83" t="s">
        <v>350</v>
      </c>
      <c r="E930" s="81" t="s">
        <v>349</v>
      </c>
      <c r="F930" s="81" t="s">
        <v>145</v>
      </c>
      <c r="G930" s="209" t="s">
        <v>367</v>
      </c>
      <c r="H930" s="84" t="s">
        <v>469</v>
      </c>
      <c r="I930" s="85" t="s">
        <v>26</v>
      </c>
      <c r="J930" s="86">
        <v>0.3</v>
      </c>
      <c r="K930" s="115" t="s">
        <v>138</v>
      </c>
      <c r="L930" s="114" t="s">
        <v>139</v>
      </c>
      <c r="M930" s="115" t="s">
        <v>140</v>
      </c>
      <c r="N930" s="86">
        <v>1</v>
      </c>
      <c r="O930" s="91">
        <v>1</v>
      </c>
      <c r="P930" s="86"/>
      <c r="Q930" s="86">
        <f t="shared" si="37"/>
        <v>0</v>
      </c>
      <c r="R930" s="104">
        <f t="shared" si="38"/>
        <v>0</v>
      </c>
      <c r="S930" s="91" t="s">
        <v>23</v>
      </c>
      <c r="T930" s="147"/>
    </row>
    <row r="931" spans="1:20" ht="21.6" x14ac:dyDescent="0.3">
      <c r="A931" s="144">
        <v>2142</v>
      </c>
      <c r="B931" s="64" t="s">
        <v>20</v>
      </c>
      <c r="C931" s="65" t="s">
        <v>267</v>
      </c>
      <c r="D931" s="66" t="s">
        <v>364</v>
      </c>
      <c r="E931" s="64" t="s">
        <v>363</v>
      </c>
      <c r="F931" s="64" t="s">
        <v>123</v>
      </c>
      <c r="G931" s="210" t="s">
        <v>367</v>
      </c>
      <c r="H931" s="67" t="s">
        <v>469</v>
      </c>
      <c r="I931" s="98" t="s">
        <v>22</v>
      </c>
      <c r="J931" s="69">
        <v>0.7</v>
      </c>
      <c r="K931" s="101" t="s">
        <v>513</v>
      </c>
      <c r="L931" s="105" t="s">
        <v>511</v>
      </c>
      <c r="M931" s="101" t="s">
        <v>411</v>
      </c>
      <c r="N931" s="69">
        <v>0.95</v>
      </c>
      <c r="O931" s="69">
        <v>0.15</v>
      </c>
      <c r="P931" s="69"/>
      <c r="Q931" s="69">
        <f t="shared" si="37"/>
        <v>0</v>
      </c>
      <c r="R931" s="100">
        <f t="shared" si="38"/>
        <v>0</v>
      </c>
      <c r="S931" s="69" t="s">
        <v>23</v>
      </c>
      <c r="T931" s="192">
        <f>SUM(R931:R938)%</f>
        <v>0</v>
      </c>
    </row>
    <row r="932" spans="1:20" ht="21.6" x14ac:dyDescent="0.3">
      <c r="A932" s="139">
        <v>2144</v>
      </c>
      <c r="B932" s="42" t="s">
        <v>20</v>
      </c>
      <c r="C932" s="43" t="s">
        <v>267</v>
      </c>
      <c r="D932" s="44" t="s">
        <v>364</v>
      </c>
      <c r="E932" s="42" t="s">
        <v>363</v>
      </c>
      <c r="F932" s="42" t="s">
        <v>123</v>
      </c>
      <c r="G932" s="207" t="s">
        <v>367</v>
      </c>
      <c r="H932" s="45" t="s">
        <v>469</v>
      </c>
      <c r="I932" s="7" t="s">
        <v>22</v>
      </c>
      <c r="J932" s="3">
        <v>0.7</v>
      </c>
      <c r="K932" s="1" t="s">
        <v>124</v>
      </c>
      <c r="L932" s="8" t="s">
        <v>125</v>
      </c>
      <c r="M932" s="7" t="s">
        <v>126</v>
      </c>
      <c r="N932" s="3">
        <v>0.95</v>
      </c>
      <c r="O932" s="3">
        <v>0.15</v>
      </c>
      <c r="P932" s="6"/>
      <c r="Q932" s="3">
        <f t="shared" si="37"/>
        <v>0</v>
      </c>
      <c r="R932" s="4">
        <f t="shared" si="38"/>
        <v>0</v>
      </c>
      <c r="S932" s="3" t="s">
        <v>23</v>
      </c>
      <c r="T932" s="195"/>
    </row>
    <row r="933" spans="1:20" ht="21.6" x14ac:dyDescent="0.3">
      <c r="A933" s="139">
        <v>2145</v>
      </c>
      <c r="B933" s="42" t="s">
        <v>20</v>
      </c>
      <c r="C933" s="43" t="s">
        <v>267</v>
      </c>
      <c r="D933" s="44" t="s">
        <v>364</v>
      </c>
      <c r="E933" s="42" t="s">
        <v>363</v>
      </c>
      <c r="F933" s="42" t="s">
        <v>123</v>
      </c>
      <c r="G933" s="207" t="s">
        <v>367</v>
      </c>
      <c r="H933" s="45" t="s">
        <v>469</v>
      </c>
      <c r="I933" s="7" t="s">
        <v>22</v>
      </c>
      <c r="J933" s="3">
        <v>0.7</v>
      </c>
      <c r="K933" s="1" t="s">
        <v>51</v>
      </c>
      <c r="L933" s="8" t="s">
        <v>127</v>
      </c>
      <c r="M933" s="7" t="s">
        <v>128</v>
      </c>
      <c r="N933" s="6">
        <v>0.05</v>
      </c>
      <c r="O933" s="3">
        <v>0.1</v>
      </c>
      <c r="P933" s="11"/>
      <c r="Q933" s="3">
        <f t="shared" si="37"/>
        <v>0</v>
      </c>
      <c r="R933" s="4">
        <f t="shared" si="38"/>
        <v>0</v>
      </c>
      <c r="S933" s="3" t="s">
        <v>24</v>
      </c>
      <c r="T933" s="195"/>
    </row>
    <row r="934" spans="1:20" ht="21.6" x14ac:dyDescent="0.3">
      <c r="A934" s="139">
        <v>2146</v>
      </c>
      <c r="B934" s="42" t="s">
        <v>20</v>
      </c>
      <c r="C934" s="43" t="s">
        <v>267</v>
      </c>
      <c r="D934" s="44" t="s">
        <v>364</v>
      </c>
      <c r="E934" s="42" t="s">
        <v>363</v>
      </c>
      <c r="F934" s="42" t="s">
        <v>123</v>
      </c>
      <c r="G934" s="207" t="s">
        <v>367</v>
      </c>
      <c r="H934" s="45" t="s">
        <v>469</v>
      </c>
      <c r="I934" s="7" t="s">
        <v>22</v>
      </c>
      <c r="J934" s="3">
        <v>0.7</v>
      </c>
      <c r="K934" s="1" t="s">
        <v>305</v>
      </c>
      <c r="L934" s="8" t="s">
        <v>257</v>
      </c>
      <c r="M934" s="13" t="s">
        <v>306</v>
      </c>
      <c r="N934" s="3">
        <v>0.95</v>
      </c>
      <c r="O934" s="3">
        <v>0.1</v>
      </c>
      <c r="P934" s="3"/>
      <c r="Q934" s="3">
        <f t="shared" si="37"/>
        <v>0</v>
      </c>
      <c r="R934" s="4">
        <f t="shared" si="38"/>
        <v>0</v>
      </c>
      <c r="S934" s="3" t="s">
        <v>23</v>
      </c>
      <c r="T934" s="195"/>
    </row>
    <row r="935" spans="1:20" ht="21.6" x14ac:dyDescent="0.3">
      <c r="A935" s="139">
        <v>2147</v>
      </c>
      <c r="B935" s="42" t="s">
        <v>20</v>
      </c>
      <c r="C935" s="43" t="s">
        <v>267</v>
      </c>
      <c r="D935" s="44" t="s">
        <v>364</v>
      </c>
      <c r="E935" s="42" t="s">
        <v>363</v>
      </c>
      <c r="F935" s="42" t="s">
        <v>123</v>
      </c>
      <c r="G935" s="207" t="s">
        <v>367</v>
      </c>
      <c r="H935" s="45" t="s">
        <v>469</v>
      </c>
      <c r="I935" s="47" t="s">
        <v>22</v>
      </c>
      <c r="J935" s="3">
        <v>0.7</v>
      </c>
      <c r="K935" s="49" t="s">
        <v>129</v>
      </c>
      <c r="L935" s="30" t="s">
        <v>130</v>
      </c>
      <c r="M935" s="47" t="s">
        <v>131</v>
      </c>
      <c r="N935" s="3">
        <v>0.9</v>
      </c>
      <c r="O935" s="10">
        <v>0.2</v>
      </c>
      <c r="P935" s="3"/>
      <c r="Q935" s="3">
        <f t="shared" si="37"/>
        <v>0</v>
      </c>
      <c r="R935" s="48">
        <f t="shared" si="38"/>
        <v>0</v>
      </c>
      <c r="S935" s="10" t="s">
        <v>23</v>
      </c>
      <c r="T935" s="193"/>
    </row>
    <row r="936" spans="1:20" ht="21.6" x14ac:dyDescent="0.3">
      <c r="A936" s="139">
        <v>2148</v>
      </c>
      <c r="B936" s="42" t="s">
        <v>20</v>
      </c>
      <c r="C936" s="43" t="s">
        <v>267</v>
      </c>
      <c r="D936" s="44" t="s">
        <v>364</v>
      </c>
      <c r="E936" s="42" t="s">
        <v>363</v>
      </c>
      <c r="F936" s="42" t="s">
        <v>123</v>
      </c>
      <c r="G936" s="207" t="s">
        <v>367</v>
      </c>
      <c r="H936" s="45" t="s">
        <v>469</v>
      </c>
      <c r="I936" s="47" t="s">
        <v>22</v>
      </c>
      <c r="J936" s="3">
        <v>0.7</v>
      </c>
      <c r="K936" s="49" t="s">
        <v>132</v>
      </c>
      <c r="L936" s="30" t="s">
        <v>133</v>
      </c>
      <c r="M936" s="47" t="s">
        <v>134</v>
      </c>
      <c r="N936" s="4">
        <v>0</v>
      </c>
      <c r="O936" s="10">
        <v>0.1</v>
      </c>
      <c r="P936" s="3"/>
      <c r="Q936" s="3">
        <f t="shared" si="37"/>
        <v>0</v>
      </c>
      <c r="R936" s="48">
        <f t="shared" si="38"/>
        <v>0</v>
      </c>
      <c r="S936" s="10" t="s">
        <v>24</v>
      </c>
      <c r="T936" s="193"/>
    </row>
    <row r="937" spans="1:20" ht="21.6" x14ac:dyDescent="0.3">
      <c r="A937" s="139">
        <v>2149</v>
      </c>
      <c r="B937" s="42" t="s">
        <v>20</v>
      </c>
      <c r="C937" s="43" t="s">
        <v>267</v>
      </c>
      <c r="D937" s="44" t="s">
        <v>364</v>
      </c>
      <c r="E937" s="42" t="s">
        <v>363</v>
      </c>
      <c r="F937" s="42" t="s">
        <v>123</v>
      </c>
      <c r="G937" s="207" t="s">
        <v>367</v>
      </c>
      <c r="H937" s="45" t="s">
        <v>469</v>
      </c>
      <c r="I937" s="47" t="s">
        <v>22</v>
      </c>
      <c r="J937" s="3">
        <v>0.7</v>
      </c>
      <c r="K937" s="49" t="s">
        <v>135</v>
      </c>
      <c r="L937" s="30" t="s">
        <v>136</v>
      </c>
      <c r="M937" s="49" t="s">
        <v>137</v>
      </c>
      <c r="N937" s="3">
        <v>0.9</v>
      </c>
      <c r="O937" s="10">
        <v>0.2</v>
      </c>
      <c r="P937" s="51"/>
      <c r="Q937" s="3">
        <f t="shared" si="37"/>
        <v>0</v>
      </c>
      <c r="R937" s="48">
        <f t="shared" si="38"/>
        <v>0</v>
      </c>
      <c r="S937" s="10" t="s">
        <v>23</v>
      </c>
      <c r="T937" s="193"/>
    </row>
    <row r="938" spans="1:20" ht="22.2" thickBot="1" x14ac:dyDescent="0.35">
      <c r="A938" s="142">
        <v>2150</v>
      </c>
      <c r="B938" s="81" t="s">
        <v>20</v>
      </c>
      <c r="C938" s="82" t="s">
        <v>267</v>
      </c>
      <c r="D938" s="83" t="s">
        <v>364</v>
      </c>
      <c r="E938" s="81" t="s">
        <v>363</v>
      </c>
      <c r="F938" s="81" t="s">
        <v>123</v>
      </c>
      <c r="G938" s="209" t="s">
        <v>367</v>
      </c>
      <c r="H938" s="84" t="s">
        <v>469</v>
      </c>
      <c r="I938" s="85" t="s">
        <v>26</v>
      </c>
      <c r="J938" s="86">
        <v>0.3</v>
      </c>
      <c r="K938" s="115" t="s">
        <v>138</v>
      </c>
      <c r="L938" s="114" t="s">
        <v>139</v>
      </c>
      <c r="M938" s="115" t="s">
        <v>140</v>
      </c>
      <c r="N938" s="86">
        <v>1</v>
      </c>
      <c r="O938" s="91">
        <v>1</v>
      </c>
      <c r="P938" s="86"/>
      <c r="Q938" s="86">
        <f t="shared" si="37"/>
        <v>0</v>
      </c>
      <c r="R938" s="104">
        <f t="shared" si="38"/>
        <v>0</v>
      </c>
      <c r="S938" s="91" t="s">
        <v>23</v>
      </c>
      <c r="T938" s="147"/>
    </row>
    <row r="939" spans="1:20" ht="21.6" x14ac:dyDescent="0.3">
      <c r="A939" s="144">
        <v>2142</v>
      </c>
      <c r="B939" s="64" t="s">
        <v>20</v>
      </c>
      <c r="C939" s="65" t="s">
        <v>267</v>
      </c>
      <c r="D939" s="66" t="s">
        <v>366</v>
      </c>
      <c r="E939" s="64" t="s">
        <v>365</v>
      </c>
      <c r="F939" s="64" t="s">
        <v>123</v>
      </c>
      <c r="G939" s="210" t="s">
        <v>367</v>
      </c>
      <c r="H939" s="67" t="s">
        <v>469</v>
      </c>
      <c r="I939" s="98" t="s">
        <v>22</v>
      </c>
      <c r="J939" s="69">
        <v>0.7</v>
      </c>
      <c r="K939" s="101" t="s">
        <v>513</v>
      </c>
      <c r="L939" s="105" t="s">
        <v>511</v>
      </c>
      <c r="M939" s="101" t="s">
        <v>411</v>
      </c>
      <c r="N939" s="69">
        <v>0.95</v>
      </c>
      <c r="O939" s="69">
        <v>0.15</v>
      </c>
      <c r="P939" s="69"/>
      <c r="Q939" s="69">
        <f t="shared" si="37"/>
        <v>0</v>
      </c>
      <c r="R939" s="100">
        <f t="shared" si="38"/>
        <v>0</v>
      </c>
      <c r="S939" s="69" t="s">
        <v>23</v>
      </c>
      <c r="T939" s="192">
        <f>SUM(R939:R946)%</f>
        <v>0</v>
      </c>
    </row>
    <row r="940" spans="1:20" ht="21.6" x14ac:dyDescent="0.3">
      <c r="A940" s="139">
        <v>2144</v>
      </c>
      <c r="B940" s="42" t="s">
        <v>20</v>
      </c>
      <c r="C940" s="43" t="s">
        <v>267</v>
      </c>
      <c r="D940" s="44" t="s">
        <v>366</v>
      </c>
      <c r="E940" s="42" t="s">
        <v>365</v>
      </c>
      <c r="F940" s="42" t="s">
        <v>123</v>
      </c>
      <c r="G940" s="207" t="s">
        <v>367</v>
      </c>
      <c r="H940" s="45" t="s">
        <v>469</v>
      </c>
      <c r="I940" s="7" t="s">
        <v>22</v>
      </c>
      <c r="J940" s="3">
        <v>0.7</v>
      </c>
      <c r="K940" s="1" t="s">
        <v>124</v>
      </c>
      <c r="L940" s="8" t="s">
        <v>125</v>
      </c>
      <c r="M940" s="7" t="s">
        <v>126</v>
      </c>
      <c r="N940" s="3">
        <v>0.95</v>
      </c>
      <c r="O940" s="3">
        <v>0.15</v>
      </c>
      <c r="P940" s="6"/>
      <c r="Q940" s="3">
        <f t="shared" si="37"/>
        <v>0</v>
      </c>
      <c r="R940" s="4">
        <f t="shared" si="38"/>
        <v>0</v>
      </c>
      <c r="S940" s="3" t="s">
        <v>23</v>
      </c>
      <c r="T940" s="195"/>
    </row>
    <row r="941" spans="1:20" ht="21.6" x14ac:dyDescent="0.3">
      <c r="A941" s="139">
        <v>2145</v>
      </c>
      <c r="B941" s="42" t="s">
        <v>20</v>
      </c>
      <c r="C941" s="43" t="s">
        <v>267</v>
      </c>
      <c r="D941" s="44" t="s">
        <v>366</v>
      </c>
      <c r="E941" s="42" t="s">
        <v>365</v>
      </c>
      <c r="F941" s="42" t="s">
        <v>123</v>
      </c>
      <c r="G941" s="207" t="s">
        <v>367</v>
      </c>
      <c r="H941" s="45" t="s">
        <v>469</v>
      </c>
      <c r="I941" s="7" t="s">
        <v>22</v>
      </c>
      <c r="J941" s="3">
        <v>0.7</v>
      </c>
      <c r="K941" s="1" t="s">
        <v>51</v>
      </c>
      <c r="L941" s="8" t="s">
        <v>127</v>
      </c>
      <c r="M941" s="7" t="s">
        <v>128</v>
      </c>
      <c r="N941" s="6">
        <v>0.05</v>
      </c>
      <c r="O941" s="3">
        <v>0.1</v>
      </c>
      <c r="P941" s="11"/>
      <c r="Q941" s="3">
        <f t="shared" si="37"/>
        <v>0</v>
      </c>
      <c r="R941" s="4">
        <f t="shared" si="38"/>
        <v>0</v>
      </c>
      <c r="S941" s="3" t="s">
        <v>24</v>
      </c>
      <c r="T941" s="195"/>
    </row>
    <row r="942" spans="1:20" ht="21.6" x14ac:dyDescent="0.3">
      <c r="A942" s="139">
        <v>2146</v>
      </c>
      <c r="B942" s="42" t="s">
        <v>20</v>
      </c>
      <c r="C942" s="43" t="s">
        <v>267</v>
      </c>
      <c r="D942" s="44" t="s">
        <v>366</v>
      </c>
      <c r="E942" s="42" t="s">
        <v>365</v>
      </c>
      <c r="F942" s="42" t="s">
        <v>123</v>
      </c>
      <c r="G942" s="207" t="s">
        <v>367</v>
      </c>
      <c r="H942" s="45" t="s">
        <v>469</v>
      </c>
      <c r="I942" s="7" t="s">
        <v>22</v>
      </c>
      <c r="J942" s="3">
        <v>0.7</v>
      </c>
      <c r="K942" s="1" t="s">
        <v>305</v>
      </c>
      <c r="L942" s="8" t="s">
        <v>257</v>
      </c>
      <c r="M942" s="13" t="s">
        <v>306</v>
      </c>
      <c r="N942" s="3">
        <v>0.95</v>
      </c>
      <c r="O942" s="3">
        <v>0.1</v>
      </c>
      <c r="P942" s="3"/>
      <c r="Q942" s="3">
        <f t="shared" si="37"/>
        <v>0</v>
      </c>
      <c r="R942" s="4">
        <f t="shared" si="38"/>
        <v>0</v>
      </c>
      <c r="S942" s="3" t="s">
        <v>23</v>
      </c>
      <c r="T942" s="195"/>
    </row>
    <row r="943" spans="1:20" ht="21.6" x14ac:dyDescent="0.3">
      <c r="A943" s="139">
        <v>2147</v>
      </c>
      <c r="B943" s="42" t="s">
        <v>20</v>
      </c>
      <c r="C943" s="43" t="s">
        <v>267</v>
      </c>
      <c r="D943" s="44" t="s">
        <v>366</v>
      </c>
      <c r="E943" s="42" t="s">
        <v>365</v>
      </c>
      <c r="F943" s="42" t="s">
        <v>123</v>
      </c>
      <c r="G943" s="207" t="s">
        <v>367</v>
      </c>
      <c r="H943" s="45" t="s">
        <v>469</v>
      </c>
      <c r="I943" s="47" t="s">
        <v>22</v>
      </c>
      <c r="J943" s="3">
        <v>0.7</v>
      </c>
      <c r="K943" s="49" t="s">
        <v>129</v>
      </c>
      <c r="L943" s="30" t="s">
        <v>130</v>
      </c>
      <c r="M943" s="47" t="s">
        <v>131</v>
      </c>
      <c r="N943" s="3">
        <v>0.9</v>
      </c>
      <c r="O943" s="10">
        <v>0.2</v>
      </c>
      <c r="P943" s="3"/>
      <c r="Q943" s="3">
        <f t="shared" si="37"/>
        <v>0</v>
      </c>
      <c r="R943" s="48">
        <f t="shared" si="38"/>
        <v>0</v>
      </c>
      <c r="S943" s="10" t="s">
        <v>23</v>
      </c>
      <c r="T943" s="193"/>
    </row>
    <row r="944" spans="1:20" ht="21.6" x14ac:dyDescent="0.3">
      <c r="A944" s="139">
        <v>2148</v>
      </c>
      <c r="B944" s="42" t="s">
        <v>20</v>
      </c>
      <c r="C944" s="43" t="s">
        <v>267</v>
      </c>
      <c r="D944" s="44" t="s">
        <v>366</v>
      </c>
      <c r="E944" s="42" t="s">
        <v>365</v>
      </c>
      <c r="F944" s="42" t="s">
        <v>123</v>
      </c>
      <c r="G944" s="207" t="s">
        <v>367</v>
      </c>
      <c r="H944" s="45" t="s">
        <v>469</v>
      </c>
      <c r="I944" s="47" t="s">
        <v>22</v>
      </c>
      <c r="J944" s="3">
        <v>0.7</v>
      </c>
      <c r="K944" s="49" t="s">
        <v>132</v>
      </c>
      <c r="L944" s="30" t="s">
        <v>133</v>
      </c>
      <c r="M944" s="47" t="s">
        <v>134</v>
      </c>
      <c r="N944" s="4">
        <v>0</v>
      </c>
      <c r="O944" s="10">
        <v>0.1</v>
      </c>
      <c r="P944" s="3"/>
      <c r="Q944" s="3">
        <f t="shared" si="37"/>
        <v>0</v>
      </c>
      <c r="R944" s="48">
        <f t="shared" si="38"/>
        <v>0</v>
      </c>
      <c r="S944" s="10" t="s">
        <v>24</v>
      </c>
      <c r="T944" s="193"/>
    </row>
    <row r="945" spans="1:20" ht="21.6" x14ac:dyDescent="0.3">
      <c r="A945" s="139">
        <v>2149</v>
      </c>
      <c r="B945" s="42" t="s">
        <v>20</v>
      </c>
      <c r="C945" s="43" t="s">
        <v>267</v>
      </c>
      <c r="D945" s="44" t="s">
        <v>366</v>
      </c>
      <c r="E945" s="42" t="s">
        <v>365</v>
      </c>
      <c r="F945" s="42" t="s">
        <v>123</v>
      </c>
      <c r="G945" s="207" t="s">
        <v>367</v>
      </c>
      <c r="H945" s="45" t="s">
        <v>469</v>
      </c>
      <c r="I945" s="47" t="s">
        <v>22</v>
      </c>
      <c r="J945" s="3">
        <v>0.7</v>
      </c>
      <c r="K945" s="49" t="s">
        <v>135</v>
      </c>
      <c r="L945" s="30" t="s">
        <v>136</v>
      </c>
      <c r="M945" s="49" t="s">
        <v>137</v>
      </c>
      <c r="N945" s="3">
        <v>0.9</v>
      </c>
      <c r="O945" s="10">
        <v>0.2</v>
      </c>
      <c r="P945" s="51"/>
      <c r="Q945" s="3">
        <f t="shared" si="37"/>
        <v>0</v>
      </c>
      <c r="R945" s="48">
        <f t="shared" si="38"/>
        <v>0</v>
      </c>
      <c r="S945" s="10" t="s">
        <v>23</v>
      </c>
      <c r="T945" s="193"/>
    </row>
    <row r="946" spans="1:20" ht="22.2" thickBot="1" x14ac:dyDescent="0.35">
      <c r="A946" s="142">
        <v>2150</v>
      </c>
      <c r="B946" s="81" t="s">
        <v>20</v>
      </c>
      <c r="C946" s="82" t="s">
        <v>267</v>
      </c>
      <c r="D946" s="83" t="s">
        <v>366</v>
      </c>
      <c r="E946" s="81" t="s">
        <v>365</v>
      </c>
      <c r="F946" s="81" t="s">
        <v>123</v>
      </c>
      <c r="G946" s="209" t="s">
        <v>367</v>
      </c>
      <c r="H946" s="84" t="s">
        <v>469</v>
      </c>
      <c r="I946" s="85" t="s">
        <v>26</v>
      </c>
      <c r="J946" s="86">
        <v>0.3</v>
      </c>
      <c r="K946" s="115" t="s">
        <v>138</v>
      </c>
      <c r="L946" s="114" t="s">
        <v>139</v>
      </c>
      <c r="M946" s="115" t="s">
        <v>140</v>
      </c>
      <c r="N946" s="86">
        <v>1</v>
      </c>
      <c r="O946" s="91">
        <v>1</v>
      </c>
      <c r="P946" s="86"/>
      <c r="Q946" s="86">
        <f t="shared" si="37"/>
        <v>0</v>
      </c>
      <c r="R946" s="104">
        <f t="shared" si="38"/>
        <v>0</v>
      </c>
      <c r="S946" s="91" t="s">
        <v>23</v>
      </c>
      <c r="T946" s="147"/>
    </row>
    <row r="947" spans="1:20" ht="21.6" x14ac:dyDescent="0.3">
      <c r="A947" s="144">
        <v>2142</v>
      </c>
      <c r="B947" s="64" t="s">
        <v>20</v>
      </c>
      <c r="C947" s="65" t="s">
        <v>267</v>
      </c>
      <c r="D947" s="66" t="s">
        <v>494</v>
      </c>
      <c r="E947" s="64" t="s">
        <v>495</v>
      </c>
      <c r="F947" s="64" t="s">
        <v>264</v>
      </c>
      <c r="G947" s="210" t="s">
        <v>367</v>
      </c>
      <c r="H947" s="67" t="s">
        <v>469</v>
      </c>
      <c r="I947" s="98" t="s">
        <v>22</v>
      </c>
      <c r="J947" s="69">
        <v>0.7</v>
      </c>
      <c r="K947" s="101" t="s">
        <v>513</v>
      </c>
      <c r="L947" s="105" t="s">
        <v>511</v>
      </c>
      <c r="M947" s="101" t="s">
        <v>411</v>
      </c>
      <c r="N947" s="69">
        <v>0.95</v>
      </c>
      <c r="O947" s="69">
        <v>0.15</v>
      </c>
      <c r="P947" s="69"/>
      <c r="Q947" s="69">
        <f t="shared" si="37"/>
        <v>0</v>
      </c>
      <c r="R947" s="100">
        <f t="shared" si="38"/>
        <v>0</v>
      </c>
      <c r="S947" s="69" t="s">
        <v>23</v>
      </c>
      <c r="T947" s="192">
        <f>SUM(R947:R954)%</f>
        <v>0</v>
      </c>
    </row>
    <row r="948" spans="1:20" ht="21.6" x14ac:dyDescent="0.3">
      <c r="A948" s="139">
        <v>2144</v>
      </c>
      <c r="B948" s="42" t="s">
        <v>20</v>
      </c>
      <c r="C948" s="43" t="s">
        <v>267</v>
      </c>
      <c r="D948" s="44" t="s">
        <v>494</v>
      </c>
      <c r="E948" s="42" t="s">
        <v>495</v>
      </c>
      <c r="F948" s="42" t="s">
        <v>264</v>
      </c>
      <c r="G948" s="207" t="s">
        <v>367</v>
      </c>
      <c r="H948" s="45" t="s">
        <v>469</v>
      </c>
      <c r="I948" s="7" t="s">
        <v>22</v>
      </c>
      <c r="J948" s="3">
        <v>0.7</v>
      </c>
      <c r="K948" s="1" t="s">
        <v>124</v>
      </c>
      <c r="L948" s="8" t="s">
        <v>125</v>
      </c>
      <c r="M948" s="7" t="s">
        <v>126</v>
      </c>
      <c r="N948" s="3">
        <v>0.95</v>
      </c>
      <c r="O948" s="3">
        <v>0.15</v>
      </c>
      <c r="P948" s="6"/>
      <c r="Q948" s="3">
        <f t="shared" ref="Q948:Q1011" si="39">ROUND(IF(OR(N948="",P948=""),0,IF(AND(N948=0,P948=0),1,IF(S948="+",P948/N948,N948/P948))),2)</f>
        <v>0</v>
      </c>
      <c r="R948" s="4">
        <f t="shared" si="38"/>
        <v>0</v>
      </c>
      <c r="S948" s="3" t="s">
        <v>23</v>
      </c>
      <c r="T948" s="195"/>
    </row>
    <row r="949" spans="1:20" ht="21.6" x14ac:dyDescent="0.3">
      <c r="A949" s="139">
        <v>2145</v>
      </c>
      <c r="B949" s="42" t="s">
        <v>20</v>
      </c>
      <c r="C949" s="43" t="s">
        <v>267</v>
      </c>
      <c r="D949" s="44" t="s">
        <v>494</v>
      </c>
      <c r="E949" s="42" t="s">
        <v>495</v>
      </c>
      <c r="F949" s="42" t="s">
        <v>264</v>
      </c>
      <c r="G949" s="207" t="s">
        <v>367</v>
      </c>
      <c r="H949" s="45" t="s">
        <v>469</v>
      </c>
      <c r="I949" s="7" t="s">
        <v>22</v>
      </c>
      <c r="J949" s="3">
        <v>0.7</v>
      </c>
      <c r="K949" s="1" t="s">
        <v>51</v>
      </c>
      <c r="L949" s="8" t="s">
        <v>127</v>
      </c>
      <c r="M949" s="7" t="s">
        <v>128</v>
      </c>
      <c r="N949" s="6">
        <v>0.05</v>
      </c>
      <c r="O949" s="3">
        <v>0.1</v>
      </c>
      <c r="P949" s="11"/>
      <c r="Q949" s="3">
        <f t="shared" si="39"/>
        <v>0</v>
      </c>
      <c r="R949" s="4">
        <f t="shared" si="38"/>
        <v>0</v>
      </c>
      <c r="S949" s="3" t="s">
        <v>24</v>
      </c>
      <c r="T949" s="195"/>
    </row>
    <row r="950" spans="1:20" ht="21.6" x14ac:dyDescent="0.3">
      <c r="A950" s="139">
        <v>2146</v>
      </c>
      <c r="B950" s="42" t="s">
        <v>20</v>
      </c>
      <c r="C950" s="43" t="s">
        <v>267</v>
      </c>
      <c r="D950" s="44" t="s">
        <v>494</v>
      </c>
      <c r="E950" s="42" t="s">
        <v>495</v>
      </c>
      <c r="F950" s="42" t="s">
        <v>264</v>
      </c>
      <c r="G950" s="207" t="s">
        <v>367</v>
      </c>
      <c r="H950" s="45" t="s">
        <v>469</v>
      </c>
      <c r="I950" s="7" t="s">
        <v>22</v>
      </c>
      <c r="J950" s="3">
        <v>0.7</v>
      </c>
      <c r="K950" s="1" t="s">
        <v>305</v>
      </c>
      <c r="L950" s="8" t="s">
        <v>257</v>
      </c>
      <c r="M950" s="13" t="s">
        <v>306</v>
      </c>
      <c r="N950" s="3">
        <v>0.95</v>
      </c>
      <c r="O950" s="3">
        <v>0.1</v>
      </c>
      <c r="P950" s="3"/>
      <c r="Q950" s="3">
        <f t="shared" si="39"/>
        <v>0</v>
      </c>
      <c r="R950" s="4">
        <f t="shared" si="38"/>
        <v>0</v>
      </c>
      <c r="S950" s="3" t="s">
        <v>23</v>
      </c>
      <c r="T950" s="195"/>
    </row>
    <row r="951" spans="1:20" ht="21.6" x14ac:dyDescent="0.3">
      <c r="A951" s="139">
        <v>2147</v>
      </c>
      <c r="B951" s="42" t="s">
        <v>20</v>
      </c>
      <c r="C951" s="43" t="s">
        <v>267</v>
      </c>
      <c r="D951" s="44" t="s">
        <v>494</v>
      </c>
      <c r="E951" s="42" t="s">
        <v>495</v>
      </c>
      <c r="F951" s="42" t="s">
        <v>264</v>
      </c>
      <c r="G951" s="207" t="s">
        <v>367</v>
      </c>
      <c r="H951" s="45" t="s">
        <v>469</v>
      </c>
      <c r="I951" s="47" t="s">
        <v>22</v>
      </c>
      <c r="J951" s="3">
        <v>0.7</v>
      </c>
      <c r="K951" s="49" t="s">
        <v>129</v>
      </c>
      <c r="L951" s="30" t="s">
        <v>130</v>
      </c>
      <c r="M951" s="47" t="s">
        <v>131</v>
      </c>
      <c r="N951" s="3">
        <v>0.9</v>
      </c>
      <c r="O951" s="10">
        <v>0.2</v>
      </c>
      <c r="P951" s="3"/>
      <c r="Q951" s="3">
        <f t="shared" si="39"/>
        <v>0</v>
      </c>
      <c r="R951" s="48">
        <f t="shared" si="38"/>
        <v>0</v>
      </c>
      <c r="S951" s="10" t="s">
        <v>23</v>
      </c>
      <c r="T951" s="193"/>
    </row>
    <row r="952" spans="1:20" ht="21.6" x14ac:dyDescent="0.3">
      <c r="A952" s="139">
        <v>2148</v>
      </c>
      <c r="B952" s="42" t="s">
        <v>20</v>
      </c>
      <c r="C952" s="43" t="s">
        <v>267</v>
      </c>
      <c r="D952" s="44" t="s">
        <v>494</v>
      </c>
      <c r="E952" s="42" t="s">
        <v>495</v>
      </c>
      <c r="F952" s="42" t="s">
        <v>264</v>
      </c>
      <c r="G952" s="207" t="s">
        <v>367</v>
      </c>
      <c r="H952" s="45" t="s">
        <v>469</v>
      </c>
      <c r="I952" s="47" t="s">
        <v>22</v>
      </c>
      <c r="J952" s="3">
        <v>0.7</v>
      </c>
      <c r="K952" s="49" t="s">
        <v>132</v>
      </c>
      <c r="L952" s="30" t="s">
        <v>133</v>
      </c>
      <c r="M952" s="47" t="s">
        <v>134</v>
      </c>
      <c r="N952" s="4">
        <v>0</v>
      </c>
      <c r="O952" s="10">
        <v>0.1</v>
      </c>
      <c r="P952" s="3"/>
      <c r="Q952" s="3">
        <f t="shared" si="39"/>
        <v>0</v>
      </c>
      <c r="R952" s="48">
        <f t="shared" si="38"/>
        <v>0</v>
      </c>
      <c r="S952" s="10" t="s">
        <v>24</v>
      </c>
      <c r="T952" s="193"/>
    </row>
    <row r="953" spans="1:20" ht="21.6" x14ac:dyDescent="0.3">
      <c r="A953" s="139">
        <v>2149</v>
      </c>
      <c r="B953" s="42" t="s">
        <v>20</v>
      </c>
      <c r="C953" s="43" t="s">
        <v>267</v>
      </c>
      <c r="D953" s="44" t="s">
        <v>494</v>
      </c>
      <c r="E953" s="42" t="s">
        <v>495</v>
      </c>
      <c r="F953" s="42" t="s">
        <v>264</v>
      </c>
      <c r="G953" s="207" t="s">
        <v>367</v>
      </c>
      <c r="H953" s="45" t="s">
        <v>469</v>
      </c>
      <c r="I953" s="47" t="s">
        <v>22</v>
      </c>
      <c r="J953" s="3">
        <v>0.7</v>
      </c>
      <c r="K953" s="49" t="s">
        <v>135</v>
      </c>
      <c r="L953" s="30" t="s">
        <v>136</v>
      </c>
      <c r="M953" s="49" t="s">
        <v>137</v>
      </c>
      <c r="N953" s="3">
        <v>0.9</v>
      </c>
      <c r="O953" s="10">
        <v>0.2</v>
      </c>
      <c r="P953" s="51"/>
      <c r="Q953" s="3">
        <f t="shared" si="39"/>
        <v>0</v>
      </c>
      <c r="R953" s="48">
        <f t="shared" si="38"/>
        <v>0</v>
      </c>
      <c r="S953" s="10" t="s">
        <v>23</v>
      </c>
      <c r="T953" s="193"/>
    </row>
    <row r="954" spans="1:20" ht="22.2" thickBot="1" x14ac:dyDescent="0.35">
      <c r="A954" s="142">
        <v>2150</v>
      </c>
      <c r="B954" s="81" t="s">
        <v>20</v>
      </c>
      <c r="C954" s="82" t="s">
        <v>267</v>
      </c>
      <c r="D954" s="83" t="s">
        <v>494</v>
      </c>
      <c r="E954" s="81" t="s">
        <v>495</v>
      </c>
      <c r="F954" s="81" t="s">
        <v>264</v>
      </c>
      <c r="G954" s="209" t="s">
        <v>367</v>
      </c>
      <c r="H954" s="84" t="s">
        <v>469</v>
      </c>
      <c r="I954" s="85" t="s">
        <v>26</v>
      </c>
      <c r="J954" s="86">
        <v>0.3</v>
      </c>
      <c r="K954" s="115" t="s">
        <v>138</v>
      </c>
      <c r="L954" s="114" t="s">
        <v>139</v>
      </c>
      <c r="M954" s="115" t="s">
        <v>140</v>
      </c>
      <c r="N954" s="86">
        <v>1</v>
      </c>
      <c r="O954" s="91">
        <v>1</v>
      </c>
      <c r="P954" s="86"/>
      <c r="Q954" s="86">
        <f t="shared" si="39"/>
        <v>0</v>
      </c>
      <c r="R954" s="104">
        <f t="shared" si="38"/>
        <v>0</v>
      </c>
      <c r="S954" s="91" t="s">
        <v>23</v>
      </c>
      <c r="T954" s="147"/>
    </row>
    <row r="955" spans="1:20" ht="21.6" x14ac:dyDescent="0.3">
      <c r="A955" s="144">
        <v>2142</v>
      </c>
      <c r="B955" s="64" t="s">
        <v>20</v>
      </c>
      <c r="C955" s="65" t="s">
        <v>267</v>
      </c>
      <c r="D955" s="66" t="s">
        <v>494</v>
      </c>
      <c r="E955" s="64" t="s">
        <v>496</v>
      </c>
      <c r="F955" s="64" t="s">
        <v>123</v>
      </c>
      <c r="G955" s="210" t="s">
        <v>367</v>
      </c>
      <c r="H955" s="67" t="s">
        <v>469</v>
      </c>
      <c r="I955" s="98" t="s">
        <v>22</v>
      </c>
      <c r="J955" s="69">
        <v>0.7</v>
      </c>
      <c r="K955" s="101" t="s">
        <v>513</v>
      </c>
      <c r="L955" s="105" t="s">
        <v>511</v>
      </c>
      <c r="M955" s="101" t="s">
        <v>411</v>
      </c>
      <c r="N955" s="69">
        <v>0.95</v>
      </c>
      <c r="O955" s="69">
        <v>0.15</v>
      </c>
      <c r="P955" s="69"/>
      <c r="Q955" s="69">
        <f t="shared" si="39"/>
        <v>0</v>
      </c>
      <c r="R955" s="100">
        <f t="shared" si="38"/>
        <v>0</v>
      </c>
      <c r="S955" s="69" t="s">
        <v>23</v>
      </c>
      <c r="T955" s="192">
        <f>SUM(R955:R962)%</f>
        <v>0</v>
      </c>
    </row>
    <row r="956" spans="1:20" ht="21.6" x14ac:dyDescent="0.3">
      <c r="A956" s="139">
        <v>2144</v>
      </c>
      <c r="B956" s="42" t="s">
        <v>20</v>
      </c>
      <c r="C956" s="43" t="s">
        <v>267</v>
      </c>
      <c r="D956" s="66" t="s">
        <v>494</v>
      </c>
      <c r="E956" s="64" t="s">
        <v>496</v>
      </c>
      <c r="F956" s="42" t="s">
        <v>123</v>
      </c>
      <c r="G956" s="207" t="s">
        <v>367</v>
      </c>
      <c r="H956" s="45" t="s">
        <v>469</v>
      </c>
      <c r="I956" s="7" t="s">
        <v>22</v>
      </c>
      <c r="J956" s="3">
        <v>0.7</v>
      </c>
      <c r="K956" s="1" t="s">
        <v>124</v>
      </c>
      <c r="L956" s="8" t="s">
        <v>125</v>
      </c>
      <c r="M956" s="7" t="s">
        <v>126</v>
      </c>
      <c r="N956" s="3">
        <v>0.95</v>
      </c>
      <c r="O956" s="3">
        <v>0.15</v>
      </c>
      <c r="P956" s="6"/>
      <c r="Q956" s="3">
        <f t="shared" si="39"/>
        <v>0</v>
      </c>
      <c r="R956" s="4">
        <f t="shared" si="38"/>
        <v>0</v>
      </c>
      <c r="S956" s="3" t="s">
        <v>23</v>
      </c>
      <c r="T956" s="195"/>
    </row>
    <row r="957" spans="1:20" ht="21.6" x14ac:dyDescent="0.3">
      <c r="A957" s="139">
        <v>2145</v>
      </c>
      <c r="B957" s="42" t="s">
        <v>20</v>
      </c>
      <c r="C957" s="43" t="s">
        <v>267</v>
      </c>
      <c r="D957" s="66" t="s">
        <v>494</v>
      </c>
      <c r="E957" s="64" t="s">
        <v>496</v>
      </c>
      <c r="F957" s="42" t="s">
        <v>123</v>
      </c>
      <c r="G957" s="207" t="s">
        <v>367</v>
      </c>
      <c r="H957" s="45" t="s">
        <v>469</v>
      </c>
      <c r="I957" s="7" t="s">
        <v>22</v>
      </c>
      <c r="J957" s="3">
        <v>0.7</v>
      </c>
      <c r="K957" s="1" t="s">
        <v>51</v>
      </c>
      <c r="L957" s="8" t="s">
        <v>127</v>
      </c>
      <c r="M957" s="7" t="s">
        <v>128</v>
      </c>
      <c r="N957" s="6">
        <v>0.05</v>
      </c>
      <c r="O957" s="3">
        <v>0.1</v>
      </c>
      <c r="P957" s="11"/>
      <c r="Q957" s="3">
        <f t="shared" si="39"/>
        <v>0</v>
      </c>
      <c r="R957" s="4">
        <f t="shared" si="38"/>
        <v>0</v>
      </c>
      <c r="S957" s="3" t="s">
        <v>24</v>
      </c>
      <c r="T957" s="195"/>
    </row>
    <row r="958" spans="1:20" ht="21.6" x14ac:dyDescent="0.3">
      <c r="A958" s="139">
        <v>2146</v>
      </c>
      <c r="B958" s="42" t="s">
        <v>20</v>
      </c>
      <c r="C958" s="43" t="s">
        <v>267</v>
      </c>
      <c r="D958" s="66" t="s">
        <v>494</v>
      </c>
      <c r="E958" s="64" t="s">
        <v>496</v>
      </c>
      <c r="F958" s="42" t="s">
        <v>123</v>
      </c>
      <c r="G958" s="207" t="s">
        <v>367</v>
      </c>
      <c r="H958" s="45" t="s">
        <v>469</v>
      </c>
      <c r="I958" s="7" t="s">
        <v>22</v>
      </c>
      <c r="J958" s="3">
        <v>0.7</v>
      </c>
      <c r="K958" s="1" t="s">
        <v>305</v>
      </c>
      <c r="L958" s="8" t="s">
        <v>257</v>
      </c>
      <c r="M958" s="13" t="s">
        <v>306</v>
      </c>
      <c r="N958" s="3">
        <v>0.95</v>
      </c>
      <c r="O958" s="3">
        <v>0.1</v>
      </c>
      <c r="P958" s="3"/>
      <c r="Q958" s="3">
        <f t="shared" si="39"/>
        <v>0</v>
      </c>
      <c r="R958" s="4">
        <f t="shared" si="38"/>
        <v>0</v>
      </c>
      <c r="S958" s="3" t="s">
        <v>23</v>
      </c>
      <c r="T958" s="195"/>
    </row>
    <row r="959" spans="1:20" ht="21.6" x14ac:dyDescent="0.3">
      <c r="A959" s="139">
        <v>2147</v>
      </c>
      <c r="B959" s="42" t="s">
        <v>20</v>
      </c>
      <c r="C959" s="43" t="s">
        <v>267</v>
      </c>
      <c r="D959" s="66" t="s">
        <v>494</v>
      </c>
      <c r="E959" s="64" t="s">
        <v>496</v>
      </c>
      <c r="F959" s="42" t="s">
        <v>123</v>
      </c>
      <c r="G959" s="207" t="s">
        <v>367</v>
      </c>
      <c r="H959" s="45" t="s">
        <v>469</v>
      </c>
      <c r="I959" s="47" t="s">
        <v>22</v>
      </c>
      <c r="J959" s="3">
        <v>0.7</v>
      </c>
      <c r="K959" s="49" t="s">
        <v>129</v>
      </c>
      <c r="L959" s="30" t="s">
        <v>130</v>
      </c>
      <c r="M959" s="47" t="s">
        <v>131</v>
      </c>
      <c r="N959" s="3">
        <v>0.9</v>
      </c>
      <c r="O959" s="10">
        <v>0.2</v>
      </c>
      <c r="P959" s="3"/>
      <c r="Q959" s="3">
        <f t="shared" si="39"/>
        <v>0</v>
      </c>
      <c r="R959" s="48">
        <f t="shared" si="38"/>
        <v>0</v>
      </c>
      <c r="S959" s="10" t="s">
        <v>23</v>
      </c>
      <c r="T959" s="193"/>
    </row>
    <row r="960" spans="1:20" ht="21.6" x14ac:dyDescent="0.3">
      <c r="A960" s="139">
        <v>2148</v>
      </c>
      <c r="B960" s="42" t="s">
        <v>20</v>
      </c>
      <c r="C960" s="43" t="s">
        <v>267</v>
      </c>
      <c r="D960" s="66" t="s">
        <v>494</v>
      </c>
      <c r="E960" s="64" t="s">
        <v>496</v>
      </c>
      <c r="F960" s="42" t="s">
        <v>123</v>
      </c>
      <c r="G960" s="207" t="s">
        <v>367</v>
      </c>
      <c r="H960" s="45" t="s">
        <v>469</v>
      </c>
      <c r="I960" s="47" t="s">
        <v>22</v>
      </c>
      <c r="J960" s="3">
        <v>0.7</v>
      </c>
      <c r="K960" s="49" t="s">
        <v>132</v>
      </c>
      <c r="L960" s="30" t="s">
        <v>133</v>
      </c>
      <c r="M960" s="47" t="s">
        <v>134</v>
      </c>
      <c r="N960" s="4">
        <v>0</v>
      </c>
      <c r="O960" s="10">
        <v>0.1</v>
      </c>
      <c r="P960" s="3"/>
      <c r="Q960" s="3">
        <f t="shared" si="39"/>
        <v>0</v>
      </c>
      <c r="R960" s="48">
        <f t="shared" si="38"/>
        <v>0</v>
      </c>
      <c r="S960" s="10" t="s">
        <v>24</v>
      </c>
      <c r="T960" s="193"/>
    </row>
    <row r="961" spans="1:20" ht="21.6" x14ac:dyDescent="0.3">
      <c r="A961" s="139">
        <v>2149</v>
      </c>
      <c r="B961" s="42" t="s">
        <v>20</v>
      </c>
      <c r="C961" s="43" t="s">
        <v>267</v>
      </c>
      <c r="D961" s="66" t="s">
        <v>494</v>
      </c>
      <c r="E961" s="64" t="s">
        <v>496</v>
      </c>
      <c r="F961" s="42" t="s">
        <v>123</v>
      </c>
      <c r="G961" s="207" t="s">
        <v>367</v>
      </c>
      <c r="H961" s="45" t="s">
        <v>469</v>
      </c>
      <c r="I961" s="47" t="s">
        <v>22</v>
      </c>
      <c r="J961" s="3">
        <v>0.7</v>
      </c>
      <c r="K961" s="49" t="s">
        <v>135</v>
      </c>
      <c r="L961" s="30" t="s">
        <v>136</v>
      </c>
      <c r="M961" s="49" t="s">
        <v>137</v>
      </c>
      <c r="N961" s="3">
        <v>0.9</v>
      </c>
      <c r="O961" s="10">
        <v>0.2</v>
      </c>
      <c r="P961" s="51"/>
      <c r="Q961" s="3">
        <f t="shared" si="39"/>
        <v>0</v>
      </c>
      <c r="R961" s="48">
        <f t="shared" si="38"/>
        <v>0</v>
      </c>
      <c r="S961" s="10" t="s">
        <v>23</v>
      </c>
      <c r="T961" s="193"/>
    </row>
    <row r="962" spans="1:20" ht="22.2" thickBot="1" x14ac:dyDescent="0.35">
      <c r="A962" s="142">
        <v>2150</v>
      </c>
      <c r="B962" s="81" t="s">
        <v>20</v>
      </c>
      <c r="C962" s="82" t="s">
        <v>267</v>
      </c>
      <c r="D962" s="204" t="s">
        <v>494</v>
      </c>
      <c r="E962" s="205" t="s">
        <v>496</v>
      </c>
      <c r="F962" s="81" t="s">
        <v>123</v>
      </c>
      <c r="G962" s="209" t="s">
        <v>367</v>
      </c>
      <c r="H962" s="84" t="s">
        <v>469</v>
      </c>
      <c r="I962" s="85" t="s">
        <v>26</v>
      </c>
      <c r="J962" s="86">
        <v>0.3</v>
      </c>
      <c r="K962" s="115" t="s">
        <v>138</v>
      </c>
      <c r="L962" s="114" t="s">
        <v>139</v>
      </c>
      <c r="M962" s="115" t="s">
        <v>140</v>
      </c>
      <c r="N962" s="86">
        <v>1</v>
      </c>
      <c r="O962" s="91">
        <v>1</v>
      </c>
      <c r="P962" s="86"/>
      <c r="Q962" s="86">
        <f t="shared" si="39"/>
        <v>0</v>
      </c>
      <c r="R962" s="104">
        <f t="shared" si="38"/>
        <v>0</v>
      </c>
      <c r="S962" s="91" t="s">
        <v>23</v>
      </c>
      <c r="T962" s="147"/>
    </row>
    <row r="963" spans="1:20" ht="21.6" x14ac:dyDescent="0.3">
      <c r="A963" s="144">
        <v>2142</v>
      </c>
      <c r="B963" s="64" t="s">
        <v>20</v>
      </c>
      <c r="C963" s="65" t="s">
        <v>267</v>
      </c>
      <c r="D963" s="66" t="s">
        <v>498</v>
      </c>
      <c r="E963" s="64" t="s">
        <v>497</v>
      </c>
      <c r="F963" s="64" t="s">
        <v>123</v>
      </c>
      <c r="G963" s="210" t="s">
        <v>367</v>
      </c>
      <c r="H963" s="67" t="s">
        <v>469</v>
      </c>
      <c r="I963" s="98" t="s">
        <v>22</v>
      </c>
      <c r="J963" s="69">
        <v>0.7</v>
      </c>
      <c r="K963" s="101" t="s">
        <v>513</v>
      </c>
      <c r="L963" s="105" t="s">
        <v>511</v>
      </c>
      <c r="M963" s="101" t="s">
        <v>411</v>
      </c>
      <c r="N963" s="69">
        <v>0.95</v>
      </c>
      <c r="O963" s="69">
        <v>0.15</v>
      </c>
      <c r="P963" s="69"/>
      <c r="Q963" s="69">
        <f t="shared" si="39"/>
        <v>0</v>
      </c>
      <c r="R963" s="100">
        <f t="shared" si="38"/>
        <v>0</v>
      </c>
      <c r="S963" s="69" t="s">
        <v>23</v>
      </c>
      <c r="T963" s="192">
        <f>SUM(R963:R970)%</f>
        <v>0</v>
      </c>
    </row>
    <row r="964" spans="1:20" ht="21.6" x14ac:dyDescent="0.3">
      <c r="A964" s="139">
        <v>2144</v>
      </c>
      <c r="B964" s="42" t="s">
        <v>20</v>
      </c>
      <c r="C964" s="43" t="s">
        <v>267</v>
      </c>
      <c r="D964" s="66" t="s">
        <v>498</v>
      </c>
      <c r="E964" s="64" t="s">
        <v>497</v>
      </c>
      <c r="F964" s="42" t="s">
        <v>123</v>
      </c>
      <c r="G964" s="207" t="s">
        <v>367</v>
      </c>
      <c r="H964" s="45" t="s">
        <v>469</v>
      </c>
      <c r="I964" s="7" t="s">
        <v>22</v>
      </c>
      <c r="J964" s="3">
        <v>0.7</v>
      </c>
      <c r="K964" s="1" t="s">
        <v>124</v>
      </c>
      <c r="L964" s="8" t="s">
        <v>125</v>
      </c>
      <c r="M964" s="7" t="s">
        <v>126</v>
      </c>
      <c r="N964" s="3">
        <v>0.95</v>
      </c>
      <c r="O964" s="3">
        <v>0.15</v>
      </c>
      <c r="P964" s="6"/>
      <c r="Q964" s="3">
        <f t="shared" si="39"/>
        <v>0</v>
      </c>
      <c r="R964" s="4">
        <f t="shared" si="38"/>
        <v>0</v>
      </c>
      <c r="S964" s="3" t="s">
        <v>23</v>
      </c>
      <c r="T964" s="195"/>
    </row>
    <row r="965" spans="1:20" ht="21.6" x14ac:dyDescent="0.3">
      <c r="A965" s="139">
        <v>2145</v>
      </c>
      <c r="B965" s="42" t="s">
        <v>20</v>
      </c>
      <c r="C965" s="43" t="s">
        <v>267</v>
      </c>
      <c r="D965" s="66" t="s">
        <v>498</v>
      </c>
      <c r="E965" s="64" t="s">
        <v>497</v>
      </c>
      <c r="F965" s="42" t="s">
        <v>123</v>
      </c>
      <c r="G965" s="207" t="s">
        <v>367</v>
      </c>
      <c r="H965" s="45" t="s">
        <v>469</v>
      </c>
      <c r="I965" s="7" t="s">
        <v>22</v>
      </c>
      <c r="J965" s="3">
        <v>0.7</v>
      </c>
      <c r="K965" s="1" t="s">
        <v>51</v>
      </c>
      <c r="L965" s="8" t="s">
        <v>127</v>
      </c>
      <c r="M965" s="7" t="s">
        <v>128</v>
      </c>
      <c r="N965" s="6">
        <v>0.05</v>
      </c>
      <c r="O965" s="3">
        <v>0.1</v>
      </c>
      <c r="P965" s="11"/>
      <c r="Q965" s="3">
        <f t="shared" si="39"/>
        <v>0</v>
      </c>
      <c r="R965" s="4">
        <f t="shared" si="38"/>
        <v>0</v>
      </c>
      <c r="S965" s="3" t="s">
        <v>24</v>
      </c>
      <c r="T965" s="195"/>
    </row>
    <row r="966" spans="1:20" ht="21.6" x14ac:dyDescent="0.3">
      <c r="A966" s="139">
        <v>2146</v>
      </c>
      <c r="B966" s="42" t="s">
        <v>20</v>
      </c>
      <c r="C966" s="43" t="s">
        <v>267</v>
      </c>
      <c r="D966" s="66" t="s">
        <v>498</v>
      </c>
      <c r="E966" s="64" t="s">
        <v>497</v>
      </c>
      <c r="F966" s="42" t="s">
        <v>123</v>
      </c>
      <c r="G966" s="207" t="s">
        <v>367</v>
      </c>
      <c r="H966" s="45" t="s">
        <v>469</v>
      </c>
      <c r="I966" s="7" t="s">
        <v>22</v>
      </c>
      <c r="J966" s="3">
        <v>0.7</v>
      </c>
      <c r="K966" s="1" t="s">
        <v>305</v>
      </c>
      <c r="L966" s="8" t="s">
        <v>257</v>
      </c>
      <c r="M966" s="13" t="s">
        <v>306</v>
      </c>
      <c r="N966" s="3">
        <v>0.95</v>
      </c>
      <c r="O966" s="3">
        <v>0.1</v>
      </c>
      <c r="P966" s="3"/>
      <c r="Q966" s="3">
        <f t="shared" si="39"/>
        <v>0</v>
      </c>
      <c r="R966" s="4">
        <f t="shared" si="38"/>
        <v>0</v>
      </c>
      <c r="S966" s="3" t="s">
        <v>23</v>
      </c>
      <c r="T966" s="195"/>
    </row>
    <row r="967" spans="1:20" ht="21.6" x14ac:dyDescent="0.3">
      <c r="A967" s="139">
        <v>2147</v>
      </c>
      <c r="B967" s="42" t="s">
        <v>20</v>
      </c>
      <c r="C967" s="43" t="s">
        <v>267</v>
      </c>
      <c r="D967" s="66" t="s">
        <v>498</v>
      </c>
      <c r="E967" s="64" t="s">
        <v>497</v>
      </c>
      <c r="F967" s="42" t="s">
        <v>123</v>
      </c>
      <c r="G967" s="207" t="s">
        <v>367</v>
      </c>
      <c r="H967" s="45" t="s">
        <v>469</v>
      </c>
      <c r="I967" s="47" t="s">
        <v>22</v>
      </c>
      <c r="J967" s="3">
        <v>0.7</v>
      </c>
      <c r="K967" s="49" t="s">
        <v>129</v>
      </c>
      <c r="L967" s="30" t="s">
        <v>130</v>
      </c>
      <c r="M967" s="47" t="s">
        <v>131</v>
      </c>
      <c r="N967" s="3">
        <v>0.9</v>
      </c>
      <c r="O967" s="10">
        <v>0.2</v>
      </c>
      <c r="P967" s="3"/>
      <c r="Q967" s="3">
        <f t="shared" si="39"/>
        <v>0</v>
      </c>
      <c r="R967" s="48">
        <f t="shared" si="38"/>
        <v>0</v>
      </c>
      <c r="S967" s="10" t="s">
        <v>23</v>
      </c>
      <c r="T967" s="193"/>
    </row>
    <row r="968" spans="1:20" ht="21.6" x14ac:dyDescent="0.3">
      <c r="A968" s="139">
        <v>2148</v>
      </c>
      <c r="B968" s="42" t="s">
        <v>20</v>
      </c>
      <c r="C968" s="43" t="s">
        <v>267</v>
      </c>
      <c r="D968" s="66" t="s">
        <v>498</v>
      </c>
      <c r="E968" s="64" t="s">
        <v>497</v>
      </c>
      <c r="F968" s="42" t="s">
        <v>123</v>
      </c>
      <c r="G968" s="207" t="s">
        <v>367</v>
      </c>
      <c r="H968" s="45" t="s">
        <v>469</v>
      </c>
      <c r="I968" s="47" t="s">
        <v>22</v>
      </c>
      <c r="J968" s="3">
        <v>0.7</v>
      </c>
      <c r="K968" s="49" t="s">
        <v>132</v>
      </c>
      <c r="L968" s="30" t="s">
        <v>133</v>
      </c>
      <c r="M968" s="47" t="s">
        <v>134</v>
      </c>
      <c r="N968" s="4">
        <v>0</v>
      </c>
      <c r="O968" s="10">
        <v>0.1</v>
      </c>
      <c r="P968" s="3"/>
      <c r="Q968" s="3">
        <f t="shared" si="39"/>
        <v>0</v>
      </c>
      <c r="R968" s="48">
        <f t="shared" si="38"/>
        <v>0</v>
      </c>
      <c r="S968" s="10" t="s">
        <v>24</v>
      </c>
      <c r="T968" s="193"/>
    </row>
    <row r="969" spans="1:20" ht="21.6" x14ac:dyDescent="0.3">
      <c r="A969" s="139">
        <v>2149</v>
      </c>
      <c r="B969" s="42" t="s">
        <v>20</v>
      </c>
      <c r="C969" s="43" t="s">
        <v>267</v>
      </c>
      <c r="D969" s="66" t="s">
        <v>498</v>
      </c>
      <c r="E969" s="64" t="s">
        <v>497</v>
      </c>
      <c r="F969" s="42" t="s">
        <v>123</v>
      </c>
      <c r="G969" s="207" t="s">
        <v>367</v>
      </c>
      <c r="H969" s="45" t="s">
        <v>469</v>
      </c>
      <c r="I969" s="47" t="s">
        <v>22</v>
      </c>
      <c r="J969" s="3">
        <v>0.7</v>
      </c>
      <c r="K969" s="49" t="s">
        <v>135</v>
      </c>
      <c r="L969" s="30" t="s">
        <v>136</v>
      </c>
      <c r="M969" s="49" t="s">
        <v>137</v>
      </c>
      <c r="N969" s="3">
        <v>0.9</v>
      </c>
      <c r="O969" s="10">
        <v>0.2</v>
      </c>
      <c r="P969" s="51"/>
      <c r="Q969" s="3">
        <f t="shared" si="39"/>
        <v>0</v>
      </c>
      <c r="R969" s="48">
        <f t="shared" si="38"/>
        <v>0</v>
      </c>
      <c r="S969" s="10" t="s">
        <v>23</v>
      </c>
      <c r="T969" s="193"/>
    </row>
    <row r="970" spans="1:20" ht="22.2" thickBot="1" x14ac:dyDescent="0.35">
      <c r="A970" s="142">
        <v>2150</v>
      </c>
      <c r="B970" s="81" t="s">
        <v>20</v>
      </c>
      <c r="C970" s="82" t="s">
        <v>267</v>
      </c>
      <c r="D970" s="204" t="s">
        <v>498</v>
      </c>
      <c r="E970" s="205" t="s">
        <v>497</v>
      </c>
      <c r="F970" s="81" t="s">
        <v>123</v>
      </c>
      <c r="G970" s="209" t="s">
        <v>367</v>
      </c>
      <c r="H970" s="84" t="s">
        <v>469</v>
      </c>
      <c r="I970" s="85" t="s">
        <v>26</v>
      </c>
      <c r="J970" s="86">
        <v>0.3</v>
      </c>
      <c r="K970" s="115" t="s">
        <v>138</v>
      </c>
      <c r="L970" s="114" t="s">
        <v>139</v>
      </c>
      <c r="M970" s="115" t="s">
        <v>140</v>
      </c>
      <c r="N970" s="86">
        <v>1</v>
      </c>
      <c r="O970" s="91">
        <v>1</v>
      </c>
      <c r="P970" s="86"/>
      <c r="Q970" s="86">
        <f t="shared" si="39"/>
        <v>0</v>
      </c>
      <c r="R970" s="104">
        <f t="shared" si="38"/>
        <v>0</v>
      </c>
      <c r="S970" s="91" t="s">
        <v>23</v>
      </c>
      <c r="T970" s="147"/>
    </row>
    <row r="971" spans="1:20" ht="21.6" x14ac:dyDescent="0.3">
      <c r="A971" s="144">
        <v>2142</v>
      </c>
      <c r="B971" s="64" t="s">
        <v>20</v>
      </c>
      <c r="C971" s="65" t="s">
        <v>267</v>
      </c>
      <c r="D971" s="66" t="s">
        <v>500</v>
      </c>
      <c r="E971" s="64" t="s">
        <v>499</v>
      </c>
      <c r="F971" s="64" t="s">
        <v>123</v>
      </c>
      <c r="G971" s="210" t="s">
        <v>367</v>
      </c>
      <c r="H971" s="67" t="s">
        <v>469</v>
      </c>
      <c r="I971" s="98" t="s">
        <v>22</v>
      </c>
      <c r="J971" s="69">
        <v>0.7</v>
      </c>
      <c r="K971" s="101" t="s">
        <v>513</v>
      </c>
      <c r="L971" s="105" t="s">
        <v>511</v>
      </c>
      <c r="M971" s="101" t="s">
        <v>411</v>
      </c>
      <c r="N971" s="69">
        <v>0.95</v>
      </c>
      <c r="O971" s="69">
        <v>0.15</v>
      </c>
      <c r="P971" s="69"/>
      <c r="Q971" s="69">
        <f t="shared" si="39"/>
        <v>0</v>
      </c>
      <c r="R971" s="100">
        <f t="shared" si="38"/>
        <v>0</v>
      </c>
      <c r="S971" s="69" t="s">
        <v>23</v>
      </c>
      <c r="T971" s="192">
        <f>SUM(R971:R978)%</f>
        <v>0</v>
      </c>
    </row>
    <row r="972" spans="1:20" ht="21.6" x14ac:dyDescent="0.3">
      <c r="A972" s="139">
        <v>2144</v>
      </c>
      <c r="B972" s="42" t="s">
        <v>20</v>
      </c>
      <c r="C972" s="43" t="s">
        <v>267</v>
      </c>
      <c r="D972" s="66" t="s">
        <v>500</v>
      </c>
      <c r="E972" s="64" t="s">
        <v>499</v>
      </c>
      <c r="F972" s="42" t="s">
        <v>123</v>
      </c>
      <c r="G972" s="207" t="s">
        <v>367</v>
      </c>
      <c r="H972" s="45" t="s">
        <v>469</v>
      </c>
      <c r="I972" s="7" t="s">
        <v>22</v>
      </c>
      <c r="J972" s="3">
        <v>0.7</v>
      </c>
      <c r="K972" s="1" t="s">
        <v>124</v>
      </c>
      <c r="L972" s="8" t="s">
        <v>125</v>
      </c>
      <c r="M972" s="7" t="s">
        <v>126</v>
      </c>
      <c r="N972" s="3">
        <v>0.95</v>
      </c>
      <c r="O972" s="3">
        <v>0.15</v>
      </c>
      <c r="P972" s="6"/>
      <c r="Q972" s="3">
        <f t="shared" si="39"/>
        <v>0</v>
      </c>
      <c r="R972" s="4">
        <f t="shared" si="38"/>
        <v>0</v>
      </c>
      <c r="S972" s="3" t="s">
        <v>23</v>
      </c>
      <c r="T972" s="195"/>
    </row>
    <row r="973" spans="1:20" ht="21.6" x14ac:dyDescent="0.3">
      <c r="A973" s="139">
        <v>2145</v>
      </c>
      <c r="B973" s="42" t="s">
        <v>20</v>
      </c>
      <c r="C973" s="43" t="s">
        <v>267</v>
      </c>
      <c r="D973" s="66" t="s">
        <v>500</v>
      </c>
      <c r="E973" s="64" t="s">
        <v>499</v>
      </c>
      <c r="F973" s="42" t="s">
        <v>123</v>
      </c>
      <c r="G973" s="207" t="s">
        <v>367</v>
      </c>
      <c r="H973" s="45" t="s">
        <v>469</v>
      </c>
      <c r="I973" s="7" t="s">
        <v>22</v>
      </c>
      <c r="J973" s="3">
        <v>0.7</v>
      </c>
      <c r="K973" s="1" t="s">
        <v>51</v>
      </c>
      <c r="L973" s="8" t="s">
        <v>127</v>
      </c>
      <c r="M973" s="7" t="s">
        <v>128</v>
      </c>
      <c r="N973" s="6">
        <v>0.05</v>
      </c>
      <c r="O973" s="3">
        <v>0.1</v>
      </c>
      <c r="P973" s="11"/>
      <c r="Q973" s="3">
        <f t="shared" si="39"/>
        <v>0</v>
      </c>
      <c r="R973" s="4">
        <f t="shared" ref="R973:R1036" si="40">IF(AND(Q973&gt;=60%,Q973&lt;100%),Q973*((O973*J973)),IF(Q973=100%,((O973*J973)*Q973)*100%,IF(Q973&gt;100%,((J973*O973)*100%)*100%,0)))*100</f>
        <v>0</v>
      </c>
      <c r="S973" s="3" t="s">
        <v>24</v>
      </c>
      <c r="T973" s="195"/>
    </row>
    <row r="974" spans="1:20" ht="21.6" x14ac:dyDescent="0.3">
      <c r="A974" s="139">
        <v>2146</v>
      </c>
      <c r="B974" s="42" t="s">
        <v>20</v>
      </c>
      <c r="C974" s="43" t="s">
        <v>267</v>
      </c>
      <c r="D974" s="66" t="s">
        <v>500</v>
      </c>
      <c r="E974" s="64" t="s">
        <v>499</v>
      </c>
      <c r="F974" s="42" t="s">
        <v>123</v>
      </c>
      <c r="G974" s="207" t="s">
        <v>367</v>
      </c>
      <c r="H974" s="45" t="s">
        <v>469</v>
      </c>
      <c r="I974" s="7" t="s">
        <v>22</v>
      </c>
      <c r="J974" s="3">
        <v>0.7</v>
      </c>
      <c r="K974" s="1" t="s">
        <v>305</v>
      </c>
      <c r="L974" s="8" t="s">
        <v>257</v>
      </c>
      <c r="M974" s="13" t="s">
        <v>306</v>
      </c>
      <c r="N974" s="3">
        <v>0.95</v>
      </c>
      <c r="O974" s="3">
        <v>0.1</v>
      </c>
      <c r="P974" s="3"/>
      <c r="Q974" s="3">
        <f t="shared" si="39"/>
        <v>0</v>
      </c>
      <c r="R974" s="4">
        <f t="shared" si="40"/>
        <v>0</v>
      </c>
      <c r="S974" s="3" t="s">
        <v>23</v>
      </c>
      <c r="T974" s="195"/>
    </row>
    <row r="975" spans="1:20" ht="21.6" x14ac:dyDescent="0.3">
      <c r="A975" s="139">
        <v>2147</v>
      </c>
      <c r="B975" s="42" t="s">
        <v>20</v>
      </c>
      <c r="C975" s="43" t="s">
        <v>267</v>
      </c>
      <c r="D975" s="66" t="s">
        <v>500</v>
      </c>
      <c r="E975" s="64" t="s">
        <v>499</v>
      </c>
      <c r="F975" s="42" t="s">
        <v>123</v>
      </c>
      <c r="G975" s="207" t="s">
        <v>367</v>
      </c>
      <c r="H975" s="45" t="s">
        <v>469</v>
      </c>
      <c r="I975" s="47" t="s">
        <v>22</v>
      </c>
      <c r="J975" s="3">
        <v>0.7</v>
      </c>
      <c r="K975" s="49" t="s">
        <v>129</v>
      </c>
      <c r="L975" s="30" t="s">
        <v>130</v>
      </c>
      <c r="M975" s="47" t="s">
        <v>131</v>
      </c>
      <c r="N975" s="3">
        <v>0.9</v>
      </c>
      <c r="O975" s="10">
        <v>0.2</v>
      </c>
      <c r="P975" s="3"/>
      <c r="Q975" s="3">
        <f t="shared" si="39"/>
        <v>0</v>
      </c>
      <c r="R975" s="48">
        <f t="shared" si="40"/>
        <v>0</v>
      </c>
      <c r="S975" s="10" t="s">
        <v>23</v>
      </c>
      <c r="T975" s="193"/>
    </row>
    <row r="976" spans="1:20" ht="21.6" x14ac:dyDescent="0.3">
      <c r="A976" s="139">
        <v>2148</v>
      </c>
      <c r="B976" s="42" t="s">
        <v>20</v>
      </c>
      <c r="C976" s="43" t="s">
        <v>267</v>
      </c>
      <c r="D976" s="66" t="s">
        <v>500</v>
      </c>
      <c r="E976" s="64" t="s">
        <v>499</v>
      </c>
      <c r="F976" s="42" t="s">
        <v>123</v>
      </c>
      <c r="G976" s="207" t="s">
        <v>367</v>
      </c>
      <c r="H976" s="45" t="s">
        <v>469</v>
      </c>
      <c r="I976" s="47" t="s">
        <v>22</v>
      </c>
      <c r="J976" s="3">
        <v>0.7</v>
      </c>
      <c r="K976" s="49" t="s">
        <v>132</v>
      </c>
      <c r="L976" s="30" t="s">
        <v>133</v>
      </c>
      <c r="M976" s="47" t="s">
        <v>134</v>
      </c>
      <c r="N976" s="4">
        <v>0</v>
      </c>
      <c r="O976" s="10">
        <v>0.1</v>
      </c>
      <c r="P976" s="3"/>
      <c r="Q976" s="3">
        <f t="shared" si="39"/>
        <v>0</v>
      </c>
      <c r="R976" s="48">
        <f t="shared" si="40"/>
        <v>0</v>
      </c>
      <c r="S976" s="10" t="s">
        <v>24</v>
      </c>
      <c r="T976" s="193"/>
    </row>
    <row r="977" spans="1:20" ht="21.6" x14ac:dyDescent="0.3">
      <c r="A977" s="139">
        <v>2149</v>
      </c>
      <c r="B977" s="42" t="s">
        <v>20</v>
      </c>
      <c r="C977" s="43" t="s">
        <v>267</v>
      </c>
      <c r="D977" s="66" t="s">
        <v>500</v>
      </c>
      <c r="E977" s="64" t="s">
        <v>499</v>
      </c>
      <c r="F977" s="42" t="s">
        <v>123</v>
      </c>
      <c r="G977" s="207" t="s">
        <v>367</v>
      </c>
      <c r="H977" s="45" t="s">
        <v>469</v>
      </c>
      <c r="I977" s="47" t="s">
        <v>22</v>
      </c>
      <c r="J977" s="3">
        <v>0.7</v>
      </c>
      <c r="K977" s="49" t="s">
        <v>135</v>
      </c>
      <c r="L977" s="30" t="s">
        <v>136</v>
      </c>
      <c r="M977" s="49" t="s">
        <v>137</v>
      </c>
      <c r="N977" s="3">
        <v>0.9</v>
      </c>
      <c r="O977" s="10">
        <v>0.2</v>
      </c>
      <c r="P977" s="51"/>
      <c r="Q977" s="3">
        <f t="shared" si="39"/>
        <v>0</v>
      </c>
      <c r="R977" s="48">
        <f t="shared" si="40"/>
        <v>0</v>
      </c>
      <c r="S977" s="10" t="s">
        <v>23</v>
      </c>
      <c r="T977" s="193"/>
    </row>
    <row r="978" spans="1:20" ht="22.2" thickBot="1" x14ac:dyDescent="0.35">
      <c r="A978" s="142">
        <v>2150</v>
      </c>
      <c r="B978" s="81" t="s">
        <v>20</v>
      </c>
      <c r="C978" s="82" t="s">
        <v>267</v>
      </c>
      <c r="D978" s="204" t="s">
        <v>500</v>
      </c>
      <c r="E978" s="205" t="s">
        <v>499</v>
      </c>
      <c r="F978" s="81" t="s">
        <v>123</v>
      </c>
      <c r="G978" s="209" t="s">
        <v>367</v>
      </c>
      <c r="H978" s="84" t="s">
        <v>469</v>
      </c>
      <c r="I978" s="85" t="s">
        <v>26</v>
      </c>
      <c r="J978" s="86">
        <v>0.3</v>
      </c>
      <c r="K978" s="115" t="s">
        <v>138</v>
      </c>
      <c r="L978" s="114" t="s">
        <v>139</v>
      </c>
      <c r="M978" s="115" t="s">
        <v>140</v>
      </c>
      <c r="N978" s="86">
        <v>1</v>
      </c>
      <c r="O978" s="91">
        <v>1</v>
      </c>
      <c r="P978" s="86"/>
      <c r="Q978" s="86">
        <f t="shared" si="39"/>
        <v>0</v>
      </c>
      <c r="R978" s="104">
        <f t="shared" si="40"/>
        <v>0</v>
      </c>
      <c r="S978" s="91" t="s">
        <v>23</v>
      </c>
      <c r="T978" s="147"/>
    </row>
    <row r="979" spans="1:20" ht="21.6" x14ac:dyDescent="0.3">
      <c r="A979" s="144">
        <v>2142</v>
      </c>
      <c r="B979" s="64" t="s">
        <v>20</v>
      </c>
      <c r="C979" s="65" t="s">
        <v>267</v>
      </c>
      <c r="D979" s="66" t="s">
        <v>502</v>
      </c>
      <c r="E979" s="64" t="s">
        <v>501</v>
      </c>
      <c r="F979" s="64" t="s">
        <v>123</v>
      </c>
      <c r="G979" s="210" t="s">
        <v>367</v>
      </c>
      <c r="H979" s="67" t="s">
        <v>469</v>
      </c>
      <c r="I979" s="98" t="s">
        <v>22</v>
      </c>
      <c r="J979" s="69">
        <v>0.7</v>
      </c>
      <c r="K979" s="101" t="s">
        <v>513</v>
      </c>
      <c r="L979" s="105" t="s">
        <v>511</v>
      </c>
      <c r="M979" s="101" t="s">
        <v>411</v>
      </c>
      <c r="N979" s="69">
        <v>0.95</v>
      </c>
      <c r="O979" s="69">
        <v>0.15</v>
      </c>
      <c r="P979" s="69"/>
      <c r="Q979" s="69">
        <f t="shared" si="39"/>
        <v>0</v>
      </c>
      <c r="R979" s="100">
        <f t="shared" si="40"/>
        <v>0</v>
      </c>
      <c r="S979" s="69" t="s">
        <v>23</v>
      </c>
      <c r="T979" s="192">
        <f>SUM(R979:R986)%</f>
        <v>0</v>
      </c>
    </row>
    <row r="980" spans="1:20" ht="21.6" x14ac:dyDescent="0.3">
      <c r="A980" s="139">
        <v>2144</v>
      </c>
      <c r="B980" s="42" t="s">
        <v>20</v>
      </c>
      <c r="C980" s="43" t="s">
        <v>267</v>
      </c>
      <c r="D980" s="66" t="s">
        <v>502</v>
      </c>
      <c r="E980" s="64" t="s">
        <v>501</v>
      </c>
      <c r="F980" s="42" t="s">
        <v>123</v>
      </c>
      <c r="G980" s="207" t="s">
        <v>367</v>
      </c>
      <c r="H980" s="45" t="s">
        <v>469</v>
      </c>
      <c r="I980" s="7" t="s">
        <v>22</v>
      </c>
      <c r="J980" s="3">
        <v>0.7</v>
      </c>
      <c r="K980" s="1" t="s">
        <v>124</v>
      </c>
      <c r="L980" s="8" t="s">
        <v>125</v>
      </c>
      <c r="M980" s="7" t="s">
        <v>126</v>
      </c>
      <c r="N980" s="3">
        <v>0.95</v>
      </c>
      <c r="O980" s="3">
        <v>0.15</v>
      </c>
      <c r="P980" s="6"/>
      <c r="Q980" s="3">
        <f t="shared" si="39"/>
        <v>0</v>
      </c>
      <c r="R980" s="4">
        <f t="shared" si="40"/>
        <v>0</v>
      </c>
      <c r="S980" s="3" t="s">
        <v>23</v>
      </c>
      <c r="T980" s="195"/>
    </row>
    <row r="981" spans="1:20" ht="21.6" x14ac:dyDescent="0.3">
      <c r="A981" s="139">
        <v>2145</v>
      </c>
      <c r="B981" s="42" t="s">
        <v>20</v>
      </c>
      <c r="C981" s="43" t="s">
        <v>267</v>
      </c>
      <c r="D981" s="66" t="s">
        <v>502</v>
      </c>
      <c r="E981" s="64" t="s">
        <v>501</v>
      </c>
      <c r="F981" s="42" t="s">
        <v>123</v>
      </c>
      <c r="G981" s="207" t="s">
        <v>367</v>
      </c>
      <c r="H981" s="45" t="s">
        <v>469</v>
      </c>
      <c r="I981" s="7" t="s">
        <v>22</v>
      </c>
      <c r="J981" s="3">
        <v>0.7</v>
      </c>
      <c r="K981" s="1" t="s">
        <v>51</v>
      </c>
      <c r="L981" s="8" t="s">
        <v>127</v>
      </c>
      <c r="M981" s="7" t="s">
        <v>128</v>
      </c>
      <c r="N981" s="6">
        <v>0.05</v>
      </c>
      <c r="O981" s="3">
        <v>0.1</v>
      </c>
      <c r="P981" s="11"/>
      <c r="Q981" s="3">
        <f t="shared" si="39"/>
        <v>0</v>
      </c>
      <c r="R981" s="4">
        <f t="shared" si="40"/>
        <v>0</v>
      </c>
      <c r="S981" s="3" t="s">
        <v>24</v>
      </c>
      <c r="T981" s="195"/>
    </row>
    <row r="982" spans="1:20" ht="21.6" x14ac:dyDescent="0.3">
      <c r="A982" s="139">
        <v>2146</v>
      </c>
      <c r="B982" s="42" t="s">
        <v>20</v>
      </c>
      <c r="C982" s="43" t="s">
        <v>267</v>
      </c>
      <c r="D982" s="66" t="s">
        <v>502</v>
      </c>
      <c r="E982" s="64" t="s">
        <v>501</v>
      </c>
      <c r="F982" s="42" t="s">
        <v>123</v>
      </c>
      <c r="G982" s="207" t="s">
        <v>367</v>
      </c>
      <c r="H982" s="45" t="s">
        <v>469</v>
      </c>
      <c r="I982" s="7" t="s">
        <v>22</v>
      </c>
      <c r="J982" s="3">
        <v>0.7</v>
      </c>
      <c r="K982" s="1" t="s">
        <v>305</v>
      </c>
      <c r="L982" s="8" t="s">
        <v>257</v>
      </c>
      <c r="M982" s="13" t="s">
        <v>306</v>
      </c>
      <c r="N982" s="3">
        <v>0.95</v>
      </c>
      <c r="O982" s="3">
        <v>0.1</v>
      </c>
      <c r="P982" s="3"/>
      <c r="Q982" s="3">
        <f t="shared" si="39"/>
        <v>0</v>
      </c>
      <c r="R982" s="4">
        <f t="shared" si="40"/>
        <v>0</v>
      </c>
      <c r="S982" s="3" t="s">
        <v>23</v>
      </c>
      <c r="T982" s="195"/>
    </row>
    <row r="983" spans="1:20" ht="21.6" x14ac:dyDescent="0.3">
      <c r="A983" s="139">
        <v>2147</v>
      </c>
      <c r="B983" s="42" t="s">
        <v>20</v>
      </c>
      <c r="C983" s="43" t="s">
        <v>267</v>
      </c>
      <c r="D983" s="66" t="s">
        <v>502</v>
      </c>
      <c r="E983" s="64" t="s">
        <v>501</v>
      </c>
      <c r="F983" s="42" t="s">
        <v>123</v>
      </c>
      <c r="G983" s="207" t="s">
        <v>367</v>
      </c>
      <c r="H983" s="45" t="s">
        <v>469</v>
      </c>
      <c r="I983" s="47" t="s">
        <v>22</v>
      </c>
      <c r="J983" s="3">
        <v>0.7</v>
      </c>
      <c r="K983" s="49" t="s">
        <v>129</v>
      </c>
      <c r="L983" s="30" t="s">
        <v>130</v>
      </c>
      <c r="M983" s="47" t="s">
        <v>131</v>
      </c>
      <c r="N983" s="3">
        <v>0.9</v>
      </c>
      <c r="O983" s="10">
        <v>0.2</v>
      </c>
      <c r="P983" s="3"/>
      <c r="Q983" s="3">
        <f t="shared" si="39"/>
        <v>0</v>
      </c>
      <c r="R983" s="48">
        <f t="shared" si="40"/>
        <v>0</v>
      </c>
      <c r="S983" s="10" t="s">
        <v>23</v>
      </c>
      <c r="T983" s="193"/>
    </row>
    <row r="984" spans="1:20" ht="21.6" x14ac:dyDescent="0.3">
      <c r="A984" s="139">
        <v>2148</v>
      </c>
      <c r="B984" s="42" t="s">
        <v>20</v>
      </c>
      <c r="C984" s="43" t="s">
        <v>267</v>
      </c>
      <c r="D984" s="66" t="s">
        <v>502</v>
      </c>
      <c r="E984" s="64" t="s">
        <v>501</v>
      </c>
      <c r="F984" s="42" t="s">
        <v>123</v>
      </c>
      <c r="G984" s="207" t="s">
        <v>367</v>
      </c>
      <c r="H984" s="45" t="s">
        <v>469</v>
      </c>
      <c r="I984" s="47" t="s">
        <v>22</v>
      </c>
      <c r="J984" s="3">
        <v>0.7</v>
      </c>
      <c r="K984" s="49" t="s">
        <v>132</v>
      </c>
      <c r="L984" s="30" t="s">
        <v>133</v>
      </c>
      <c r="M984" s="47" t="s">
        <v>134</v>
      </c>
      <c r="N984" s="4">
        <v>0</v>
      </c>
      <c r="O984" s="10">
        <v>0.1</v>
      </c>
      <c r="P984" s="3"/>
      <c r="Q984" s="3">
        <f t="shared" si="39"/>
        <v>0</v>
      </c>
      <c r="R984" s="48">
        <f t="shared" si="40"/>
        <v>0</v>
      </c>
      <c r="S984" s="10" t="s">
        <v>24</v>
      </c>
      <c r="T984" s="193"/>
    </row>
    <row r="985" spans="1:20" ht="21.6" x14ac:dyDescent="0.3">
      <c r="A985" s="139">
        <v>2149</v>
      </c>
      <c r="B985" s="42" t="s">
        <v>20</v>
      </c>
      <c r="C985" s="43" t="s">
        <v>267</v>
      </c>
      <c r="D985" s="66" t="s">
        <v>502</v>
      </c>
      <c r="E985" s="64" t="s">
        <v>501</v>
      </c>
      <c r="F985" s="42" t="s">
        <v>123</v>
      </c>
      <c r="G985" s="207" t="s">
        <v>367</v>
      </c>
      <c r="H985" s="45" t="s">
        <v>469</v>
      </c>
      <c r="I985" s="47" t="s">
        <v>22</v>
      </c>
      <c r="J985" s="3">
        <v>0.7</v>
      </c>
      <c r="K985" s="49" t="s">
        <v>135</v>
      </c>
      <c r="L985" s="30" t="s">
        <v>136</v>
      </c>
      <c r="M985" s="49" t="s">
        <v>137</v>
      </c>
      <c r="N985" s="3">
        <v>0.9</v>
      </c>
      <c r="O985" s="10">
        <v>0.2</v>
      </c>
      <c r="P985" s="51"/>
      <c r="Q985" s="3">
        <f t="shared" si="39"/>
        <v>0</v>
      </c>
      <c r="R985" s="48">
        <f t="shared" si="40"/>
        <v>0</v>
      </c>
      <c r="S985" s="10" t="s">
        <v>23</v>
      </c>
      <c r="T985" s="193"/>
    </row>
    <row r="986" spans="1:20" ht="22.2" thickBot="1" x14ac:dyDescent="0.35">
      <c r="A986" s="142">
        <v>2150</v>
      </c>
      <c r="B986" s="81" t="s">
        <v>20</v>
      </c>
      <c r="C986" s="82" t="s">
        <v>267</v>
      </c>
      <c r="D986" s="204" t="s">
        <v>502</v>
      </c>
      <c r="E986" s="205" t="s">
        <v>501</v>
      </c>
      <c r="F986" s="81" t="s">
        <v>123</v>
      </c>
      <c r="G986" s="209" t="s">
        <v>367</v>
      </c>
      <c r="H986" s="84" t="s">
        <v>469</v>
      </c>
      <c r="I986" s="85" t="s">
        <v>26</v>
      </c>
      <c r="J986" s="86">
        <v>0.3</v>
      </c>
      <c r="K986" s="115" t="s">
        <v>138</v>
      </c>
      <c r="L986" s="114" t="s">
        <v>139</v>
      </c>
      <c r="M986" s="115" t="s">
        <v>140</v>
      </c>
      <c r="N986" s="86">
        <v>1</v>
      </c>
      <c r="O986" s="91">
        <v>1</v>
      </c>
      <c r="P986" s="86"/>
      <c r="Q986" s="86">
        <f t="shared" si="39"/>
        <v>0</v>
      </c>
      <c r="R986" s="104">
        <f t="shared" si="40"/>
        <v>0</v>
      </c>
      <c r="S986" s="91" t="s">
        <v>23</v>
      </c>
      <c r="T986" s="147"/>
    </row>
    <row r="987" spans="1:20" ht="21.6" x14ac:dyDescent="0.3">
      <c r="A987" s="144">
        <v>2142</v>
      </c>
      <c r="B987" s="64" t="s">
        <v>20</v>
      </c>
      <c r="C987" s="65" t="s">
        <v>267</v>
      </c>
      <c r="D987" s="66" t="s">
        <v>504</v>
      </c>
      <c r="E987" s="64" t="s">
        <v>503</v>
      </c>
      <c r="F987" s="64" t="s">
        <v>123</v>
      </c>
      <c r="G987" s="210" t="s">
        <v>367</v>
      </c>
      <c r="H987" s="67" t="s">
        <v>469</v>
      </c>
      <c r="I987" s="98" t="s">
        <v>22</v>
      </c>
      <c r="J987" s="69">
        <v>0.7</v>
      </c>
      <c r="K987" s="101" t="s">
        <v>513</v>
      </c>
      <c r="L987" s="105" t="s">
        <v>511</v>
      </c>
      <c r="M987" s="101" t="s">
        <v>411</v>
      </c>
      <c r="N987" s="69">
        <v>0.95</v>
      </c>
      <c r="O987" s="69">
        <v>0.15</v>
      </c>
      <c r="P987" s="69"/>
      <c r="Q987" s="69">
        <f t="shared" si="39"/>
        <v>0</v>
      </c>
      <c r="R987" s="100">
        <f t="shared" si="40"/>
        <v>0</v>
      </c>
      <c r="S987" s="69" t="s">
        <v>23</v>
      </c>
      <c r="T987" s="192">
        <f>SUM(R987:R994)%</f>
        <v>0</v>
      </c>
    </row>
    <row r="988" spans="1:20" ht="21.6" x14ac:dyDescent="0.3">
      <c r="A988" s="139">
        <v>2144</v>
      </c>
      <c r="B988" s="42" t="s">
        <v>20</v>
      </c>
      <c r="C988" s="43" t="s">
        <v>267</v>
      </c>
      <c r="D988" s="66" t="s">
        <v>504</v>
      </c>
      <c r="E988" s="64" t="s">
        <v>503</v>
      </c>
      <c r="F988" s="42" t="s">
        <v>123</v>
      </c>
      <c r="G988" s="207" t="s">
        <v>367</v>
      </c>
      <c r="H988" s="45" t="s">
        <v>469</v>
      </c>
      <c r="I988" s="7" t="s">
        <v>22</v>
      </c>
      <c r="J988" s="3">
        <v>0.7</v>
      </c>
      <c r="K988" s="1" t="s">
        <v>124</v>
      </c>
      <c r="L988" s="8" t="s">
        <v>125</v>
      </c>
      <c r="M988" s="7" t="s">
        <v>126</v>
      </c>
      <c r="N988" s="3">
        <v>0.95</v>
      </c>
      <c r="O988" s="3">
        <v>0.15</v>
      </c>
      <c r="P988" s="6"/>
      <c r="Q988" s="3">
        <f t="shared" si="39"/>
        <v>0</v>
      </c>
      <c r="R988" s="4">
        <f t="shared" si="40"/>
        <v>0</v>
      </c>
      <c r="S988" s="3" t="s">
        <v>23</v>
      </c>
      <c r="T988" s="195"/>
    </row>
    <row r="989" spans="1:20" ht="21.6" x14ac:dyDescent="0.3">
      <c r="A989" s="139">
        <v>2145</v>
      </c>
      <c r="B989" s="42" t="s">
        <v>20</v>
      </c>
      <c r="C989" s="43" t="s">
        <v>267</v>
      </c>
      <c r="D989" s="66" t="s">
        <v>504</v>
      </c>
      <c r="E989" s="64" t="s">
        <v>503</v>
      </c>
      <c r="F989" s="42" t="s">
        <v>123</v>
      </c>
      <c r="G989" s="207" t="s">
        <v>367</v>
      </c>
      <c r="H989" s="45" t="s">
        <v>469</v>
      </c>
      <c r="I989" s="7" t="s">
        <v>22</v>
      </c>
      <c r="J989" s="3">
        <v>0.7</v>
      </c>
      <c r="K989" s="1" t="s">
        <v>51</v>
      </c>
      <c r="L989" s="8" t="s">
        <v>127</v>
      </c>
      <c r="M989" s="7" t="s">
        <v>128</v>
      </c>
      <c r="N989" s="6">
        <v>0.05</v>
      </c>
      <c r="O989" s="3">
        <v>0.1</v>
      </c>
      <c r="P989" s="11"/>
      <c r="Q989" s="3">
        <f t="shared" si="39"/>
        <v>0</v>
      </c>
      <c r="R989" s="4">
        <f t="shared" si="40"/>
        <v>0</v>
      </c>
      <c r="S989" s="3" t="s">
        <v>24</v>
      </c>
      <c r="T989" s="195"/>
    </row>
    <row r="990" spans="1:20" ht="21.6" x14ac:dyDescent="0.3">
      <c r="A990" s="139">
        <v>2146</v>
      </c>
      <c r="B990" s="42" t="s">
        <v>20</v>
      </c>
      <c r="C990" s="43" t="s">
        <v>267</v>
      </c>
      <c r="D990" s="66" t="s">
        <v>504</v>
      </c>
      <c r="E990" s="64" t="s">
        <v>503</v>
      </c>
      <c r="F990" s="42" t="s">
        <v>123</v>
      </c>
      <c r="G990" s="207" t="s">
        <v>367</v>
      </c>
      <c r="H990" s="45" t="s">
        <v>469</v>
      </c>
      <c r="I990" s="7" t="s">
        <v>22</v>
      </c>
      <c r="J990" s="3">
        <v>0.7</v>
      </c>
      <c r="K990" s="1" t="s">
        <v>305</v>
      </c>
      <c r="L990" s="8" t="s">
        <v>257</v>
      </c>
      <c r="M990" s="13" t="s">
        <v>306</v>
      </c>
      <c r="N990" s="3">
        <v>0.95</v>
      </c>
      <c r="O990" s="3">
        <v>0.1</v>
      </c>
      <c r="P990" s="3"/>
      <c r="Q990" s="3">
        <f t="shared" si="39"/>
        <v>0</v>
      </c>
      <c r="R990" s="4">
        <f t="shared" si="40"/>
        <v>0</v>
      </c>
      <c r="S990" s="3" t="s">
        <v>23</v>
      </c>
      <c r="T990" s="195"/>
    </row>
    <row r="991" spans="1:20" ht="21.6" x14ac:dyDescent="0.3">
      <c r="A991" s="139">
        <v>2147</v>
      </c>
      <c r="B991" s="42" t="s">
        <v>20</v>
      </c>
      <c r="C991" s="43" t="s">
        <v>267</v>
      </c>
      <c r="D991" s="66" t="s">
        <v>504</v>
      </c>
      <c r="E991" s="64" t="s">
        <v>503</v>
      </c>
      <c r="F991" s="42" t="s">
        <v>123</v>
      </c>
      <c r="G991" s="207" t="s">
        <v>367</v>
      </c>
      <c r="H991" s="45" t="s">
        <v>469</v>
      </c>
      <c r="I991" s="47" t="s">
        <v>22</v>
      </c>
      <c r="J991" s="3">
        <v>0.7</v>
      </c>
      <c r="K991" s="49" t="s">
        <v>129</v>
      </c>
      <c r="L991" s="30" t="s">
        <v>130</v>
      </c>
      <c r="M991" s="47" t="s">
        <v>131</v>
      </c>
      <c r="N991" s="3">
        <v>0.9</v>
      </c>
      <c r="O991" s="10">
        <v>0.2</v>
      </c>
      <c r="P991" s="3"/>
      <c r="Q991" s="3">
        <f t="shared" si="39"/>
        <v>0</v>
      </c>
      <c r="R991" s="48">
        <f t="shared" si="40"/>
        <v>0</v>
      </c>
      <c r="S991" s="10" t="s">
        <v>23</v>
      </c>
      <c r="T991" s="193"/>
    </row>
    <row r="992" spans="1:20" ht="21.6" x14ac:dyDescent="0.3">
      <c r="A992" s="139">
        <v>2148</v>
      </c>
      <c r="B992" s="42" t="s">
        <v>20</v>
      </c>
      <c r="C992" s="43" t="s">
        <v>267</v>
      </c>
      <c r="D992" s="66" t="s">
        <v>504</v>
      </c>
      <c r="E992" s="64" t="s">
        <v>503</v>
      </c>
      <c r="F992" s="42" t="s">
        <v>123</v>
      </c>
      <c r="G992" s="207" t="s">
        <v>367</v>
      </c>
      <c r="H992" s="45" t="s">
        <v>469</v>
      </c>
      <c r="I992" s="47" t="s">
        <v>22</v>
      </c>
      <c r="J992" s="3">
        <v>0.7</v>
      </c>
      <c r="K992" s="49" t="s">
        <v>132</v>
      </c>
      <c r="L992" s="30" t="s">
        <v>133</v>
      </c>
      <c r="M992" s="47" t="s">
        <v>134</v>
      </c>
      <c r="N992" s="4">
        <v>0</v>
      </c>
      <c r="O992" s="10">
        <v>0.1</v>
      </c>
      <c r="P992" s="3"/>
      <c r="Q992" s="3">
        <f t="shared" si="39"/>
        <v>0</v>
      </c>
      <c r="R992" s="48">
        <f t="shared" si="40"/>
        <v>0</v>
      </c>
      <c r="S992" s="10" t="s">
        <v>24</v>
      </c>
      <c r="T992" s="193"/>
    </row>
    <row r="993" spans="1:20" ht="21.6" x14ac:dyDescent="0.3">
      <c r="A993" s="139">
        <v>2149</v>
      </c>
      <c r="B993" s="42" t="s">
        <v>20</v>
      </c>
      <c r="C993" s="43" t="s">
        <v>267</v>
      </c>
      <c r="D993" s="66" t="s">
        <v>504</v>
      </c>
      <c r="E993" s="64" t="s">
        <v>503</v>
      </c>
      <c r="F993" s="42" t="s">
        <v>123</v>
      </c>
      <c r="G993" s="207" t="s">
        <v>367</v>
      </c>
      <c r="H993" s="45" t="s">
        <v>469</v>
      </c>
      <c r="I993" s="47" t="s">
        <v>22</v>
      </c>
      <c r="J993" s="3">
        <v>0.7</v>
      </c>
      <c r="K993" s="49" t="s">
        <v>135</v>
      </c>
      <c r="L993" s="30" t="s">
        <v>136</v>
      </c>
      <c r="M993" s="49" t="s">
        <v>137</v>
      </c>
      <c r="N993" s="3">
        <v>0.9</v>
      </c>
      <c r="O993" s="10">
        <v>0.2</v>
      </c>
      <c r="P993" s="51"/>
      <c r="Q993" s="3">
        <f t="shared" si="39"/>
        <v>0</v>
      </c>
      <c r="R993" s="48">
        <f t="shared" si="40"/>
        <v>0</v>
      </c>
      <c r="S993" s="10" t="s">
        <v>23</v>
      </c>
      <c r="T993" s="193"/>
    </row>
    <row r="994" spans="1:20" ht="22.2" thickBot="1" x14ac:dyDescent="0.35">
      <c r="A994" s="142">
        <v>2150</v>
      </c>
      <c r="B994" s="81" t="s">
        <v>20</v>
      </c>
      <c r="C994" s="82" t="s">
        <v>267</v>
      </c>
      <c r="D994" s="204" t="s">
        <v>504</v>
      </c>
      <c r="E994" s="205" t="s">
        <v>503</v>
      </c>
      <c r="F994" s="81" t="s">
        <v>123</v>
      </c>
      <c r="G994" s="209" t="s">
        <v>367</v>
      </c>
      <c r="H994" s="84" t="s">
        <v>469</v>
      </c>
      <c r="I994" s="85" t="s">
        <v>26</v>
      </c>
      <c r="J994" s="86">
        <v>0.3</v>
      </c>
      <c r="K994" s="115" t="s">
        <v>138</v>
      </c>
      <c r="L994" s="114" t="s">
        <v>139</v>
      </c>
      <c r="M994" s="115" t="s">
        <v>140</v>
      </c>
      <c r="N994" s="86">
        <v>1</v>
      </c>
      <c r="O994" s="91">
        <v>1</v>
      </c>
      <c r="P994" s="86"/>
      <c r="Q994" s="86">
        <f t="shared" si="39"/>
        <v>0</v>
      </c>
      <c r="R994" s="104">
        <f t="shared" si="40"/>
        <v>0</v>
      </c>
      <c r="S994" s="91" t="s">
        <v>23</v>
      </c>
      <c r="T994" s="147"/>
    </row>
    <row r="995" spans="1:20" ht="21.6" x14ac:dyDescent="0.3">
      <c r="A995" s="144">
        <v>2142</v>
      </c>
      <c r="B995" s="64" t="s">
        <v>20</v>
      </c>
      <c r="C995" s="65" t="s">
        <v>267</v>
      </c>
      <c r="D995" s="66" t="s">
        <v>354</v>
      </c>
      <c r="E995" s="64" t="s">
        <v>353</v>
      </c>
      <c r="F995" s="64" t="s">
        <v>145</v>
      </c>
      <c r="G995" s="210" t="s">
        <v>367</v>
      </c>
      <c r="H995" s="67" t="s">
        <v>469</v>
      </c>
      <c r="I995" s="98" t="s">
        <v>22</v>
      </c>
      <c r="J995" s="69">
        <v>0.7</v>
      </c>
      <c r="K995" s="101" t="s">
        <v>513</v>
      </c>
      <c r="L995" s="105" t="s">
        <v>511</v>
      </c>
      <c r="M995" s="101" t="s">
        <v>411</v>
      </c>
      <c r="N995" s="69">
        <v>0.95</v>
      </c>
      <c r="O995" s="69">
        <v>0.15</v>
      </c>
      <c r="P995" s="69"/>
      <c r="Q995" s="69">
        <f t="shared" si="39"/>
        <v>0</v>
      </c>
      <c r="R995" s="100">
        <f t="shared" si="40"/>
        <v>0</v>
      </c>
      <c r="S995" s="69" t="s">
        <v>23</v>
      </c>
      <c r="T995" s="192">
        <f>SUM(R995:R1002)%</f>
        <v>0</v>
      </c>
    </row>
    <row r="996" spans="1:20" ht="21.6" x14ac:dyDescent="0.3">
      <c r="A996" s="139">
        <v>2144</v>
      </c>
      <c r="B996" s="42" t="s">
        <v>20</v>
      </c>
      <c r="C996" s="43" t="s">
        <v>267</v>
      </c>
      <c r="D996" s="44" t="s">
        <v>354</v>
      </c>
      <c r="E996" s="42" t="s">
        <v>353</v>
      </c>
      <c r="F996" s="42" t="s">
        <v>145</v>
      </c>
      <c r="G996" s="207" t="s">
        <v>367</v>
      </c>
      <c r="H996" s="45" t="s">
        <v>469</v>
      </c>
      <c r="I996" s="7" t="s">
        <v>22</v>
      </c>
      <c r="J996" s="3">
        <v>0.7</v>
      </c>
      <c r="K996" s="1" t="s">
        <v>124</v>
      </c>
      <c r="L996" s="8" t="s">
        <v>125</v>
      </c>
      <c r="M996" s="7" t="s">
        <v>126</v>
      </c>
      <c r="N996" s="3">
        <v>0.95</v>
      </c>
      <c r="O996" s="3">
        <v>0.15</v>
      </c>
      <c r="P996" s="6"/>
      <c r="Q996" s="3">
        <f t="shared" si="39"/>
        <v>0</v>
      </c>
      <c r="R996" s="4">
        <f t="shared" si="40"/>
        <v>0</v>
      </c>
      <c r="S996" s="3" t="s">
        <v>23</v>
      </c>
      <c r="T996" s="195"/>
    </row>
    <row r="997" spans="1:20" ht="21.6" x14ac:dyDescent="0.3">
      <c r="A997" s="139">
        <v>2145</v>
      </c>
      <c r="B997" s="42" t="s">
        <v>20</v>
      </c>
      <c r="C997" s="43" t="s">
        <v>267</v>
      </c>
      <c r="D997" s="44" t="s">
        <v>354</v>
      </c>
      <c r="E997" s="42" t="s">
        <v>353</v>
      </c>
      <c r="F997" s="42" t="s">
        <v>145</v>
      </c>
      <c r="G997" s="207" t="s">
        <v>367</v>
      </c>
      <c r="H997" s="45" t="s">
        <v>469</v>
      </c>
      <c r="I997" s="7" t="s">
        <v>22</v>
      </c>
      <c r="J997" s="3">
        <v>0.7</v>
      </c>
      <c r="K997" s="1" t="s">
        <v>51</v>
      </c>
      <c r="L997" s="8" t="s">
        <v>127</v>
      </c>
      <c r="M997" s="7" t="s">
        <v>128</v>
      </c>
      <c r="N997" s="6">
        <v>0.05</v>
      </c>
      <c r="O997" s="3">
        <v>0.1</v>
      </c>
      <c r="P997" s="11"/>
      <c r="Q997" s="3">
        <f t="shared" si="39"/>
        <v>0</v>
      </c>
      <c r="R997" s="4">
        <f t="shared" si="40"/>
        <v>0</v>
      </c>
      <c r="S997" s="3" t="s">
        <v>24</v>
      </c>
      <c r="T997" s="195"/>
    </row>
    <row r="998" spans="1:20" ht="21.6" x14ac:dyDescent="0.3">
      <c r="A998" s="139">
        <v>2146</v>
      </c>
      <c r="B998" s="42" t="s">
        <v>20</v>
      </c>
      <c r="C998" s="43" t="s">
        <v>267</v>
      </c>
      <c r="D998" s="44" t="s">
        <v>354</v>
      </c>
      <c r="E998" s="42" t="s">
        <v>353</v>
      </c>
      <c r="F998" s="42" t="s">
        <v>145</v>
      </c>
      <c r="G998" s="207" t="s">
        <v>367</v>
      </c>
      <c r="H998" s="45" t="s">
        <v>469</v>
      </c>
      <c r="I998" s="7" t="s">
        <v>22</v>
      </c>
      <c r="J998" s="3">
        <v>0.7</v>
      </c>
      <c r="K998" s="1" t="s">
        <v>305</v>
      </c>
      <c r="L998" s="8" t="s">
        <v>257</v>
      </c>
      <c r="M998" s="13" t="s">
        <v>306</v>
      </c>
      <c r="N998" s="3">
        <v>0.95</v>
      </c>
      <c r="O998" s="3">
        <v>0.1</v>
      </c>
      <c r="P998" s="3"/>
      <c r="Q998" s="3">
        <f t="shared" si="39"/>
        <v>0</v>
      </c>
      <c r="R998" s="4">
        <f t="shared" si="40"/>
        <v>0</v>
      </c>
      <c r="S998" s="3" t="s">
        <v>23</v>
      </c>
      <c r="T998" s="195"/>
    </row>
    <row r="999" spans="1:20" ht="21.6" x14ac:dyDescent="0.3">
      <c r="A999" s="139">
        <v>2147</v>
      </c>
      <c r="B999" s="42" t="s">
        <v>20</v>
      </c>
      <c r="C999" s="43" t="s">
        <v>267</v>
      </c>
      <c r="D999" s="44" t="s">
        <v>354</v>
      </c>
      <c r="E999" s="42" t="s">
        <v>353</v>
      </c>
      <c r="F999" s="42" t="s">
        <v>145</v>
      </c>
      <c r="G999" s="207" t="s">
        <v>367</v>
      </c>
      <c r="H999" s="45" t="s">
        <v>469</v>
      </c>
      <c r="I999" s="47" t="s">
        <v>22</v>
      </c>
      <c r="J999" s="3">
        <v>0.7</v>
      </c>
      <c r="K999" s="49" t="s">
        <v>129</v>
      </c>
      <c r="L999" s="30" t="s">
        <v>130</v>
      </c>
      <c r="M999" s="47" t="s">
        <v>131</v>
      </c>
      <c r="N999" s="3">
        <v>0.9</v>
      </c>
      <c r="O999" s="10">
        <v>0.2</v>
      </c>
      <c r="P999" s="3"/>
      <c r="Q999" s="3">
        <f t="shared" si="39"/>
        <v>0</v>
      </c>
      <c r="R999" s="48">
        <f t="shared" si="40"/>
        <v>0</v>
      </c>
      <c r="S999" s="10" t="s">
        <v>23</v>
      </c>
      <c r="T999" s="193"/>
    </row>
    <row r="1000" spans="1:20" ht="21.6" x14ac:dyDescent="0.3">
      <c r="A1000" s="139">
        <v>2148</v>
      </c>
      <c r="B1000" s="42" t="s">
        <v>20</v>
      </c>
      <c r="C1000" s="43" t="s">
        <v>267</v>
      </c>
      <c r="D1000" s="44" t="s">
        <v>354</v>
      </c>
      <c r="E1000" s="42" t="s">
        <v>353</v>
      </c>
      <c r="F1000" s="42" t="s">
        <v>145</v>
      </c>
      <c r="G1000" s="207" t="s">
        <v>367</v>
      </c>
      <c r="H1000" s="45" t="s">
        <v>469</v>
      </c>
      <c r="I1000" s="47" t="s">
        <v>22</v>
      </c>
      <c r="J1000" s="3">
        <v>0.7</v>
      </c>
      <c r="K1000" s="49" t="s">
        <v>132</v>
      </c>
      <c r="L1000" s="30" t="s">
        <v>133</v>
      </c>
      <c r="M1000" s="47" t="s">
        <v>134</v>
      </c>
      <c r="N1000" s="4">
        <v>0</v>
      </c>
      <c r="O1000" s="10">
        <v>0.1</v>
      </c>
      <c r="P1000" s="3"/>
      <c r="Q1000" s="3">
        <f t="shared" si="39"/>
        <v>0</v>
      </c>
      <c r="R1000" s="48">
        <f t="shared" si="40"/>
        <v>0</v>
      </c>
      <c r="S1000" s="10" t="s">
        <v>24</v>
      </c>
      <c r="T1000" s="193"/>
    </row>
    <row r="1001" spans="1:20" ht="21.6" x14ac:dyDescent="0.3">
      <c r="A1001" s="139">
        <v>2149</v>
      </c>
      <c r="B1001" s="42" t="s">
        <v>20</v>
      </c>
      <c r="C1001" s="43" t="s">
        <v>267</v>
      </c>
      <c r="D1001" s="44" t="s">
        <v>354</v>
      </c>
      <c r="E1001" s="42" t="s">
        <v>353</v>
      </c>
      <c r="F1001" s="42" t="s">
        <v>145</v>
      </c>
      <c r="G1001" s="207" t="s">
        <v>367</v>
      </c>
      <c r="H1001" s="45" t="s">
        <v>469</v>
      </c>
      <c r="I1001" s="47" t="s">
        <v>22</v>
      </c>
      <c r="J1001" s="3">
        <v>0.7</v>
      </c>
      <c r="K1001" s="49" t="s">
        <v>135</v>
      </c>
      <c r="L1001" s="30" t="s">
        <v>136</v>
      </c>
      <c r="M1001" s="49" t="s">
        <v>137</v>
      </c>
      <c r="N1001" s="3">
        <v>0.9</v>
      </c>
      <c r="O1001" s="10">
        <v>0.2</v>
      </c>
      <c r="P1001" s="51"/>
      <c r="Q1001" s="3">
        <f t="shared" si="39"/>
        <v>0</v>
      </c>
      <c r="R1001" s="48">
        <f t="shared" si="40"/>
        <v>0</v>
      </c>
      <c r="S1001" s="10" t="s">
        <v>23</v>
      </c>
      <c r="T1001" s="193"/>
    </row>
    <row r="1002" spans="1:20" ht="22.2" thickBot="1" x14ac:dyDescent="0.35">
      <c r="A1002" s="142">
        <v>2150</v>
      </c>
      <c r="B1002" s="81" t="s">
        <v>20</v>
      </c>
      <c r="C1002" s="82" t="s">
        <v>267</v>
      </c>
      <c r="D1002" s="83" t="s">
        <v>354</v>
      </c>
      <c r="E1002" s="81" t="s">
        <v>353</v>
      </c>
      <c r="F1002" s="81" t="s">
        <v>145</v>
      </c>
      <c r="G1002" s="209" t="s">
        <v>367</v>
      </c>
      <c r="H1002" s="84" t="s">
        <v>469</v>
      </c>
      <c r="I1002" s="85" t="s">
        <v>26</v>
      </c>
      <c r="J1002" s="86">
        <v>0.3</v>
      </c>
      <c r="K1002" s="115" t="s">
        <v>138</v>
      </c>
      <c r="L1002" s="114" t="s">
        <v>139</v>
      </c>
      <c r="M1002" s="115" t="s">
        <v>140</v>
      </c>
      <c r="N1002" s="86">
        <v>1</v>
      </c>
      <c r="O1002" s="91">
        <v>1</v>
      </c>
      <c r="P1002" s="86"/>
      <c r="Q1002" s="86">
        <f t="shared" si="39"/>
        <v>0</v>
      </c>
      <c r="R1002" s="104">
        <f t="shared" si="40"/>
        <v>0</v>
      </c>
      <c r="S1002" s="91" t="s">
        <v>23</v>
      </c>
      <c r="T1002" s="147"/>
    </row>
    <row r="1003" spans="1:20" ht="21.6" x14ac:dyDescent="0.3">
      <c r="A1003" s="144">
        <v>2142</v>
      </c>
      <c r="B1003" s="64" t="s">
        <v>20</v>
      </c>
      <c r="C1003" s="65" t="s">
        <v>267</v>
      </c>
      <c r="D1003" s="66" t="s">
        <v>356</v>
      </c>
      <c r="E1003" s="64" t="s">
        <v>355</v>
      </c>
      <c r="F1003" s="64" t="s">
        <v>145</v>
      </c>
      <c r="G1003" s="210" t="s">
        <v>367</v>
      </c>
      <c r="H1003" s="67" t="s">
        <v>469</v>
      </c>
      <c r="I1003" s="98" t="s">
        <v>22</v>
      </c>
      <c r="J1003" s="69">
        <v>0.7</v>
      </c>
      <c r="K1003" s="101" t="s">
        <v>513</v>
      </c>
      <c r="L1003" s="105" t="s">
        <v>511</v>
      </c>
      <c r="M1003" s="101" t="s">
        <v>411</v>
      </c>
      <c r="N1003" s="69">
        <v>0.95</v>
      </c>
      <c r="O1003" s="69">
        <v>0.15</v>
      </c>
      <c r="P1003" s="69"/>
      <c r="Q1003" s="69">
        <f t="shared" si="39"/>
        <v>0</v>
      </c>
      <c r="R1003" s="100">
        <f t="shared" si="40"/>
        <v>0</v>
      </c>
      <c r="S1003" s="69" t="s">
        <v>23</v>
      </c>
      <c r="T1003" s="192">
        <f>SUM(R1003:R1010)%</f>
        <v>0</v>
      </c>
    </row>
    <row r="1004" spans="1:20" ht="21.6" x14ac:dyDescent="0.3">
      <c r="A1004" s="139">
        <v>2144</v>
      </c>
      <c r="B1004" s="42" t="s">
        <v>20</v>
      </c>
      <c r="C1004" s="43" t="s">
        <v>267</v>
      </c>
      <c r="D1004" s="44" t="s">
        <v>356</v>
      </c>
      <c r="E1004" s="42" t="s">
        <v>355</v>
      </c>
      <c r="F1004" s="42" t="s">
        <v>145</v>
      </c>
      <c r="G1004" s="207" t="s">
        <v>367</v>
      </c>
      <c r="H1004" s="45" t="s">
        <v>469</v>
      </c>
      <c r="I1004" s="7" t="s">
        <v>22</v>
      </c>
      <c r="J1004" s="3">
        <v>0.7</v>
      </c>
      <c r="K1004" s="1" t="s">
        <v>124</v>
      </c>
      <c r="L1004" s="8" t="s">
        <v>125</v>
      </c>
      <c r="M1004" s="7" t="s">
        <v>126</v>
      </c>
      <c r="N1004" s="3">
        <v>0.95</v>
      </c>
      <c r="O1004" s="3">
        <v>0.15</v>
      </c>
      <c r="P1004" s="6"/>
      <c r="Q1004" s="3">
        <f t="shared" si="39"/>
        <v>0</v>
      </c>
      <c r="R1004" s="4">
        <f t="shared" si="40"/>
        <v>0</v>
      </c>
      <c r="S1004" s="3" t="s">
        <v>23</v>
      </c>
      <c r="T1004" s="195"/>
    </row>
    <row r="1005" spans="1:20" ht="21.6" x14ac:dyDescent="0.3">
      <c r="A1005" s="139">
        <v>2145</v>
      </c>
      <c r="B1005" s="42" t="s">
        <v>20</v>
      </c>
      <c r="C1005" s="43" t="s">
        <v>267</v>
      </c>
      <c r="D1005" s="44" t="s">
        <v>356</v>
      </c>
      <c r="E1005" s="42" t="s">
        <v>355</v>
      </c>
      <c r="F1005" s="42" t="s">
        <v>145</v>
      </c>
      <c r="G1005" s="207" t="s">
        <v>367</v>
      </c>
      <c r="H1005" s="45" t="s">
        <v>469</v>
      </c>
      <c r="I1005" s="7" t="s">
        <v>22</v>
      </c>
      <c r="J1005" s="3">
        <v>0.7</v>
      </c>
      <c r="K1005" s="1" t="s">
        <v>51</v>
      </c>
      <c r="L1005" s="8" t="s">
        <v>127</v>
      </c>
      <c r="M1005" s="7" t="s">
        <v>128</v>
      </c>
      <c r="N1005" s="6">
        <v>0.05</v>
      </c>
      <c r="O1005" s="3">
        <v>0.1</v>
      </c>
      <c r="P1005" s="11"/>
      <c r="Q1005" s="3">
        <f t="shared" si="39"/>
        <v>0</v>
      </c>
      <c r="R1005" s="4">
        <f t="shared" si="40"/>
        <v>0</v>
      </c>
      <c r="S1005" s="3" t="s">
        <v>24</v>
      </c>
      <c r="T1005" s="195"/>
    </row>
    <row r="1006" spans="1:20" ht="21.6" x14ac:dyDescent="0.3">
      <c r="A1006" s="139">
        <v>2146</v>
      </c>
      <c r="B1006" s="42" t="s">
        <v>20</v>
      </c>
      <c r="C1006" s="43" t="s">
        <v>267</v>
      </c>
      <c r="D1006" s="44" t="s">
        <v>356</v>
      </c>
      <c r="E1006" s="42" t="s">
        <v>355</v>
      </c>
      <c r="F1006" s="42" t="s">
        <v>145</v>
      </c>
      <c r="G1006" s="207" t="s">
        <v>367</v>
      </c>
      <c r="H1006" s="45" t="s">
        <v>469</v>
      </c>
      <c r="I1006" s="7" t="s">
        <v>22</v>
      </c>
      <c r="J1006" s="3">
        <v>0.7</v>
      </c>
      <c r="K1006" s="1" t="s">
        <v>305</v>
      </c>
      <c r="L1006" s="8" t="s">
        <v>257</v>
      </c>
      <c r="M1006" s="13" t="s">
        <v>306</v>
      </c>
      <c r="N1006" s="3">
        <v>0.95</v>
      </c>
      <c r="O1006" s="3">
        <v>0.1</v>
      </c>
      <c r="P1006" s="3"/>
      <c r="Q1006" s="3">
        <f t="shared" si="39"/>
        <v>0</v>
      </c>
      <c r="R1006" s="4">
        <f t="shared" si="40"/>
        <v>0</v>
      </c>
      <c r="S1006" s="3" t="s">
        <v>23</v>
      </c>
      <c r="T1006" s="195"/>
    </row>
    <row r="1007" spans="1:20" ht="21.6" x14ac:dyDescent="0.3">
      <c r="A1007" s="139">
        <v>2147</v>
      </c>
      <c r="B1007" s="42" t="s">
        <v>20</v>
      </c>
      <c r="C1007" s="43" t="s">
        <v>267</v>
      </c>
      <c r="D1007" s="44" t="s">
        <v>356</v>
      </c>
      <c r="E1007" s="42" t="s">
        <v>355</v>
      </c>
      <c r="F1007" s="42" t="s">
        <v>145</v>
      </c>
      <c r="G1007" s="207" t="s">
        <v>367</v>
      </c>
      <c r="H1007" s="45" t="s">
        <v>469</v>
      </c>
      <c r="I1007" s="47" t="s">
        <v>22</v>
      </c>
      <c r="J1007" s="3">
        <v>0.7</v>
      </c>
      <c r="K1007" s="49" t="s">
        <v>129</v>
      </c>
      <c r="L1007" s="30" t="s">
        <v>130</v>
      </c>
      <c r="M1007" s="47" t="s">
        <v>131</v>
      </c>
      <c r="N1007" s="3">
        <v>0.9</v>
      </c>
      <c r="O1007" s="10">
        <v>0.2</v>
      </c>
      <c r="P1007" s="3"/>
      <c r="Q1007" s="3">
        <f t="shared" si="39"/>
        <v>0</v>
      </c>
      <c r="R1007" s="48">
        <f t="shared" si="40"/>
        <v>0</v>
      </c>
      <c r="S1007" s="10" t="s">
        <v>23</v>
      </c>
      <c r="T1007" s="193"/>
    </row>
    <row r="1008" spans="1:20" ht="21.6" x14ac:dyDescent="0.3">
      <c r="A1008" s="139">
        <v>2148</v>
      </c>
      <c r="B1008" s="42" t="s">
        <v>20</v>
      </c>
      <c r="C1008" s="43" t="s">
        <v>267</v>
      </c>
      <c r="D1008" s="44" t="s">
        <v>356</v>
      </c>
      <c r="E1008" s="42" t="s">
        <v>355</v>
      </c>
      <c r="F1008" s="42" t="s">
        <v>145</v>
      </c>
      <c r="G1008" s="207" t="s">
        <v>367</v>
      </c>
      <c r="H1008" s="45" t="s">
        <v>469</v>
      </c>
      <c r="I1008" s="47" t="s">
        <v>22</v>
      </c>
      <c r="J1008" s="3">
        <v>0.7</v>
      </c>
      <c r="K1008" s="49" t="s">
        <v>132</v>
      </c>
      <c r="L1008" s="30" t="s">
        <v>133</v>
      </c>
      <c r="M1008" s="47" t="s">
        <v>134</v>
      </c>
      <c r="N1008" s="4">
        <v>0</v>
      </c>
      <c r="O1008" s="10">
        <v>0.1</v>
      </c>
      <c r="P1008" s="3"/>
      <c r="Q1008" s="3">
        <f t="shared" si="39"/>
        <v>0</v>
      </c>
      <c r="R1008" s="48">
        <f t="shared" si="40"/>
        <v>0</v>
      </c>
      <c r="S1008" s="10" t="s">
        <v>24</v>
      </c>
      <c r="T1008" s="193"/>
    </row>
    <row r="1009" spans="1:20" ht="21.6" x14ac:dyDescent="0.3">
      <c r="A1009" s="139">
        <v>2149</v>
      </c>
      <c r="B1009" s="42" t="s">
        <v>20</v>
      </c>
      <c r="C1009" s="43" t="s">
        <v>267</v>
      </c>
      <c r="D1009" s="44" t="s">
        <v>356</v>
      </c>
      <c r="E1009" s="42" t="s">
        <v>355</v>
      </c>
      <c r="F1009" s="42" t="s">
        <v>145</v>
      </c>
      <c r="G1009" s="207" t="s">
        <v>367</v>
      </c>
      <c r="H1009" s="45" t="s">
        <v>469</v>
      </c>
      <c r="I1009" s="47" t="s">
        <v>22</v>
      </c>
      <c r="J1009" s="3">
        <v>0.7</v>
      </c>
      <c r="K1009" s="49" t="s">
        <v>135</v>
      </c>
      <c r="L1009" s="30" t="s">
        <v>136</v>
      </c>
      <c r="M1009" s="49" t="s">
        <v>137</v>
      </c>
      <c r="N1009" s="3">
        <v>0.9</v>
      </c>
      <c r="O1009" s="10">
        <v>0.2</v>
      </c>
      <c r="P1009" s="51"/>
      <c r="Q1009" s="3">
        <f t="shared" si="39"/>
        <v>0</v>
      </c>
      <c r="R1009" s="48">
        <f t="shared" si="40"/>
        <v>0</v>
      </c>
      <c r="S1009" s="10" t="s">
        <v>23</v>
      </c>
      <c r="T1009" s="193"/>
    </row>
    <row r="1010" spans="1:20" ht="22.2" thickBot="1" x14ac:dyDescent="0.35">
      <c r="A1010" s="142">
        <v>2150</v>
      </c>
      <c r="B1010" s="81" t="s">
        <v>20</v>
      </c>
      <c r="C1010" s="82" t="s">
        <v>267</v>
      </c>
      <c r="D1010" s="83" t="s">
        <v>356</v>
      </c>
      <c r="E1010" s="81" t="s">
        <v>355</v>
      </c>
      <c r="F1010" s="81" t="s">
        <v>145</v>
      </c>
      <c r="G1010" s="209" t="s">
        <v>367</v>
      </c>
      <c r="H1010" s="84" t="s">
        <v>469</v>
      </c>
      <c r="I1010" s="85" t="s">
        <v>26</v>
      </c>
      <c r="J1010" s="86">
        <v>0.3</v>
      </c>
      <c r="K1010" s="115" t="s">
        <v>138</v>
      </c>
      <c r="L1010" s="114" t="s">
        <v>139</v>
      </c>
      <c r="M1010" s="115" t="s">
        <v>140</v>
      </c>
      <c r="N1010" s="86">
        <v>1</v>
      </c>
      <c r="O1010" s="91">
        <v>1</v>
      </c>
      <c r="P1010" s="86"/>
      <c r="Q1010" s="86">
        <f t="shared" si="39"/>
        <v>0</v>
      </c>
      <c r="R1010" s="104">
        <f t="shared" si="40"/>
        <v>0</v>
      </c>
      <c r="S1010" s="91" t="s">
        <v>23</v>
      </c>
      <c r="T1010" s="147"/>
    </row>
    <row r="1011" spans="1:20" ht="21.6" x14ac:dyDescent="0.3">
      <c r="A1011" s="144">
        <v>2151</v>
      </c>
      <c r="B1011" s="64" t="s">
        <v>20</v>
      </c>
      <c r="C1011" s="65" t="s">
        <v>267</v>
      </c>
      <c r="D1011" s="66" t="s">
        <v>352</v>
      </c>
      <c r="E1011" s="64" t="s">
        <v>351</v>
      </c>
      <c r="F1011" s="64" t="s">
        <v>145</v>
      </c>
      <c r="G1011" s="210" t="s">
        <v>367</v>
      </c>
      <c r="H1011" s="67" t="s">
        <v>469</v>
      </c>
      <c r="I1011" s="98" t="s">
        <v>22</v>
      </c>
      <c r="J1011" s="69">
        <v>0.7</v>
      </c>
      <c r="K1011" s="101" t="s">
        <v>513</v>
      </c>
      <c r="L1011" s="105" t="s">
        <v>511</v>
      </c>
      <c r="M1011" s="101" t="s">
        <v>411</v>
      </c>
      <c r="N1011" s="69">
        <v>0.95</v>
      </c>
      <c r="O1011" s="69">
        <v>0.15</v>
      </c>
      <c r="P1011" s="69"/>
      <c r="Q1011" s="69">
        <f t="shared" si="39"/>
        <v>0</v>
      </c>
      <c r="R1011" s="100">
        <f t="shared" si="40"/>
        <v>0</v>
      </c>
      <c r="S1011" s="69" t="s">
        <v>23</v>
      </c>
      <c r="T1011" s="192">
        <f>SUM(R1011:R1018)%</f>
        <v>0</v>
      </c>
    </row>
    <row r="1012" spans="1:20" ht="21.6" x14ac:dyDescent="0.3">
      <c r="A1012" s="139">
        <v>2153</v>
      </c>
      <c r="B1012" s="42" t="s">
        <v>20</v>
      </c>
      <c r="C1012" s="43" t="s">
        <v>267</v>
      </c>
      <c r="D1012" s="44" t="s">
        <v>352</v>
      </c>
      <c r="E1012" s="42" t="s">
        <v>351</v>
      </c>
      <c r="F1012" s="42" t="s">
        <v>145</v>
      </c>
      <c r="G1012" s="207" t="s">
        <v>367</v>
      </c>
      <c r="H1012" s="45" t="s">
        <v>469</v>
      </c>
      <c r="I1012" s="7" t="s">
        <v>22</v>
      </c>
      <c r="J1012" s="3">
        <v>0.7</v>
      </c>
      <c r="K1012" s="1" t="s">
        <v>124</v>
      </c>
      <c r="L1012" s="8" t="s">
        <v>125</v>
      </c>
      <c r="M1012" s="7" t="s">
        <v>126</v>
      </c>
      <c r="N1012" s="3">
        <v>0.95</v>
      </c>
      <c r="O1012" s="3">
        <v>0.15</v>
      </c>
      <c r="P1012" s="6"/>
      <c r="Q1012" s="3">
        <f t="shared" ref="Q1012:Q1116" si="41">ROUND(IF(OR(N1012="",P1012=""),0,IF(AND(N1012=0,P1012=0),1,IF(S1012="+",P1012/N1012,N1012/P1012))),2)</f>
        <v>0</v>
      </c>
      <c r="R1012" s="4">
        <f t="shared" si="40"/>
        <v>0</v>
      </c>
      <c r="S1012" s="3" t="s">
        <v>23</v>
      </c>
      <c r="T1012" s="195"/>
    </row>
    <row r="1013" spans="1:20" ht="21.6" x14ac:dyDescent="0.3">
      <c r="A1013" s="139">
        <v>2154</v>
      </c>
      <c r="B1013" s="42" t="s">
        <v>20</v>
      </c>
      <c r="C1013" s="43" t="s">
        <v>267</v>
      </c>
      <c r="D1013" s="44" t="s">
        <v>352</v>
      </c>
      <c r="E1013" s="42" t="s">
        <v>351</v>
      </c>
      <c r="F1013" s="42" t="s">
        <v>145</v>
      </c>
      <c r="G1013" s="207" t="s">
        <v>367</v>
      </c>
      <c r="H1013" s="45" t="s">
        <v>469</v>
      </c>
      <c r="I1013" s="7" t="s">
        <v>22</v>
      </c>
      <c r="J1013" s="3">
        <v>0.7</v>
      </c>
      <c r="K1013" s="1" t="s">
        <v>51</v>
      </c>
      <c r="L1013" s="8" t="s">
        <v>127</v>
      </c>
      <c r="M1013" s="7" t="s">
        <v>128</v>
      </c>
      <c r="N1013" s="6">
        <v>0.05</v>
      </c>
      <c r="O1013" s="3">
        <v>0.1</v>
      </c>
      <c r="P1013" s="11"/>
      <c r="Q1013" s="3">
        <f t="shared" si="41"/>
        <v>0</v>
      </c>
      <c r="R1013" s="4">
        <f t="shared" si="40"/>
        <v>0</v>
      </c>
      <c r="S1013" s="3" t="s">
        <v>24</v>
      </c>
      <c r="T1013" s="195"/>
    </row>
    <row r="1014" spans="1:20" ht="21.6" x14ac:dyDescent="0.3">
      <c r="A1014" s="139">
        <v>2155</v>
      </c>
      <c r="B1014" s="42" t="s">
        <v>20</v>
      </c>
      <c r="C1014" s="43" t="s">
        <v>267</v>
      </c>
      <c r="D1014" s="44" t="s">
        <v>352</v>
      </c>
      <c r="E1014" s="42" t="s">
        <v>351</v>
      </c>
      <c r="F1014" s="42" t="s">
        <v>145</v>
      </c>
      <c r="G1014" s="207" t="s">
        <v>367</v>
      </c>
      <c r="H1014" s="45" t="s">
        <v>469</v>
      </c>
      <c r="I1014" s="7" t="s">
        <v>22</v>
      </c>
      <c r="J1014" s="3">
        <v>0.7</v>
      </c>
      <c r="K1014" s="1" t="s">
        <v>305</v>
      </c>
      <c r="L1014" s="8" t="s">
        <v>257</v>
      </c>
      <c r="M1014" s="13" t="s">
        <v>306</v>
      </c>
      <c r="N1014" s="3">
        <v>0.95</v>
      </c>
      <c r="O1014" s="3">
        <v>0.1</v>
      </c>
      <c r="P1014" s="3"/>
      <c r="Q1014" s="3">
        <f t="shared" si="41"/>
        <v>0</v>
      </c>
      <c r="R1014" s="4">
        <f t="shared" si="40"/>
        <v>0</v>
      </c>
      <c r="S1014" s="3" t="s">
        <v>23</v>
      </c>
      <c r="T1014" s="195"/>
    </row>
    <row r="1015" spans="1:20" ht="21.6" x14ac:dyDescent="0.3">
      <c r="A1015" s="139">
        <v>2156</v>
      </c>
      <c r="B1015" s="42" t="s">
        <v>20</v>
      </c>
      <c r="C1015" s="43" t="s">
        <v>267</v>
      </c>
      <c r="D1015" s="44" t="s">
        <v>352</v>
      </c>
      <c r="E1015" s="42" t="s">
        <v>351</v>
      </c>
      <c r="F1015" s="42" t="s">
        <v>145</v>
      </c>
      <c r="G1015" s="207" t="s">
        <v>367</v>
      </c>
      <c r="H1015" s="45" t="s">
        <v>469</v>
      </c>
      <c r="I1015" s="47" t="s">
        <v>22</v>
      </c>
      <c r="J1015" s="3">
        <v>0.7</v>
      </c>
      <c r="K1015" s="49" t="s">
        <v>129</v>
      </c>
      <c r="L1015" s="30" t="s">
        <v>130</v>
      </c>
      <c r="M1015" s="47" t="s">
        <v>131</v>
      </c>
      <c r="N1015" s="3">
        <v>0.9</v>
      </c>
      <c r="O1015" s="10">
        <v>0.2</v>
      </c>
      <c r="P1015" s="3"/>
      <c r="Q1015" s="3">
        <f t="shared" si="41"/>
        <v>0</v>
      </c>
      <c r="R1015" s="48">
        <f t="shared" si="40"/>
        <v>0</v>
      </c>
      <c r="S1015" s="10" t="s">
        <v>23</v>
      </c>
      <c r="T1015" s="193"/>
    </row>
    <row r="1016" spans="1:20" ht="21.6" x14ac:dyDescent="0.3">
      <c r="A1016" s="139">
        <v>2157</v>
      </c>
      <c r="B1016" s="42" t="s">
        <v>20</v>
      </c>
      <c r="C1016" s="43" t="s">
        <v>267</v>
      </c>
      <c r="D1016" s="44" t="s">
        <v>352</v>
      </c>
      <c r="E1016" s="42" t="s">
        <v>351</v>
      </c>
      <c r="F1016" s="42" t="s">
        <v>145</v>
      </c>
      <c r="G1016" s="207" t="s">
        <v>367</v>
      </c>
      <c r="H1016" s="45" t="s">
        <v>469</v>
      </c>
      <c r="I1016" s="47" t="s">
        <v>22</v>
      </c>
      <c r="J1016" s="3">
        <v>0.7</v>
      </c>
      <c r="K1016" s="49" t="s">
        <v>132</v>
      </c>
      <c r="L1016" s="30" t="s">
        <v>133</v>
      </c>
      <c r="M1016" s="47" t="s">
        <v>134</v>
      </c>
      <c r="N1016" s="4">
        <v>0</v>
      </c>
      <c r="O1016" s="10">
        <v>0.1</v>
      </c>
      <c r="P1016" s="3"/>
      <c r="Q1016" s="3">
        <f t="shared" si="41"/>
        <v>0</v>
      </c>
      <c r="R1016" s="48">
        <f t="shared" si="40"/>
        <v>0</v>
      </c>
      <c r="S1016" s="10" t="s">
        <v>24</v>
      </c>
      <c r="T1016" s="193"/>
    </row>
    <row r="1017" spans="1:20" ht="21.6" x14ac:dyDescent="0.3">
      <c r="A1017" s="139">
        <v>2158</v>
      </c>
      <c r="B1017" s="42" t="s">
        <v>20</v>
      </c>
      <c r="C1017" s="43" t="s">
        <v>267</v>
      </c>
      <c r="D1017" s="44" t="s">
        <v>352</v>
      </c>
      <c r="E1017" s="42" t="s">
        <v>351</v>
      </c>
      <c r="F1017" s="42" t="s">
        <v>145</v>
      </c>
      <c r="G1017" s="207" t="s">
        <v>367</v>
      </c>
      <c r="H1017" s="45" t="s">
        <v>469</v>
      </c>
      <c r="I1017" s="47" t="s">
        <v>22</v>
      </c>
      <c r="J1017" s="3">
        <v>0.7</v>
      </c>
      <c r="K1017" s="49" t="s">
        <v>135</v>
      </c>
      <c r="L1017" s="30" t="s">
        <v>136</v>
      </c>
      <c r="M1017" s="49" t="s">
        <v>137</v>
      </c>
      <c r="N1017" s="3">
        <v>0.9</v>
      </c>
      <c r="O1017" s="10">
        <v>0.2</v>
      </c>
      <c r="P1017" s="51"/>
      <c r="Q1017" s="3">
        <f t="shared" si="41"/>
        <v>0</v>
      </c>
      <c r="R1017" s="48">
        <f t="shared" si="40"/>
        <v>0</v>
      </c>
      <c r="S1017" s="10" t="s">
        <v>23</v>
      </c>
      <c r="T1017" s="193"/>
    </row>
    <row r="1018" spans="1:20" ht="22.2" thickBot="1" x14ac:dyDescent="0.35">
      <c r="A1018" s="142">
        <v>2159</v>
      </c>
      <c r="B1018" s="81" t="s">
        <v>20</v>
      </c>
      <c r="C1018" s="82" t="s">
        <v>267</v>
      </c>
      <c r="D1018" s="83" t="s">
        <v>352</v>
      </c>
      <c r="E1018" s="81" t="s">
        <v>351</v>
      </c>
      <c r="F1018" s="81" t="s">
        <v>145</v>
      </c>
      <c r="G1018" s="209" t="s">
        <v>367</v>
      </c>
      <c r="H1018" s="84" t="s">
        <v>469</v>
      </c>
      <c r="I1018" s="85" t="s">
        <v>26</v>
      </c>
      <c r="J1018" s="86">
        <v>0.3</v>
      </c>
      <c r="K1018" s="115" t="s">
        <v>138</v>
      </c>
      <c r="L1018" s="114" t="s">
        <v>139</v>
      </c>
      <c r="M1018" s="115" t="s">
        <v>140</v>
      </c>
      <c r="N1018" s="86">
        <v>1</v>
      </c>
      <c r="O1018" s="91">
        <v>1</v>
      </c>
      <c r="P1018" s="86"/>
      <c r="Q1018" s="86">
        <f t="shared" si="41"/>
        <v>0</v>
      </c>
      <c r="R1018" s="104">
        <f t="shared" si="40"/>
        <v>0</v>
      </c>
      <c r="S1018" s="91" t="s">
        <v>23</v>
      </c>
      <c r="T1018" s="147"/>
    </row>
    <row r="1019" spans="1:20" ht="21.6" x14ac:dyDescent="0.3">
      <c r="A1019" s="144">
        <v>2070</v>
      </c>
      <c r="B1019" s="64" t="s">
        <v>20</v>
      </c>
      <c r="C1019" s="65" t="s">
        <v>267</v>
      </c>
      <c r="D1019" s="122">
        <v>6311</v>
      </c>
      <c r="E1019" s="116" t="s">
        <v>198</v>
      </c>
      <c r="F1019" s="117" t="s">
        <v>264</v>
      </c>
      <c r="G1019" s="212" t="s">
        <v>266</v>
      </c>
      <c r="H1019" s="67" t="s">
        <v>304</v>
      </c>
      <c r="I1019" s="98" t="s">
        <v>22</v>
      </c>
      <c r="J1019" s="69">
        <v>0.7</v>
      </c>
      <c r="K1019" s="101" t="s">
        <v>513</v>
      </c>
      <c r="L1019" s="105" t="s">
        <v>511</v>
      </c>
      <c r="M1019" s="101" t="s">
        <v>411</v>
      </c>
      <c r="N1019" s="69">
        <v>0.95</v>
      </c>
      <c r="O1019" s="69">
        <v>0.15</v>
      </c>
      <c r="P1019" s="69"/>
      <c r="Q1019" s="69">
        <f t="shared" si="41"/>
        <v>0</v>
      </c>
      <c r="R1019" s="100">
        <f t="shared" si="40"/>
        <v>0</v>
      </c>
      <c r="S1019" s="69" t="s">
        <v>23</v>
      </c>
      <c r="T1019" s="192">
        <f>SUM(R1019:R1025)%</f>
        <v>0</v>
      </c>
    </row>
    <row r="1020" spans="1:20" ht="21.6" x14ac:dyDescent="0.3">
      <c r="A1020" s="139">
        <v>2072</v>
      </c>
      <c r="B1020" s="42" t="s">
        <v>20</v>
      </c>
      <c r="C1020" s="43" t="s">
        <v>267</v>
      </c>
      <c r="D1020" s="55">
        <v>6311</v>
      </c>
      <c r="E1020" s="52" t="s">
        <v>198</v>
      </c>
      <c r="F1020" s="53" t="s">
        <v>264</v>
      </c>
      <c r="G1020" s="213" t="s">
        <v>266</v>
      </c>
      <c r="H1020" s="45" t="s">
        <v>304</v>
      </c>
      <c r="I1020" s="7" t="s">
        <v>22</v>
      </c>
      <c r="J1020" s="3">
        <v>0.7</v>
      </c>
      <c r="K1020" s="1" t="s">
        <v>124</v>
      </c>
      <c r="L1020" s="8" t="s">
        <v>125</v>
      </c>
      <c r="M1020" s="7" t="s">
        <v>126</v>
      </c>
      <c r="N1020" s="3">
        <v>0.95</v>
      </c>
      <c r="O1020" s="3">
        <v>0.15</v>
      </c>
      <c r="P1020" s="6"/>
      <c r="Q1020" s="3">
        <f t="shared" si="41"/>
        <v>0</v>
      </c>
      <c r="R1020" s="4">
        <f t="shared" si="40"/>
        <v>0</v>
      </c>
      <c r="S1020" s="3" t="s">
        <v>23</v>
      </c>
      <c r="T1020" s="195"/>
    </row>
    <row r="1021" spans="1:20" ht="21.6" x14ac:dyDescent="0.3">
      <c r="A1021" s="139">
        <v>2073</v>
      </c>
      <c r="B1021" s="42" t="s">
        <v>20</v>
      </c>
      <c r="C1021" s="43" t="s">
        <v>267</v>
      </c>
      <c r="D1021" s="55">
        <v>6311</v>
      </c>
      <c r="E1021" s="52" t="s">
        <v>198</v>
      </c>
      <c r="F1021" s="53" t="s">
        <v>264</v>
      </c>
      <c r="G1021" s="213" t="s">
        <v>266</v>
      </c>
      <c r="H1021" s="45" t="s">
        <v>304</v>
      </c>
      <c r="I1021" s="7" t="s">
        <v>22</v>
      </c>
      <c r="J1021" s="3">
        <v>0.7</v>
      </c>
      <c r="K1021" s="1" t="s">
        <v>305</v>
      </c>
      <c r="L1021" s="8" t="s">
        <v>257</v>
      </c>
      <c r="M1021" s="13" t="s">
        <v>306</v>
      </c>
      <c r="N1021" s="3">
        <v>0.95</v>
      </c>
      <c r="O1021" s="3">
        <v>0.2</v>
      </c>
      <c r="P1021" s="11"/>
      <c r="Q1021" s="3">
        <f t="shared" si="41"/>
        <v>0</v>
      </c>
      <c r="R1021" s="4">
        <f t="shared" si="40"/>
        <v>0</v>
      </c>
      <c r="S1021" s="3" t="s">
        <v>23</v>
      </c>
      <c r="T1021" s="195"/>
    </row>
    <row r="1022" spans="1:20" ht="21.6" x14ac:dyDescent="0.3">
      <c r="A1022" s="139">
        <v>2075</v>
      </c>
      <c r="B1022" s="42" t="s">
        <v>20</v>
      </c>
      <c r="C1022" s="43" t="s">
        <v>267</v>
      </c>
      <c r="D1022" s="55">
        <v>6311</v>
      </c>
      <c r="E1022" s="52" t="s">
        <v>198</v>
      </c>
      <c r="F1022" s="53" t="s">
        <v>264</v>
      </c>
      <c r="G1022" s="213" t="s">
        <v>266</v>
      </c>
      <c r="H1022" s="45" t="s">
        <v>304</v>
      </c>
      <c r="I1022" s="47" t="s">
        <v>22</v>
      </c>
      <c r="J1022" s="3">
        <v>0.7</v>
      </c>
      <c r="K1022" s="49" t="s">
        <v>129</v>
      </c>
      <c r="L1022" s="30" t="s">
        <v>130</v>
      </c>
      <c r="M1022" s="47" t="s">
        <v>131</v>
      </c>
      <c r="N1022" s="3">
        <v>0.9</v>
      </c>
      <c r="O1022" s="10">
        <v>0.2</v>
      </c>
      <c r="P1022" s="3"/>
      <c r="Q1022" s="3">
        <f t="shared" si="41"/>
        <v>0</v>
      </c>
      <c r="R1022" s="48">
        <f t="shared" si="40"/>
        <v>0</v>
      </c>
      <c r="S1022" s="10" t="s">
        <v>23</v>
      </c>
      <c r="T1022" s="193"/>
    </row>
    <row r="1023" spans="1:20" ht="21.6" x14ac:dyDescent="0.3">
      <c r="A1023" s="139">
        <v>2076</v>
      </c>
      <c r="B1023" s="42" t="s">
        <v>20</v>
      </c>
      <c r="C1023" s="43" t="s">
        <v>267</v>
      </c>
      <c r="D1023" s="55">
        <v>6311</v>
      </c>
      <c r="E1023" s="52" t="s">
        <v>198</v>
      </c>
      <c r="F1023" s="53" t="s">
        <v>264</v>
      </c>
      <c r="G1023" s="213" t="s">
        <v>266</v>
      </c>
      <c r="H1023" s="45" t="s">
        <v>304</v>
      </c>
      <c r="I1023" s="47" t="s">
        <v>22</v>
      </c>
      <c r="J1023" s="3">
        <v>0.7</v>
      </c>
      <c r="K1023" s="49" t="s">
        <v>132</v>
      </c>
      <c r="L1023" s="30" t="s">
        <v>133</v>
      </c>
      <c r="M1023" s="47" t="s">
        <v>134</v>
      </c>
      <c r="N1023" s="4">
        <v>0</v>
      </c>
      <c r="O1023" s="10">
        <v>0.1</v>
      </c>
      <c r="P1023" s="3"/>
      <c r="Q1023" s="3">
        <f t="shared" si="41"/>
        <v>0</v>
      </c>
      <c r="R1023" s="48">
        <f t="shared" si="40"/>
        <v>0</v>
      </c>
      <c r="S1023" s="10" t="s">
        <v>24</v>
      </c>
      <c r="T1023" s="193"/>
    </row>
    <row r="1024" spans="1:20" ht="21.6" x14ac:dyDescent="0.3">
      <c r="A1024" s="139">
        <v>2077</v>
      </c>
      <c r="B1024" s="42" t="s">
        <v>20</v>
      </c>
      <c r="C1024" s="43" t="s">
        <v>267</v>
      </c>
      <c r="D1024" s="55">
        <v>6311</v>
      </c>
      <c r="E1024" s="52" t="s">
        <v>198</v>
      </c>
      <c r="F1024" s="53" t="s">
        <v>264</v>
      </c>
      <c r="G1024" s="213" t="s">
        <v>266</v>
      </c>
      <c r="H1024" s="45" t="s">
        <v>304</v>
      </c>
      <c r="I1024" s="47" t="s">
        <v>22</v>
      </c>
      <c r="J1024" s="3">
        <v>0.7</v>
      </c>
      <c r="K1024" s="49" t="s">
        <v>135</v>
      </c>
      <c r="L1024" s="30" t="s">
        <v>136</v>
      </c>
      <c r="M1024" s="49" t="s">
        <v>137</v>
      </c>
      <c r="N1024" s="3">
        <v>0.9</v>
      </c>
      <c r="O1024" s="10">
        <v>0.2</v>
      </c>
      <c r="P1024" s="3"/>
      <c r="Q1024" s="3">
        <f t="shared" si="41"/>
        <v>0</v>
      </c>
      <c r="R1024" s="48">
        <f t="shared" si="40"/>
        <v>0</v>
      </c>
      <c r="S1024" s="10" t="s">
        <v>23</v>
      </c>
      <c r="T1024" s="193"/>
    </row>
    <row r="1025" spans="1:20" ht="22.2" thickBot="1" x14ac:dyDescent="0.35">
      <c r="A1025" s="142">
        <v>2078</v>
      </c>
      <c r="B1025" s="81" t="s">
        <v>20</v>
      </c>
      <c r="C1025" s="82" t="s">
        <v>267</v>
      </c>
      <c r="D1025" s="123">
        <v>6311</v>
      </c>
      <c r="E1025" s="118" t="s">
        <v>198</v>
      </c>
      <c r="F1025" s="119" t="s">
        <v>264</v>
      </c>
      <c r="G1025" s="214" t="s">
        <v>266</v>
      </c>
      <c r="H1025" s="84" t="s">
        <v>304</v>
      </c>
      <c r="I1025" s="85" t="s">
        <v>26</v>
      </c>
      <c r="J1025" s="86">
        <v>0.3</v>
      </c>
      <c r="K1025" s="115" t="s">
        <v>138</v>
      </c>
      <c r="L1025" s="114" t="s">
        <v>139</v>
      </c>
      <c r="M1025" s="115" t="s">
        <v>140</v>
      </c>
      <c r="N1025" s="86">
        <v>1</v>
      </c>
      <c r="O1025" s="91">
        <v>1</v>
      </c>
      <c r="P1025" s="86"/>
      <c r="Q1025" s="86">
        <f t="shared" si="41"/>
        <v>0</v>
      </c>
      <c r="R1025" s="104">
        <f t="shared" si="40"/>
        <v>0</v>
      </c>
      <c r="S1025" s="91" t="s">
        <v>23</v>
      </c>
      <c r="T1025" s="147"/>
    </row>
    <row r="1026" spans="1:20" ht="37.799999999999997" x14ac:dyDescent="0.3">
      <c r="A1026" s="144">
        <v>2070</v>
      </c>
      <c r="B1026" s="64" t="s">
        <v>20</v>
      </c>
      <c r="C1026" s="65" t="s">
        <v>267</v>
      </c>
      <c r="D1026" s="122">
        <v>3421</v>
      </c>
      <c r="E1026" s="116" t="s">
        <v>266</v>
      </c>
      <c r="F1026" s="117" t="s">
        <v>174</v>
      </c>
      <c r="G1026" s="212" t="s">
        <v>544</v>
      </c>
      <c r="H1026" s="67" t="s">
        <v>304</v>
      </c>
      <c r="I1026" s="68" t="s">
        <v>22</v>
      </c>
      <c r="J1026" s="69">
        <v>0.7</v>
      </c>
      <c r="K1026" s="92" t="s">
        <v>406</v>
      </c>
      <c r="L1026" s="93" t="s">
        <v>407</v>
      </c>
      <c r="M1026" s="93" t="s">
        <v>408</v>
      </c>
      <c r="N1026" s="94">
        <v>0.95</v>
      </c>
      <c r="O1026" s="94">
        <v>0.15</v>
      </c>
      <c r="P1026" s="69"/>
      <c r="Q1026" s="69">
        <f t="shared" si="41"/>
        <v>0</v>
      </c>
      <c r="R1026" s="100">
        <f t="shared" si="40"/>
        <v>0</v>
      </c>
      <c r="S1026" s="69" t="s">
        <v>23</v>
      </c>
      <c r="T1026" s="192">
        <f>SUM(R1026:R1033)%</f>
        <v>0</v>
      </c>
    </row>
    <row r="1027" spans="1:20" ht="37.799999999999997" x14ac:dyDescent="0.3">
      <c r="A1027" s="139">
        <v>2072</v>
      </c>
      <c r="B1027" s="42" t="s">
        <v>20</v>
      </c>
      <c r="C1027" s="43" t="s">
        <v>267</v>
      </c>
      <c r="D1027" s="55">
        <v>3421</v>
      </c>
      <c r="E1027" s="52" t="s">
        <v>266</v>
      </c>
      <c r="F1027" s="53" t="s">
        <v>174</v>
      </c>
      <c r="G1027" s="213" t="s">
        <v>544</v>
      </c>
      <c r="H1027" s="45" t="s">
        <v>304</v>
      </c>
      <c r="I1027" s="47" t="s">
        <v>22</v>
      </c>
      <c r="J1027" s="3">
        <v>0.7</v>
      </c>
      <c r="K1027" s="20" t="s">
        <v>409</v>
      </c>
      <c r="L1027" s="22" t="s">
        <v>410</v>
      </c>
      <c r="M1027" s="22" t="s">
        <v>411</v>
      </c>
      <c r="N1027" s="24">
        <v>0.95</v>
      </c>
      <c r="O1027" s="24">
        <v>0.15</v>
      </c>
      <c r="P1027" s="6"/>
      <c r="Q1027" s="3">
        <f t="shared" si="41"/>
        <v>0</v>
      </c>
      <c r="R1027" s="4">
        <f t="shared" si="40"/>
        <v>0</v>
      </c>
      <c r="S1027" s="3" t="s">
        <v>23</v>
      </c>
      <c r="T1027" s="195"/>
    </row>
    <row r="1028" spans="1:20" ht="25.2" x14ac:dyDescent="0.3">
      <c r="A1028" s="139">
        <v>2073</v>
      </c>
      <c r="B1028" s="42" t="s">
        <v>20</v>
      </c>
      <c r="C1028" s="43" t="s">
        <v>267</v>
      </c>
      <c r="D1028" s="55">
        <v>3421</v>
      </c>
      <c r="E1028" s="52" t="s">
        <v>266</v>
      </c>
      <c r="F1028" s="53" t="s">
        <v>174</v>
      </c>
      <c r="G1028" s="213" t="s">
        <v>544</v>
      </c>
      <c r="H1028" s="45" t="s">
        <v>304</v>
      </c>
      <c r="I1028" s="47" t="s">
        <v>22</v>
      </c>
      <c r="J1028" s="3">
        <v>0.7</v>
      </c>
      <c r="K1028" s="20" t="s">
        <v>412</v>
      </c>
      <c r="L1028" s="22" t="s">
        <v>413</v>
      </c>
      <c r="M1028" s="22" t="s">
        <v>380</v>
      </c>
      <c r="N1028" s="24">
        <v>0.7</v>
      </c>
      <c r="O1028" s="24">
        <v>0.15</v>
      </c>
      <c r="P1028" s="3"/>
      <c r="Q1028" s="3">
        <f t="shared" si="41"/>
        <v>0</v>
      </c>
      <c r="R1028" s="4">
        <f t="shared" si="40"/>
        <v>0</v>
      </c>
      <c r="S1028" s="3" t="s">
        <v>23</v>
      </c>
      <c r="T1028" s="195"/>
    </row>
    <row r="1029" spans="1:20" ht="37.799999999999997" x14ac:dyDescent="0.3">
      <c r="A1029" s="139">
        <v>2075</v>
      </c>
      <c r="B1029" s="42" t="s">
        <v>20</v>
      </c>
      <c r="C1029" s="43" t="s">
        <v>267</v>
      </c>
      <c r="D1029" s="55">
        <v>3421</v>
      </c>
      <c r="E1029" s="52" t="s">
        <v>266</v>
      </c>
      <c r="F1029" s="53" t="s">
        <v>174</v>
      </c>
      <c r="G1029" s="213" t="s">
        <v>544</v>
      </c>
      <c r="H1029" s="45" t="s">
        <v>304</v>
      </c>
      <c r="I1029" s="47" t="s">
        <v>22</v>
      </c>
      <c r="J1029" s="3">
        <v>0.7</v>
      </c>
      <c r="K1029" s="20" t="s">
        <v>387</v>
      </c>
      <c r="L1029" s="22" t="s">
        <v>388</v>
      </c>
      <c r="M1029" s="22" t="s">
        <v>377</v>
      </c>
      <c r="N1029" s="24">
        <v>0.05</v>
      </c>
      <c r="O1029" s="24">
        <v>0.15</v>
      </c>
      <c r="P1029" s="3"/>
      <c r="Q1029" s="3">
        <f t="shared" si="41"/>
        <v>0</v>
      </c>
      <c r="R1029" s="48">
        <f t="shared" si="40"/>
        <v>0</v>
      </c>
      <c r="S1029" s="3" t="s">
        <v>23</v>
      </c>
      <c r="T1029" s="193"/>
    </row>
    <row r="1030" spans="1:20" ht="25.2" x14ac:dyDescent="0.3">
      <c r="A1030" s="139">
        <v>2076</v>
      </c>
      <c r="B1030" s="42" t="s">
        <v>20</v>
      </c>
      <c r="C1030" s="43" t="s">
        <v>267</v>
      </c>
      <c r="D1030" s="55">
        <v>3421</v>
      </c>
      <c r="E1030" s="52" t="s">
        <v>266</v>
      </c>
      <c r="F1030" s="53" t="s">
        <v>174</v>
      </c>
      <c r="G1030" s="213" t="s">
        <v>544</v>
      </c>
      <c r="H1030" s="45" t="s">
        <v>304</v>
      </c>
      <c r="I1030" s="47" t="s">
        <v>22</v>
      </c>
      <c r="J1030" s="3">
        <v>0.7</v>
      </c>
      <c r="K1030" s="20" t="s">
        <v>378</v>
      </c>
      <c r="L1030" s="22" t="s">
        <v>389</v>
      </c>
      <c r="M1030" s="22" t="s">
        <v>379</v>
      </c>
      <c r="N1030" s="24">
        <v>1</v>
      </c>
      <c r="O1030" s="24">
        <v>0.15</v>
      </c>
      <c r="P1030" s="3"/>
      <c r="Q1030" s="3">
        <f t="shared" si="41"/>
        <v>0</v>
      </c>
      <c r="R1030" s="48">
        <f t="shared" si="40"/>
        <v>0</v>
      </c>
      <c r="S1030" s="10" t="s">
        <v>23</v>
      </c>
      <c r="T1030" s="193"/>
    </row>
    <row r="1031" spans="1:20" ht="25.2" x14ac:dyDescent="0.3">
      <c r="A1031" s="139">
        <v>2077</v>
      </c>
      <c r="B1031" s="42" t="s">
        <v>20</v>
      </c>
      <c r="C1031" s="43" t="s">
        <v>267</v>
      </c>
      <c r="D1031" s="55">
        <v>3421</v>
      </c>
      <c r="E1031" s="52" t="s">
        <v>266</v>
      </c>
      <c r="F1031" s="53" t="s">
        <v>174</v>
      </c>
      <c r="G1031" s="213" t="s">
        <v>544</v>
      </c>
      <c r="H1031" s="45" t="s">
        <v>304</v>
      </c>
      <c r="I1031" s="47" t="s">
        <v>22</v>
      </c>
      <c r="J1031" s="3">
        <v>0.7</v>
      </c>
      <c r="K1031" s="20" t="s">
        <v>395</v>
      </c>
      <c r="L1031" s="22" t="s">
        <v>396</v>
      </c>
      <c r="M1031" s="22" t="s">
        <v>397</v>
      </c>
      <c r="N1031" s="24">
        <v>0.9</v>
      </c>
      <c r="O1031" s="24">
        <v>0.15</v>
      </c>
      <c r="P1031" s="3"/>
      <c r="Q1031" s="3">
        <f t="shared" si="41"/>
        <v>0</v>
      </c>
      <c r="R1031" s="48">
        <f t="shared" si="40"/>
        <v>0</v>
      </c>
      <c r="S1031" s="10" t="s">
        <v>23</v>
      </c>
      <c r="T1031" s="193"/>
    </row>
    <row r="1032" spans="1:20" ht="25.2" x14ac:dyDescent="0.3">
      <c r="A1032" s="139">
        <v>2077</v>
      </c>
      <c r="B1032" s="42" t="s">
        <v>20</v>
      </c>
      <c r="C1032" s="43" t="s">
        <v>267</v>
      </c>
      <c r="D1032" s="55">
        <v>3421</v>
      </c>
      <c r="E1032" s="52" t="s">
        <v>266</v>
      </c>
      <c r="F1032" s="53" t="s">
        <v>174</v>
      </c>
      <c r="G1032" s="213" t="s">
        <v>544</v>
      </c>
      <c r="H1032" s="45" t="s">
        <v>304</v>
      </c>
      <c r="I1032" s="47" t="s">
        <v>22</v>
      </c>
      <c r="J1032" s="3">
        <v>0.7</v>
      </c>
      <c r="K1032" s="20" t="s">
        <v>398</v>
      </c>
      <c r="L1032" s="22" t="s">
        <v>399</v>
      </c>
      <c r="M1032" s="22" t="s">
        <v>400</v>
      </c>
      <c r="N1032" s="24">
        <v>1</v>
      </c>
      <c r="O1032" s="24">
        <v>0.1</v>
      </c>
      <c r="P1032" s="3"/>
      <c r="Q1032" s="3">
        <f t="shared" si="41"/>
        <v>0</v>
      </c>
      <c r="R1032" s="4">
        <f>IF(AND(Q1032&gt;=60%,Q1032&lt;100%),Q1032*((O1032*J1032)),IF(Q1032=100%,((O1032*J1032)*Q1032)*100%,IF(Q1032&gt;100%,((J1032*O1032)*100%)*100%,0)))*100</f>
        <v>0</v>
      </c>
      <c r="S1032" s="3" t="s">
        <v>23</v>
      </c>
      <c r="T1032" s="193"/>
    </row>
    <row r="1033" spans="1:20" ht="22.2" thickBot="1" x14ac:dyDescent="0.35">
      <c r="A1033" s="142">
        <v>2078</v>
      </c>
      <c r="B1033" s="81" t="s">
        <v>20</v>
      </c>
      <c r="C1033" s="82" t="s">
        <v>267</v>
      </c>
      <c r="D1033" s="123">
        <v>3421</v>
      </c>
      <c r="E1033" s="118" t="s">
        <v>266</v>
      </c>
      <c r="F1033" s="119" t="s">
        <v>174</v>
      </c>
      <c r="G1033" s="214" t="s">
        <v>544</v>
      </c>
      <c r="H1033" s="84" t="s">
        <v>304</v>
      </c>
      <c r="I1033" s="85" t="s">
        <v>26</v>
      </c>
      <c r="J1033" s="86">
        <v>0.3</v>
      </c>
      <c r="K1033" s="115" t="s">
        <v>138</v>
      </c>
      <c r="L1033" s="114" t="s">
        <v>139</v>
      </c>
      <c r="M1033" s="115" t="s">
        <v>140</v>
      </c>
      <c r="N1033" s="86">
        <v>1</v>
      </c>
      <c r="O1033" s="91">
        <v>1</v>
      </c>
      <c r="P1033" s="86"/>
      <c r="Q1033" s="86">
        <f t="shared" si="41"/>
        <v>0</v>
      </c>
      <c r="R1033" s="104">
        <f t="shared" si="40"/>
        <v>0</v>
      </c>
      <c r="S1033" s="91" t="s">
        <v>23</v>
      </c>
      <c r="T1033" s="147"/>
    </row>
    <row r="1034" spans="1:20" ht="21.6" x14ac:dyDescent="0.3">
      <c r="A1034" s="144">
        <v>2070</v>
      </c>
      <c r="B1034" s="64" t="s">
        <v>20</v>
      </c>
      <c r="C1034" s="65" t="s">
        <v>267</v>
      </c>
      <c r="D1034" s="122">
        <v>6365</v>
      </c>
      <c r="E1034" s="116" t="s">
        <v>196</v>
      </c>
      <c r="F1034" s="117" t="s">
        <v>123</v>
      </c>
      <c r="G1034" s="212" t="s">
        <v>266</v>
      </c>
      <c r="H1034" s="67" t="s">
        <v>304</v>
      </c>
      <c r="I1034" s="98" t="s">
        <v>22</v>
      </c>
      <c r="J1034" s="69">
        <v>0.7</v>
      </c>
      <c r="K1034" s="101" t="s">
        <v>513</v>
      </c>
      <c r="L1034" s="105" t="s">
        <v>511</v>
      </c>
      <c r="M1034" s="101" t="s">
        <v>411</v>
      </c>
      <c r="N1034" s="69">
        <v>0.95</v>
      </c>
      <c r="O1034" s="69">
        <v>0.15</v>
      </c>
      <c r="P1034" s="69"/>
      <c r="Q1034" s="69">
        <f t="shared" si="41"/>
        <v>0</v>
      </c>
      <c r="R1034" s="100">
        <f t="shared" si="40"/>
        <v>0</v>
      </c>
      <c r="S1034" s="69" t="s">
        <v>23</v>
      </c>
      <c r="T1034" s="192">
        <f>SUM(R1034:R1040)%</f>
        <v>0</v>
      </c>
    </row>
    <row r="1035" spans="1:20" ht="21.6" x14ac:dyDescent="0.3">
      <c r="A1035" s="139">
        <v>2072</v>
      </c>
      <c r="B1035" s="42" t="s">
        <v>20</v>
      </c>
      <c r="C1035" s="43" t="s">
        <v>267</v>
      </c>
      <c r="D1035" s="50">
        <v>6365</v>
      </c>
      <c r="E1035" s="52" t="s">
        <v>196</v>
      </c>
      <c r="F1035" s="53" t="s">
        <v>123</v>
      </c>
      <c r="G1035" s="213" t="s">
        <v>266</v>
      </c>
      <c r="H1035" s="45" t="s">
        <v>304</v>
      </c>
      <c r="I1035" s="7" t="s">
        <v>22</v>
      </c>
      <c r="J1035" s="3">
        <v>0.7</v>
      </c>
      <c r="K1035" s="1" t="s">
        <v>124</v>
      </c>
      <c r="L1035" s="8" t="s">
        <v>125</v>
      </c>
      <c r="M1035" s="7" t="s">
        <v>126</v>
      </c>
      <c r="N1035" s="3">
        <v>0.95</v>
      </c>
      <c r="O1035" s="3">
        <v>0.15</v>
      </c>
      <c r="P1035" s="6"/>
      <c r="Q1035" s="3">
        <f t="shared" si="41"/>
        <v>0</v>
      </c>
      <c r="R1035" s="4">
        <f t="shared" si="40"/>
        <v>0</v>
      </c>
      <c r="S1035" s="3" t="s">
        <v>23</v>
      </c>
      <c r="T1035" s="195"/>
    </row>
    <row r="1036" spans="1:20" ht="21.6" x14ac:dyDescent="0.3">
      <c r="A1036" s="139">
        <v>2074</v>
      </c>
      <c r="B1036" s="42" t="s">
        <v>20</v>
      </c>
      <c r="C1036" s="43" t="s">
        <v>267</v>
      </c>
      <c r="D1036" s="50">
        <v>6365</v>
      </c>
      <c r="E1036" s="52" t="s">
        <v>196</v>
      </c>
      <c r="F1036" s="53" t="s">
        <v>123</v>
      </c>
      <c r="G1036" s="213" t="s">
        <v>266</v>
      </c>
      <c r="H1036" s="45" t="s">
        <v>304</v>
      </c>
      <c r="I1036" s="7" t="s">
        <v>22</v>
      </c>
      <c r="J1036" s="3">
        <v>0.7</v>
      </c>
      <c r="K1036" s="1" t="s">
        <v>305</v>
      </c>
      <c r="L1036" s="8" t="s">
        <v>257</v>
      </c>
      <c r="M1036" s="13" t="s">
        <v>306</v>
      </c>
      <c r="N1036" s="3">
        <v>0.95</v>
      </c>
      <c r="O1036" s="3">
        <v>0.2</v>
      </c>
      <c r="P1036" s="3"/>
      <c r="Q1036" s="3">
        <f t="shared" si="41"/>
        <v>0</v>
      </c>
      <c r="R1036" s="4">
        <f t="shared" si="40"/>
        <v>0</v>
      </c>
      <c r="S1036" s="3" t="s">
        <v>23</v>
      </c>
      <c r="T1036" s="195"/>
    </row>
    <row r="1037" spans="1:20" ht="21.6" x14ac:dyDescent="0.3">
      <c r="A1037" s="139">
        <v>2075</v>
      </c>
      <c r="B1037" s="42" t="s">
        <v>20</v>
      </c>
      <c r="C1037" s="43" t="s">
        <v>267</v>
      </c>
      <c r="D1037" s="50">
        <v>6365</v>
      </c>
      <c r="E1037" s="52" t="s">
        <v>196</v>
      </c>
      <c r="F1037" s="53" t="s">
        <v>123</v>
      </c>
      <c r="G1037" s="213" t="s">
        <v>266</v>
      </c>
      <c r="H1037" s="45" t="s">
        <v>304</v>
      </c>
      <c r="I1037" s="47" t="s">
        <v>22</v>
      </c>
      <c r="J1037" s="3">
        <v>0.7</v>
      </c>
      <c r="K1037" s="49" t="s">
        <v>129</v>
      </c>
      <c r="L1037" s="30" t="s">
        <v>130</v>
      </c>
      <c r="M1037" s="47" t="s">
        <v>131</v>
      </c>
      <c r="N1037" s="3">
        <v>0.9</v>
      </c>
      <c r="O1037" s="10">
        <v>0.2</v>
      </c>
      <c r="P1037" s="3"/>
      <c r="Q1037" s="3">
        <f t="shared" si="41"/>
        <v>0</v>
      </c>
      <c r="R1037" s="48">
        <f t="shared" ref="R1037:R1149" si="42">IF(AND(Q1037&gt;=60%,Q1037&lt;100%),Q1037*((O1037*J1037)),IF(Q1037=100%,((O1037*J1037)*Q1037)*100%,IF(Q1037&gt;100%,((J1037*O1037)*100%)*100%,0)))*100</f>
        <v>0</v>
      </c>
      <c r="S1037" s="10" t="s">
        <v>23</v>
      </c>
      <c r="T1037" s="193"/>
    </row>
    <row r="1038" spans="1:20" ht="21.6" x14ac:dyDescent="0.3">
      <c r="A1038" s="139">
        <v>2076</v>
      </c>
      <c r="B1038" s="42" t="s">
        <v>20</v>
      </c>
      <c r="C1038" s="43" t="s">
        <v>267</v>
      </c>
      <c r="D1038" s="50">
        <v>6365</v>
      </c>
      <c r="E1038" s="52" t="s">
        <v>196</v>
      </c>
      <c r="F1038" s="53" t="s">
        <v>123</v>
      </c>
      <c r="G1038" s="213" t="s">
        <v>266</v>
      </c>
      <c r="H1038" s="45" t="s">
        <v>304</v>
      </c>
      <c r="I1038" s="47" t="s">
        <v>22</v>
      </c>
      <c r="J1038" s="3">
        <v>0.7</v>
      </c>
      <c r="K1038" s="49" t="s">
        <v>132</v>
      </c>
      <c r="L1038" s="30" t="s">
        <v>133</v>
      </c>
      <c r="M1038" s="47" t="s">
        <v>134</v>
      </c>
      <c r="N1038" s="4">
        <v>0</v>
      </c>
      <c r="O1038" s="10">
        <v>0.1</v>
      </c>
      <c r="P1038" s="3"/>
      <c r="Q1038" s="3">
        <f t="shared" si="41"/>
        <v>0</v>
      </c>
      <c r="R1038" s="48">
        <f t="shared" si="42"/>
        <v>0</v>
      </c>
      <c r="S1038" s="10" t="s">
        <v>24</v>
      </c>
      <c r="T1038" s="193"/>
    </row>
    <row r="1039" spans="1:20" ht="21.6" x14ac:dyDescent="0.3">
      <c r="A1039" s="139">
        <v>2077</v>
      </c>
      <c r="B1039" s="42" t="s">
        <v>20</v>
      </c>
      <c r="C1039" s="43" t="s">
        <v>267</v>
      </c>
      <c r="D1039" s="50">
        <v>6365</v>
      </c>
      <c r="E1039" s="52" t="s">
        <v>196</v>
      </c>
      <c r="F1039" s="53" t="s">
        <v>123</v>
      </c>
      <c r="G1039" s="213" t="s">
        <v>266</v>
      </c>
      <c r="H1039" s="45" t="s">
        <v>304</v>
      </c>
      <c r="I1039" s="47" t="s">
        <v>22</v>
      </c>
      <c r="J1039" s="3">
        <v>0.7</v>
      </c>
      <c r="K1039" s="49" t="s">
        <v>135</v>
      </c>
      <c r="L1039" s="30" t="s">
        <v>136</v>
      </c>
      <c r="M1039" s="49" t="s">
        <v>137</v>
      </c>
      <c r="N1039" s="3">
        <v>0.9</v>
      </c>
      <c r="O1039" s="10">
        <v>0.2</v>
      </c>
      <c r="P1039" s="3"/>
      <c r="Q1039" s="3">
        <f t="shared" si="41"/>
        <v>0</v>
      </c>
      <c r="R1039" s="48">
        <f t="shared" si="42"/>
        <v>0</v>
      </c>
      <c r="S1039" s="10" t="s">
        <v>23</v>
      </c>
      <c r="T1039" s="193"/>
    </row>
    <row r="1040" spans="1:20" ht="22.2" thickBot="1" x14ac:dyDescent="0.35">
      <c r="A1040" s="142">
        <v>2078</v>
      </c>
      <c r="B1040" s="81" t="s">
        <v>20</v>
      </c>
      <c r="C1040" s="82" t="s">
        <v>267</v>
      </c>
      <c r="D1040" s="113">
        <v>6365</v>
      </c>
      <c r="E1040" s="118" t="s">
        <v>196</v>
      </c>
      <c r="F1040" s="119" t="s">
        <v>123</v>
      </c>
      <c r="G1040" s="214" t="s">
        <v>266</v>
      </c>
      <c r="H1040" s="84" t="s">
        <v>304</v>
      </c>
      <c r="I1040" s="85" t="s">
        <v>26</v>
      </c>
      <c r="J1040" s="86">
        <v>0.3</v>
      </c>
      <c r="K1040" s="115" t="s">
        <v>138</v>
      </c>
      <c r="L1040" s="114" t="s">
        <v>139</v>
      </c>
      <c r="M1040" s="115" t="s">
        <v>140</v>
      </c>
      <c r="N1040" s="86">
        <v>1</v>
      </c>
      <c r="O1040" s="91">
        <v>1</v>
      </c>
      <c r="P1040" s="86"/>
      <c r="Q1040" s="86">
        <f t="shared" si="41"/>
        <v>0</v>
      </c>
      <c r="R1040" s="104">
        <f t="shared" si="42"/>
        <v>0</v>
      </c>
      <c r="S1040" s="91" t="s">
        <v>23</v>
      </c>
      <c r="T1040" s="147"/>
    </row>
    <row r="1041" spans="1:20" ht="21.6" x14ac:dyDescent="0.3">
      <c r="A1041" s="144">
        <v>2070</v>
      </c>
      <c r="B1041" s="64" t="s">
        <v>20</v>
      </c>
      <c r="C1041" s="65" t="s">
        <v>267</v>
      </c>
      <c r="D1041" s="122">
        <v>6250</v>
      </c>
      <c r="E1041" s="116" t="s">
        <v>197</v>
      </c>
      <c r="F1041" s="117" t="s">
        <v>264</v>
      </c>
      <c r="G1041" s="212" t="s">
        <v>266</v>
      </c>
      <c r="H1041" s="67" t="s">
        <v>304</v>
      </c>
      <c r="I1041" s="98" t="s">
        <v>22</v>
      </c>
      <c r="J1041" s="69">
        <v>0.7</v>
      </c>
      <c r="K1041" s="101" t="s">
        <v>513</v>
      </c>
      <c r="L1041" s="105" t="s">
        <v>511</v>
      </c>
      <c r="M1041" s="101" t="s">
        <v>411</v>
      </c>
      <c r="N1041" s="69">
        <v>0.95</v>
      </c>
      <c r="O1041" s="69">
        <v>0.15</v>
      </c>
      <c r="P1041" s="69"/>
      <c r="Q1041" s="69">
        <f t="shared" si="41"/>
        <v>0</v>
      </c>
      <c r="R1041" s="100">
        <f t="shared" si="42"/>
        <v>0</v>
      </c>
      <c r="S1041" s="69" t="s">
        <v>23</v>
      </c>
      <c r="T1041" s="192">
        <f>SUM(R1041:R1047)%</f>
        <v>0</v>
      </c>
    </row>
    <row r="1042" spans="1:20" ht="21.6" x14ac:dyDescent="0.3">
      <c r="A1042" s="139">
        <v>2072</v>
      </c>
      <c r="B1042" s="42" t="s">
        <v>20</v>
      </c>
      <c r="C1042" s="43" t="s">
        <v>267</v>
      </c>
      <c r="D1042" s="55">
        <v>6250</v>
      </c>
      <c r="E1042" s="52" t="s">
        <v>197</v>
      </c>
      <c r="F1042" s="53" t="s">
        <v>264</v>
      </c>
      <c r="G1042" s="213" t="s">
        <v>266</v>
      </c>
      <c r="H1042" s="45" t="s">
        <v>304</v>
      </c>
      <c r="I1042" s="7" t="s">
        <v>22</v>
      </c>
      <c r="J1042" s="3">
        <v>0.7</v>
      </c>
      <c r="K1042" s="1" t="s">
        <v>124</v>
      </c>
      <c r="L1042" s="8" t="s">
        <v>125</v>
      </c>
      <c r="M1042" s="7" t="s">
        <v>126</v>
      </c>
      <c r="N1042" s="3">
        <v>0.95</v>
      </c>
      <c r="O1042" s="3">
        <v>0.15</v>
      </c>
      <c r="P1042" s="6"/>
      <c r="Q1042" s="3">
        <f t="shared" si="41"/>
        <v>0</v>
      </c>
      <c r="R1042" s="4">
        <f t="shared" si="42"/>
        <v>0</v>
      </c>
      <c r="S1042" s="3" t="s">
        <v>23</v>
      </c>
      <c r="T1042" s="195"/>
    </row>
    <row r="1043" spans="1:20" ht="21.6" x14ac:dyDescent="0.3">
      <c r="A1043" s="139">
        <v>2074</v>
      </c>
      <c r="B1043" s="42" t="s">
        <v>20</v>
      </c>
      <c r="C1043" s="43" t="s">
        <v>267</v>
      </c>
      <c r="D1043" s="55">
        <v>6250</v>
      </c>
      <c r="E1043" s="52" t="s">
        <v>197</v>
      </c>
      <c r="F1043" s="53" t="s">
        <v>264</v>
      </c>
      <c r="G1043" s="213" t="s">
        <v>266</v>
      </c>
      <c r="H1043" s="45" t="s">
        <v>304</v>
      </c>
      <c r="I1043" s="7" t="s">
        <v>22</v>
      </c>
      <c r="J1043" s="3">
        <v>0.7</v>
      </c>
      <c r="K1043" s="1" t="s">
        <v>305</v>
      </c>
      <c r="L1043" s="8" t="s">
        <v>257</v>
      </c>
      <c r="M1043" s="13" t="s">
        <v>306</v>
      </c>
      <c r="N1043" s="3">
        <v>0.95</v>
      </c>
      <c r="O1043" s="3">
        <v>0.2</v>
      </c>
      <c r="P1043" s="3"/>
      <c r="Q1043" s="3">
        <f t="shared" si="41"/>
        <v>0</v>
      </c>
      <c r="R1043" s="4">
        <f t="shared" si="42"/>
        <v>0</v>
      </c>
      <c r="S1043" s="3" t="s">
        <v>23</v>
      </c>
      <c r="T1043" s="195"/>
    </row>
    <row r="1044" spans="1:20" ht="21.6" x14ac:dyDescent="0.3">
      <c r="A1044" s="139">
        <v>2075</v>
      </c>
      <c r="B1044" s="42" t="s">
        <v>20</v>
      </c>
      <c r="C1044" s="43" t="s">
        <v>267</v>
      </c>
      <c r="D1044" s="55">
        <v>6250</v>
      </c>
      <c r="E1044" s="52" t="s">
        <v>197</v>
      </c>
      <c r="F1044" s="53" t="s">
        <v>264</v>
      </c>
      <c r="G1044" s="213" t="s">
        <v>266</v>
      </c>
      <c r="H1044" s="45" t="s">
        <v>304</v>
      </c>
      <c r="I1044" s="47" t="s">
        <v>22</v>
      </c>
      <c r="J1044" s="3">
        <v>0.7</v>
      </c>
      <c r="K1044" s="49" t="s">
        <v>129</v>
      </c>
      <c r="L1044" s="30" t="s">
        <v>130</v>
      </c>
      <c r="M1044" s="47" t="s">
        <v>131</v>
      </c>
      <c r="N1044" s="3">
        <v>0.9</v>
      </c>
      <c r="O1044" s="10">
        <v>0.2</v>
      </c>
      <c r="P1044" s="3"/>
      <c r="Q1044" s="3">
        <f t="shared" si="41"/>
        <v>0</v>
      </c>
      <c r="R1044" s="48">
        <f t="shared" si="42"/>
        <v>0</v>
      </c>
      <c r="S1044" s="10" t="s">
        <v>23</v>
      </c>
      <c r="T1044" s="193"/>
    </row>
    <row r="1045" spans="1:20" ht="21.6" x14ac:dyDescent="0.3">
      <c r="A1045" s="139">
        <v>2076</v>
      </c>
      <c r="B1045" s="42" t="s">
        <v>20</v>
      </c>
      <c r="C1045" s="43" t="s">
        <v>267</v>
      </c>
      <c r="D1045" s="55">
        <v>6250</v>
      </c>
      <c r="E1045" s="52" t="s">
        <v>197</v>
      </c>
      <c r="F1045" s="53" t="s">
        <v>264</v>
      </c>
      <c r="G1045" s="213" t="s">
        <v>266</v>
      </c>
      <c r="H1045" s="45" t="s">
        <v>304</v>
      </c>
      <c r="I1045" s="47" t="s">
        <v>22</v>
      </c>
      <c r="J1045" s="3">
        <v>0.7</v>
      </c>
      <c r="K1045" s="49" t="s">
        <v>132</v>
      </c>
      <c r="L1045" s="30" t="s">
        <v>133</v>
      </c>
      <c r="M1045" s="47" t="s">
        <v>134</v>
      </c>
      <c r="N1045" s="4">
        <v>0</v>
      </c>
      <c r="O1045" s="10">
        <v>0.1</v>
      </c>
      <c r="P1045" s="3"/>
      <c r="Q1045" s="3">
        <f t="shared" si="41"/>
        <v>0</v>
      </c>
      <c r="R1045" s="48">
        <f t="shared" si="42"/>
        <v>0</v>
      </c>
      <c r="S1045" s="10" t="s">
        <v>24</v>
      </c>
      <c r="T1045" s="193"/>
    </row>
    <row r="1046" spans="1:20" ht="21.6" x14ac:dyDescent="0.3">
      <c r="A1046" s="139">
        <v>2077</v>
      </c>
      <c r="B1046" s="42" t="s">
        <v>20</v>
      </c>
      <c r="C1046" s="43" t="s">
        <v>267</v>
      </c>
      <c r="D1046" s="55">
        <v>6250</v>
      </c>
      <c r="E1046" s="52" t="s">
        <v>197</v>
      </c>
      <c r="F1046" s="53" t="s">
        <v>264</v>
      </c>
      <c r="G1046" s="213" t="s">
        <v>266</v>
      </c>
      <c r="H1046" s="45" t="s">
        <v>304</v>
      </c>
      <c r="I1046" s="47" t="s">
        <v>22</v>
      </c>
      <c r="J1046" s="3">
        <v>0.7</v>
      </c>
      <c r="K1046" s="49" t="s">
        <v>135</v>
      </c>
      <c r="L1046" s="30" t="s">
        <v>136</v>
      </c>
      <c r="M1046" s="49" t="s">
        <v>137</v>
      </c>
      <c r="N1046" s="3">
        <v>0.9</v>
      </c>
      <c r="O1046" s="10">
        <v>0.2</v>
      </c>
      <c r="P1046" s="3"/>
      <c r="Q1046" s="3">
        <f t="shared" si="41"/>
        <v>0</v>
      </c>
      <c r="R1046" s="48">
        <f t="shared" si="42"/>
        <v>0</v>
      </c>
      <c r="S1046" s="10" t="s">
        <v>23</v>
      </c>
      <c r="T1046" s="193"/>
    </row>
    <row r="1047" spans="1:20" ht="22.2" thickBot="1" x14ac:dyDescent="0.35">
      <c r="A1047" s="142">
        <v>2078</v>
      </c>
      <c r="B1047" s="81" t="s">
        <v>20</v>
      </c>
      <c r="C1047" s="82" t="s">
        <v>267</v>
      </c>
      <c r="D1047" s="123">
        <v>6250</v>
      </c>
      <c r="E1047" s="118" t="s">
        <v>197</v>
      </c>
      <c r="F1047" s="119" t="s">
        <v>264</v>
      </c>
      <c r="G1047" s="214" t="s">
        <v>266</v>
      </c>
      <c r="H1047" s="84" t="s">
        <v>304</v>
      </c>
      <c r="I1047" s="85" t="s">
        <v>26</v>
      </c>
      <c r="J1047" s="86">
        <v>0.3</v>
      </c>
      <c r="K1047" s="115" t="s">
        <v>138</v>
      </c>
      <c r="L1047" s="114" t="s">
        <v>139</v>
      </c>
      <c r="M1047" s="115" t="s">
        <v>140</v>
      </c>
      <c r="N1047" s="86">
        <v>1</v>
      </c>
      <c r="O1047" s="91">
        <v>1</v>
      </c>
      <c r="P1047" s="86"/>
      <c r="Q1047" s="86">
        <f t="shared" si="41"/>
        <v>0</v>
      </c>
      <c r="R1047" s="104">
        <f t="shared" si="42"/>
        <v>0</v>
      </c>
      <c r="S1047" s="91" t="s">
        <v>23</v>
      </c>
      <c r="T1047" s="147"/>
    </row>
    <row r="1048" spans="1:20" ht="21.6" x14ac:dyDescent="0.3">
      <c r="A1048" s="144">
        <v>2070</v>
      </c>
      <c r="B1048" s="64" t="s">
        <v>20</v>
      </c>
      <c r="C1048" s="65" t="s">
        <v>267</v>
      </c>
      <c r="D1048" s="111">
        <v>5232</v>
      </c>
      <c r="E1048" s="116" t="s">
        <v>187</v>
      </c>
      <c r="F1048" s="117" t="s">
        <v>123</v>
      </c>
      <c r="G1048" s="212" t="s">
        <v>266</v>
      </c>
      <c r="H1048" s="67" t="s">
        <v>304</v>
      </c>
      <c r="I1048" s="98" t="s">
        <v>22</v>
      </c>
      <c r="J1048" s="69">
        <v>0.7</v>
      </c>
      <c r="K1048" s="101" t="s">
        <v>513</v>
      </c>
      <c r="L1048" s="105" t="s">
        <v>511</v>
      </c>
      <c r="M1048" s="101" t="s">
        <v>411</v>
      </c>
      <c r="N1048" s="69">
        <v>0.95</v>
      </c>
      <c r="O1048" s="69">
        <v>0.15</v>
      </c>
      <c r="P1048" s="69"/>
      <c r="Q1048" s="69">
        <f t="shared" si="41"/>
        <v>0</v>
      </c>
      <c r="R1048" s="100">
        <f t="shared" si="42"/>
        <v>0</v>
      </c>
      <c r="S1048" s="69" t="s">
        <v>23</v>
      </c>
      <c r="T1048" s="192">
        <f>SUM(R1048:R1054)%</f>
        <v>0</v>
      </c>
    </row>
    <row r="1049" spans="1:20" ht="21.6" x14ac:dyDescent="0.3">
      <c r="A1049" s="139">
        <v>2072</v>
      </c>
      <c r="B1049" s="42" t="s">
        <v>20</v>
      </c>
      <c r="C1049" s="43" t="s">
        <v>267</v>
      </c>
      <c r="D1049" s="50">
        <v>5232</v>
      </c>
      <c r="E1049" s="52" t="s">
        <v>187</v>
      </c>
      <c r="F1049" s="53" t="s">
        <v>123</v>
      </c>
      <c r="G1049" s="213" t="s">
        <v>266</v>
      </c>
      <c r="H1049" s="45" t="s">
        <v>304</v>
      </c>
      <c r="I1049" s="7" t="s">
        <v>22</v>
      </c>
      <c r="J1049" s="3">
        <v>0.7</v>
      </c>
      <c r="K1049" s="1" t="s">
        <v>124</v>
      </c>
      <c r="L1049" s="8" t="s">
        <v>125</v>
      </c>
      <c r="M1049" s="7" t="s">
        <v>126</v>
      </c>
      <c r="N1049" s="3">
        <v>0.95</v>
      </c>
      <c r="O1049" s="3">
        <v>0.15</v>
      </c>
      <c r="P1049" s="6"/>
      <c r="Q1049" s="3">
        <f t="shared" si="41"/>
        <v>0</v>
      </c>
      <c r="R1049" s="4">
        <f t="shared" si="42"/>
        <v>0</v>
      </c>
      <c r="S1049" s="3" t="s">
        <v>23</v>
      </c>
      <c r="T1049" s="195"/>
    </row>
    <row r="1050" spans="1:20" ht="21.6" x14ac:dyDescent="0.3">
      <c r="A1050" s="139">
        <v>2074</v>
      </c>
      <c r="B1050" s="42" t="s">
        <v>20</v>
      </c>
      <c r="C1050" s="43" t="s">
        <v>267</v>
      </c>
      <c r="D1050" s="50">
        <v>5232</v>
      </c>
      <c r="E1050" s="52" t="s">
        <v>187</v>
      </c>
      <c r="F1050" s="53" t="s">
        <v>123</v>
      </c>
      <c r="G1050" s="213" t="s">
        <v>266</v>
      </c>
      <c r="H1050" s="45" t="s">
        <v>304</v>
      </c>
      <c r="I1050" s="7" t="s">
        <v>22</v>
      </c>
      <c r="J1050" s="3">
        <v>0.7</v>
      </c>
      <c r="K1050" s="1" t="s">
        <v>305</v>
      </c>
      <c r="L1050" s="8" t="s">
        <v>257</v>
      </c>
      <c r="M1050" s="13" t="s">
        <v>306</v>
      </c>
      <c r="N1050" s="3">
        <v>0.95</v>
      </c>
      <c r="O1050" s="3">
        <v>0.2</v>
      </c>
      <c r="P1050" s="3"/>
      <c r="Q1050" s="3">
        <f t="shared" si="41"/>
        <v>0</v>
      </c>
      <c r="R1050" s="4">
        <f t="shared" si="42"/>
        <v>0</v>
      </c>
      <c r="S1050" s="3" t="s">
        <v>23</v>
      </c>
      <c r="T1050" s="195"/>
    </row>
    <row r="1051" spans="1:20" ht="21.6" x14ac:dyDescent="0.3">
      <c r="A1051" s="139">
        <v>2075</v>
      </c>
      <c r="B1051" s="42" t="s">
        <v>20</v>
      </c>
      <c r="C1051" s="43" t="s">
        <v>267</v>
      </c>
      <c r="D1051" s="50">
        <v>5232</v>
      </c>
      <c r="E1051" s="52" t="s">
        <v>187</v>
      </c>
      <c r="F1051" s="53" t="s">
        <v>123</v>
      </c>
      <c r="G1051" s="213" t="s">
        <v>266</v>
      </c>
      <c r="H1051" s="45" t="s">
        <v>304</v>
      </c>
      <c r="I1051" s="47" t="s">
        <v>22</v>
      </c>
      <c r="J1051" s="3">
        <v>0.7</v>
      </c>
      <c r="K1051" s="49" t="s">
        <v>129</v>
      </c>
      <c r="L1051" s="30" t="s">
        <v>130</v>
      </c>
      <c r="M1051" s="47" t="s">
        <v>131</v>
      </c>
      <c r="N1051" s="3">
        <v>0.9</v>
      </c>
      <c r="O1051" s="10">
        <v>0.2</v>
      </c>
      <c r="P1051" s="3"/>
      <c r="Q1051" s="3">
        <f t="shared" si="41"/>
        <v>0</v>
      </c>
      <c r="R1051" s="48">
        <f t="shared" si="42"/>
        <v>0</v>
      </c>
      <c r="S1051" s="10" t="s">
        <v>23</v>
      </c>
      <c r="T1051" s="193"/>
    </row>
    <row r="1052" spans="1:20" ht="21.6" x14ac:dyDescent="0.3">
      <c r="A1052" s="139">
        <v>2076</v>
      </c>
      <c r="B1052" s="42" t="s">
        <v>20</v>
      </c>
      <c r="C1052" s="43" t="s">
        <v>267</v>
      </c>
      <c r="D1052" s="50">
        <v>5232</v>
      </c>
      <c r="E1052" s="52" t="s">
        <v>187</v>
      </c>
      <c r="F1052" s="53" t="s">
        <v>123</v>
      </c>
      <c r="G1052" s="213" t="s">
        <v>266</v>
      </c>
      <c r="H1052" s="45" t="s">
        <v>304</v>
      </c>
      <c r="I1052" s="47" t="s">
        <v>22</v>
      </c>
      <c r="J1052" s="3">
        <v>0.7</v>
      </c>
      <c r="K1052" s="49" t="s">
        <v>132</v>
      </c>
      <c r="L1052" s="30" t="s">
        <v>133</v>
      </c>
      <c r="M1052" s="47" t="s">
        <v>134</v>
      </c>
      <c r="N1052" s="4">
        <v>0</v>
      </c>
      <c r="O1052" s="10">
        <v>0.1</v>
      </c>
      <c r="P1052" s="3"/>
      <c r="Q1052" s="3">
        <f t="shared" si="41"/>
        <v>0</v>
      </c>
      <c r="R1052" s="48">
        <f t="shared" si="42"/>
        <v>0</v>
      </c>
      <c r="S1052" s="10" t="s">
        <v>24</v>
      </c>
      <c r="T1052" s="193"/>
    </row>
    <row r="1053" spans="1:20" ht="21.6" x14ac:dyDescent="0.3">
      <c r="A1053" s="139">
        <v>2077</v>
      </c>
      <c r="B1053" s="42" t="s">
        <v>20</v>
      </c>
      <c r="C1053" s="43" t="s">
        <v>267</v>
      </c>
      <c r="D1053" s="50">
        <v>5232</v>
      </c>
      <c r="E1053" s="52" t="s">
        <v>187</v>
      </c>
      <c r="F1053" s="53" t="s">
        <v>123</v>
      </c>
      <c r="G1053" s="213" t="s">
        <v>266</v>
      </c>
      <c r="H1053" s="45" t="s">
        <v>304</v>
      </c>
      <c r="I1053" s="47" t="s">
        <v>22</v>
      </c>
      <c r="J1053" s="3">
        <v>0.7</v>
      </c>
      <c r="K1053" s="49" t="s">
        <v>135</v>
      </c>
      <c r="L1053" s="30" t="s">
        <v>136</v>
      </c>
      <c r="M1053" s="49" t="s">
        <v>137</v>
      </c>
      <c r="N1053" s="3">
        <v>0.9</v>
      </c>
      <c r="O1053" s="10">
        <v>0.2</v>
      </c>
      <c r="P1053" s="3"/>
      <c r="Q1053" s="3">
        <f t="shared" si="41"/>
        <v>0</v>
      </c>
      <c r="R1053" s="48">
        <f t="shared" si="42"/>
        <v>0</v>
      </c>
      <c r="S1053" s="10" t="s">
        <v>23</v>
      </c>
      <c r="T1053" s="193"/>
    </row>
    <row r="1054" spans="1:20" ht="22.2" thickBot="1" x14ac:dyDescent="0.35">
      <c r="A1054" s="142">
        <v>2078</v>
      </c>
      <c r="B1054" s="81" t="s">
        <v>20</v>
      </c>
      <c r="C1054" s="82" t="s">
        <v>267</v>
      </c>
      <c r="D1054" s="113">
        <v>5232</v>
      </c>
      <c r="E1054" s="118" t="s">
        <v>187</v>
      </c>
      <c r="F1054" s="119" t="s">
        <v>123</v>
      </c>
      <c r="G1054" s="214" t="s">
        <v>266</v>
      </c>
      <c r="H1054" s="84" t="s">
        <v>304</v>
      </c>
      <c r="I1054" s="85" t="s">
        <v>26</v>
      </c>
      <c r="J1054" s="86">
        <v>0.3</v>
      </c>
      <c r="K1054" s="115" t="s">
        <v>138</v>
      </c>
      <c r="L1054" s="114" t="s">
        <v>139</v>
      </c>
      <c r="M1054" s="115" t="s">
        <v>140</v>
      </c>
      <c r="N1054" s="86">
        <v>1</v>
      </c>
      <c r="O1054" s="91">
        <v>1</v>
      </c>
      <c r="P1054" s="86"/>
      <c r="Q1054" s="86">
        <f t="shared" si="41"/>
        <v>0</v>
      </c>
      <c r="R1054" s="104">
        <f t="shared" si="42"/>
        <v>0</v>
      </c>
      <c r="S1054" s="91" t="s">
        <v>23</v>
      </c>
      <c r="T1054" s="147"/>
    </row>
    <row r="1055" spans="1:20" ht="21.6" x14ac:dyDescent="0.3">
      <c r="A1055" s="144">
        <v>2070</v>
      </c>
      <c r="B1055" s="64" t="s">
        <v>20</v>
      </c>
      <c r="C1055" s="65" t="s">
        <v>267</v>
      </c>
      <c r="D1055" s="122">
        <v>6564</v>
      </c>
      <c r="E1055" s="116" t="s">
        <v>265</v>
      </c>
      <c r="F1055" s="117" t="s">
        <v>264</v>
      </c>
      <c r="G1055" s="212" t="s">
        <v>266</v>
      </c>
      <c r="H1055" s="67" t="s">
        <v>304</v>
      </c>
      <c r="I1055" s="98" t="s">
        <v>22</v>
      </c>
      <c r="J1055" s="69">
        <v>0.7</v>
      </c>
      <c r="K1055" s="101" t="s">
        <v>513</v>
      </c>
      <c r="L1055" s="105" t="s">
        <v>511</v>
      </c>
      <c r="M1055" s="101" t="s">
        <v>411</v>
      </c>
      <c r="N1055" s="69">
        <v>0.95</v>
      </c>
      <c r="O1055" s="69">
        <v>0.15</v>
      </c>
      <c r="P1055" s="69"/>
      <c r="Q1055" s="69">
        <f t="shared" si="41"/>
        <v>0</v>
      </c>
      <c r="R1055" s="100">
        <f t="shared" si="42"/>
        <v>0</v>
      </c>
      <c r="S1055" s="69" t="s">
        <v>23</v>
      </c>
      <c r="T1055" s="192">
        <f>SUM(R1055:R1061)%</f>
        <v>0</v>
      </c>
    </row>
    <row r="1056" spans="1:20" ht="21.6" x14ac:dyDescent="0.3">
      <c r="A1056" s="139">
        <v>2072</v>
      </c>
      <c r="B1056" s="42" t="s">
        <v>20</v>
      </c>
      <c r="C1056" s="43" t="s">
        <v>267</v>
      </c>
      <c r="D1056" s="55">
        <v>6564</v>
      </c>
      <c r="E1056" s="52" t="s">
        <v>265</v>
      </c>
      <c r="F1056" s="53" t="s">
        <v>264</v>
      </c>
      <c r="G1056" s="213" t="s">
        <v>266</v>
      </c>
      <c r="H1056" s="45" t="s">
        <v>304</v>
      </c>
      <c r="I1056" s="7" t="s">
        <v>22</v>
      </c>
      <c r="J1056" s="3">
        <v>0.7</v>
      </c>
      <c r="K1056" s="1" t="s">
        <v>124</v>
      </c>
      <c r="L1056" s="8" t="s">
        <v>125</v>
      </c>
      <c r="M1056" s="7" t="s">
        <v>126</v>
      </c>
      <c r="N1056" s="3">
        <v>0.95</v>
      </c>
      <c r="O1056" s="3">
        <v>0.15</v>
      </c>
      <c r="P1056" s="6"/>
      <c r="Q1056" s="3">
        <f t="shared" si="41"/>
        <v>0</v>
      </c>
      <c r="R1056" s="4">
        <f t="shared" si="42"/>
        <v>0</v>
      </c>
      <c r="S1056" s="3" t="s">
        <v>23</v>
      </c>
      <c r="T1056" s="195"/>
    </row>
    <row r="1057" spans="1:20" ht="21.6" x14ac:dyDescent="0.3">
      <c r="A1057" s="139">
        <v>2074</v>
      </c>
      <c r="B1057" s="42" t="s">
        <v>20</v>
      </c>
      <c r="C1057" s="43" t="s">
        <v>267</v>
      </c>
      <c r="D1057" s="55">
        <v>6564</v>
      </c>
      <c r="E1057" s="52" t="s">
        <v>265</v>
      </c>
      <c r="F1057" s="53" t="s">
        <v>264</v>
      </c>
      <c r="G1057" s="213" t="s">
        <v>266</v>
      </c>
      <c r="H1057" s="45" t="s">
        <v>304</v>
      </c>
      <c r="I1057" s="7" t="s">
        <v>22</v>
      </c>
      <c r="J1057" s="3">
        <v>0.7</v>
      </c>
      <c r="K1057" s="1" t="s">
        <v>305</v>
      </c>
      <c r="L1057" s="8" t="s">
        <v>257</v>
      </c>
      <c r="M1057" s="13" t="s">
        <v>306</v>
      </c>
      <c r="N1057" s="3">
        <v>0.95</v>
      </c>
      <c r="O1057" s="3">
        <v>0.2</v>
      </c>
      <c r="P1057" s="3"/>
      <c r="Q1057" s="3">
        <f t="shared" si="41"/>
        <v>0</v>
      </c>
      <c r="R1057" s="4">
        <f t="shared" si="42"/>
        <v>0</v>
      </c>
      <c r="S1057" s="3" t="s">
        <v>23</v>
      </c>
      <c r="T1057" s="195"/>
    </row>
    <row r="1058" spans="1:20" ht="21.6" x14ac:dyDescent="0.3">
      <c r="A1058" s="139">
        <v>2075</v>
      </c>
      <c r="B1058" s="42" t="s">
        <v>20</v>
      </c>
      <c r="C1058" s="43" t="s">
        <v>267</v>
      </c>
      <c r="D1058" s="55">
        <v>6564</v>
      </c>
      <c r="E1058" s="52" t="s">
        <v>265</v>
      </c>
      <c r="F1058" s="53" t="s">
        <v>264</v>
      </c>
      <c r="G1058" s="213" t="s">
        <v>266</v>
      </c>
      <c r="H1058" s="45" t="s">
        <v>304</v>
      </c>
      <c r="I1058" s="47" t="s">
        <v>22</v>
      </c>
      <c r="J1058" s="3">
        <v>0.7</v>
      </c>
      <c r="K1058" s="49" t="s">
        <v>129</v>
      </c>
      <c r="L1058" s="30" t="s">
        <v>130</v>
      </c>
      <c r="M1058" s="47" t="s">
        <v>131</v>
      </c>
      <c r="N1058" s="3">
        <v>0.9</v>
      </c>
      <c r="O1058" s="10">
        <v>0.2</v>
      </c>
      <c r="P1058" s="3"/>
      <c r="Q1058" s="3">
        <f t="shared" si="41"/>
        <v>0</v>
      </c>
      <c r="R1058" s="48">
        <f t="shared" si="42"/>
        <v>0</v>
      </c>
      <c r="S1058" s="10" t="s">
        <v>23</v>
      </c>
      <c r="T1058" s="193"/>
    </row>
    <row r="1059" spans="1:20" ht="21.6" x14ac:dyDescent="0.3">
      <c r="A1059" s="139">
        <v>2076</v>
      </c>
      <c r="B1059" s="42" t="s">
        <v>20</v>
      </c>
      <c r="C1059" s="43" t="s">
        <v>267</v>
      </c>
      <c r="D1059" s="55">
        <v>6564</v>
      </c>
      <c r="E1059" s="52" t="s">
        <v>265</v>
      </c>
      <c r="F1059" s="53" t="s">
        <v>264</v>
      </c>
      <c r="G1059" s="213" t="s">
        <v>266</v>
      </c>
      <c r="H1059" s="45" t="s">
        <v>304</v>
      </c>
      <c r="I1059" s="47" t="s">
        <v>22</v>
      </c>
      <c r="J1059" s="3">
        <v>0.7</v>
      </c>
      <c r="K1059" s="49" t="s">
        <v>132</v>
      </c>
      <c r="L1059" s="30" t="s">
        <v>133</v>
      </c>
      <c r="M1059" s="47" t="s">
        <v>134</v>
      </c>
      <c r="N1059" s="4">
        <v>0</v>
      </c>
      <c r="O1059" s="10">
        <v>0.1</v>
      </c>
      <c r="P1059" s="3"/>
      <c r="Q1059" s="3">
        <f t="shared" si="41"/>
        <v>0</v>
      </c>
      <c r="R1059" s="48">
        <f t="shared" si="42"/>
        <v>0</v>
      </c>
      <c r="S1059" s="10" t="s">
        <v>24</v>
      </c>
      <c r="T1059" s="193"/>
    </row>
    <row r="1060" spans="1:20" ht="21.6" x14ac:dyDescent="0.3">
      <c r="A1060" s="139">
        <v>2077</v>
      </c>
      <c r="B1060" s="42" t="s">
        <v>20</v>
      </c>
      <c r="C1060" s="43" t="s">
        <v>267</v>
      </c>
      <c r="D1060" s="55">
        <v>6564</v>
      </c>
      <c r="E1060" s="52" t="s">
        <v>265</v>
      </c>
      <c r="F1060" s="53" t="s">
        <v>264</v>
      </c>
      <c r="G1060" s="213" t="s">
        <v>266</v>
      </c>
      <c r="H1060" s="45" t="s">
        <v>304</v>
      </c>
      <c r="I1060" s="47" t="s">
        <v>22</v>
      </c>
      <c r="J1060" s="3">
        <v>0.7</v>
      </c>
      <c r="K1060" s="49" t="s">
        <v>135</v>
      </c>
      <c r="L1060" s="30" t="s">
        <v>136</v>
      </c>
      <c r="M1060" s="49" t="s">
        <v>137</v>
      </c>
      <c r="N1060" s="3">
        <v>0.9</v>
      </c>
      <c r="O1060" s="10">
        <v>0.2</v>
      </c>
      <c r="P1060" s="3"/>
      <c r="Q1060" s="3">
        <f t="shared" si="41"/>
        <v>0</v>
      </c>
      <c r="R1060" s="48">
        <f t="shared" si="42"/>
        <v>0</v>
      </c>
      <c r="S1060" s="10" t="s">
        <v>23</v>
      </c>
      <c r="T1060" s="193"/>
    </row>
    <row r="1061" spans="1:20" ht="22.2" thickBot="1" x14ac:dyDescent="0.35">
      <c r="A1061" s="142">
        <v>2078</v>
      </c>
      <c r="B1061" s="81" t="s">
        <v>20</v>
      </c>
      <c r="C1061" s="82" t="s">
        <v>267</v>
      </c>
      <c r="D1061" s="123">
        <v>6564</v>
      </c>
      <c r="E1061" s="118" t="s">
        <v>265</v>
      </c>
      <c r="F1061" s="119" t="s">
        <v>264</v>
      </c>
      <c r="G1061" s="214" t="s">
        <v>266</v>
      </c>
      <c r="H1061" s="84" t="s">
        <v>304</v>
      </c>
      <c r="I1061" s="85" t="s">
        <v>26</v>
      </c>
      <c r="J1061" s="86">
        <v>0.3</v>
      </c>
      <c r="K1061" s="115" t="s">
        <v>138</v>
      </c>
      <c r="L1061" s="114" t="s">
        <v>139</v>
      </c>
      <c r="M1061" s="115" t="s">
        <v>140</v>
      </c>
      <c r="N1061" s="86">
        <v>1</v>
      </c>
      <c r="O1061" s="91">
        <v>1</v>
      </c>
      <c r="P1061" s="86"/>
      <c r="Q1061" s="86">
        <f t="shared" si="41"/>
        <v>0</v>
      </c>
      <c r="R1061" s="104">
        <f t="shared" si="42"/>
        <v>0</v>
      </c>
      <c r="S1061" s="91" t="s">
        <v>23</v>
      </c>
      <c r="T1061" s="147"/>
    </row>
    <row r="1062" spans="1:20" ht="21.6" x14ac:dyDescent="0.3">
      <c r="A1062" s="144">
        <v>1</v>
      </c>
      <c r="B1062" s="64" t="s">
        <v>20</v>
      </c>
      <c r="C1062" s="65" t="s">
        <v>267</v>
      </c>
      <c r="D1062" s="111">
        <v>3651</v>
      </c>
      <c r="E1062" s="116" t="s">
        <v>199</v>
      </c>
      <c r="F1062" s="116" t="s">
        <v>145</v>
      </c>
      <c r="G1062" s="212" t="s">
        <v>200</v>
      </c>
      <c r="H1062" s="67" t="s">
        <v>468</v>
      </c>
      <c r="I1062" s="99" t="s">
        <v>22</v>
      </c>
      <c r="J1062" s="69">
        <v>0.7</v>
      </c>
      <c r="K1062" s="70" t="s">
        <v>32</v>
      </c>
      <c r="L1062" s="70" t="s">
        <v>33</v>
      </c>
      <c r="M1062" s="70" t="s">
        <v>34</v>
      </c>
      <c r="N1062" s="124">
        <v>0.95</v>
      </c>
      <c r="O1062" s="124">
        <v>0.2</v>
      </c>
      <c r="P1062" s="69"/>
      <c r="Q1062" s="69">
        <f t="shared" si="41"/>
        <v>0</v>
      </c>
      <c r="R1062" s="100">
        <f t="shared" si="42"/>
        <v>0</v>
      </c>
      <c r="S1062" s="69" t="s">
        <v>23</v>
      </c>
      <c r="T1062" s="192">
        <f>SUM(R1062:R1067)%</f>
        <v>0</v>
      </c>
    </row>
    <row r="1063" spans="1:20" ht="21.6" x14ac:dyDescent="0.3">
      <c r="A1063" s="139">
        <v>2</v>
      </c>
      <c r="B1063" s="42" t="s">
        <v>20</v>
      </c>
      <c r="C1063" s="43" t="s">
        <v>267</v>
      </c>
      <c r="D1063" s="50" t="s">
        <v>201</v>
      </c>
      <c r="E1063" s="52" t="s">
        <v>199</v>
      </c>
      <c r="F1063" s="52" t="s">
        <v>145</v>
      </c>
      <c r="G1063" s="213" t="s">
        <v>200</v>
      </c>
      <c r="H1063" s="45" t="s">
        <v>468</v>
      </c>
      <c r="I1063" s="1" t="s">
        <v>22</v>
      </c>
      <c r="J1063" s="3">
        <v>0.7</v>
      </c>
      <c r="K1063" s="2" t="s">
        <v>35</v>
      </c>
      <c r="L1063" s="2" t="s">
        <v>36</v>
      </c>
      <c r="M1063" s="2" t="s">
        <v>37</v>
      </c>
      <c r="N1063" s="26">
        <v>0.95</v>
      </c>
      <c r="O1063" s="26">
        <v>0.2</v>
      </c>
      <c r="P1063" s="3"/>
      <c r="Q1063" s="3">
        <f t="shared" si="41"/>
        <v>0</v>
      </c>
      <c r="R1063" s="4">
        <f t="shared" si="42"/>
        <v>0</v>
      </c>
      <c r="S1063" s="3" t="s">
        <v>23</v>
      </c>
      <c r="T1063" s="195"/>
    </row>
    <row r="1064" spans="1:20" ht="21.6" x14ac:dyDescent="0.3">
      <c r="A1064" s="139">
        <v>3</v>
      </c>
      <c r="B1064" s="42" t="s">
        <v>20</v>
      </c>
      <c r="C1064" s="43" t="s">
        <v>267</v>
      </c>
      <c r="D1064" s="50">
        <v>3651</v>
      </c>
      <c r="E1064" s="52" t="s">
        <v>199</v>
      </c>
      <c r="F1064" s="52" t="s">
        <v>145</v>
      </c>
      <c r="G1064" s="213" t="s">
        <v>200</v>
      </c>
      <c r="H1064" s="45" t="s">
        <v>468</v>
      </c>
      <c r="I1064" s="1" t="s">
        <v>22</v>
      </c>
      <c r="J1064" s="3">
        <v>0.7</v>
      </c>
      <c r="K1064" s="2" t="s">
        <v>38</v>
      </c>
      <c r="L1064" s="2" t="s">
        <v>39</v>
      </c>
      <c r="M1064" s="2" t="s">
        <v>40</v>
      </c>
      <c r="N1064" s="26">
        <v>1</v>
      </c>
      <c r="O1064" s="26">
        <v>0.2</v>
      </c>
      <c r="P1064" s="3"/>
      <c r="Q1064" s="3">
        <f t="shared" si="41"/>
        <v>0</v>
      </c>
      <c r="R1064" s="4">
        <f t="shared" si="42"/>
        <v>0</v>
      </c>
      <c r="S1064" s="3" t="s">
        <v>23</v>
      </c>
      <c r="T1064" s="195"/>
    </row>
    <row r="1065" spans="1:20" ht="21.6" x14ac:dyDescent="0.3">
      <c r="A1065" s="139">
        <v>4</v>
      </c>
      <c r="B1065" s="42" t="s">
        <v>20</v>
      </c>
      <c r="C1065" s="43" t="s">
        <v>267</v>
      </c>
      <c r="D1065" s="50" t="s">
        <v>201</v>
      </c>
      <c r="E1065" s="52" t="s">
        <v>199</v>
      </c>
      <c r="F1065" s="52" t="s">
        <v>145</v>
      </c>
      <c r="G1065" s="213" t="s">
        <v>200</v>
      </c>
      <c r="H1065" s="45" t="s">
        <v>468</v>
      </c>
      <c r="I1065" s="1" t="s">
        <v>22</v>
      </c>
      <c r="J1065" s="3">
        <v>0.7</v>
      </c>
      <c r="K1065" s="2" t="s">
        <v>41</v>
      </c>
      <c r="L1065" s="2" t="s">
        <v>42</v>
      </c>
      <c r="M1065" s="2" t="s">
        <v>43</v>
      </c>
      <c r="N1065" s="26">
        <v>0.98</v>
      </c>
      <c r="O1065" s="26">
        <v>0.2</v>
      </c>
      <c r="P1065" s="3"/>
      <c r="Q1065" s="3">
        <f t="shared" si="41"/>
        <v>0</v>
      </c>
      <c r="R1065" s="4">
        <f t="shared" si="42"/>
        <v>0</v>
      </c>
      <c r="S1065" s="3" t="s">
        <v>23</v>
      </c>
      <c r="T1065" s="195"/>
    </row>
    <row r="1066" spans="1:20" ht="25.2" x14ac:dyDescent="0.3">
      <c r="A1066" s="139">
        <v>5</v>
      </c>
      <c r="B1066" s="42" t="s">
        <v>20</v>
      </c>
      <c r="C1066" s="43" t="s">
        <v>267</v>
      </c>
      <c r="D1066" s="50">
        <v>3651</v>
      </c>
      <c r="E1066" s="52" t="s">
        <v>199</v>
      </c>
      <c r="F1066" s="52" t="s">
        <v>145</v>
      </c>
      <c r="G1066" s="213" t="s">
        <v>200</v>
      </c>
      <c r="H1066" s="45" t="s">
        <v>468</v>
      </c>
      <c r="I1066" s="1" t="s">
        <v>22</v>
      </c>
      <c r="J1066" s="3">
        <v>0.7</v>
      </c>
      <c r="K1066" s="2" t="s">
        <v>44</v>
      </c>
      <c r="L1066" s="2" t="s">
        <v>45</v>
      </c>
      <c r="M1066" s="2" t="s">
        <v>46</v>
      </c>
      <c r="N1066" s="27">
        <v>0.9</v>
      </c>
      <c r="O1066" s="26">
        <v>0.2</v>
      </c>
      <c r="P1066" s="3"/>
      <c r="Q1066" s="3">
        <f t="shared" si="41"/>
        <v>0</v>
      </c>
      <c r="R1066" s="4">
        <f t="shared" si="42"/>
        <v>0</v>
      </c>
      <c r="S1066" s="3" t="s">
        <v>23</v>
      </c>
      <c r="T1066" s="195"/>
    </row>
    <row r="1067" spans="1:20" ht="22.2" thickBot="1" x14ac:dyDescent="0.35">
      <c r="A1067" s="142">
        <v>6</v>
      </c>
      <c r="B1067" s="81" t="s">
        <v>20</v>
      </c>
      <c r="C1067" s="82" t="s">
        <v>267</v>
      </c>
      <c r="D1067" s="113" t="s">
        <v>201</v>
      </c>
      <c r="E1067" s="118" t="s">
        <v>199</v>
      </c>
      <c r="F1067" s="118" t="s">
        <v>145</v>
      </c>
      <c r="G1067" s="214" t="s">
        <v>200</v>
      </c>
      <c r="H1067" s="84" t="s">
        <v>468</v>
      </c>
      <c r="I1067" s="125" t="s">
        <v>26</v>
      </c>
      <c r="J1067" s="86">
        <v>0.3</v>
      </c>
      <c r="K1067" s="102" t="s">
        <v>47</v>
      </c>
      <c r="L1067" s="126" t="s">
        <v>48</v>
      </c>
      <c r="M1067" s="102" t="s">
        <v>49</v>
      </c>
      <c r="N1067" s="86">
        <v>1</v>
      </c>
      <c r="O1067" s="86">
        <v>1</v>
      </c>
      <c r="P1067" s="86"/>
      <c r="Q1067" s="86">
        <f t="shared" si="41"/>
        <v>0</v>
      </c>
      <c r="R1067" s="90">
        <f t="shared" si="42"/>
        <v>0</v>
      </c>
      <c r="S1067" s="91" t="s">
        <v>23</v>
      </c>
      <c r="T1067" s="149"/>
    </row>
    <row r="1068" spans="1:20" ht="21.6" x14ac:dyDescent="0.3">
      <c r="A1068" s="144">
        <v>1</v>
      </c>
      <c r="B1068" s="64" t="s">
        <v>20</v>
      </c>
      <c r="C1068" s="65" t="s">
        <v>267</v>
      </c>
      <c r="D1068" s="111">
        <v>6363</v>
      </c>
      <c r="E1068" s="116" t="s">
        <v>202</v>
      </c>
      <c r="F1068" s="116" t="s">
        <v>145</v>
      </c>
      <c r="G1068" s="212" t="s">
        <v>200</v>
      </c>
      <c r="H1068" s="67" t="s">
        <v>468</v>
      </c>
      <c r="I1068" s="99" t="s">
        <v>22</v>
      </c>
      <c r="J1068" s="69">
        <v>0.7</v>
      </c>
      <c r="K1068" s="70" t="s">
        <v>32</v>
      </c>
      <c r="L1068" s="70" t="s">
        <v>33</v>
      </c>
      <c r="M1068" s="70" t="s">
        <v>34</v>
      </c>
      <c r="N1068" s="124">
        <v>0.95</v>
      </c>
      <c r="O1068" s="124">
        <v>0.2</v>
      </c>
      <c r="P1068" s="69"/>
      <c r="Q1068" s="69">
        <f t="shared" si="41"/>
        <v>0</v>
      </c>
      <c r="R1068" s="100">
        <f t="shared" si="42"/>
        <v>0</v>
      </c>
      <c r="S1068" s="69" t="s">
        <v>23</v>
      </c>
      <c r="T1068" s="192">
        <f>SUM(R1068:R1073)%</f>
        <v>0</v>
      </c>
    </row>
    <row r="1069" spans="1:20" ht="21.6" x14ac:dyDescent="0.3">
      <c r="A1069" s="139">
        <v>2</v>
      </c>
      <c r="B1069" s="42" t="s">
        <v>20</v>
      </c>
      <c r="C1069" s="43" t="s">
        <v>267</v>
      </c>
      <c r="D1069" s="50">
        <v>6363</v>
      </c>
      <c r="E1069" s="52" t="s">
        <v>202</v>
      </c>
      <c r="F1069" s="52" t="s">
        <v>145</v>
      </c>
      <c r="G1069" s="213" t="s">
        <v>200</v>
      </c>
      <c r="H1069" s="45" t="s">
        <v>468</v>
      </c>
      <c r="I1069" s="1" t="s">
        <v>22</v>
      </c>
      <c r="J1069" s="3">
        <v>0.7</v>
      </c>
      <c r="K1069" s="2" t="s">
        <v>35</v>
      </c>
      <c r="L1069" s="2" t="s">
        <v>36</v>
      </c>
      <c r="M1069" s="2" t="s">
        <v>37</v>
      </c>
      <c r="N1069" s="26">
        <v>0.95</v>
      </c>
      <c r="O1069" s="26">
        <v>0.2</v>
      </c>
      <c r="P1069" s="3"/>
      <c r="Q1069" s="3">
        <f t="shared" si="41"/>
        <v>0</v>
      </c>
      <c r="R1069" s="4">
        <f t="shared" si="42"/>
        <v>0</v>
      </c>
      <c r="S1069" s="3" t="s">
        <v>23</v>
      </c>
      <c r="T1069" s="195"/>
    </row>
    <row r="1070" spans="1:20" ht="21.6" x14ac:dyDescent="0.3">
      <c r="A1070" s="139">
        <v>3</v>
      </c>
      <c r="B1070" s="42" t="s">
        <v>20</v>
      </c>
      <c r="C1070" s="43" t="s">
        <v>267</v>
      </c>
      <c r="D1070" s="50">
        <v>6363</v>
      </c>
      <c r="E1070" s="52" t="s">
        <v>202</v>
      </c>
      <c r="F1070" s="52" t="s">
        <v>145</v>
      </c>
      <c r="G1070" s="213" t="s">
        <v>200</v>
      </c>
      <c r="H1070" s="45" t="s">
        <v>468</v>
      </c>
      <c r="I1070" s="1" t="s">
        <v>22</v>
      </c>
      <c r="J1070" s="3">
        <v>0.7</v>
      </c>
      <c r="K1070" s="2" t="s">
        <v>38</v>
      </c>
      <c r="L1070" s="2" t="s">
        <v>39</v>
      </c>
      <c r="M1070" s="2" t="s">
        <v>40</v>
      </c>
      <c r="N1070" s="26">
        <v>1</v>
      </c>
      <c r="O1070" s="26">
        <v>0.2</v>
      </c>
      <c r="P1070" s="3"/>
      <c r="Q1070" s="3">
        <f t="shared" si="41"/>
        <v>0</v>
      </c>
      <c r="R1070" s="4">
        <f t="shared" si="42"/>
        <v>0</v>
      </c>
      <c r="S1070" s="3" t="s">
        <v>23</v>
      </c>
      <c r="T1070" s="195"/>
    </row>
    <row r="1071" spans="1:20" ht="21.6" x14ac:dyDescent="0.3">
      <c r="A1071" s="139">
        <v>4</v>
      </c>
      <c r="B1071" s="42" t="s">
        <v>20</v>
      </c>
      <c r="C1071" s="43" t="s">
        <v>267</v>
      </c>
      <c r="D1071" s="50">
        <v>6363</v>
      </c>
      <c r="E1071" s="52" t="s">
        <v>202</v>
      </c>
      <c r="F1071" s="52" t="s">
        <v>145</v>
      </c>
      <c r="G1071" s="213" t="s">
        <v>200</v>
      </c>
      <c r="H1071" s="45" t="s">
        <v>468</v>
      </c>
      <c r="I1071" s="1" t="s">
        <v>22</v>
      </c>
      <c r="J1071" s="3">
        <v>0.7</v>
      </c>
      <c r="K1071" s="2" t="s">
        <v>41</v>
      </c>
      <c r="L1071" s="2" t="s">
        <v>42</v>
      </c>
      <c r="M1071" s="2" t="s">
        <v>43</v>
      </c>
      <c r="N1071" s="26">
        <v>0.98</v>
      </c>
      <c r="O1071" s="26">
        <v>0.2</v>
      </c>
      <c r="P1071" s="3"/>
      <c r="Q1071" s="3">
        <f t="shared" si="41"/>
        <v>0</v>
      </c>
      <c r="R1071" s="4">
        <f t="shared" si="42"/>
        <v>0</v>
      </c>
      <c r="S1071" s="3" t="s">
        <v>23</v>
      </c>
      <c r="T1071" s="195"/>
    </row>
    <row r="1072" spans="1:20" ht="25.2" x14ac:dyDescent="0.3">
      <c r="A1072" s="139">
        <v>5</v>
      </c>
      <c r="B1072" s="42" t="s">
        <v>20</v>
      </c>
      <c r="C1072" s="43" t="s">
        <v>267</v>
      </c>
      <c r="D1072" s="50">
        <v>6363</v>
      </c>
      <c r="E1072" s="52" t="s">
        <v>202</v>
      </c>
      <c r="F1072" s="52" t="s">
        <v>145</v>
      </c>
      <c r="G1072" s="213" t="s">
        <v>200</v>
      </c>
      <c r="H1072" s="45" t="s">
        <v>468</v>
      </c>
      <c r="I1072" s="1" t="s">
        <v>22</v>
      </c>
      <c r="J1072" s="3">
        <v>0.7</v>
      </c>
      <c r="K1072" s="2" t="s">
        <v>44</v>
      </c>
      <c r="L1072" s="2" t="s">
        <v>45</v>
      </c>
      <c r="M1072" s="2" t="s">
        <v>46</v>
      </c>
      <c r="N1072" s="27">
        <v>0.9</v>
      </c>
      <c r="O1072" s="26">
        <v>0.2</v>
      </c>
      <c r="P1072" s="3"/>
      <c r="Q1072" s="3">
        <f t="shared" si="41"/>
        <v>0</v>
      </c>
      <c r="R1072" s="4">
        <f t="shared" si="42"/>
        <v>0</v>
      </c>
      <c r="S1072" s="3" t="s">
        <v>23</v>
      </c>
      <c r="T1072" s="195"/>
    </row>
    <row r="1073" spans="1:20" ht="22.2" thickBot="1" x14ac:dyDescent="0.35">
      <c r="A1073" s="142">
        <v>6</v>
      </c>
      <c r="B1073" s="81" t="s">
        <v>20</v>
      </c>
      <c r="C1073" s="82" t="s">
        <v>267</v>
      </c>
      <c r="D1073" s="113">
        <v>6363</v>
      </c>
      <c r="E1073" s="118" t="s">
        <v>202</v>
      </c>
      <c r="F1073" s="118" t="s">
        <v>145</v>
      </c>
      <c r="G1073" s="214" t="s">
        <v>200</v>
      </c>
      <c r="H1073" s="84" t="s">
        <v>468</v>
      </c>
      <c r="I1073" s="125" t="s">
        <v>26</v>
      </c>
      <c r="J1073" s="86">
        <v>0.3</v>
      </c>
      <c r="K1073" s="102" t="s">
        <v>47</v>
      </c>
      <c r="L1073" s="126" t="s">
        <v>48</v>
      </c>
      <c r="M1073" s="102" t="s">
        <v>49</v>
      </c>
      <c r="N1073" s="86">
        <v>1</v>
      </c>
      <c r="O1073" s="86">
        <v>1</v>
      </c>
      <c r="P1073" s="86"/>
      <c r="Q1073" s="86">
        <f t="shared" si="41"/>
        <v>0</v>
      </c>
      <c r="R1073" s="90">
        <f t="shared" si="42"/>
        <v>0</v>
      </c>
      <c r="S1073" s="91" t="s">
        <v>23</v>
      </c>
      <c r="T1073" s="149"/>
    </row>
    <row r="1074" spans="1:20" ht="21.6" x14ac:dyDescent="0.3">
      <c r="A1074" s="144">
        <v>1</v>
      </c>
      <c r="B1074" s="64" t="s">
        <v>20</v>
      </c>
      <c r="C1074" s="65" t="s">
        <v>267</v>
      </c>
      <c r="D1074" s="111">
        <v>6274</v>
      </c>
      <c r="E1074" s="116" t="s">
        <v>250</v>
      </c>
      <c r="F1074" s="116" t="s">
        <v>145</v>
      </c>
      <c r="G1074" s="212" t="s">
        <v>200</v>
      </c>
      <c r="H1074" s="67" t="s">
        <v>468</v>
      </c>
      <c r="I1074" s="99" t="s">
        <v>22</v>
      </c>
      <c r="J1074" s="69">
        <v>0.7</v>
      </c>
      <c r="K1074" s="70" t="s">
        <v>32</v>
      </c>
      <c r="L1074" s="70" t="s">
        <v>33</v>
      </c>
      <c r="M1074" s="70" t="s">
        <v>34</v>
      </c>
      <c r="N1074" s="124">
        <v>0.95</v>
      </c>
      <c r="O1074" s="124">
        <v>0.2</v>
      </c>
      <c r="P1074" s="69"/>
      <c r="Q1074" s="69">
        <f t="shared" si="41"/>
        <v>0</v>
      </c>
      <c r="R1074" s="100">
        <f t="shared" si="42"/>
        <v>0</v>
      </c>
      <c r="S1074" s="69" t="s">
        <v>23</v>
      </c>
      <c r="T1074" s="192">
        <f>SUM(R1074:R1079)%</f>
        <v>0</v>
      </c>
    </row>
    <row r="1075" spans="1:20" ht="21.6" x14ac:dyDescent="0.3">
      <c r="A1075" s="139">
        <v>2</v>
      </c>
      <c r="B1075" s="42" t="s">
        <v>20</v>
      </c>
      <c r="C1075" s="43" t="s">
        <v>267</v>
      </c>
      <c r="D1075" s="50">
        <v>6274</v>
      </c>
      <c r="E1075" s="52" t="s">
        <v>250</v>
      </c>
      <c r="F1075" s="52" t="s">
        <v>145</v>
      </c>
      <c r="G1075" s="213" t="s">
        <v>200</v>
      </c>
      <c r="H1075" s="45" t="s">
        <v>468</v>
      </c>
      <c r="I1075" s="1" t="s">
        <v>22</v>
      </c>
      <c r="J1075" s="3">
        <v>0.7</v>
      </c>
      <c r="K1075" s="2" t="s">
        <v>35</v>
      </c>
      <c r="L1075" s="2" t="s">
        <v>36</v>
      </c>
      <c r="M1075" s="2" t="s">
        <v>37</v>
      </c>
      <c r="N1075" s="26">
        <v>0.95</v>
      </c>
      <c r="O1075" s="26">
        <v>0.2</v>
      </c>
      <c r="P1075" s="3"/>
      <c r="Q1075" s="3">
        <f t="shared" si="41"/>
        <v>0</v>
      </c>
      <c r="R1075" s="4">
        <f t="shared" si="42"/>
        <v>0</v>
      </c>
      <c r="S1075" s="3" t="s">
        <v>23</v>
      </c>
      <c r="T1075" s="195"/>
    </row>
    <row r="1076" spans="1:20" ht="21.6" x14ac:dyDescent="0.3">
      <c r="A1076" s="139">
        <v>3</v>
      </c>
      <c r="B1076" s="42" t="s">
        <v>20</v>
      </c>
      <c r="C1076" s="43" t="s">
        <v>267</v>
      </c>
      <c r="D1076" s="50">
        <v>6274</v>
      </c>
      <c r="E1076" s="52" t="s">
        <v>250</v>
      </c>
      <c r="F1076" s="52" t="s">
        <v>145</v>
      </c>
      <c r="G1076" s="213" t="s">
        <v>200</v>
      </c>
      <c r="H1076" s="45" t="s">
        <v>468</v>
      </c>
      <c r="I1076" s="1" t="s">
        <v>22</v>
      </c>
      <c r="J1076" s="3">
        <v>0.7</v>
      </c>
      <c r="K1076" s="2" t="s">
        <v>38</v>
      </c>
      <c r="L1076" s="2" t="s">
        <v>39</v>
      </c>
      <c r="M1076" s="2" t="s">
        <v>40</v>
      </c>
      <c r="N1076" s="26">
        <v>1</v>
      </c>
      <c r="O1076" s="26">
        <v>0.2</v>
      </c>
      <c r="P1076" s="3"/>
      <c r="Q1076" s="3">
        <f t="shared" si="41"/>
        <v>0</v>
      </c>
      <c r="R1076" s="4">
        <f t="shared" si="42"/>
        <v>0</v>
      </c>
      <c r="S1076" s="3" t="s">
        <v>23</v>
      </c>
      <c r="T1076" s="195"/>
    </row>
    <row r="1077" spans="1:20" ht="21.6" x14ac:dyDescent="0.3">
      <c r="A1077" s="139">
        <v>4</v>
      </c>
      <c r="B1077" s="42" t="s">
        <v>20</v>
      </c>
      <c r="C1077" s="43" t="s">
        <v>267</v>
      </c>
      <c r="D1077" s="50">
        <v>6274</v>
      </c>
      <c r="E1077" s="52" t="s">
        <v>250</v>
      </c>
      <c r="F1077" s="52" t="s">
        <v>145</v>
      </c>
      <c r="G1077" s="213" t="s">
        <v>200</v>
      </c>
      <c r="H1077" s="45" t="s">
        <v>468</v>
      </c>
      <c r="I1077" s="1" t="s">
        <v>22</v>
      </c>
      <c r="J1077" s="3">
        <v>0.7</v>
      </c>
      <c r="K1077" s="2" t="s">
        <v>41</v>
      </c>
      <c r="L1077" s="2" t="s">
        <v>42</v>
      </c>
      <c r="M1077" s="2" t="s">
        <v>43</v>
      </c>
      <c r="N1077" s="26">
        <v>0.98</v>
      </c>
      <c r="O1077" s="26">
        <v>0.2</v>
      </c>
      <c r="P1077" s="3"/>
      <c r="Q1077" s="3">
        <f t="shared" si="41"/>
        <v>0</v>
      </c>
      <c r="R1077" s="4">
        <f t="shared" si="42"/>
        <v>0</v>
      </c>
      <c r="S1077" s="3" t="s">
        <v>23</v>
      </c>
      <c r="T1077" s="195"/>
    </row>
    <row r="1078" spans="1:20" ht="25.2" x14ac:dyDescent="0.3">
      <c r="A1078" s="139">
        <v>5</v>
      </c>
      <c r="B1078" s="42" t="s">
        <v>20</v>
      </c>
      <c r="C1078" s="43" t="s">
        <v>267</v>
      </c>
      <c r="D1078" s="50">
        <v>6274</v>
      </c>
      <c r="E1078" s="52" t="s">
        <v>250</v>
      </c>
      <c r="F1078" s="52" t="s">
        <v>145</v>
      </c>
      <c r="G1078" s="213" t="s">
        <v>200</v>
      </c>
      <c r="H1078" s="45" t="s">
        <v>468</v>
      </c>
      <c r="I1078" s="1" t="s">
        <v>22</v>
      </c>
      <c r="J1078" s="3">
        <v>0.7</v>
      </c>
      <c r="K1078" s="2" t="s">
        <v>44</v>
      </c>
      <c r="L1078" s="2" t="s">
        <v>45</v>
      </c>
      <c r="M1078" s="2" t="s">
        <v>46</v>
      </c>
      <c r="N1078" s="27">
        <v>0.9</v>
      </c>
      <c r="O1078" s="26">
        <v>0.2</v>
      </c>
      <c r="P1078" s="3"/>
      <c r="Q1078" s="3">
        <f t="shared" si="41"/>
        <v>0</v>
      </c>
      <c r="R1078" s="4">
        <f t="shared" si="42"/>
        <v>0</v>
      </c>
      <c r="S1078" s="3" t="s">
        <v>23</v>
      </c>
      <c r="T1078" s="195"/>
    </row>
    <row r="1079" spans="1:20" ht="22.2" thickBot="1" x14ac:dyDescent="0.35">
      <c r="A1079" s="142">
        <v>6</v>
      </c>
      <c r="B1079" s="81" t="s">
        <v>20</v>
      </c>
      <c r="C1079" s="82" t="s">
        <v>267</v>
      </c>
      <c r="D1079" s="113">
        <v>6274</v>
      </c>
      <c r="E1079" s="118" t="s">
        <v>250</v>
      </c>
      <c r="F1079" s="118" t="s">
        <v>145</v>
      </c>
      <c r="G1079" s="214" t="s">
        <v>200</v>
      </c>
      <c r="H1079" s="84" t="s">
        <v>468</v>
      </c>
      <c r="I1079" s="125" t="s">
        <v>26</v>
      </c>
      <c r="J1079" s="86">
        <v>0.3</v>
      </c>
      <c r="K1079" s="102" t="s">
        <v>47</v>
      </c>
      <c r="L1079" s="126" t="s">
        <v>48</v>
      </c>
      <c r="M1079" s="102" t="s">
        <v>49</v>
      </c>
      <c r="N1079" s="86">
        <v>1</v>
      </c>
      <c r="O1079" s="86">
        <v>1</v>
      </c>
      <c r="P1079" s="86"/>
      <c r="Q1079" s="86">
        <f t="shared" si="41"/>
        <v>0</v>
      </c>
      <c r="R1079" s="90">
        <f t="shared" si="42"/>
        <v>0</v>
      </c>
      <c r="S1079" s="91" t="s">
        <v>23</v>
      </c>
      <c r="T1079" s="149"/>
    </row>
    <row r="1080" spans="1:20" ht="21.6" x14ac:dyDescent="0.3">
      <c r="A1080" s="144">
        <v>1</v>
      </c>
      <c r="B1080" s="64" t="s">
        <v>20</v>
      </c>
      <c r="C1080" s="65" t="s">
        <v>267</v>
      </c>
      <c r="D1080" s="111">
        <v>5895</v>
      </c>
      <c r="E1080" s="116" t="s">
        <v>203</v>
      </c>
      <c r="F1080" s="116" t="s">
        <v>204</v>
      </c>
      <c r="G1080" s="212" t="s">
        <v>31</v>
      </c>
      <c r="H1080" s="67" t="s">
        <v>429</v>
      </c>
      <c r="I1080" s="98" t="s">
        <v>22</v>
      </c>
      <c r="J1080" s="69">
        <v>0.7</v>
      </c>
      <c r="K1080" s="99" t="s">
        <v>215</v>
      </c>
      <c r="L1080" s="70" t="s">
        <v>205</v>
      </c>
      <c r="M1080" s="99"/>
      <c r="N1080" s="69">
        <v>0.95</v>
      </c>
      <c r="O1080" s="69">
        <v>0.2</v>
      </c>
      <c r="P1080" s="69"/>
      <c r="Q1080" s="69">
        <f t="shared" si="41"/>
        <v>0</v>
      </c>
      <c r="R1080" s="100">
        <f t="shared" si="42"/>
        <v>0</v>
      </c>
      <c r="S1080" s="69" t="s">
        <v>23</v>
      </c>
      <c r="T1080" s="192">
        <f>SUM(R1080:R1086)%</f>
        <v>0</v>
      </c>
    </row>
    <row r="1081" spans="1:20" ht="21.6" x14ac:dyDescent="0.3">
      <c r="A1081" s="139">
        <v>2</v>
      </c>
      <c r="B1081" s="42" t="s">
        <v>20</v>
      </c>
      <c r="C1081" s="43" t="s">
        <v>267</v>
      </c>
      <c r="D1081" s="50">
        <v>5895</v>
      </c>
      <c r="E1081" s="52" t="s">
        <v>203</v>
      </c>
      <c r="F1081" s="52" t="s">
        <v>204</v>
      </c>
      <c r="G1081" s="213" t="s">
        <v>31</v>
      </c>
      <c r="H1081" s="45" t="s">
        <v>429</v>
      </c>
      <c r="I1081" s="7" t="s">
        <v>22</v>
      </c>
      <c r="J1081" s="3">
        <v>0.7</v>
      </c>
      <c r="K1081" s="1" t="s">
        <v>307</v>
      </c>
      <c r="L1081" s="8" t="s">
        <v>206</v>
      </c>
      <c r="M1081" s="1"/>
      <c r="N1081" s="3">
        <v>0.95</v>
      </c>
      <c r="O1081" s="3">
        <v>0.2</v>
      </c>
      <c r="P1081" s="3"/>
      <c r="Q1081" s="3">
        <f t="shared" si="41"/>
        <v>0</v>
      </c>
      <c r="R1081" s="4">
        <f t="shared" si="42"/>
        <v>0</v>
      </c>
      <c r="S1081" s="3" t="s">
        <v>23</v>
      </c>
      <c r="T1081" s="195"/>
    </row>
    <row r="1082" spans="1:20" ht="21.6" x14ac:dyDescent="0.3">
      <c r="A1082" s="139">
        <v>4</v>
      </c>
      <c r="B1082" s="42" t="s">
        <v>20</v>
      </c>
      <c r="C1082" s="43" t="s">
        <v>267</v>
      </c>
      <c r="D1082" s="50">
        <v>5895</v>
      </c>
      <c r="E1082" s="52" t="s">
        <v>203</v>
      </c>
      <c r="F1082" s="52" t="s">
        <v>204</v>
      </c>
      <c r="G1082" s="213" t="s">
        <v>31</v>
      </c>
      <c r="H1082" s="45" t="s">
        <v>429</v>
      </c>
      <c r="I1082" s="7" t="s">
        <v>22</v>
      </c>
      <c r="J1082" s="3">
        <v>0.7</v>
      </c>
      <c r="K1082" s="1" t="s">
        <v>305</v>
      </c>
      <c r="L1082" s="8" t="s">
        <v>257</v>
      </c>
      <c r="M1082" s="13" t="s">
        <v>306</v>
      </c>
      <c r="N1082" s="3">
        <v>0.95</v>
      </c>
      <c r="O1082" s="3">
        <v>0.25</v>
      </c>
      <c r="P1082" s="3"/>
      <c r="Q1082" s="3">
        <f t="shared" si="41"/>
        <v>0</v>
      </c>
      <c r="R1082" s="4">
        <f t="shared" si="42"/>
        <v>0</v>
      </c>
      <c r="S1082" s="3" t="s">
        <v>23</v>
      </c>
      <c r="T1082" s="195"/>
    </row>
    <row r="1083" spans="1:20" ht="21.6" x14ac:dyDescent="0.3">
      <c r="A1083" s="139">
        <v>5</v>
      </c>
      <c r="B1083" s="42" t="s">
        <v>20</v>
      </c>
      <c r="C1083" s="43" t="s">
        <v>267</v>
      </c>
      <c r="D1083" s="50">
        <v>5895</v>
      </c>
      <c r="E1083" s="52" t="s">
        <v>203</v>
      </c>
      <c r="F1083" s="52" t="s">
        <v>204</v>
      </c>
      <c r="G1083" s="213" t="s">
        <v>31</v>
      </c>
      <c r="H1083" s="45" t="s">
        <v>429</v>
      </c>
      <c r="I1083" s="7" t="s">
        <v>22</v>
      </c>
      <c r="J1083" s="3">
        <v>0.7</v>
      </c>
      <c r="K1083" s="1" t="s">
        <v>308</v>
      </c>
      <c r="L1083" s="8" t="s">
        <v>130</v>
      </c>
      <c r="M1083" s="13" t="s">
        <v>131</v>
      </c>
      <c r="N1083" s="3">
        <v>0.9</v>
      </c>
      <c r="O1083" s="3">
        <v>0.15</v>
      </c>
      <c r="P1083" s="3"/>
      <c r="Q1083" s="3">
        <f t="shared" si="41"/>
        <v>0</v>
      </c>
      <c r="R1083" s="4">
        <f t="shared" si="42"/>
        <v>0</v>
      </c>
      <c r="S1083" s="3" t="s">
        <v>23</v>
      </c>
      <c r="T1083" s="195"/>
    </row>
    <row r="1084" spans="1:20" ht="21.6" x14ac:dyDescent="0.3">
      <c r="A1084" s="139">
        <v>6</v>
      </c>
      <c r="B1084" s="42" t="s">
        <v>20</v>
      </c>
      <c r="C1084" s="43" t="s">
        <v>267</v>
      </c>
      <c r="D1084" s="50">
        <v>5895</v>
      </c>
      <c r="E1084" s="52" t="s">
        <v>203</v>
      </c>
      <c r="F1084" s="52" t="s">
        <v>204</v>
      </c>
      <c r="G1084" s="213" t="s">
        <v>31</v>
      </c>
      <c r="H1084" s="45" t="s">
        <v>429</v>
      </c>
      <c r="I1084" s="7" t="s">
        <v>22</v>
      </c>
      <c r="J1084" s="3">
        <v>0.7</v>
      </c>
      <c r="K1084" s="1" t="s">
        <v>309</v>
      </c>
      <c r="L1084" s="8" t="s">
        <v>207</v>
      </c>
      <c r="M1084" s="13"/>
      <c r="N1084" s="3">
        <v>1</v>
      </c>
      <c r="O1084" s="3">
        <v>0.1</v>
      </c>
      <c r="P1084" s="3"/>
      <c r="Q1084" s="3">
        <f t="shared" si="41"/>
        <v>0</v>
      </c>
      <c r="R1084" s="4">
        <f t="shared" si="42"/>
        <v>0</v>
      </c>
      <c r="S1084" s="3" t="s">
        <v>23</v>
      </c>
      <c r="T1084" s="195"/>
    </row>
    <row r="1085" spans="1:20" ht="21.6" x14ac:dyDescent="0.3">
      <c r="A1085" s="139">
        <v>6</v>
      </c>
      <c r="B1085" s="42" t="s">
        <v>20</v>
      </c>
      <c r="C1085" s="43" t="s">
        <v>267</v>
      </c>
      <c r="D1085" s="50">
        <v>5895</v>
      </c>
      <c r="E1085" s="52" t="s">
        <v>203</v>
      </c>
      <c r="F1085" s="52" t="s">
        <v>204</v>
      </c>
      <c r="G1085" s="213" t="s">
        <v>31</v>
      </c>
      <c r="H1085" s="45" t="s">
        <v>429</v>
      </c>
      <c r="I1085" s="47" t="s">
        <v>22</v>
      </c>
      <c r="J1085" s="3">
        <v>0.7</v>
      </c>
      <c r="K1085" s="49" t="s">
        <v>310</v>
      </c>
      <c r="L1085" s="30" t="s">
        <v>136</v>
      </c>
      <c r="M1085" s="49" t="s">
        <v>137</v>
      </c>
      <c r="N1085" s="3">
        <v>0.9</v>
      </c>
      <c r="O1085" s="3">
        <v>0.1</v>
      </c>
      <c r="P1085" s="3"/>
      <c r="Q1085" s="3">
        <f t="shared" si="41"/>
        <v>0</v>
      </c>
      <c r="R1085" s="4">
        <f t="shared" si="42"/>
        <v>0</v>
      </c>
      <c r="S1085" s="3" t="s">
        <v>23</v>
      </c>
      <c r="T1085" s="195"/>
    </row>
    <row r="1086" spans="1:20" ht="22.2" thickBot="1" x14ac:dyDescent="0.35">
      <c r="A1086" s="142">
        <v>6</v>
      </c>
      <c r="B1086" s="81" t="s">
        <v>20</v>
      </c>
      <c r="C1086" s="82" t="s">
        <v>267</v>
      </c>
      <c r="D1086" s="113">
        <v>5895</v>
      </c>
      <c r="E1086" s="118" t="s">
        <v>203</v>
      </c>
      <c r="F1086" s="118" t="s">
        <v>204</v>
      </c>
      <c r="G1086" s="214" t="s">
        <v>31</v>
      </c>
      <c r="H1086" s="84" t="s">
        <v>429</v>
      </c>
      <c r="I1086" s="85" t="s">
        <v>26</v>
      </c>
      <c r="J1086" s="86">
        <v>0.3</v>
      </c>
      <c r="K1086" s="115" t="s">
        <v>138</v>
      </c>
      <c r="L1086" s="114" t="s">
        <v>139</v>
      </c>
      <c r="M1086" s="115" t="s">
        <v>140</v>
      </c>
      <c r="N1086" s="86">
        <v>1</v>
      </c>
      <c r="O1086" s="86">
        <v>1</v>
      </c>
      <c r="P1086" s="127"/>
      <c r="Q1086" s="86">
        <f t="shared" si="41"/>
        <v>0</v>
      </c>
      <c r="R1086" s="90">
        <f t="shared" si="42"/>
        <v>0</v>
      </c>
      <c r="S1086" s="91" t="s">
        <v>23</v>
      </c>
      <c r="T1086" s="149"/>
    </row>
    <row r="1087" spans="1:20" ht="21.6" x14ac:dyDescent="0.3">
      <c r="A1087" s="144">
        <v>1</v>
      </c>
      <c r="B1087" s="64" t="s">
        <v>20</v>
      </c>
      <c r="C1087" s="65" t="s">
        <v>267</v>
      </c>
      <c r="D1087" s="111">
        <v>5840</v>
      </c>
      <c r="E1087" s="116" t="s">
        <v>270</v>
      </c>
      <c r="F1087" s="116" t="s">
        <v>271</v>
      </c>
      <c r="G1087" s="212" t="s">
        <v>31</v>
      </c>
      <c r="H1087" s="67" t="s">
        <v>429</v>
      </c>
      <c r="I1087" s="98" t="s">
        <v>22</v>
      </c>
      <c r="J1087" s="69">
        <v>0.7</v>
      </c>
      <c r="K1087" s="99" t="s">
        <v>215</v>
      </c>
      <c r="L1087" s="70" t="s">
        <v>205</v>
      </c>
      <c r="M1087" s="99"/>
      <c r="N1087" s="69">
        <v>0.95</v>
      </c>
      <c r="O1087" s="69">
        <v>0.2</v>
      </c>
      <c r="P1087" s="69"/>
      <c r="Q1087" s="69">
        <f t="shared" si="41"/>
        <v>0</v>
      </c>
      <c r="R1087" s="100">
        <f t="shared" si="42"/>
        <v>0</v>
      </c>
      <c r="S1087" s="69" t="s">
        <v>23</v>
      </c>
      <c r="T1087" s="192">
        <f>SUM(R1087:R1093)%</f>
        <v>0</v>
      </c>
    </row>
    <row r="1088" spans="1:20" ht="21.6" x14ac:dyDescent="0.3">
      <c r="A1088" s="139">
        <v>2</v>
      </c>
      <c r="B1088" s="42" t="s">
        <v>20</v>
      </c>
      <c r="C1088" s="43" t="s">
        <v>267</v>
      </c>
      <c r="D1088" s="50">
        <v>5840</v>
      </c>
      <c r="E1088" s="52" t="s">
        <v>270</v>
      </c>
      <c r="F1088" s="52" t="s">
        <v>271</v>
      </c>
      <c r="G1088" s="213" t="s">
        <v>31</v>
      </c>
      <c r="H1088" s="45" t="s">
        <v>429</v>
      </c>
      <c r="I1088" s="7" t="s">
        <v>22</v>
      </c>
      <c r="J1088" s="3">
        <v>0.7</v>
      </c>
      <c r="K1088" s="1" t="s">
        <v>307</v>
      </c>
      <c r="L1088" s="8" t="s">
        <v>206</v>
      </c>
      <c r="M1088" s="1"/>
      <c r="N1088" s="3">
        <v>0.95</v>
      </c>
      <c r="O1088" s="3">
        <v>0.2</v>
      </c>
      <c r="P1088" s="3"/>
      <c r="Q1088" s="3">
        <f t="shared" si="41"/>
        <v>0</v>
      </c>
      <c r="R1088" s="4">
        <f t="shared" si="42"/>
        <v>0</v>
      </c>
      <c r="S1088" s="3" t="s">
        <v>23</v>
      </c>
      <c r="T1088" s="195"/>
    </row>
    <row r="1089" spans="1:20" ht="21.6" x14ac:dyDescent="0.3">
      <c r="A1089" s="139">
        <v>3</v>
      </c>
      <c r="B1089" s="42" t="s">
        <v>20</v>
      </c>
      <c r="C1089" s="43" t="s">
        <v>267</v>
      </c>
      <c r="D1089" s="50">
        <v>5840</v>
      </c>
      <c r="E1089" s="52" t="s">
        <v>270</v>
      </c>
      <c r="F1089" s="52" t="s">
        <v>271</v>
      </c>
      <c r="G1089" s="213" t="s">
        <v>31</v>
      </c>
      <c r="H1089" s="45" t="s">
        <v>429</v>
      </c>
      <c r="I1089" s="7" t="s">
        <v>22</v>
      </c>
      <c r="J1089" s="3">
        <v>0.7</v>
      </c>
      <c r="K1089" s="1" t="s">
        <v>305</v>
      </c>
      <c r="L1089" s="8" t="s">
        <v>257</v>
      </c>
      <c r="M1089" s="13" t="s">
        <v>306</v>
      </c>
      <c r="N1089" s="3">
        <v>0.95</v>
      </c>
      <c r="O1089" s="3">
        <v>0.25</v>
      </c>
      <c r="P1089" s="3"/>
      <c r="Q1089" s="3">
        <f t="shared" si="41"/>
        <v>0</v>
      </c>
      <c r="R1089" s="4">
        <f t="shared" si="42"/>
        <v>0</v>
      </c>
      <c r="S1089" s="3" t="s">
        <v>23</v>
      </c>
      <c r="T1089" s="195"/>
    </row>
    <row r="1090" spans="1:20" ht="21.6" x14ac:dyDescent="0.3">
      <c r="A1090" s="139">
        <v>4</v>
      </c>
      <c r="B1090" s="42" t="s">
        <v>20</v>
      </c>
      <c r="C1090" s="43" t="s">
        <v>267</v>
      </c>
      <c r="D1090" s="50">
        <v>5840</v>
      </c>
      <c r="E1090" s="52" t="s">
        <v>270</v>
      </c>
      <c r="F1090" s="52" t="s">
        <v>271</v>
      </c>
      <c r="G1090" s="213" t="s">
        <v>31</v>
      </c>
      <c r="H1090" s="45" t="s">
        <v>429</v>
      </c>
      <c r="I1090" s="7" t="s">
        <v>22</v>
      </c>
      <c r="J1090" s="3">
        <v>0.7</v>
      </c>
      <c r="K1090" s="1" t="s">
        <v>308</v>
      </c>
      <c r="L1090" s="8" t="s">
        <v>130</v>
      </c>
      <c r="M1090" s="13" t="s">
        <v>131</v>
      </c>
      <c r="N1090" s="3">
        <v>0.9</v>
      </c>
      <c r="O1090" s="3">
        <v>0.15</v>
      </c>
      <c r="P1090" s="3"/>
      <c r="Q1090" s="3">
        <f t="shared" si="41"/>
        <v>0</v>
      </c>
      <c r="R1090" s="4">
        <f t="shared" si="42"/>
        <v>0</v>
      </c>
      <c r="S1090" s="3" t="s">
        <v>23</v>
      </c>
      <c r="T1090" s="195"/>
    </row>
    <row r="1091" spans="1:20" ht="21.6" x14ac:dyDescent="0.3">
      <c r="A1091" s="139">
        <v>5</v>
      </c>
      <c r="B1091" s="42" t="s">
        <v>20</v>
      </c>
      <c r="C1091" s="43" t="s">
        <v>267</v>
      </c>
      <c r="D1091" s="50">
        <v>5840</v>
      </c>
      <c r="E1091" s="52" t="s">
        <v>270</v>
      </c>
      <c r="F1091" s="52" t="s">
        <v>271</v>
      </c>
      <c r="G1091" s="213" t="s">
        <v>31</v>
      </c>
      <c r="H1091" s="45" t="s">
        <v>429</v>
      </c>
      <c r="I1091" s="7" t="s">
        <v>22</v>
      </c>
      <c r="J1091" s="3">
        <v>0.7</v>
      </c>
      <c r="K1091" s="1" t="s">
        <v>309</v>
      </c>
      <c r="L1091" s="8" t="s">
        <v>207</v>
      </c>
      <c r="M1091" s="13"/>
      <c r="N1091" s="3">
        <v>1</v>
      </c>
      <c r="O1091" s="3">
        <v>0.1</v>
      </c>
      <c r="P1091" s="3"/>
      <c r="Q1091" s="3">
        <f t="shared" si="41"/>
        <v>0</v>
      </c>
      <c r="R1091" s="4">
        <f t="shared" si="42"/>
        <v>0</v>
      </c>
      <c r="S1091" s="3" t="s">
        <v>23</v>
      </c>
      <c r="T1091" s="195"/>
    </row>
    <row r="1092" spans="1:20" ht="21.6" x14ac:dyDescent="0.3">
      <c r="A1092" s="139"/>
      <c r="B1092" s="42" t="s">
        <v>20</v>
      </c>
      <c r="C1092" s="43" t="s">
        <v>267</v>
      </c>
      <c r="D1092" s="50">
        <v>5840</v>
      </c>
      <c r="E1092" s="52" t="s">
        <v>270</v>
      </c>
      <c r="F1092" s="52" t="s">
        <v>271</v>
      </c>
      <c r="G1092" s="213" t="s">
        <v>31</v>
      </c>
      <c r="H1092" s="45" t="s">
        <v>429</v>
      </c>
      <c r="I1092" s="47" t="s">
        <v>22</v>
      </c>
      <c r="J1092" s="3">
        <v>0.7</v>
      </c>
      <c r="K1092" s="49" t="s">
        <v>310</v>
      </c>
      <c r="L1092" s="30" t="s">
        <v>136</v>
      </c>
      <c r="M1092" s="49" t="s">
        <v>137</v>
      </c>
      <c r="N1092" s="3">
        <v>0.9</v>
      </c>
      <c r="O1092" s="3">
        <v>0.1</v>
      </c>
      <c r="P1092" s="3"/>
      <c r="Q1092" s="3">
        <f t="shared" si="41"/>
        <v>0</v>
      </c>
      <c r="R1092" s="4">
        <f t="shared" si="42"/>
        <v>0</v>
      </c>
      <c r="S1092" s="3" t="s">
        <v>23</v>
      </c>
      <c r="T1092" s="195"/>
    </row>
    <row r="1093" spans="1:20" ht="22.2" thickBot="1" x14ac:dyDescent="0.35">
      <c r="A1093" s="142">
        <v>6</v>
      </c>
      <c r="B1093" s="81" t="s">
        <v>20</v>
      </c>
      <c r="C1093" s="82" t="s">
        <v>267</v>
      </c>
      <c r="D1093" s="113">
        <v>5840</v>
      </c>
      <c r="E1093" s="118" t="s">
        <v>270</v>
      </c>
      <c r="F1093" s="118" t="s">
        <v>271</v>
      </c>
      <c r="G1093" s="214" t="s">
        <v>31</v>
      </c>
      <c r="H1093" s="84" t="s">
        <v>429</v>
      </c>
      <c r="I1093" s="85" t="s">
        <v>26</v>
      </c>
      <c r="J1093" s="86">
        <v>0.3</v>
      </c>
      <c r="K1093" s="115" t="s">
        <v>138</v>
      </c>
      <c r="L1093" s="114" t="s">
        <v>139</v>
      </c>
      <c r="M1093" s="115" t="s">
        <v>140</v>
      </c>
      <c r="N1093" s="86">
        <v>1</v>
      </c>
      <c r="O1093" s="86">
        <v>1</v>
      </c>
      <c r="P1093" s="127"/>
      <c r="Q1093" s="86">
        <f t="shared" si="41"/>
        <v>0</v>
      </c>
      <c r="R1093" s="90">
        <f t="shared" si="42"/>
        <v>0</v>
      </c>
      <c r="S1093" s="91" t="s">
        <v>23</v>
      </c>
      <c r="T1093" s="149"/>
    </row>
    <row r="1094" spans="1:20" ht="21.6" x14ac:dyDescent="0.3">
      <c r="A1094" s="144">
        <v>1</v>
      </c>
      <c r="B1094" s="64" t="s">
        <v>20</v>
      </c>
      <c r="C1094" s="65" t="s">
        <v>267</v>
      </c>
      <c r="D1094" s="111">
        <v>6277</v>
      </c>
      <c r="E1094" s="116" t="s">
        <v>272</v>
      </c>
      <c r="F1094" s="116" t="s">
        <v>271</v>
      </c>
      <c r="G1094" s="212" t="s">
        <v>31</v>
      </c>
      <c r="H1094" s="67" t="s">
        <v>429</v>
      </c>
      <c r="I1094" s="98" t="s">
        <v>22</v>
      </c>
      <c r="J1094" s="69">
        <v>0.7</v>
      </c>
      <c r="K1094" s="99" t="s">
        <v>215</v>
      </c>
      <c r="L1094" s="70" t="s">
        <v>205</v>
      </c>
      <c r="M1094" s="99"/>
      <c r="N1094" s="69">
        <v>0.95</v>
      </c>
      <c r="O1094" s="69">
        <v>0.2</v>
      </c>
      <c r="P1094" s="69"/>
      <c r="Q1094" s="69">
        <f t="shared" si="41"/>
        <v>0</v>
      </c>
      <c r="R1094" s="100">
        <f t="shared" si="42"/>
        <v>0</v>
      </c>
      <c r="S1094" s="69" t="s">
        <v>23</v>
      </c>
      <c r="T1094" s="192">
        <f>SUM(R1094:R1100)%</f>
        <v>0</v>
      </c>
    </row>
    <row r="1095" spans="1:20" ht="21.6" x14ac:dyDescent="0.3">
      <c r="A1095" s="139">
        <v>2</v>
      </c>
      <c r="B1095" s="42" t="s">
        <v>20</v>
      </c>
      <c r="C1095" s="43" t="s">
        <v>267</v>
      </c>
      <c r="D1095" s="50">
        <v>6277</v>
      </c>
      <c r="E1095" s="52" t="s">
        <v>272</v>
      </c>
      <c r="F1095" s="52" t="s">
        <v>271</v>
      </c>
      <c r="G1095" s="213" t="s">
        <v>31</v>
      </c>
      <c r="H1095" s="45" t="s">
        <v>429</v>
      </c>
      <c r="I1095" s="7" t="s">
        <v>22</v>
      </c>
      <c r="J1095" s="3">
        <v>0.7</v>
      </c>
      <c r="K1095" s="1" t="s">
        <v>307</v>
      </c>
      <c r="L1095" s="8" t="s">
        <v>206</v>
      </c>
      <c r="M1095" s="1"/>
      <c r="N1095" s="3">
        <v>0.95</v>
      </c>
      <c r="O1095" s="3">
        <v>0.2</v>
      </c>
      <c r="P1095" s="3"/>
      <c r="Q1095" s="3">
        <f t="shared" si="41"/>
        <v>0</v>
      </c>
      <c r="R1095" s="4">
        <f t="shared" si="42"/>
        <v>0</v>
      </c>
      <c r="S1095" s="3" t="s">
        <v>23</v>
      </c>
      <c r="T1095" s="195"/>
    </row>
    <row r="1096" spans="1:20" ht="21.6" x14ac:dyDescent="0.3">
      <c r="A1096" s="139">
        <v>3</v>
      </c>
      <c r="B1096" s="42" t="s">
        <v>20</v>
      </c>
      <c r="C1096" s="43" t="s">
        <v>267</v>
      </c>
      <c r="D1096" s="50">
        <v>6277</v>
      </c>
      <c r="E1096" s="52" t="s">
        <v>272</v>
      </c>
      <c r="F1096" s="52" t="s">
        <v>271</v>
      </c>
      <c r="G1096" s="213" t="s">
        <v>31</v>
      </c>
      <c r="H1096" s="45" t="s">
        <v>429</v>
      </c>
      <c r="I1096" s="7" t="s">
        <v>22</v>
      </c>
      <c r="J1096" s="3">
        <v>0.7</v>
      </c>
      <c r="K1096" s="1" t="s">
        <v>305</v>
      </c>
      <c r="L1096" s="8" t="s">
        <v>257</v>
      </c>
      <c r="M1096" s="13" t="s">
        <v>306</v>
      </c>
      <c r="N1096" s="3">
        <v>0.95</v>
      </c>
      <c r="O1096" s="3">
        <v>0.25</v>
      </c>
      <c r="P1096" s="3"/>
      <c r="Q1096" s="3">
        <f t="shared" si="41"/>
        <v>0</v>
      </c>
      <c r="R1096" s="4">
        <f t="shared" si="42"/>
        <v>0</v>
      </c>
      <c r="S1096" s="3" t="s">
        <v>23</v>
      </c>
      <c r="T1096" s="195"/>
    </row>
    <row r="1097" spans="1:20" ht="21.6" x14ac:dyDescent="0.3">
      <c r="A1097" s="139">
        <v>4</v>
      </c>
      <c r="B1097" s="42" t="s">
        <v>20</v>
      </c>
      <c r="C1097" s="43" t="s">
        <v>267</v>
      </c>
      <c r="D1097" s="50">
        <v>6277</v>
      </c>
      <c r="E1097" s="52" t="s">
        <v>272</v>
      </c>
      <c r="F1097" s="52" t="s">
        <v>271</v>
      </c>
      <c r="G1097" s="213" t="s">
        <v>31</v>
      </c>
      <c r="H1097" s="45" t="s">
        <v>429</v>
      </c>
      <c r="I1097" s="7" t="s">
        <v>22</v>
      </c>
      <c r="J1097" s="3">
        <v>0.7</v>
      </c>
      <c r="K1097" s="1" t="s">
        <v>308</v>
      </c>
      <c r="L1097" s="8" t="s">
        <v>130</v>
      </c>
      <c r="M1097" s="13" t="s">
        <v>131</v>
      </c>
      <c r="N1097" s="3">
        <v>0.9</v>
      </c>
      <c r="O1097" s="3">
        <v>0.15</v>
      </c>
      <c r="P1097" s="3"/>
      <c r="Q1097" s="3">
        <f t="shared" si="41"/>
        <v>0</v>
      </c>
      <c r="R1097" s="4">
        <f t="shared" si="42"/>
        <v>0</v>
      </c>
      <c r="S1097" s="3" t="s">
        <v>23</v>
      </c>
      <c r="T1097" s="195"/>
    </row>
    <row r="1098" spans="1:20" ht="21.6" x14ac:dyDescent="0.3">
      <c r="A1098" s="139">
        <v>5</v>
      </c>
      <c r="B1098" s="42" t="s">
        <v>20</v>
      </c>
      <c r="C1098" s="43" t="s">
        <v>267</v>
      </c>
      <c r="D1098" s="50">
        <v>6277</v>
      </c>
      <c r="E1098" s="52" t="s">
        <v>272</v>
      </c>
      <c r="F1098" s="52" t="s">
        <v>271</v>
      </c>
      <c r="G1098" s="213" t="s">
        <v>31</v>
      </c>
      <c r="H1098" s="45" t="s">
        <v>429</v>
      </c>
      <c r="I1098" s="7" t="s">
        <v>22</v>
      </c>
      <c r="J1098" s="3">
        <v>0.7</v>
      </c>
      <c r="K1098" s="1" t="s">
        <v>309</v>
      </c>
      <c r="L1098" s="8" t="s">
        <v>207</v>
      </c>
      <c r="M1098" s="13"/>
      <c r="N1098" s="3">
        <v>1</v>
      </c>
      <c r="O1098" s="3">
        <v>0.1</v>
      </c>
      <c r="P1098" s="3"/>
      <c r="Q1098" s="3">
        <f t="shared" si="41"/>
        <v>0</v>
      </c>
      <c r="R1098" s="4">
        <f t="shared" si="42"/>
        <v>0</v>
      </c>
      <c r="S1098" s="3" t="s">
        <v>23</v>
      </c>
      <c r="T1098" s="195"/>
    </row>
    <row r="1099" spans="1:20" ht="21.6" x14ac:dyDescent="0.3">
      <c r="A1099" s="139"/>
      <c r="B1099" s="42" t="s">
        <v>20</v>
      </c>
      <c r="C1099" s="43" t="s">
        <v>267</v>
      </c>
      <c r="D1099" s="50">
        <v>6277</v>
      </c>
      <c r="E1099" s="52" t="s">
        <v>272</v>
      </c>
      <c r="F1099" s="52" t="s">
        <v>271</v>
      </c>
      <c r="G1099" s="213" t="s">
        <v>31</v>
      </c>
      <c r="H1099" s="45" t="s">
        <v>429</v>
      </c>
      <c r="I1099" s="47" t="s">
        <v>22</v>
      </c>
      <c r="J1099" s="3">
        <v>0.7</v>
      </c>
      <c r="K1099" s="49" t="s">
        <v>310</v>
      </c>
      <c r="L1099" s="30" t="s">
        <v>136</v>
      </c>
      <c r="M1099" s="49" t="s">
        <v>137</v>
      </c>
      <c r="N1099" s="3">
        <v>0.9</v>
      </c>
      <c r="O1099" s="3">
        <v>0.1</v>
      </c>
      <c r="P1099" s="3"/>
      <c r="Q1099" s="3">
        <f t="shared" si="41"/>
        <v>0</v>
      </c>
      <c r="R1099" s="4">
        <f t="shared" si="42"/>
        <v>0</v>
      </c>
      <c r="S1099" s="3" t="s">
        <v>23</v>
      </c>
      <c r="T1099" s="195"/>
    </row>
    <row r="1100" spans="1:20" ht="22.2" thickBot="1" x14ac:dyDescent="0.35">
      <c r="A1100" s="142">
        <v>6</v>
      </c>
      <c r="B1100" s="81" t="s">
        <v>20</v>
      </c>
      <c r="C1100" s="82" t="s">
        <v>267</v>
      </c>
      <c r="D1100" s="113">
        <v>6277</v>
      </c>
      <c r="E1100" s="118" t="s">
        <v>272</v>
      </c>
      <c r="F1100" s="118" t="s">
        <v>271</v>
      </c>
      <c r="G1100" s="214" t="s">
        <v>31</v>
      </c>
      <c r="H1100" s="84" t="s">
        <v>429</v>
      </c>
      <c r="I1100" s="85" t="s">
        <v>26</v>
      </c>
      <c r="J1100" s="86">
        <v>0.3</v>
      </c>
      <c r="K1100" s="115" t="s">
        <v>138</v>
      </c>
      <c r="L1100" s="114" t="s">
        <v>139</v>
      </c>
      <c r="M1100" s="115" t="s">
        <v>140</v>
      </c>
      <c r="N1100" s="86">
        <v>1</v>
      </c>
      <c r="O1100" s="86">
        <v>1</v>
      </c>
      <c r="P1100" s="127"/>
      <c r="Q1100" s="86">
        <f t="shared" si="41"/>
        <v>0</v>
      </c>
      <c r="R1100" s="90">
        <f t="shared" si="42"/>
        <v>0</v>
      </c>
      <c r="S1100" s="91" t="s">
        <v>23</v>
      </c>
      <c r="T1100" s="149"/>
    </row>
    <row r="1101" spans="1:20" ht="30.6" x14ac:dyDescent="0.3">
      <c r="A1101" s="144">
        <v>7</v>
      </c>
      <c r="B1101" s="64" t="s">
        <v>20</v>
      </c>
      <c r="C1101" s="65" t="s">
        <v>267</v>
      </c>
      <c r="D1101" s="111">
        <v>3076</v>
      </c>
      <c r="E1101" s="116" t="s">
        <v>208</v>
      </c>
      <c r="F1101" s="116" t="s">
        <v>209</v>
      </c>
      <c r="G1101" s="212" t="s">
        <v>31</v>
      </c>
      <c r="H1101" s="67" t="s">
        <v>429</v>
      </c>
      <c r="I1101" s="98" t="s">
        <v>22</v>
      </c>
      <c r="J1101" s="69">
        <v>0.7</v>
      </c>
      <c r="K1101" s="99" t="s">
        <v>406</v>
      </c>
      <c r="L1101" s="70" t="s">
        <v>407</v>
      </c>
      <c r="M1101" s="99" t="s">
        <v>408</v>
      </c>
      <c r="N1101" s="69">
        <v>0.95</v>
      </c>
      <c r="O1101" s="69">
        <v>0.15</v>
      </c>
      <c r="P1101" s="69"/>
      <c r="Q1101" s="69">
        <f t="shared" si="41"/>
        <v>0</v>
      </c>
      <c r="R1101" s="100">
        <f t="shared" si="42"/>
        <v>0</v>
      </c>
      <c r="S1101" s="69" t="s">
        <v>23</v>
      </c>
      <c r="T1101" s="192">
        <f>SUM(R1101:R1107)%</f>
        <v>0</v>
      </c>
    </row>
    <row r="1102" spans="1:20" ht="30.6" x14ac:dyDescent="0.3">
      <c r="A1102" s="139">
        <v>8</v>
      </c>
      <c r="B1102" s="42" t="s">
        <v>20</v>
      </c>
      <c r="C1102" s="43" t="s">
        <v>267</v>
      </c>
      <c r="D1102" s="50">
        <v>3076</v>
      </c>
      <c r="E1102" s="52" t="s">
        <v>208</v>
      </c>
      <c r="F1102" s="52" t="s">
        <v>209</v>
      </c>
      <c r="G1102" s="213" t="s">
        <v>31</v>
      </c>
      <c r="H1102" s="45" t="s">
        <v>429</v>
      </c>
      <c r="I1102" s="7" t="s">
        <v>22</v>
      </c>
      <c r="J1102" s="3">
        <v>0.7</v>
      </c>
      <c r="K1102" s="1" t="s">
        <v>409</v>
      </c>
      <c r="L1102" s="2" t="s">
        <v>410</v>
      </c>
      <c r="M1102" s="1" t="s">
        <v>411</v>
      </c>
      <c r="N1102" s="3">
        <v>0.95</v>
      </c>
      <c r="O1102" s="3">
        <v>0.15</v>
      </c>
      <c r="P1102" s="51"/>
      <c r="Q1102" s="3">
        <f t="shared" si="41"/>
        <v>0</v>
      </c>
      <c r="R1102" s="4">
        <f t="shared" si="42"/>
        <v>0</v>
      </c>
      <c r="S1102" s="3" t="s">
        <v>23</v>
      </c>
      <c r="T1102" s="195"/>
    </row>
    <row r="1103" spans="1:20" ht="21.6" x14ac:dyDescent="0.3">
      <c r="A1103" s="139">
        <v>9</v>
      </c>
      <c r="B1103" s="42" t="s">
        <v>20</v>
      </c>
      <c r="C1103" s="43" t="s">
        <v>267</v>
      </c>
      <c r="D1103" s="50">
        <v>3076</v>
      </c>
      <c r="E1103" s="52" t="s">
        <v>208</v>
      </c>
      <c r="F1103" s="52" t="s">
        <v>209</v>
      </c>
      <c r="G1103" s="213" t="s">
        <v>31</v>
      </c>
      <c r="H1103" s="45" t="s">
        <v>429</v>
      </c>
      <c r="I1103" s="7" t="s">
        <v>22</v>
      </c>
      <c r="J1103" s="3">
        <v>0.7</v>
      </c>
      <c r="K1103" s="1" t="s">
        <v>412</v>
      </c>
      <c r="L1103" s="2" t="s">
        <v>413</v>
      </c>
      <c r="M1103" s="13" t="s">
        <v>380</v>
      </c>
      <c r="N1103" s="3">
        <v>0.7</v>
      </c>
      <c r="O1103" s="3">
        <v>0.15</v>
      </c>
      <c r="P1103" s="3"/>
      <c r="Q1103" s="3">
        <f t="shared" si="41"/>
        <v>0</v>
      </c>
      <c r="R1103" s="4">
        <f t="shared" si="42"/>
        <v>0</v>
      </c>
      <c r="S1103" s="3" t="s">
        <v>23</v>
      </c>
      <c r="T1103" s="195"/>
    </row>
    <row r="1104" spans="1:20" ht="30.6" x14ac:dyDescent="0.3">
      <c r="A1104" s="139">
        <v>10</v>
      </c>
      <c r="B1104" s="42" t="s">
        <v>20</v>
      </c>
      <c r="C1104" s="43" t="s">
        <v>267</v>
      </c>
      <c r="D1104" s="50">
        <v>3076</v>
      </c>
      <c r="E1104" s="52" t="s">
        <v>208</v>
      </c>
      <c r="F1104" s="52" t="s">
        <v>209</v>
      </c>
      <c r="G1104" s="213" t="s">
        <v>31</v>
      </c>
      <c r="H1104" s="45" t="s">
        <v>429</v>
      </c>
      <c r="I1104" s="7" t="s">
        <v>22</v>
      </c>
      <c r="J1104" s="3">
        <v>0.7</v>
      </c>
      <c r="K1104" s="1" t="s">
        <v>387</v>
      </c>
      <c r="L1104" s="2" t="s">
        <v>388</v>
      </c>
      <c r="M1104" s="13" t="s">
        <v>377</v>
      </c>
      <c r="N1104" s="3">
        <v>0.05</v>
      </c>
      <c r="O1104" s="3">
        <v>0.15</v>
      </c>
      <c r="P1104" s="3"/>
      <c r="Q1104" s="3">
        <f t="shared" si="41"/>
        <v>0</v>
      </c>
      <c r="R1104" s="4">
        <f t="shared" si="42"/>
        <v>0</v>
      </c>
      <c r="S1104" s="3" t="s">
        <v>23</v>
      </c>
      <c r="T1104" s="195"/>
    </row>
    <row r="1105" spans="1:20" ht="21.6" x14ac:dyDescent="0.3">
      <c r="A1105" s="139">
        <v>11</v>
      </c>
      <c r="B1105" s="42" t="s">
        <v>20</v>
      </c>
      <c r="C1105" s="43" t="s">
        <v>267</v>
      </c>
      <c r="D1105" s="50">
        <v>3076</v>
      </c>
      <c r="E1105" s="52" t="s">
        <v>208</v>
      </c>
      <c r="F1105" s="52" t="s">
        <v>209</v>
      </c>
      <c r="G1105" s="213" t="s">
        <v>31</v>
      </c>
      <c r="H1105" s="45" t="s">
        <v>429</v>
      </c>
      <c r="I1105" s="7" t="s">
        <v>22</v>
      </c>
      <c r="J1105" s="3">
        <v>0.7</v>
      </c>
      <c r="K1105" s="1" t="s">
        <v>378</v>
      </c>
      <c r="L1105" s="2" t="s">
        <v>389</v>
      </c>
      <c r="M1105" s="13" t="s">
        <v>379</v>
      </c>
      <c r="N1105" s="3">
        <v>1</v>
      </c>
      <c r="O1105" s="3">
        <v>0.15</v>
      </c>
      <c r="P1105" s="3"/>
      <c r="Q1105" s="3">
        <f t="shared" si="41"/>
        <v>0</v>
      </c>
      <c r="R1105" s="4">
        <f t="shared" si="42"/>
        <v>0</v>
      </c>
      <c r="S1105" s="3" t="s">
        <v>23</v>
      </c>
      <c r="T1105" s="195"/>
    </row>
    <row r="1106" spans="1:20" ht="21.6" x14ac:dyDescent="0.3">
      <c r="A1106" s="139">
        <v>11</v>
      </c>
      <c r="B1106" s="42" t="s">
        <v>20</v>
      </c>
      <c r="C1106" s="43" t="s">
        <v>267</v>
      </c>
      <c r="D1106" s="50">
        <v>3076</v>
      </c>
      <c r="E1106" s="52" t="s">
        <v>208</v>
      </c>
      <c r="F1106" s="52" t="s">
        <v>209</v>
      </c>
      <c r="G1106" s="213" t="s">
        <v>31</v>
      </c>
      <c r="H1106" s="45" t="s">
        <v>429</v>
      </c>
      <c r="I1106" s="47" t="s">
        <v>22</v>
      </c>
      <c r="J1106" s="3">
        <v>0.7</v>
      </c>
      <c r="K1106" s="49" t="s">
        <v>395</v>
      </c>
      <c r="L1106" s="41" t="s">
        <v>396</v>
      </c>
      <c r="M1106" s="49" t="s">
        <v>397</v>
      </c>
      <c r="N1106" s="3">
        <v>0.9</v>
      </c>
      <c r="O1106" s="3">
        <v>0.15</v>
      </c>
      <c r="P1106" s="170"/>
      <c r="Q1106" s="3">
        <f t="shared" si="41"/>
        <v>0</v>
      </c>
      <c r="R1106" s="4">
        <f t="shared" si="42"/>
        <v>0</v>
      </c>
      <c r="S1106" s="3" t="s">
        <v>23</v>
      </c>
      <c r="T1106" s="195"/>
    </row>
    <row r="1107" spans="1:20" ht="22.2" thickBot="1" x14ac:dyDescent="0.35">
      <c r="A1107" s="142">
        <v>12</v>
      </c>
      <c r="B1107" s="81" t="s">
        <v>20</v>
      </c>
      <c r="C1107" s="82" t="s">
        <v>267</v>
      </c>
      <c r="D1107" s="113">
        <v>3076</v>
      </c>
      <c r="E1107" s="118" t="s">
        <v>208</v>
      </c>
      <c r="F1107" s="118" t="s">
        <v>209</v>
      </c>
      <c r="G1107" s="214" t="s">
        <v>31</v>
      </c>
      <c r="H1107" s="84" t="s">
        <v>429</v>
      </c>
      <c r="I1107" s="85" t="s">
        <v>26</v>
      </c>
      <c r="J1107" s="86">
        <v>0.3</v>
      </c>
      <c r="K1107" s="115" t="s">
        <v>138</v>
      </c>
      <c r="L1107" s="128" t="s">
        <v>139</v>
      </c>
      <c r="M1107" s="115" t="s">
        <v>140</v>
      </c>
      <c r="N1107" s="86">
        <v>1</v>
      </c>
      <c r="O1107" s="86">
        <v>1</v>
      </c>
      <c r="P1107" s="127"/>
      <c r="Q1107" s="86">
        <f t="shared" si="41"/>
        <v>0</v>
      </c>
      <c r="R1107" s="90">
        <f t="shared" si="42"/>
        <v>0</v>
      </c>
      <c r="S1107" s="91" t="s">
        <v>23</v>
      </c>
      <c r="T1107" s="149"/>
    </row>
    <row r="1108" spans="1:20" ht="21.6" x14ac:dyDescent="0.3">
      <c r="A1108" s="144">
        <v>7</v>
      </c>
      <c r="B1108" s="64" t="s">
        <v>20</v>
      </c>
      <c r="C1108" s="65" t="s">
        <v>267</v>
      </c>
      <c r="D1108" s="111">
        <v>5292</v>
      </c>
      <c r="E1108" s="116" t="s">
        <v>273</v>
      </c>
      <c r="F1108" s="116" t="s">
        <v>274</v>
      </c>
      <c r="G1108" s="212" t="s">
        <v>208</v>
      </c>
      <c r="H1108" s="67" t="s">
        <v>429</v>
      </c>
      <c r="I1108" s="98" t="s">
        <v>22</v>
      </c>
      <c r="J1108" s="69">
        <v>0.7</v>
      </c>
      <c r="K1108" s="99" t="s">
        <v>215</v>
      </c>
      <c r="L1108" s="70" t="s">
        <v>205</v>
      </c>
      <c r="M1108" s="99"/>
      <c r="N1108" s="69">
        <v>0.95</v>
      </c>
      <c r="O1108" s="69">
        <v>0.2</v>
      </c>
      <c r="P1108" s="69"/>
      <c r="Q1108" s="69">
        <f t="shared" si="41"/>
        <v>0</v>
      </c>
      <c r="R1108" s="100">
        <f t="shared" si="42"/>
        <v>0</v>
      </c>
      <c r="S1108" s="69" t="s">
        <v>23</v>
      </c>
      <c r="T1108" s="192">
        <f>SUM(R1108:R1114)%</f>
        <v>0</v>
      </c>
    </row>
    <row r="1109" spans="1:20" ht="21.6" x14ac:dyDescent="0.3">
      <c r="A1109" s="139">
        <v>8</v>
      </c>
      <c r="B1109" s="42" t="s">
        <v>20</v>
      </c>
      <c r="C1109" s="43" t="s">
        <v>267</v>
      </c>
      <c r="D1109" s="50">
        <v>5292</v>
      </c>
      <c r="E1109" s="52" t="s">
        <v>273</v>
      </c>
      <c r="F1109" s="52" t="s">
        <v>274</v>
      </c>
      <c r="G1109" s="213" t="s">
        <v>208</v>
      </c>
      <c r="H1109" s="45" t="s">
        <v>429</v>
      </c>
      <c r="I1109" s="7" t="s">
        <v>22</v>
      </c>
      <c r="J1109" s="3">
        <v>0.7</v>
      </c>
      <c r="K1109" s="1" t="s">
        <v>307</v>
      </c>
      <c r="L1109" s="8" t="s">
        <v>206</v>
      </c>
      <c r="M1109" s="1"/>
      <c r="N1109" s="3">
        <v>0.95</v>
      </c>
      <c r="O1109" s="3">
        <v>0.2</v>
      </c>
      <c r="P1109" s="3"/>
      <c r="Q1109" s="3">
        <f t="shared" si="41"/>
        <v>0</v>
      </c>
      <c r="R1109" s="4">
        <f t="shared" si="42"/>
        <v>0</v>
      </c>
      <c r="S1109" s="3" t="s">
        <v>23</v>
      </c>
      <c r="T1109" s="195"/>
    </row>
    <row r="1110" spans="1:20" ht="21.6" x14ac:dyDescent="0.3">
      <c r="A1110" s="139">
        <v>9</v>
      </c>
      <c r="B1110" s="42" t="s">
        <v>20</v>
      </c>
      <c r="C1110" s="43" t="s">
        <v>267</v>
      </c>
      <c r="D1110" s="50">
        <v>5292</v>
      </c>
      <c r="E1110" s="52" t="s">
        <v>273</v>
      </c>
      <c r="F1110" s="52" t="s">
        <v>274</v>
      </c>
      <c r="G1110" s="213" t="s">
        <v>208</v>
      </c>
      <c r="H1110" s="45" t="s">
        <v>429</v>
      </c>
      <c r="I1110" s="7" t="s">
        <v>22</v>
      </c>
      <c r="J1110" s="3">
        <v>0.7</v>
      </c>
      <c r="K1110" s="1" t="s">
        <v>305</v>
      </c>
      <c r="L1110" s="8" t="s">
        <v>257</v>
      </c>
      <c r="M1110" s="13" t="s">
        <v>306</v>
      </c>
      <c r="N1110" s="3">
        <v>0.95</v>
      </c>
      <c r="O1110" s="3">
        <v>0.25</v>
      </c>
      <c r="P1110" s="3"/>
      <c r="Q1110" s="3">
        <f t="shared" si="41"/>
        <v>0</v>
      </c>
      <c r="R1110" s="4">
        <f t="shared" si="42"/>
        <v>0</v>
      </c>
      <c r="S1110" s="3" t="s">
        <v>23</v>
      </c>
      <c r="T1110" s="195"/>
    </row>
    <row r="1111" spans="1:20" ht="21.6" x14ac:dyDescent="0.3">
      <c r="A1111" s="139">
        <v>10</v>
      </c>
      <c r="B1111" s="42" t="s">
        <v>20</v>
      </c>
      <c r="C1111" s="43" t="s">
        <v>267</v>
      </c>
      <c r="D1111" s="50">
        <v>5292</v>
      </c>
      <c r="E1111" s="52" t="s">
        <v>273</v>
      </c>
      <c r="F1111" s="52" t="s">
        <v>274</v>
      </c>
      <c r="G1111" s="213" t="s">
        <v>208</v>
      </c>
      <c r="H1111" s="45" t="s">
        <v>429</v>
      </c>
      <c r="I1111" s="7" t="s">
        <v>22</v>
      </c>
      <c r="J1111" s="3">
        <v>0.7</v>
      </c>
      <c r="K1111" s="1" t="s">
        <v>308</v>
      </c>
      <c r="L1111" s="8" t="s">
        <v>130</v>
      </c>
      <c r="M1111" s="13" t="s">
        <v>131</v>
      </c>
      <c r="N1111" s="3">
        <v>0.9</v>
      </c>
      <c r="O1111" s="3">
        <v>0.15</v>
      </c>
      <c r="P1111" s="3"/>
      <c r="Q1111" s="3">
        <f t="shared" si="41"/>
        <v>0</v>
      </c>
      <c r="R1111" s="4">
        <f t="shared" si="42"/>
        <v>0</v>
      </c>
      <c r="S1111" s="3" t="s">
        <v>23</v>
      </c>
      <c r="T1111" s="195"/>
    </row>
    <row r="1112" spans="1:20" ht="21.6" x14ac:dyDescent="0.3">
      <c r="A1112" s="139">
        <v>11</v>
      </c>
      <c r="B1112" s="42" t="s">
        <v>20</v>
      </c>
      <c r="C1112" s="43" t="s">
        <v>267</v>
      </c>
      <c r="D1112" s="50">
        <v>5292</v>
      </c>
      <c r="E1112" s="52" t="s">
        <v>273</v>
      </c>
      <c r="F1112" s="52" t="s">
        <v>274</v>
      </c>
      <c r="G1112" s="213" t="s">
        <v>208</v>
      </c>
      <c r="H1112" s="45" t="s">
        <v>429</v>
      </c>
      <c r="I1112" s="7" t="s">
        <v>22</v>
      </c>
      <c r="J1112" s="3">
        <v>0.7</v>
      </c>
      <c r="K1112" s="1" t="s">
        <v>309</v>
      </c>
      <c r="L1112" s="8" t="s">
        <v>207</v>
      </c>
      <c r="M1112" s="13"/>
      <c r="N1112" s="3">
        <v>1</v>
      </c>
      <c r="O1112" s="3">
        <v>0.1</v>
      </c>
      <c r="P1112" s="3"/>
      <c r="Q1112" s="3">
        <f t="shared" si="41"/>
        <v>0</v>
      </c>
      <c r="R1112" s="4">
        <f t="shared" si="42"/>
        <v>0</v>
      </c>
      <c r="S1112" s="3" t="s">
        <v>23</v>
      </c>
      <c r="T1112" s="195"/>
    </row>
    <row r="1113" spans="1:20" ht="21.6" x14ac:dyDescent="0.3">
      <c r="A1113" s="139"/>
      <c r="B1113" s="42" t="s">
        <v>20</v>
      </c>
      <c r="C1113" s="43" t="s">
        <v>267</v>
      </c>
      <c r="D1113" s="50">
        <v>5292</v>
      </c>
      <c r="E1113" s="52" t="s">
        <v>273</v>
      </c>
      <c r="F1113" s="52" t="s">
        <v>274</v>
      </c>
      <c r="G1113" s="213" t="s">
        <v>208</v>
      </c>
      <c r="H1113" s="45" t="s">
        <v>429</v>
      </c>
      <c r="I1113" s="47" t="s">
        <v>22</v>
      </c>
      <c r="J1113" s="3">
        <v>0.7</v>
      </c>
      <c r="K1113" s="49" t="s">
        <v>310</v>
      </c>
      <c r="L1113" s="30" t="s">
        <v>136</v>
      </c>
      <c r="M1113" s="49" t="s">
        <v>137</v>
      </c>
      <c r="N1113" s="3">
        <v>0.9</v>
      </c>
      <c r="O1113" s="3">
        <v>0.1</v>
      </c>
      <c r="P1113" s="170"/>
      <c r="Q1113" s="3">
        <f t="shared" si="41"/>
        <v>0</v>
      </c>
      <c r="R1113" s="4">
        <f t="shared" si="42"/>
        <v>0</v>
      </c>
      <c r="S1113" s="3" t="s">
        <v>23</v>
      </c>
      <c r="T1113" s="195"/>
    </row>
    <row r="1114" spans="1:20" ht="22.2" thickBot="1" x14ac:dyDescent="0.35">
      <c r="A1114" s="142">
        <v>12</v>
      </c>
      <c r="B1114" s="81" t="s">
        <v>20</v>
      </c>
      <c r="C1114" s="82" t="s">
        <v>267</v>
      </c>
      <c r="D1114" s="113">
        <v>5292</v>
      </c>
      <c r="E1114" s="118" t="s">
        <v>273</v>
      </c>
      <c r="F1114" s="118" t="s">
        <v>274</v>
      </c>
      <c r="G1114" s="214" t="s">
        <v>208</v>
      </c>
      <c r="H1114" s="84" t="s">
        <v>429</v>
      </c>
      <c r="I1114" s="85" t="s">
        <v>26</v>
      </c>
      <c r="J1114" s="86">
        <v>0.3</v>
      </c>
      <c r="K1114" s="115" t="s">
        <v>138</v>
      </c>
      <c r="L1114" s="114" t="s">
        <v>139</v>
      </c>
      <c r="M1114" s="115" t="s">
        <v>140</v>
      </c>
      <c r="N1114" s="86">
        <v>1</v>
      </c>
      <c r="O1114" s="86">
        <v>1</v>
      </c>
      <c r="P1114" s="127"/>
      <c r="Q1114" s="86">
        <f t="shared" si="41"/>
        <v>0</v>
      </c>
      <c r="R1114" s="90">
        <f t="shared" si="42"/>
        <v>0</v>
      </c>
      <c r="S1114" s="91" t="s">
        <v>23</v>
      </c>
      <c r="T1114" s="149"/>
    </row>
    <row r="1115" spans="1:20" ht="21.6" x14ac:dyDescent="0.3">
      <c r="A1115" s="144">
        <v>7</v>
      </c>
      <c r="B1115" s="64" t="s">
        <v>20</v>
      </c>
      <c r="C1115" s="65" t="s">
        <v>267</v>
      </c>
      <c r="D1115" s="111">
        <v>5298</v>
      </c>
      <c r="E1115" s="116" t="s">
        <v>275</v>
      </c>
      <c r="F1115" s="116" t="s">
        <v>274</v>
      </c>
      <c r="G1115" s="212" t="s">
        <v>208</v>
      </c>
      <c r="H1115" s="67" t="s">
        <v>429</v>
      </c>
      <c r="I1115" s="98" t="s">
        <v>22</v>
      </c>
      <c r="J1115" s="69">
        <v>0.7</v>
      </c>
      <c r="K1115" s="99" t="s">
        <v>215</v>
      </c>
      <c r="L1115" s="70" t="s">
        <v>205</v>
      </c>
      <c r="M1115" s="129"/>
      <c r="N1115" s="69">
        <v>0.95</v>
      </c>
      <c r="O1115" s="69">
        <v>0.2</v>
      </c>
      <c r="P1115" s="69"/>
      <c r="Q1115" s="69">
        <f t="shared" si="41"/>
        <v>0</v>
      </c>
      <c r="R1115" s="100">
        <f t="shared" si="42"/>
        <v>0</v>
      </c>
      <c r="S1115" s="69" t="s">
        <v>23</v>
      </c>
      <c r="T1115" s="192">
        <f>SUM(R1115:R1121)%</f>
        <v>0</v>
      </c>
    </row>
    <row r="1116" spans="1:20" ht="21.6" x14ac:dyDescent="0.3">
      <c r="A1116" s="139">
        <v>8</v>
      </c>
      <c r="B1116" s="42" t="s">
        <v>20</v>
      </c>
      <c r="C1116" s="43" t="s">
        <v>267</v>
      </c>
      <c r="D1116" s="50">
        <v>5298</v>
      </c>
      <c r="E1116" s="52" t="s">
        <v>275</v>
      </c>
      <c r="F1116" s="52" t="s">
        <v>274</v>
      </c>
      <c r="G1116" s="213" t="s">
        <v>208</v>
      </c>
      <c r="H1116" s="45" t="s">
        <v>429</v>
      </c>
      <c r="I1116" s="7" t="s">
        <v>22</v>
      </c>
      <c r="J1116" s="3">
        <v>0.7</v>
      </c>
      <c r="K1116" s="1" t="s">
        <v>307</v>
      </c>
      <c r="L1116" s="8" t="s">
        <v>206</v>
      </c>
      <c r="M1116" s="13"/>
      <c r="N1116" s="3">
        <v>0.95</v>
      </c>
      <c r="O1116" s="3">
        <v>0.2</v>
      </c>
      <c r="P1116" s="3"/>
      <c r="Q1116" s="3">
        <f t="shared" si="41"/>
        <v>0</v>
      </c>
      <c r="R1116" s="4">
        <f t="shared" si="42"/>
        <v>0</v>
      </c>
      <c r="S1116" s="3" t="s">
        <v>23</v>
      </c>
      <c r="T1116" s="195"/>
    </row>
    <row r="1117" spans="1:20" ht="21.6" x14ac:dyDescent="0.3">
      <c r="A1117" s="139">
        <v>9</v>
      </c>
      <c r="B1117" s="42" t="s">
        <v>20</v>
      </c>
      <c r="C1117" s="43" t="s">
        <v>267</v>
      </c>
      <c r="D1117" s="50">
        <v>5298</v>
      </c>
      <c r="E1117" s="52" t="s">
        <v>275</v>
      </c>
      <c r="F1117" s="52" t="s">
        <v>274</v>
      </c>
      <c r="G1117" s="213" t="s">
        <v>208</v>
      </c>
      <c r="H1117" s="45" t="s">
        <v>429</v>
      </c>
      <c r="I1117" s="7" t="s">
        <v>22</v>
      </c>
      <c r="J1117" s="3">
        <v>0.7</v>
      </c>
      <c r="K1117" s="1" t="s">
        <v>305</v>
      </c>
      <c r="L1117" s="8" t="s">
        <v>257</v>
      </c>
      <c r="M1117" s="13" t="s">
        <v>306</v>
      </c>
      <c r="N1117" s="3">
        <v>0.95</v>
      </c>
      <c r="O1117" s="3">
        <v>0.25</v>
      </c>
      <c r="P1117" s="3"/>
      <c r="Q1117" s="3">
        <f t="shared" ref="Q1117:Q1180" si="43">ROUND(IF(OR(N1117="",P1117=""),0,IF(AND(N1117=0,P1117=0),1,IF(S1117="+",P1117/N1117,N1117/P1117))),2)</f>
        <v>0</v>
      </c>
      <c r="R1117" s="4">
        <f t="shared" si="42"/>
        <v>0</v>
      </c>
      <c r="S1117" s="3" t="s">
        <v>23</v>
      </c>
      <c r="T1117" s="195"/>
    </row>
    <row r="1118" spans="1:20" ht="21.6" x14ac:dyDescent="0.3">
      <c r="A1118" s="139">
        <v>10</v>
      </c>
      <c r="B1118" s="42" t="s">
        <v>20</v>
      </c>
      <c r="C1118" s="43" t="s">
        <v>267</v>
      </c>
      <c r="D1118" s="50">
        <v>5298</v>
      </c>
      <c r="E1118" s="52" t="s">
        <v>275</v>
      </c>
      <c r="F1118" s="52" t="s">
        <v>274</v>
      </c>
      <c r="G1118" s="213" t="s">
        <v>208</v>
      </c>
      <c r="H1118" s="45" t="s">
        <v>429</v>
      </c>
      <c r="I1118" s="7" t="s">
        <v>22</v>
      </c>
      <c r="J1118" s="3">
        <v>0.7</v>
      </c>
      <c r="K1118" s="1" t="s">
        <v>308</v>
      </c>
      <c r="L1118" s="8" t="s">
        <v>130</v>
      </c>
      <c r="M1118" s="13" t="s">
        <v>131</v>
      </c>
      <c r="N1118" s="3">
        <v>0.9</v>
      </c>
      <c r="O1118" s="3">
        <v>0.15</v>
      </c>
      <c r="P1118" s="3"/>
      <c r="Q1118" s="3">
        <f t="shared" si="43"/>
        <v>0</v>
      </c>
      <c r="R1118" s="4">
        <f t="shared" si="42"/>
        <v>0</v>
      </c>
      <c r="S1118" s="3" t="s">
        <v>23</v>
      </c>
      <c r="T1118" s="195"/>
    </row>
    <row r="1119" spans="1:20" ht="21.6" x14ac:dyDescent="0.3">
      <c r="A1119" s="139">
        <v>11</v>
      </c>
      <c r="B1119" s="42" t="s">
        <v>20</v>
      </c>
      <c r="C1119" s="43" t="s">
        <v>267</v>
      </c>
      <c r="D1119" s="50">
        <v>5298</v>
      </c>
      <c r="E1119" s="52" t="s">
        <v>275</v>
      </c>
      <c r="F1119" s="52" t="s">
        <v>274</v>
      </c>
      <c r="G1119" s="213" t="s">
        <v>208</v>
      </c>
      <c r="H1119" s="45" t="s">
        <v>429</v>
      </c>
      <c r="I1119" s="7" t="s">
        <v>22</v>
      </c>
      <c r="J1119" s="3">
        <v>0.7</v>
      </c>
      <c r="K1119" s="1" t="s">
        <v>309</v>
      </c>
      <c r="L1119" s="8" t="s">
        <v>207</v>
      </c>
      <c r="M1119" s="13"/>
      <c r="N1119" s="3">
        <v>1</v>
      </c>
      <c r="O1119" s="3">
        <v>0.1</v>
      </c>
      <c r="P1119" s="3"/>
      <c r="Q1119" s="3">
        <f t="shared" si="43"/>
        <v>0</v>
      </c>
      <c r="R1119" s="4">
        <f t="shared" si="42"/>
        <v>0</v>
      </c>
      <c r="S1119" s="3" t="s">
        <v>23</v>
      </c>
      <c r="T1119" s="195"/>
    </row>
    <row r="1120" spans="1:20" ht="21.6" x14ac:dyDescent="0.3">
      <c r="A1120" s="139"/>
      <c r="B1120" s="42" t="s">
        <v>20</v>
      </c>
      <c r="C1120" s="43" t="s">
        <v>267</v>
      </c>
      <c r="D1120" s="50">
        <v>5298</v>
      </c>
      <c r="E1120" s="52" t="s">
        <v>275</v>
      </c>
      <c r="F1120" s="52" t="s">
        <v>274</v>
      </c>
      <c r="G1120" s="213" t="s">
        <v>208</v>
      </c>
      <c r="H1120" s="45" t="s">
        <v>429</v>
      </c>
      <c r="I1120" s="7" t="s">
        <v>22</v>
      </c>
      <c r="J1120" s="3">
        <v>0.7</v>
      </c>
      <c r="K1120" s="1" t="s">
        <v>310</v>
      </c>
      <c r="L1120" s="8" t="s">
        <v>136</v>
      </c>
      <c r="M1120" s="1" t="s">
        <v>137</v>
      </c>
      <c r="N1120" s="4">
        <v>0.9</v>
      </c>
      <c r="O1120" s="3">
        <v>0.1</v>
      </c>
      <c r="P1120" s="19"/>
      <c r="Q1120" s="3">
        <f t="shared" si="43"/>
        <v>0</v>
      </c>
      <c r="R1120" s="4">
        <f t="shared" si="42"/>
        <v>0</v>
      </c>
      <c r="S1120" s="3" t="s">
        <v>23</v>
      </c>
      <c r="T1120" s="195"/>
    </row>
    <row r="1121" spans="1:20" ht="22.2" thickBot="1" x14ac:dyDescent="0.35">
      <c r="A1121" s="142">
        <v>12</v>
      </c>
      <c r="B1121" s="81" t="s">
        <v>20</v>
      </c>
      <c r="C1121" s="82" t="s">
        <v>267</v>
      </c>
      <c r="D1121" s="113">
        <v>5298</v>
      </c>
      <c r="E1121" s="118" t="s">
        <v>275</v>
      </c>
      <c r="F1121" s="118" t="s">
        <v>274</v>
      </c>
      <c r="G1121" s="214" t="s">
        <v>208</v>
      </c>
      <c r="H1121" s="84" t="s">
        <v>429</v>
      </c>
      <c r="I1121" s="125" t="s">
        <v>26</v>
      </c>
      <c r="J1121" s="86">
        <v>0.3</v>
      </c>
      <c r="K1121" s="102" t="s">
        <v>138</v>
      </c>
      <c r="L1121" s="126" t="s">
        <v>139</v>
      </c>
      <c r="M1121" s="130" t="s">
        <v>140</v>
      </c>
      <c r="N1121" s="86">
        <v>1</v>
      </c>
      <c r="O1121" s="86">
        <v>1</v>
      </c>
      <c r="P1121" s="86"/>
      <c r="Q1121" s="86">
        <f t="shared" si="43"/>
        <v>0</v>
      </c>
      <c r="R1121" s="90">
        <f t="shared" si="42"/>
        <v>0</v>
      </c>
      <c r="S1121" s="91" t="s">
        <v>23</v>
      </c>
      <c r="T1121" s="149"/>
    </row>
    <row r="1122" spans="1:20" ht="21.6" x14ac:dyDescent="0.3">
      <c r="A1122" s="144">
        <v>7</v>
      </c>
      <c r="B1122" s="64" t="s">
        <v>20</v>
      </c>
      <c r="C1122" s="65" t="s">
        <v>267</v>
      </c>
      <c r="D1122" s="111">
        <v>5299</v>
      </c>
      <c r="E1122" s="116" t="s">
        <v>276</v>
      </c>
      <c r="F1122" s="116" t="s">
        <v>274</v>
      </c>
      <c r="G1122" s="212" t="s">
        <v>208</v>
      </c>
      <c r="H1122" s="67" t="s">
        <v>429</v>
      </c>
      <c r="I1122" s="98" t="s">
        <v>22</v>
      </c>
      <c r="J1122" s="69">
        <v>0.7</v>
      </c>
      <c r="K1122" s="99" t="s">
        <v>215</v>
      </c>
      <c r="L1122" s="70" t="s">
        <v>205</v>
      </c>
      <c r="M1122" s="99"/>
      <c r="N1122" s="69">
        <v>0.95</v>
      </c>
      <c r="O1122" s="69">
        <v>0.2</v>
      </c>
      <c r="P1122" s="69"/>
      <c r="Q1122" s="69">
        <f t="shared" si="43"/>
        <v>0</v>
      </c>
      <c r="R1122" s="100">
        <f t="shared" si="42"/>
        <v>0</v>
      </c>
      <c r="S1122" s="69" t="s">
        <v>23</v>
      </c>
      <c r="T1122" s="192">
        <f>SUM(R1122:R1128)%</f>
        <v>0</v>
      </c>
    </row>
    <row r="1123" spans="1:20" ht="21.6" x14ac:dyDescent="0.3">
      <c r="A1123" s="139">
        <v>8</v>
      </c>
      <c r="B1123" s="42" t="s">
        <v>20</v>
      </c>
      <c r="C1123" s="43" t="s">
        <v>267</v>
      </c>
      <c r="D1123" s="50">
        <v>5299</v>
      </c>
      <c r="E1123" s="52" t="s">
        <v>276</v>
      </c>
      <c r="F1123" s="52" t="s">
        <v>274</v>
      </c>
      <c r="G1123" s="213" t="s">
        <v>208</v>
      </c>
      <c r="H1123" s="45" t="s">
        <v>429</v>
      </c>
      <c r="I1123" s="7" t="s">
        <v>22</v>
      </c>
      <c r="J1123" s="3">
        <v>0.7</v>
      </c>
      <c r="K1123" s="1" t="s">
        <v>307</v>
      </c>
      <c r="L1123" s="8" t="s">
        <v>206</v>
      </c>
      <c r="M1123" s="1"/>
      <c r="N1123" s="3">
        <v>0.95</v>
      </c>
      <c r="O1123" s="3">
        <v>0.2</v>
      </c>
      <c r="P1123" s="3"/>
      <c r="Q1123" s="3">
        <f t="shared" si="43"/>
        <v>0</v>
      </c>
      <c r="R1123" s="4">
        <f t="shared" si="42"/>
        <v>0</v>
      </c>
      <c r="S1123" s="3" t="s">
        <v>23</v>
      </c>
      <c r="T1123" s="195"/>
    </row>
    <row r="1124" spans="1:20" ht="21.6" x14ac:dyDescent="0.3">
      <c r="A1124" s="139">
        <v>9</v>
      </c>
      <c r="B1124" s="42" t="s">
        <v>20</v>
      </c>
      <c r="C1124" s="43" t="s">
        <v>267</v>
      </c>
      <c r="D1124" s="50">
        <v>5299</v>
      </c>
      <c r="E1124" s="52" t="s">
        <v>276</v>
      </c>
      <c r="F1124" s="52" t="s">
        <v>274</v>
      </c>
      <c r="G1124" s="213" t="s">
        <v>208</v>
      </c>
      <c r="H1124" s="45" t="s">
        <v>429</v>
      </c>
      <c r="I1124" s="7" t="s">
        <v>22</v>
      </c>
      <c r="J1124" s="3">
        <v>0.7</v>
      </c>
      <c r="K1124" s="1" t="s">
        <v>305</v>
      </c>
      <c r="L1124" s="8" t="s">
        <v>257</v>
      </c>
      <c r="M1124" s="13" t="s">
        <v>306</v>
      </c>
      <c r="N1124" s="3">
        <v>0.95</v>
      </c>
      <c r="O1124" s="3">
        <v>0.25</v>
      </c>
      <c r="P1124" s="3"/>
      <c r="Q1124" s="3">
        <f t="shared" si="43"/>
        <v>0</v>
      </c>
      <c r="R1124" s="4">
        <f t="shared" si="42"/>
        <v>0</v>
      </c>
      <c r="S1124" s="3" t="s">
        <v>23</v>
      </c>
      <c r="T1124" s="195"/>
    </row>
    <row r="1125" spans="1:20" ht="21.6" x14ac:dyDescent="0.3">
      <c r="A1125" s="139">
        <v>10</v>
      </c>
      <c r="B1125" s="42" t="s">
        <v>20</v>
      </c>
      <c r="C1125" s="43" t="s">
        <v>267</v>
      </c>
      <c r="D1125" s="50">
        <v>5299</v>
      </c>
      <c r="E1125" s="52" t="s">
        <v>276</v>
      </c>
      <c r="F1125" s="52" t="s">
        <v>274</v>
      </c>
      <c r="G1125" s="213" t="s">
        <v>208</v>
      </c>
      <c r="H1125" s="45" t="s">
        <v>429</v>
      </c>
      <c r="I1125" s="7" t="s">
        <v>22</v>
      </c>
      <c r="J1125" s="3">
        <v>0.7</v>
      </c>
      <c r="K1125" s="1" t="s">
        <v>308</v>
      </c>
      <c r="L1125" s="8" t="s">
        <v>130</v>
      </c>
      <c r="M1125" s="13" t="s">
        <v>131</v>
      </c>
      <c r="N1125" s="3">
        <v>0.9</v>
      </c>
      <c r="O1125" s="3">
        <v>0.15</v>
      </c>
      <c r="P1125" s="3"/>
      <c r="Q1125" s="3">
        <f t="shared" si="43"/>
        <v>0</v>
      </c>
      <c r="R1125" s="4">
        <f t="shared" si="42"/>
        <v>0</v>
      </c>
      <c r="S1125" s="3" t="s">
        <v>23</v>
      </c>
      <c r="T1125" s="195"/>
    </row>
    <row r="1126" spans="1:20" ht="21.6" x14ac:dyDescent="0.3">
      <c r="A1126" s="139">
        <v>11</v>
      </c>
      <c r="B1126" s="42" t="s">
        <v>20</v>
      </c>
      <c r="C1126" s="43" t="s">
        <v>267</v>
      </c>
      <c r="D1126" s="50">
        <v>5299</v>
      </c>
      <c r="E1126" s="52" t="s">
        <v>276</v>
      </c>
      <c r="F1126" s="52" t="s">
        <v>274</v>
      </c>
      <c r="G1126" s="213" t="s">
        <v>208</v>
      </c>
      <c r="H1126" s="45" t="s">
        <v>429</v>
      </c>
      <c r="I1126" s="7" t="s">
        <v>22</v>
      </c>
      <c r="J1126" s="3">
        <v>0.7</v>
      </c>
      <c r="K1126" s="1" t="s">
        <v>309</v>
      </c>
      <c r="L1126" s="8" t="s">
        <v>207</v>
      </c>
      <c r="M1126" s="13"/>
      <c r="N1126" s="3">
        <v>1</v>
      </c>
      <c r="O1126" s="3">
        <v>0.1</v>
      </c>
      <c r="P1126" s="3"/>
      <c r="Q1126" s="3">
        <f t="shared" si="43"/>
        <v>0</v>
      </c>
      <c r="R1126" s="4">
        <f t="shared" si="42"/>
        <v>0</v>
      </c>
      <c r="S1126" s="3" t="s">
        <v>23</v>
      </c>
      <c r="T1126" s="195"/>
    </row>
    <row r="1127" spans="1:20" ht="21.6" x14ac:dyDescent="0.3">
      <c r="A1127" s="139"/>
      <c r="B1127" s="42" t="s">
        <v>20</v>
      </c>
      <c r="C1127" s="43" t="s">
        <v>267</v>
      </c>
      <c r="D1127" s="50">
        <v>5299</v>
      </c>
      <c r="E1127" s="52" t="s">
        <v>276</v>
      </c>
      <c r="F1127" s="52" t="s">
        <v>274</v>
      </c>
      <c r="G1127" s="213" t="s">
        <v>208</v>
      </c>
      <c r="H1127" s="45" t="s">
        <v>429</v>
      </c>
      <c r="I1127" s="47" t="s">
        <v>22</v>
      </c>
      <c r="J1127" s="3">
        <v>0.7</v>
      </c>
      <c r="K1127" s="49" t="s">
        <v>310</v>
      </c>
      <c r="L1127" s="30" t="s">
        <v>136</v>
      </c>
      <c r="M1127" s="49" t="s">
        <v>137</v>
      </c>
      <c r="N1127" s="3">
        <v>0.9</v>
      </c>
      <c r="O1127" s="3">
        <v>0.1</v>
      </c>
      <c r="P1127" s="19"/>
      <c r="Q1127" s="3">
        <f t="shared" si="43"/>
        <v>0</v>
      </c>
      <c r="R1127" s="4">
        <f t="shared" si="42"/>
        <v>0</v>
      </c>
      <c r="S1127" s="3" t="s">
        <v>23</v>
      </c>
      <c r="T1127" s="195"/>
    </row>
    <row r="1128" spans="1:20" ht="22.2" thickBot="1" x14ac:dyDescent="0.35">
      <c r="A1128" s="142">
        <v>12</v>
      </c>
      <c r="B1128" s="81" t="s">
        <v>20</v>
      </c>
      <c r="C1128" s="82" t="s">
        <v>267</v>
      </c>
      <c r="D1128" s="113">
        <v>5299</v>
      </c>
      <c r="E1128" s="118" t="s">
        <v>276</v>
      </c>
      <c r="F1128" s="118" t="s">
        <v>274</v>
      </c>
      <c r="G1128" s="214" t="s">
        <v>208</v>
      </c>
      <c r="H1128" s="84" t="s">
        <v>429</v>
      </c>
      <c r="I1128" s="85" t="s">
        <v>26</v>
      </c>
      <c r="J1128" s="86">
        <v>0.3</v>
      </c>
      <c r="K1128" s="115" t="s">
        <v>138</v>
      </c>
      <c r="L1128" s="114" t="s">
        <v>139</v>
      </c>
      <c r="M1128" s="115" t="s">
        <v>140</v>
      </c>
      <c r="N1128" s="86">
        <v>1</v>
      </c>
      <c r="O1128" s="86">
        <v>1</v>
      </c>
      <c r="P1128" s="127"/>
      <c r="Q1128" s="86">
        <f t="shared" si="43"/>
        <v>0</v>
      </c>
      <c r="R1128" s="90">
        <f t="shared" si="42"/>
        <v>0</v>
      </c>
      <c r="S1128" s="91" t="s">
        <v>23</v>
      </c>
      <c r="T1128" s="149"/>
    </row>
    <row r="1129" spans="1:20" ht="21.6" x14ac:dyDescent="0.3">
      <c r="A1129" s="144">
        <v>7</v>
      </c>
      <c r="B1129" s="64" t="s">
        <v>20</v>
      </c>
      <c r="C1129" s="65" t="s">
        <v>267</v>
      </c>
      <c r="D1129" s="111">
        <v>5324</v>
      </c>
      <c r="E1129" s="116" t="s">
        <v>277</v>
      </c>
      <c r="F1129" s="116" t="s">
        <v>274</v>
      </c>
      <c r="G1129" s="212" t="s">
        <v>208</v>
      </c>
      <c r="H1129" s="67" t="s">
        <v>429</v>
      </c>
      <c r="I1129" s="98" t="s">
        <v>22</v>
      </c>
      <c r="J1129" s="69">
        <v>0.7</v>
      </c>
      <c r="K1129" s="99" t="s">
        <v>215</v>
      </c>
      <c r="L1129" s="70" t="s">
        <v>205</v>
      </c>
      <c r="M1129" s="99"/>
      <c r="N1129" s="69">
        <v>0.95</v>
      </c>
      <c r="O1129" s="69">
        <v>0.2</v>
      </c>
      <c r="P1129" s="69"/>
      <c r="Q1129" s="69">
        <f t="shared" si="43"/>
        <v>0</v>
      </c>
      <c r="R1129" s="100">
        <f t="shared" si="42"/>
        <v>0</v>
      </c>
      <c r="S1129" s="69" t="s">
        <v>23</v>
      </c>
      <c r="T1129" s="192">
        <f>SUM(R1129:R1135)%</f>
        <v>0</v>
      </c>
    </row>
    <row r="1130" spans="1:20" ht="21.6" x14ac:dyDescent="0.3">
      <c r="A1130" s="139">
        <v>8</v>
      </c>
      <c r="B1130" s="42" t="s">
        <v>20</v>
      </c>
      <c r="C1130" s="43" t="s">
        <v>267</v>
      </c>
      <c r="D1130" s="50">
        <v>5324</v>
      </c>
      <c r="E1130" s="52" t="s">
        <v>277</v>
      </c>
      <c r="F1130" s="52" t="s">
        <v>274</v>
      </c>
      <c r="G1130" s="213" t="s">
        <v>208</v>
      </c>
      <c r="H1130" s="45" t="s">
        <v>429</v>
      </c>
      <c r="I1130" s="7" t="s">
        <v>22</v>
      </c>
      <c r="J1130" s="3">
        <v>0.7</v>
      </c>
      <c r="K1130" s="1" t="s">
        <v>307</v>
      </c>
      <c r="L1130" s="8" t="s">
        <v>206</v>
      </c>
      <c r="M1130" s="1"/>
      <c r="N1130" s="3">
        <v>0.95</v>
      </c>
      <c r="O1130" s="3">
        <v>0.2</v>
      </c>
      <c r="P1130" s="3"/>
      <c r="Q1130" s="3">
        <f t="shared" si="43"/>
        <v>0</v>
      </c>
      <c r="R1130" s="4">
        <f t="shared" si="42"/>
        <v>0</v>
      </c>
      <c r="S1130" s="3" t="s">
        <v>23</v>
      </c>
      <c r="T1130" s="195"/>
    </row>
    <row r="1131" spans="1:20" ht="21.6" x14ac:dyDescent="0.3">
      <c r="A1131" s="139">
        <v>9</v>
      </c>
      <c r="B1131" s="42" t="s">
        <v>20</v>
      </c>
      <c r="C1131" s="43" t="s">
        <v>267</v>
      </c>
      <c r="D1131" s="50">
        <v>5324</v>
      </c>
      <c r="E1131" s="52" t="s">
        <v>277</v>
      </c>
      <c r="F1131" s="52" t="s">
        <v>274</v>
      </c>
      <c r="G1131" s="213" t="s">
        <v>208</v>
      </c>
      <c r="H1131" s="45" t="s">
        <v>429</v>
      </c>
      <c r="I1131" s="7" t="s">
        <v>22</v>
      </c>
      <c r="J1131" s="3">
        <v>0.7</v>
      </c>
      <c r="K1131" s="1" t="s">
        <v>305</v>
      </c>
      <c r="L1131" s="8" t="s">
        <v>257</v>
      </c>
      <c r="M1131" s="13" t="s">
        <v>306</v>
      </c>
      <c r="N1131" s="3">
        <v>0.95</v>
      </c>
      <c r="O1131" s="3">
        <v>0.25</v>
      </c>
      <c r="P1131" s="3"/>
      <c r="Q1131" s="3">
        <f t="shared" si="43"/>
        <v>0</v>
      </c>
      <c r="R1131" s="4">
        <f t="shared" si="42"/>
        <v>0</v>
      </c>
      <c r="S1131" s="3" t="s">
        <v>23</v>
      </c>
      <c r="T1131" s="195"/>
    </row>
    <row r="1132" spans="1:20" ht="21.6" x14ac:dyDescent="0.3">
      <c r="A1132" s="139">
        <v>10</v>
      </c>
      <c r="B1132" s="42" t="s">
        <v>20</v>
      </c>
      <c r="C1132" s="43" t="s">
        <v>267</v>
      </c>
      <c r="D1132" s="50">
        <v>5324</v>
      </c>
      <c r="E1132" s="52" t="s">
        <v>277</v>
      </c>
      <c r="F1132" s="52" t="s">
        <v>274</v>
      </c>
      <c r="G1132" s="213" t="s">
        <v>208</v>
      </c>
      <c r="H1132" s="45" t="s">
        <v>429</v>
      </c>
      <c r="I1132" s="7" t="s">
        <v>22</v>
      </c>
      <c r="J1132" s="3">
        <v>0.7</v>
      </c>
      <c r="K1132" s="1" t="s">
        <v>308</v>
      </c>
      <c r="L1132" s="8" t="s">
        <v>130</v>
      </c>
      <c r="M1132" s="13" t="s">
        <v>131</v>
      </c>
      <c r="N1132" s="3">
        <v>0.9</v>
      </c>
      <c r="O1132" s="3">
        <v>0.15</v>
      </c>
      <c r="P1132" s="3"/>
      <c r="Q1132" s="3">
        <f t="shared" si="43"/>
        <v>0</v>
      </c>
      <c r="R1132" s="4">
        <f t="shared" si="42"/>
        <v>0</v>
      </c>
      <c r="S1132" s="3" t="s">
        <v>23</v>
      </c>
      <c r="T1132" s="195"/>
    </row>
    <row r="1133" spans="1:20" ht="21.6" x14ac:dyDescent="0.3">
      <c r="A1133" s="139">
        <v>11</v>
      </c>
      <c r="B1133" s="42" t="s">
        <v>20</v>
      </c>
      <c r="C1133" s="43" t="s">
        <v>267</v>
      </c>
      <c r="D1133" s="50">
        <v>5324</v>
      </c>
      <c r="E1133" s="52" t="s">
        <v>277</v>
      </c>
      <c r="F1133" s="52" t="s">
        <v>274</v>
      </c>
      <c r="G1133" s="213" t="s">
        <v>208</v>
      </c>
      <c r="H1133" s="45" t="s">
        <v>429</v>
      </c>
      <c r="I1133" s="7" t="s">
        <v>22</v>
      </c>
      <c r="J1133" s="3">
        <v>0.7</v>
      </c>
      <c r="K1133" s="1" t="s">
        <v>309</v>
      </c>
      <c r="L1133" s="8" t="s">
        <v>207</v>
      </c>
      <c r="M1133" s="13"/>
      <c r="N1133" s="3">
        <v>1</v>
      </c>
      <c r="O1133" s="3">
        <v>0.1</v>
      </c>
      <c r="P1133" s="3"/>
      <c r="Q1133" s="3">
        <f t="shared" si="43"/>
        <v>0</v>
      </c>
      <c r="R1133" s="4">
        <f t="shared" si="42"/>
        <v>0</v>
      </c>
      <c r="S1133" s="3" t="s">
        <v>23</v>
      </c>
      <c r="T1133" s="195"/>
    </row>
    <row r="1134" spans="1:20" ht="21.6" x14ac:dyDescent="0.3">
      <c r="A1134" s="139"/>
      <c r="B1134" s="42" t="s">
        <v>20</v>
      </c>
      <c r="C1134" s="43" t="s">
        <v>267</v>
      </c>
      <c r="D1134" s="50">
        <v>5324</v>
      </c>
      <c r="E1134" s="52" t="s">
        <v>277</v>
      </c>
      <c r="F1134" s="52" t="s">
        <v>274</v>
      </c>
      <c r="G1134" s="213" t="s">
        <v>208</v>
      </c>
      <c r="H1134" s="45" t="s">
        <v>429</v>
      </c>
      <c r="I1134" s="47" t="s">
        <v>22</v>
      </c>
      <c r="J1134" s="3">
        <v>0.7</v>
      </c>
      <c r="K1134" s="49" t="s">
        <v>310</v>
      </c>
      <c r="L1134" s="30" t="s">
        <v>136</v>
      </c>
      <c r="M1134" s="49" t="s">
        <v>137</v>
      </c>
      <c r="N1134" s="3">
        <v>0.9</v>
      </c>
      <c r="O1134" s="3">
        <v>0.1</v>
      </c>
      <c r="P1134" s="19"/>
      <c r="Q1134" s="3">
        <f t="shared" si="43"/>
        <v>0</v>
      </c>
      <c r="R1134" s="4">
        <f t="shared" si="42"/>
        <v>0</v>
      </c>
      <c r="S1134" s="3" t="s">
        <v>23</v>
      </c>
      <c r="T1134" s="195"/>
    </row>
    <row r="1135" spans="1:20" ht="22.2" thickBot="1" x14ac:dyDescent="0.35">
      <c r="A1135" s="142">
        <v>12</v>
      </c>
      <c r="B1135" s="81" t="s">
        <v>20</v>
      </c>
      <c r="C1135" s="82" t="s">
        <v>267</v>
      </c>
      <c r="D1135" s="113">
        <v>5324</v>
      </c>
      <c r="E1135" s="118" t="s">
        <v>277</v>
      </c>
      <c r="F1135" s="118" t="s">
        <v>274</v>
      </c>
      <c r="G1135" s="214" t="s">
        <v>208</v>
      </c>
      <c r="H1135" s="84" t="s">
        <v>429</v>
      </c>
      <c r="I1135" s="85" t="s">
        <v>26</v>
      </c>
      <c r="J1135" s="86">
        <v>0.3</v>
      </c>
      <c r="K1135" s="115" t="s">
        <v>138</v>
      </c>
      <c r="L1135" s="114" t="s">
        <v>139</v>
      </c>
      <c r="M1135" s="115" t="s">
        <v>140</v>
      </c>
      <c r="N1135" s="86">
        <v>1</v>
      </c>
      <c r="O1135" s="86">
        <v>1</v>
      </c>
      <c r="P1135" s="127"/>
      <c r="Q1135" s="86">
        <f t="shared" si="43"/>
        <v>0</v>
      </c>
      <c r="R1135" s="90">
        <f t="shared" si="42"/>
        <v>0</v>
      </c>
      <c r="S1135" s="91" t="s">
        <v>23</v>
      </c>
      <c r="T1135" s="149"/>
    </row>
    <row r="1136" spans="1:20" ht="21.6" x14ac:dyDescent="0.3">
      <c r="A1136" s="144">
        <v>7</v>
      </c>
      <c r="B1136" s="64" t="s">
        <v>20</v>
      </c>
      <c r="C1136" s="65" t="s">
        <v>267</v>
      </c>
      <c r="D1136" s="111">
        <v>5398</v>
      </c>
      <c r="E1136" s="116" t="s">
        <v>278</v>
      </c>
      <c r="F1136" s="116" t="s">
        <v>274</v>
      </c>
      <c r="G1136" s="212" t="s">
        <v>208</v>
      </c>
      <c r="H1136" s="67" t="s">
        <v>429</v>
      </c>
      <c r="I1136" s="98" t="s">
        <v>22</v>
      </c>
      <c r="J1136" s="69">
        <v>0.7</v>
      </c>
      <c r="K1136" s="99" t="s">
        <v>215</v>
      </c>
      <c r="L1136" s="70" t="s">
        <v>205</v>
      </c>
      <c r="M1136" s="99"/>
      <c r="N1136" s="69">
        <v>0.95</v>
      </c>
      <c r="O1136" s="69">
        <v>0.2</v>
      </c>
      <c r="P1136" s="69"/>
      <c r="Q1136" s="69">
        <f t="shared" si="43"/>
        <v>0</v>
      </c>
      <c r="R1136" s="100">
        <f t="shared" si="42"/>
        <v>0</v>
      </c>
      <c r="S1136" s="69" t="s">
        <v>23</v>
      </c>
      <c r="T1136" s="192">
        <f>SUM(R1136:R1142)%</f>
        <v>0</v>
      </c>
    </row>
    <row r="1137" spans="1:20" ht="21.6" x14ac:dyDescent="0.3">
      <c r="A1137" s="139">
        <v>8</v>
      </c>
      <c r="B1137" s="42" t="s">
        <v>20</v>
      </c>
      <c r="C1137" s="43" t="s">
        <v>267</v>
      </c>
      <c r="D1137" s="50">
        <v>5398</v>
      </c>
      <c r="E1137" s="52" t="s">
        <v>278</v>
      </c>
      <c r="F1137" s="52" t="s">
        <v>274</v>
      </c>
      <c r="G1137" s="213" t="s">
        <v>208</v>
      </c>
      <c r="H1137" s="45" t="s">
        <v>429</v>
      </c>
      <c r="I1137" s="7" t="s">
        <v>22</v>
      </c>
      <c r="J1137" s="3">
        <v>0.7</v>
      </c>
      <c r="K1137" s="1" t="s">
        <v>307</v>
      </c>
      <c r="L1137" s="8" t="s">
        <v>206</v>
      </c>
      <c r="M1137" s="1"/>
      <c r="N1137" s="3">
        <v>0.95</v>
      </c>
      <c r="O1137" s="3">
        <v>0.2</v>
      </c>
      <c r="P1137" s="3"/>
      <c r="Q1137" s="3">
        <f t="shared" si="43"/>
        <v>0</v>
      </c>
      <c r="R1137" s="4">
        <f t="shared" si="42"/>
        <v>0</v>
      </c>
      <c r="S1137" s="3" t="s">
        <v>23</v>
      </c>
      <c r="T1137" s="195"/>
    </row>
    <row r="1138" spans="1:20" ht="21.6" x14ac:dyDescent="0.3">
      <c r="A1138" s="139">
        <v>9</v>
      </c>
      <c r="B1138" s="42" t="s">
        <v>20</v>
      </c>
      <c r="C1138" s="43" t="s">
        <v>267</v>
      </c>
      <c r="D1138" s="50">
        <v>5398</v>
      </c>
      <c r="E1138" s="52" t="s">
        <v>278</v>
      </c>
      <c r="F1138" s="52" t="s">
        <v>274</v>
      </c>
      <c r="G1138" s="213" t="s">
        <v>208</v>
      </c>
      <c r="H1138" s="45" t="s">
        <v>429</v>
      </c>
      <c r="I1138" s="7" t="s">
        <v>22</v>
      </c>
      <c r="J1138" s="3">
        <v>0.7</v>
      </c>
      <c r="K1138" s="1" t="s">
        <v>305</v>
      </c>
      <c r="L1138" s="8" t="s">
        <v>257</v>
      </c>
      <c r="M1138" s="13" t="s">
        <v>306</v>
      </c>
      <c r="N1138" s="3">
        <v>0.95</v>
      </c>
      <c r="O1138" s="3">
        <v>0.25</v>
      </c>
      <c r="P1138" s="3"/>
      <c r="Q1138" s="3">
        <f t="shared" si="43"/>
        <v>0</v>
      </c>
      <c r="R1138" s="4">
        <f t="shared" si="42"/>
        <v>0</v>
      </c>
      <c r="S1138" s="3" t="s">
        <v>23</v>
      </c>
      <c r="T1138" s="195"/>
    </row>
    <row r="1139" spans="1:20" ht="21.6" x14ac:dyDescent="0.3">
      <c r="A1139" s="139">
        <v>10</v>
      </c>
      <c r="B1139" s="42" t="s">
        <v>20</v>
      </c>
      <c r="C1139" s="43" t="s">
        <v>267</v>
      </c>
      <c r="D1139" s="50">
        <v>5398</v>
      </c>
      <c r="E1139" s="52" t="s">
        <v>278</v>
      </c>
      <c r="F1139" s="52" t="s">
        <v>274</v>
      </c>
      <c r="G1139" s="213" t="s">
        <v>208</v>
      </c>
      <c r="H1139" s="45" t="s">
        <v>429</v>
      </c>
      <c r="I1139" s="7" t="s">
        <v>22</v>
      </c>
      <c r="J1139" s="3">
        <v>0.7</v>
      </c>
      <c r="K1139" s="1" t="s">
        <v>308</v>
      </c>
      <c r="L1139" s="8" t="s">
        <v>130</v>
      </c>
      <c r="M1139" s="13" t="s">
        <v>131</v>
      </c>
      <c r="N1139" s="3">
        <v>0.9</v>
      </c>
      <c r="O1139" s="3">
        <v>0.15</v>
      </c>
      <c r="P1139" s="3"/>
      <c r="Q1139" s="3">
        <f t="shared" si="43"/>
        <v>0</v>
      </c>
      <c r="R1139" s="4">
        <f t="shared" si="42"/>
        <v>0</v>
      </c>
      <c r="S1139" s="3" t="s">
        <v>23</v>
      </c>
      <c r="T1139" s="195"/>
    </row>
    <row r="1140" spans="1:20" ht="21.6" x14ac:dyDescent="0.3">
      <c r="A1140" s="139">
        <v>11</v>
      </c>
      <c r="B1140" s="42" t="s">
        <v>20</v>
      </c>
      <c r="C1140" s="43" t="s">
        <v>267</v>
      </c>
      <c r="D1140" s="50">
        <v>5398</v>
      </c>
      <c r="E1140" s="52" t="s">
        <v>278</v>
      </c>
      <c r="F1140" s="52" t="s">
        <v>274</v>
      </c>
      <c r="G1140" s="213" t="s">
        <v>208</v>
      </c>
      <c r="H1140" s="45" t="s">
        <v>429</v>
      </c>
      <c r="I1140" s="7" t="s">
        <v>22</v>
      </c>
      <c r="J1140" s="3">
        <v>0.7</v>
      </c>
      <c r="K1140" s="1" t="s">
        <v>309</v>
      </c>
      <c r="L1140" s="8" t="s">
        <v>207</v>
      </c>
      <c r="M1140" s="13"/>
      <c r="N1140" s="3">
        <v>1</v>
      </c>
      <c r="O1140" s="3">
        <v>0.1</v>
      </c>
      <c r="P1140" s="3"/>
      <c r="Q1140" s="3">
        <f t="shared" si="43"/>
        <v>0</v>
      </c>
      <c r="R1140" s="4">
        <f t="shared" si="42"/>
        <v>0</v>
      </c>
      <c r="S1140" s="3" t="s">
        <v>23</v>
      </c>
      <c r="T1140" s="195"/>
    </row>
    <row r="1141" spans="1:20" ht="21.6" x14ac:dyDescent="0.3">
      <c r="A1141" s="139"/>
      <c r="B1141" s="42" t="s">
        <v>20</v>
      </c>
      <c r="C1141" s="43" t="s">
        <v>267</v>
      </c>
      <c r="D1141" s="50">
        <v>5398</v>
      </c>
      <c r="E1141" s="52" t="s">
        <v>278</v>
      </c>
      <c r="F1141" s="52" t="s">
        <v>274</v>
      </c>
      <c r="G1141" s="213" t="s">
        <v>208</v>
      </c>
      <c r="H1141" s="45" t="s">
        <v>429</v>
      </c>
      <c r="I1141" s="47" t="s">
        <v>22</v>
      </c>
      <c r="J1141" s="3">
        <v>0.7</v>
      </c>
      <c r="K1141" s="49" t="s">
        <v>310</v>
      </c>
      <c r="L1141" s="30" t="s">
        <v>136</v>
      </c>
      <c r="M1141" s="49" t="s">
        <v>137</v>
      </c>
      <c r="N1141" s="3">
        <v>0.9</v>
      </c>
      <c r="O1141" s="3">
        <v>0.1</v>
      </c>
      <c r="P1141" s="19"/>
      <c r="Q1141" s="3">
        <f t="shared" si="43"/>
        <v>0</v>
      </c>
      <c r="R1141" s="4">
        <f t="shared" si="42"/>
        <v>0</v>
      </c>
      <c r="S1141" s="3" t="s">
        <v>23</v>
      </c>
      <c r="T1141" s="195"/>
    </row>
    <row r="1142" spans="1:20" ht="22.2" thickBot="1" x14ac:dyDescent="0.35">
      <c r="A1142" s="142">
        <v>12</v>
      </c>
      <c r="B1142" s="81" t="s">
        <v>20</v>
      </c>
      <c r="C1142" s="82" t="s">
        <v>267</v>
      </c>
      <c r="D1142" s="113">
        <v>5398</v>
      </c>
      <c r="E1142" s="118" t="s">
        <v>278</v>
      </c>
      <c r="F1142" s="118" t="s">
        <v>274</v>
      </c>
      <c r="G1142" s="214" t="s">
        <v>208</v>
      </c>
      <c r="H1142" s="84" t="s">
        <v>429</v>
      </c>
      <c r="I1142" s="85" t="s">
        <v>26</v>
      </c>
      <c r="J1142" s="86">
        <v>0.3</v>
      </c>
      <c r="K1142" s="115" t="s">
        <v>138</v>
      </c>
      <c r="L1142" s="114" t="s">
        <v>139</v>
      </c>
      <c r="M1142" s="115" t="s">
        <v>140</v>
      </c>
      <c r="N1142" s="86">
        <v>1</v>
      </c>
      <c r="O1142" s="86">
        <v>1</v>
      </c>
      <c r="P1142" s="127"/>
      <c r="Q1142" s="86">
        <f t="shared" si="43"/>
        <v>0</v>
      </c>
      <c r="R1142" s="90">
        <f t="shared" si="42"/>
        <v>0</v>
      </c>
      <c r="S1142" s="91" t="s">
        <v>23</v>
      </c>
      <c r="T1142" s="149"/>
    </row>
    <row r="1143" spans="1:20" ht="21.6" x14ac:dyDescent="0.3">
      <c r="A1143" s="144">
        <v>7</v>
      </c>
      <c r="B1143" s="64" t="s">
        <v>20</v>
      </c>
      <c r="C1143" s="65" t="s">
        <v>267</v>
      </c>
      <c r="D1143" s="111">
        <v>5473</v>
      </c>
      <c r="E1143" s="116" t="s">
        <v>279</v>
      </c>
      <c r="F1143" s="116" t="s">
        <v>274</v>
      </c>
      <c r="G1143" s="212" t="s">
        <v>208</v>
      </c>
      <c r="H1143" s="67" t="s">
        <v>429</v>
      </c>
      <c r="I1143" s="98" t="s">
        <v>22</v>
      </c>
      <c r="J1143" s="69">
        <v>0.7</v>
      </c>
      <c r="K1143" s="99" t="s">
        <v>215</v>
      </c>
      <c r="L1143" s="70" t="s">
        <v>205</v>
      </c>
      <c r="M1143" s="99"/>
      <c r="N1143" s="69">
        <v>0.95</v>
      </c>
      <c r="O1143" s="69">
        <v>0.2</v>
      </c>
      <c r="P1143" s="69"/>
      <c r="Q1143" s="69">
        <f t="shared" si="43"/>
        <v>0</v>
      </c>
      <c r="R1143" s="100">
        <f t="shared" si="42"/>
        <v>0</v>
      </c>
      <c r="S1143" s="69" t="s">
        <v>23</v>
      </c>
      <c r="T1143" s="192">
        <f>SUM(R1143:R1149)%</f>
        <v>0</v>
      </c>
    </row>
    <row r="1144" spans="1:20" ht="21.6" x14ac:dyDescent="0.3">
      <c r="A1144" s="139">
        <v>8</v>
      </c>
      <c r="B1144" s="42" t="s">
        <v>20</v>
      </c>
      <c r="C1144" s="43" t="s">
        <v>267</v>
      </c>
      <c r="D1144" s="50">
        <v>5473</v>
      </c>
      <c r="E1144" s="52" t="s">
        <v>279</v>
      </c>
      <c r="F1144" s="52" t="s">
        <v>274</v>
      </c>
      <c r="G1144" s="213" t="s">
        <v>208</v>
      </c>
      <c r="H1144" s="45" t="s">
        <v>429</v>
      </c>
      <c r="I1144" s="7" t="s">
        <v>22</v>
      </c>
      <c r="J1144" s="3">
        <v>0.7</v>
      </c>
      <c r="K1144" s="1" t="s">
        <v>307</v>
      </c>
      <c r="L1144" s="8" t="s">
        <v>206</v>
      </c>
      <c r="M1144" s="1"/>
      <c r="N1144" s="3">
        <v>0.95</v>
      </c>
      <c r="O1144" s="3">
        <v>0.2</v>
      </c>
      <c r="P1144" s="3"/>
      <c r="Q1144" s="3">
        <f t="shared" si="43"/>
        <v>0</v>
      </c>
      <c r="R1144" s="4">
        <f t="shared" si="42"/>
        <v>0</v>
      </c>
      <c r="S1144" s="3" t="s">
        <v>23</v>
      </c>
      <c r="T1144" s="195"/>
    </row>
    <row r="1145" spans="1:20" ht="21.6" x14ac:dyDescent="0.3">
      <c r="A1145" s="139">
        <v>9</v>
      </c>
      <c r="B1145" s="42" t="s">
        <v>20</v>
      </c>
      <c r="C1145" s="43" t="s">
        <v>267</v>
      </c>
      <c r="D1145" s="50">
        <v>5473</v>
      </c>
      <c r="E1145" s="52" t="s">
        <v>279</v>
      </c>
      <c r="F1145" s="52" t="s">
        <v>274</v>
      </c>
      <c r="G1145" s="213" t="s">
        <v>208</v>
      </c>
      <c r="H1145" s="45" t="s">
        <v>429</v>
      </c>
      <c r="I1145" s="7" t="s">
        <v>22</v>
      </c>
      <c r="J1145" s="3">
        <v>0.7</v>
      </c>
      <c r="K1145" s="1" t="s">
        <v>305</v>
      </c>
      <c r="L1145" s="8" t="s">
        <v>257</v>
      </c>
      <c r="M1145" s="13" t="s">
        <v>306</v>
      </c>
      <c r="N1145" s="3">
        <v>0.95</v>
      </c>
      <c r="O1145" s="3">
        <v>0.25</v>
      </c>
      <c r="P1145" s="3"/>
      <c r="Q1145" s="3">
        <f t="shared" si="43"/>
        <v>0</v>
      </c>
      <c r="R1145" s="4">
        <f t="shared" si="42"/>
        <v>0</v>
      </c>
      <c r="S1145" s="3" t="s">
        <v>23</v>
      </c>
      <c r="T1145" s="195"/>
    </row>
    <row r="1146" spans="1:20" ht="21.6" x14ac:dyDescent="0.3">
      <c r="A1146" s="139">
        <v>10</v>
      </c>
      <c r="B1146" s="42" t="s">
        <v>20</v>
      </c>
      <c r="C1146" s="43" t="s">
        <v>267</v>
      </c>
      <c r="D1146" s="50">
        <v>5473</v>
      </c>
      <c r="E1146" s="52" t="s">
        <v>279</v>
      </c>
      <c r="F1146" s="52" t="s">
        <v>274</v>
      </c>
      <c r="G1146" s="213" t="s">
        <v>208</v>
      </c>
      <c r="H1146" s="45" t="s">
        <v>429</v>
      </c>
      <c r="I1146" s="7" t="s">
        <v>22</v>
      </c>
      <c r="J1146" s="3">
        <v>0.7</v>
      </c>
      <c r="K1146" s="1" t="s">
        <v>308</v>
      </c>
      <c r="L1146" s="8" t="s">
        <v>130</v>
      </c>
      <c r="M1146" s="13" t="s">
        <v>131</v>
      </c>
      <c r="N1146" s="3">
        <v>0.9</v>
      </c>
      <c r="O1146" s="3">
        <v>0.15</v>
      </c>
      <c r="P1146" s="3"/>
      <c r="Q1146" s="3">
        <f t="shared" si="43"/>
        <v>0</v>
      </c>
      <c r="R1146" s="4">
        <f t="shared" si="42"/>
        <v>0</v>
      </c>
      <c r="S1146" s="3" t="s">
        <v>23</v>
      </c>
      <c r="T1146" s="195"/>
    </row>
    <row r="1147" spans="1:20" ht="21.6" x14ac:dyDescent="0.3">
      <c r="A1147" s="139">
        <v>11</v>
      </c>
      <c r="B1147" s="42" t="s">
        <v>20</v>
      </c>
      <c r="C1147" s="43" t="s">
        <v>267</v>
      </c>
      <c r="D1147" s="50">
        <v>5473</v>
      </c>
      <c r="E1147" s="52" t="s">
        <v>279</v>
      </c>
      <c r="F1147" s="52" t="s">
        <v>274</v>
      </c>
      <c r="G1147" s="213" t="s">
        <v>208</v>
      </c>
      <c r="H1147" s="45" t="s">
        <v>429</v>
      </c>
      <c r="I1147" s="7" t="s">
        <v>22</v>
      </c>
      <c r="J1147" s="3">
        <v>0.7</v>
      </c>
      <c r="K1147" s="1" t="s">
        <v>309</v>
      </c>
      <c r="L1147" s="8" t="s">
        <v>207</v>
      </c>
      <c r="M1147" s="13"/>
      <c r="N1147" s="3">
        <v>1</v>
      </c>
      <c r="O1147" s="3">
        <v>0.1</v>
      </c>
      <c r="P1147" s="3"/>
      <c r="Q1147" s="3">
        <f t="shared" si="43"/>
        <v>0</v>
      </c>
      <c r="R1147" s="4">
        <f t="shared" si="42"/>
        <v>0</v>
      </c>
      <c r="S1147" s="3" t="s">
        <v>23</v>
      </c>
      <c r="T1147" s="195"/>
    </row>
    <row r="1148" spans="1:20" ht="21.6" x14ac:dyDescent="0.3">
      <c r="A1148" s="139"/>
      <c r="B1148" s="42" t="s">
        <v>20</v>
      </c>
      <c r="C1148" s="43" t="s">
        <v>267</v>
      </c>
      <c r="D1148" s="50">
        <v>5473</v>
      </c>
      <c r="E1148" s="52" t="s">
        <v>279</v>
      </c>
      <c r="F1148" s="52" t="s">
        <v>274</v>
      </c>
      <c r="G1148" s="213" t="s">
        <v>208</v>
      </c>
      <c r="H1148" s="45" t="s">
        <v>429</v>
      </c>
      <c r="I1148" s="47" t="s">
        <v>22</v>
      </c>
      <c r="J1148" s="3">
        <v>0.7</v>
      </c>
      <c r="K1148" s="49" t="s">
        <v>310</v>
      </c>
      <c r="L1148" s="30" t="s">
        <v>136</v>
      </c>
      <c r="M1148" s="49" t="s">
        <v>137</v>
      </c>
      <c r="N1148" s="3">
        <v>0.9</v>
      </c>
      <c r="O1148" s="3">
        <v>0.1</v>
      </c>
      <c r="P1148" s="19"/>
      <c r="Q1148" s="3">
        <f t="shared" si="43"/>
        <v>0</v>
      </c>
      <c r="R1148" s="4">
        <f t="shared" si="42"/>
        <v>0</v>
      </c>
      <c r="S1148" s="3" t="s">
        <v>23</v>
      </c>
      <c r="T1148" s="195"/>
    </row>
    <row r="1149" spans="1:20" ht="22.2" thickBot="1" x14ac:dyDescent="0.35">
      <c r="A1149" s="142">
        <v>12</v>
      </c>
      <c r="B1149" s="81" t="s">
        <v>20</v>
      </c>
      <c r="C1149" s="82" t="s">
        <v>267</v>
      </c>
      <c r="D1149" s="113">
        <v>5473</v>
      </c>
      <c r="E1149" s="118" t="s">
        <v>279</v>
      </c>
      <c r="F1149" s="118" t="s">
        <v>274</v>
      </c>
      <c r="G1149" s="214" t="s">
        <v>208</v>
      </c>
      <c r="H1149" s="84" t="s">
        <v>429</v>
      </c>
      <c r="I1149" s="85" t="s">
        <v>26</v>
      </c>
      <c r="J1149" s="86">
        <v>0.3</v>
      </c>
      <c r="K1149" s="115" t="s">
        <v>138</v>
      </c>
      <c r="L1149" s="114" t="s">
        <v>139</v>
      </c>
      <c r="M1149" s="115" t="s">
        <v>140</v>
      </c>
      <c r="N1149" s="86">
        <v>1</v>
      </c>
      <c r="O1149" s="86">
        <v>1</v>
      </c>
      <c r="P1149" s="127"/>
      <c r="Q1149" s="86">
        <f t="shared" si="43"/>
        <v>0</v>
      </c>
      <c r="R1149" s="90">
        <f t="shared" si="42"/>
        <v>0</v>
      </c>
      <c r="S1149" s="91" t="s">
        <v>23</v>
      </c>
      <c r="T1149" s="149"/>
    </row>
    <row r="1150" spans="1:20" ht="21.6" x14ac:dyDescent="0.3">
      <c r="A1150" s="139">
        <v>7</v>
      </c>
      <c r="B1150" s="42" t="s">
        <v>20</v>
      </c>
      <c r="C1150" s="43" t="s">
        <v>267</v>
      </c>
      <c r="D1150" s="50">
        <v>5582</v>
      </c>
      <c r="E1150" s="52" t="s">
        <v>280</v>
      </c>
      <c r="F1150" s="52" t="s">
        <v>274</v>
      </c>
      <c r="G1150" s="213" t="s">
        <v>208</v>
      </c>
      <c r="H1150" s="45" t="s">
        <v>429</v>
      </c>
      <c r="I1150" s="7" t="s">
        <v>22</v>
      </c>
      <c r="J1150" s="3">
        <v>0.7</v>
      </c>
      <c r="K1150" s="1" t="s">
        <v>215</v>
      </c>
      <c r="L1150" s="2" t="s">
        <v>205</v>
      </c>
      <c r="M1150" s="1"/>
      <c r="N1150" s="3">
        <v>0.95</v>
      </c>
      <c r="O1150" s="3">
        <v>0.2</v>
      </c>
      <c r="P1150" s="3"/>
      <c r="Q1150" s="3">
        <f t="shared" si="43"/>
        <v>0</v>
      </c>
      <c r="R1150" s="4">
        <f t="shared" ref="R1150:R1211" si="44">IF(AND(Q1150&gt;=60%,Q1150&lt;100%),Q1150*((O1150*J1150)),IF(Q1150=100%,((O1150*J1150)*Q1150)*100%,IF(Q1150&gt;100%,((J1150*O1150)*100%)*100%,0)))*100</f>
        <v>0</v>
      </c>
      <c r="S1150" s="3" t="s">
        <v>23</v>
      </c>
      <c r="T1150" s="195">
        <f>SUM(R1150:R1156)%</f>
        <v>0</v>
      </c>
    </row>
    <row r="1151" spans="1:20" ht="21.6" x14ac:dyDescent="0.3">
      <c r="A1151" s="139">
        <v>8</v>
      </c>
      <c r="B1151" s="42" t="s">
        <v>20</v>
      </c>
      <c r="C1151" s="43" t="s">
        <v>267</v>
      </c>
      <c r="D1151" s="50">
        <v>5582</v>
      </c>
      <c r="E1151" s="52" t="s">
        <v>280</v>
      </c>
      <c r="F1151" s="52" t="s">
        <v>274</v>
      </c>
      <c r="G1151" s="213" t="s">
        <v>208</v>
      </c>
      <c r="H1151" s="45" t="s">
        <v>429</v>
      </c>
      <c r="I1151" s="7" t="s">
        <v>22</v>
      </c>
      <c r="J1151" s="3">
        <v>0.7</v>
      </c>
      <c r="K1151" s="1" t="s">
        <v>307</v>
      </c>
      <c r="L1151" s="8" t="s">
        <v>206</v>
      </c>
      <c r="M1151" s="1"/>
      <c r="N1151" s="3">
        <v>0.95</v>
      </c>
      <c r="O1151" s="3">
        <v>0.2</v>
      </c>
      <c r="P1151" s="3"/>
      <c r="Q1151" s="3">
        <f t="shared" si="43"/>
        <v>0</v>
      </c>
      <c r="R1151" s="4">
        <f t="shared" si="44"/>
        <v>0</v>
      </c>
      <c r="S1151" s="3" t="s">
        <v>23</v>
      </c>
      <c r="T1151" s="195"/>
    </row>
    <row r="1152" spans="1:20" ht="21.6" x14ac:dyDescent="0.3">
      <c r="A1152" s="139">
        <v>9</v>
      </c>
      <c r="B1152" s="42" t="s">
        <v>20</v>
      </c>
      <c r="C1152" s="43" t="s">
        <v>267</v>
      </c>
      <c r="D1152" s="50">
        <v>5582</v>
      </c>
      <c r="E1152" s="52" t="s">
        <v>280</v>
      </c>
      <c r="F1152" s="52" t="s">
        <v>274</v>
      </c>
      <c r="G1152" s="213" t="s">
        <v>208</v>
      </c>
      <c r="H1152" s="45" t="s">
        <v>429</v>
      </c>
      <c r="I1152" s="7" t="s">
        <v>22</v>
      </c>
      <c r="J1152" s="3">
        <v>0.7</v>
      </c>
      <c r="K1152" s="1" t="s">
        <v>305</v>
      </c>
      <c r="L1152" s="8" t="s">
        <v>257</v>
      </c>
      <c r="M1152" s="13" t="s">
        <v>306</v>
      </c>
      <c r="N1152" s="3">
        <v>0.95</v>
      </c>
      <c r="O1152" s="3">
        <v>0.25</v>
      </c>
      <c r="P1152" s="3"/>
      <c r="Q1152" s="3">
        <f t="shared" si="43"/>
        <v>0</v>
      </c>
      <c r="R1152" s="4">
        <f t="shared" si="44"/>
        <v>0</v>
      </c>
      <c r="S1152" s="3" t="s">
        <v>23</v>
      </c>
      <c r="T1152" s="195"/>
    </row>
    <row r="1153" spans="1:20" ht="21.6" x14ac:dyDescent="0.3">
      <c r="A1153" s="139">
        <v>10</v>
      </c>
      <c r="B1153" s="42" t="s">
        <v>20</v>
      </c>
      <c r="C1153" s="43" t="s">
        <v>267</v>
      </c>
      <c r="D1153" s="50">
        <v>5582</v>
      </c>
      <c r="E1153" s="52" t="s">
        <v>280</v>
      </c>
      <c r="F1153" s="52" t="s">
        <v>274</v>
      </c>
      <c r="G1153" s="213" t="s">
        <v>208</v>
      </c>
      <c r="H1153" s="45" t="s">
        <v>429</v>
      </c>
      <c r="I1153" s="7" t="s">
        <v>22</v>
      </c>
      <c r="J1153" s="3">
        <v>0.7</v>
      </c>
      <c r="K1153" s="1" t="s">
        <v>308</v>
      </c>
      <c r="L1153" s="8" t="s">
        <v>130</v>
      </c>
      <c r="M1153" s="13" t="s">
        <v>131</v>
      </c>
      <c r="N1153" s="3">
        <v>0.9</v>
      </c>
      <c r="O1153" s="3">
        <v>0.15</v>
      </c>
      <c r="P1153" s="3"/>
      <c r="Q1153" s="3">
        <f t="shared" si="43"/>
        <v>0</v>
      </c>
      <c r="R1153" s="4">
        <f t="shared" si="44"/>
        <v>0</v>
      </c>
      <c r="S1153" s="3" t="s">
        <v>23</v>
      </c>
      <c r="T1153" s="195"/>
    </row>
    <row r="1154" spans="1:20" ht="21.6" x14ac:dyDescent="0.3">
      <c r="A1154" s="139">
        <v>11</v>
      </c>
      <c r="B1154" s="42" t="s">
        <v>20</v>
      </c>
      <c r="C1154" s="43" t="s">
        <v>267</v>
      </c>
      <c r="D1154" s="50">
        <v>5582</v>
      </c>
      <c r="E1154" s="52" t="s">
        <v>280</v>
      </c>
      <c r="F1154" s="52" t="s">
        <v>274</v>
      </c>
      <c r="G1154" s="213" t="s">
        <v>208</v>
      </c>
      <c r="H1154" s="45" t="s">
        <v>429</v>
      </c>
      <c r="I1154" s="7" t="s">
        <v>22</v>
      </c>
      <c r="J1154" s="3">
        <v>0.7</v>
      </c>
      <c r="K1154" s="1" t="s">
        <v>309</v>
      </c>
      <c r="L1154" s="8" t="s">
        <v>207</v>
      </c>
      <c r="M1154" s="13"/>
      <c r="N1154" s="3">
        <v>1</v>
      </c>
      <c r="O1154" s="3">
        <v>0.1</v>
      </c>
      <c r="P1154" s="3"/>
      <c r="Q1154" s="3">
        <f t="shared" si="43"/>
        <v>0</v>
      </c>
      <c r="R1154" s="4">
        <f t="shared" si="44"/>
        <v>0</v>
      </c>
      <c r="S1154" s="3" t="s">
        <v>23</v>
      </c>
      <c r="T1154" s="195"/>
    </row>
    <row r="1155" spans="1:20" ht="21.6" x14ac:dyDescent="0.3">
      <c r="A1155" s="139"/>
      <c r="B1155" s="42" t="s">
        <v>20</v>
      </c>
      <c r="C1155" s="43" t="s">
        <v>267</v>
      </c>
      <c r="D1155" s="50">
        <v>5582</v>
      </c>
      <c r="E1155" s="52" t="s">
        <v>280</v>
      </c>
      <c r="F1155" s="52" t="s">
        <v>274</v>
      </c>
      <c r="G1155" s="213" t="s">
        <v>208</v>
      </c>
      <c r="H1155" s="45" t="s">
        <v>429</v>
      </c>
      <c r="I1155" s="47" t="s">
        <v>22</v>
      </c>
      <c r="J1155" s="3">
        <v>0.7</v>
      </c>
      <c r="K1155" s="49" t="s">
        <v>310</v>
      </c>
      <c r="L1155" s="30" t="s">
        <v>136</v>
      </c>
      <c r="M1155" s="49" t="s">
        <v>137</v>
      </c>
      <c r="N1155" s="3">
        <v>0.9</v>
      </c>
      <c r="O1155" s="3">
        <v>0.1</v>
      </c>
      <c r="P1155" s="19"/>
      <c r="Q1155" s="3">
        <f t="shared" si="43"/>
        <v>0</v>
      </c>
      <c r="R1155" s="4">
        <f t="shared" si="44"/>
        <v>0</v>
      </c>
      <c r="S1155" s="3" t="s">
        <v>23</v>
      </c>
      <c r="T1155" s="195"/>
    </row>
    <row r="1156" spans="1:20" ht="22.2" thickBot="1" x14ac:dyDescent="0.35">
      <c r="A1156" s="142">
        <v>12</v>
      </c>
      <c r="B1156" s="81" t="s">
        <v>20</v>
      </c>
      <c r="C1156" s="82" t="s">
        <v>267</v>
      </c>
      <c r="D1156" s="113">
        <v>5582</v>
      </c>
      <c r="E1156" s="118" t="s">
        <v>280</v>
      </c>
      <c r="F1156" s="118" t="s">
        <v>274</v>
      </c>
      <c r="G1156" s="214" t="s">
        <v>208</v>
      </c>
      <c r="H1156" s="84" t="s">
        <v>429</v>
      </c>
      <c r="I1156" s="85" t="s">
        <v>26</v>
      </c>
      <c r="J1156" s="86">
        <v>0.3</v>
      </c>
      <c r="K1156" s="115" t="s">
        <v>138</v>
      </c>
      <c r="L1156" s="114" t="s">
        <v>139</v>
      </c>
      <c r="M1156" s="115" t="s">
        <v>140</v>
      </c>
      <c r="N1156" s="86">
        <v>1</v>
      </c>
      <c r="O1156" s="86">
        <v>1</v>
      </c>
      <c r="P1156" s="127"/>
      <c r="Q1156" s="86">
        <f t="shared" si="43"/>
        <v>0</v>
      </c>
      <c r="R1156" s="90">
        <f t="shared" si="44"/>
        <v>0</v>
      </c>
      <c r="S1156" s="91" t="s">
        <v>23</v>
      </c>
      <c r="T1156" s="149"/>
    </row>
    <row r="1157" spans="1:20" ht="21.6" x14ac:dyDescent="0.3">
      <c r="A1157" s="139">
        <v>7</v>
      </c>
      <c r="B1157" s="42" t="s">
        <v>20</v>
      </c>
      <c r="C1157" s="43" t="s">
        <v>267</v>
      </c>
      <c r="D1157" s="50">
        <v>6171</v>
      </c>
      <c r="E1157" s="52" t="s">
        <v>281</v>
      </c>
      <c r="F1157" s="52" t="s">
        <v>274</v>
      </c>
      <c r="G1157" s="213" t="s">
        <v>208</v>
      </c>
      <c r="H1157" s="45" t="s">
        <v>429</v>
      </c>
      <c r="I1157" s="7" t="s">
        <v>22</v>
      </c>
      <c r="J1157" s="3">
        <v>0.7</v>
      </c>
      <c r="K1157" s="1" t="s">
        <v>215</v>
      </c>
      <c r="L1157" s="2" t="s">
        <v>205</v>
      </c>
      <c r="M1157" s="1"/>
      <c r="N1157" s="3">
        <v>0.95</v>
      </c>
      <c r="O1157" s="3">
        <v>0.2</v>
      </c>
      <c r="P1157" s="3"/>
      <c r="Q1157" s="3">
        <f t="shared" si="43"/>
        <v>0</v>
      </c>
      <c r="R1157" s="4">
        <f t="shared" si="44"/>
        <v>0</v>
      </c>
      <c r="S1157" s="3" t="s">
        <v>23</v>
      </c>
      <c r="T1157" s="195">
        <f>SUM(R1157:R1163)%</f>
        <v>0</v>
      </c>
    </row>
    <row r="1158" spans="1:20" ht="21.6" x14ac:dyDescent="0.3">
      <c r="A1158" s="139">
        <v>8</v>
      </c>
      <c r="B1158" s="42" t="s">
        <v>20</v>
      </c>
      <c r="C1158" s="43" t="s">
        <v>267</v>
      </c>
      <c r="D1158" s="50">
        <v>6171</v>
      </c>
      <c r="E1158" s="52" t="s">
        <v>281</v>
      </c>
      <c r="F1158" s="52" t="s">
        <v>274</v>
      </c>
      <c r="G1158" s="213" t="s">
        <v>208</v>
      </c>
      <c r="H1158" s="45" t="s">
        <v>429</v>
      </c>
      <c r="I1158" s="7" t="s">
        <v>22</v>
      </c>
      <c r="J1158" s="3">
        <v>0.7</v>
      </c>
      <c r="K1158" s="1" t="s">
        <v>307</v>
      </c>
      <c r="L1158" s="8" t="s">
        <v>206</v>
      </c>
      <c r="M1158" s="1"/>
      <c r="N1158" s="3">
        <v>0.95</v>
      </c>
      <c r="O1158" s="3">
        <v>0.2</v>
      </c>
      <c r="P1158" s="3"/>
      <c r="Q1158" s="3">
        <f t="shared" si="43"/>
        <v>0</v>
      </c>
      <c r="R1158" s="4">
        <f t="shared" si="44"/>
        <v>0</v>
      </c>
      <c r="S1158" s="3" t="s">
        <v>23</v>
      </c>
      <c r="T1158" s="195"/>
    </row>
    <row r="1159" spans="1:20" ht="21.6" x14ac:dyDescent="0.3">
      <c r="A1159" s="139">
        <v>9</v>
      </c>
      <c r="B1159" s="42" t="s">
        <v>20</v>
      </c>
      <c r="C1159" s="43" t="s">
        <v>267</v>
      </c>
      <c r="D1159" s="50">
        <v>6171</v>
      </c>
      <c r="E1159" s="52" t="s">
        <v>281</v>
      </c>
      <c r="F1159" s="52" t="s">
        <v>274</v>
      </c>
      <c r="G1159" s="213" t="s">
        <v>208</v>
      </c>
      <c r="H1159" s="45" t="s">
        <v>429</v>
      </c>
      <c r="I1159" s="7" t="s">
        <v>22</v>
      </c>
      <c r="J1159" s="3">
        <v>0.7</v>
      </c>
      <c r="K1159" s="1" t="s">
        <v>305</v>
      </c>
      <c r="L1159" s="8" t="s">
        <v>257</v>
      </c>
      <c r="M1159" s="13" t="s">
        <v>306</v>
      </c>
      <c r="N1159" s="3">
        <v>0.95</v>
      </c>
      <c r="O1159" s="3">
        <v>0.25</v>
      </c>
      <c r="P1159" s="3"/>
      <c r="Q1159" s="3">
        <f t="shared" si="43"/>
        <v>0</v>
      </c>
      <c r="R1159" s="4">
        <f t="shared" si="44"/>
        <v>0</v>
      </c>
      <c r="S1159" s="3" t="s">
        <v>23</v>
      </c>
      <c r="T1159" s="195"/>
    </row>
    <row r="1160" spans="1:20" ht="21.6" x14ac:dyDescent="0.3">
      <c r="A1160" s="139">
        <v>10</v>
      </c>
      <c r="B1160" s="42" t="s">
        <v>20</v>
      </c>
      <c r="C1160" s="43" t="s">
        <v>267</v>
      </c>
      <c r="D1160" s="50">
        <v>6171</v>
      </c>
      <c r="E1160" s="52" t="s">
        <v>281</v>
      </c>
      <c r="F1160" s="52" t="s">
        <v>274</v>
      </c>
      <c r="G1160" s="213" t="s">
        <v>208</v>
      </c>
      <c r="H1160" s="45" t="s">
        <v>429</v>
      </c>
      <c r="I1160" s="7" t="s">
        <v>22</v>
      </c>
      <c r="J1160" s="3">
        <v>0.7</v>
      </c>
      <c r="K1160" s="1" t="s">
        <v>308</v>
      </c>
      <c r="L1160" s="8" t="s">
        <v>130</v>
      </c>
      <c r="M1160" s="13" t="s">
        <v>131</v>
      </c>
      <c r="N1160" s="3">
        <v>0.9</v>
      </c>
      <c r="O1160" s="3">
        <v>0.15</v>
      </c>
      <c r="P1160" s="3"/>
      <c r="Q1160" s="3">
        <f t="shared" si="43"/>
        <v>0</v>
      </c>
      <c r="R1160" s="4">
        <f t="shared" si="44"/>
        <v>0</v>
      </c>
      <c r="S1160" s="3" t="s">
        <v>23</v>
      </c>
      <c r="T1160" s="195"/>
    </row>
    <row r="1161" spans="1:20" ht="21.6" x14ac:dyDescent="0.3">
      <c r="A1161" s="139">
        <v>11</v>
      </c>
      <c r="B1161" s="42" t="s">
        <v>20</v>
      </c>
      <c r="C1161" s="43" t="s">
        <v>267</v>
      </c>
      <c r="D1161" s="50">
        <v>6171</v>
      </c>
      <c r="E1161" s="52" t="s">
        <v>281</v>
      </c>
      <c r="F1161" s="52" t="s">
        <v>274</v>
      </c>
      <c r="G1161" s="213" t="s">
        <v>208</v>
      </c>
      <c r="H1161" s="45" t="s">
        <v>429</v>
      </c>
      <c r="I1161" s="7" t="s">
        <v>22</v>
      </c>
      <c r="J1161" s="3">
        <v>0.7</v>
      </c>
      <c r="K1161" s="1" t="s">
        <v>309</v>
      </c>
      <c r="L1161" s="8" t="s">
        <v>207</v>
      </c>
      <c r="M1161" s="13"/>
      <c r="N1161" s="3">
        <v>1</v>
      </c>
      <c r="O1161" s="3">
        <v>0.1</v>
      </c>
      <c r="P1161" s="3"/>
      <c r="Q1161" s="3">
        <f t="shared" si="43"/>
        <v>0</v>
      </c>
      <c r="R1161" s="4">
        <f t="shared" si="44"/>
        <v>0</v>
      </c>
      <c r="S1161" s="3" t="s">
        <v>23</v>
      </c>
      <c r="T1161" s="195"/>
    </row>
    <row r="1162" spans="1:20" ht="21.6" x14ac:dyDescent="0.3">
      <c r="A1162" s="139"/>
      <c r="B1162" s="42" t="s">
        <v>20</v>
      </c>
      <c r="C1162" s="43" t="s">
        <v>267</v>
      </c>
      <c r="D1162" s="50">
        <v>6171</v>
      </c>
      <c r="E1162" s="52" t="s">
        <v>281</v>
      </c>
      <c r="F1162" s="52" t="s">
        <v>274</v>
      </c>
      <c r="G1162" s="213" t="s">
        <v>208</v>
      </c>
      <c r="H1162" s="45" t="s">
        <v>429</v>
      </c>
      <c r="I1162" s="47" t="s">
        <v>22</v>
      </c>
      <c r="J1162" s="3">
        <v>0.7</v>
      </c>
      <c r="K1162" s="49" t="s">
        <v>310</v>
      </c>
      <c r="L1162" s="30" t="s">
        <v>136</v>
      </c>
      <c r="M1162" s="49" t="s">
        <v>137</v>
      </c>
      <c r="N1162" s="3">
        <v>0.9</v>
      </c>
      <c r="O1162" s="3">
        <v>0.1</v>
      </c>
      <c r="P1162" s="19"/>
      <c r="Q1162" s="3">
        <f t="shared" si="43"/>
        <v>0</v>
      </c>
      <c r="R1162" s="4">
        <f t="shared" si="44"/>
        <v>0</v>
      </c>
      <c r="S1162" s="3" t="s">
        <v>23</v>
      </c>
      <c r="T1162" s="195"/>
    </row>
    <row r="1163" spans="1:20" ht="22.2" thickBot="1" x14ac:dyDescent="0.35">
      <c r="A1163" s="142">
        <v>12</v>
      </c>
      <c r="B1163" s="81" t="s">
        <v>20</v>
      </c>
      <c r="C1163" s="82" t="s">
        <v>267</v>
      </c>
      <c r="D1163" s="113">
        <v>6171</v>
      </c>
      <c r="E1163" s="118" t="s">
        <v>281</v>
      </c>
      <c r="F1163" s="118" t="s">
        <v>274</v>
      </c>
      <c r="G1163" s="214" t="s">
        <v>208</v>
      </c>
      <c r="H1163" s="84" t="s">
        <v>429</v>
      </c>
      <c r="I1163" s="85" t="s">
        <v>26</v>
      </c>
      <c r="J1163" s="86">
        <v>0.3</v>
      </c>
      <c r="K1163" s="115" t="s">
        <v>138</v>
      </c>
      <c r="L1163" s="114" t="s">
        <v>139</v>
      </c>
      <c r="M1163" s="115" t="s">
        <v>140</v>
      </c>
      <c r="N1163" s="86">
        <v>1</v>
      </c>
      <c r="O1163" s="86">
        <v>1</v>
      </c>
      <c r="P1163" s="127"/>
      <c r="Q1163" s="86">
        <f t="shared" si="43"/>
        <v>0</v>
      </c>
      <c r="R1163" s="90">
        <f t="shared" si="44"/>
        <v>0</v>
      </c>
      <c r="S1163" s="91" t="s">
        <v>23</v>
      </c>
      <c r="T1163" s="149"/>
    </row>
    <row r="1164" spans="1:20" ht="21.6" x14ac:dyDescent="0.3">
      <c r="A1164" s="139">
        <v>7</v>
      </c>
      <c r="B1164" s="42" t="s">
        <v>20</v>
      </c>
      <c r="C1164" s="43" t="s">
        <v>267</v>
      </c>
      <c r="D1164" s="50">
        <v>6173</v>
      </c>
      <c r="E1164" s="52" t="s">
        <v>282</v>
      </c>
      <c r="F1164" s="52" t="s">
        <v>274</v>
      </c>
      <c r="G1164" s="213" t="s">
        <v>208</v>
      </c>
      <c r="H1164" s="45" t="s">
        <v>429</v>
      </c>
      <c r="I1164" s="7" t="s">
        <v>22</v>
      </c>
      <c r="J1164" s="3">
        <v>0.7</v>
      </c>
      <c r="K1164" s="1" t="s">
        <v>215</v>
      </c>
      <c r="L1164" s="2" t="s">
        <v>205</v>
      </c>
      <c r="M1164" s="1"/>
      <c r="N1164" s="3">
        <v>0.95</v>
      </c>
      <c r="O1164" s="3">
        <v>0.2</v>
      </c>
      <c r="P1164" s="3"/>
      <c r="Q1164" s="3">
        <f t="shared" si="43"/>
        <v>0</v>
      </c>
      <c r="R1164" s="4">
        <f t="shared" si="44"/>
        <v>0</v>
      </c>
      <c r="S1164" s="3" t="s">
        <v>23</v>
      </c>
      <c r="T1164" s="195">
        <f>SUM(R1164:R1170)%</f>
        <v>0</v>
      </c>
    </row>
    <row r="1165" spans="1:20" ht="21.6" x14ac:dyDescent="0.3">
      <c r="A1165" s="139">
        <v>8</v>
      </c>
      <c r="B1165" s="42" t="s">
        <v>20</v>
      </c>
      <c r="C1165" s="43" t="s">
        <v>267</v>
      </c>
      <c r="D1165" s="50">
        <v>6173</v>
      </c>
      <c r="E1165" s="52" t="s">
        <v>282</v>
      </c>
      <c r="F1165" s="52" t="s">
        <v>274</v>
      </c>
      <c r="G1165" s="213" t="s">
        <v>208</v>
      </c>
      <c r="H1165" s="45" t="s">
        <v>429</v>
      </c>
      <c r="I1165" s="7" t="s">
        <v>22</v>
      </c>
      <c r="J1165" s="3">
        <v>0.7</v>
      </c>
      <c r="K1165" s="1" t="s">
        <v>307</v>
      </c>
      <c r="L1165" s="8" t="s">
        <v>206</v>
      </c>
      <c r="M1165" s="1"/>
      <c r="N1165" s="3">
        <v>0.95</v>
      </c>
      <c r="O1165" s="3">
        <v>0.2</v>
      </c>
      <c r="P1165" s="3"/>
      <c r="Q1165" s="3">
        <f t="shared" si="43"/>
        <v>0</v>
      </c>
      <c r="R1165" s="4">
        <f t="shared" si="44"/>
        <v>0</v>
      </c>
      <c r="S1165" s="3" t="s">
        <v>23</v>
      </c>
      <c r="T1165" s="195"/>
    </row>
    <row r="1166" spans="1:20" ht="21.6" x14ac:dyDescent="0.3">
      <c r="A1166" s="139">
        <v>9</v>
      </c>
      <c r="B1166" s="42" t="s">
        <v>20</v>
      </c>
      <c r="C1166" s="43" t="s">
        <v>267</v>
      </c>
      <c r="D1166" s="50">
        <v>6173</v>
      </c>
      <c r="E1166" s="52" t="s">
        <v>282</v>
      </c>
      <c r="F1166" s="52" t="s">
        <v>274</v>
      </c>
      <c r="G1166" s="213" t="s">
        <v>208</v>
      </c>
      <c r="H1166" s="45" t="s">
        <v>429</v>
      </c>
      <c r="I1166" s="7" t="s">
        <v>22</v>
      </c>
      <c r="J1166" s="3">
        <v>0.7</v>
      </c>
      <c r="K1166" s="1" t="s">
        <v>305</v>
      </c>
      <c r="L1166" s="8" t="s">
        <v>257</v>
      </c>
      <c r="M1166" s="13" t="s">
        <v>306</v>
      </c>
      <c r="N1166" s="3">
        <v>0.95</v>
      </c>
      <c r="O1166" s="3">
        <v>0.25</v>
      </c>
      <c r="P1166" s="3"/>
      <c r="Q1166" s="3">
        <f t="shared" si="43"/>
        <v>0</v>
      </c>
      <c r="R1166" s="4">
        <f t="shared" si="44"/>
        <v>0</v>
      </c>
      <c r="S1166" s="3" t="s">
        <v>23</v>
      </c>
      <c r="T1166" s="195"/>
    </row>
    <row r="1167" spans="1:20" ht="21.6" x14ac:dyDescent="0.3">
      <c r="A1167" s="139">
        <v>10</v>
      </c>
      <c r="B1167" s="42" t="s">
        <v>20</v>
      </c>
      <c r="C1167" s="43" t="s">
        <v>267</v>
      </c>
      <c r="D1167" s="50">
        <v>6173</v>
      </c>
      <c r="E1167" s="52" t="s">
        <v>282</v>
      </c>
      <c r="F1167" s="52" t="s">
        <v>274</v>
      </c>
      <c r="G1167" s="213" t="s">
        <v>208</v>
      </c>
      <c r="H1167" s="45" t="s">
        <v>429</v>
      </c>
      <c r="I1167" s="7" t="s">
        <v>22</v>
      </c>
      <c r="J1167" s="3">
        <v>0.7</v>
      </c>
      <c r="K1167" s="1" t="s">
        <v>308</v>
      </c>
      <c r="L1167" s="8" t="s">
        <v>130</v>
      </c>
      <c r="M1167" s="13" t="s">
        <v>131</v>
      </c>
      <c r="N1167" s="3">
        <v>0.9</v>
      </c>
      <c r="O1167" s="3">
        <v>0.15</v>
      </c>
      <c r="P1167" s="3"/>
      <c r="Q1167" s="3">
        <f t="shared" si="43"/>
        <v>0</v>
      </c>
      <c r="R1167" s="4">
        <f t="shared" si="44"/>
        <v>0</v>
      </c>
      <c r="S1167" s="3" t="s">
        <v>23</v>
      </c>
      <c r="T1167" s="195"/>
    </row>
    <row r="1168" spans="1:20" ht="21.6" x14ac:dyDescent="0.3">
      <c r="A1168" s="139">
        <v>11</v>
      </c>
      <c r="B1168" s="42" t="s">
        <v>20</v>
      </c>
      <c r="C1168" s="43" t="s">
        <v>267</v>
      </c>
      <c r="D1168" s="50">
        <v>6173</v>
      </c>
      <c r="E1168" s="52" t="s">
        <v>282</v>
      </c>
      <c r="F1168" s="52" t="s">
        <v>274</v>
      </c>
      <c r="G1168" s="213" t="s">
        <v>208</v>
      </c>
      <c r="H1168" s="45" t="s">
        <v>429</v>
      </c>
      <c r="I1168" s="7" t="s">
        <v>22</v>
      </c>
      <c r="J1168" s="3">
        <v>0.7</v>
      </c>
      <c r="K1168" s="1" t="s">
        <v>309</v>
      </c>
      <c r="L1168" s="8" t="s">
        <v>207</v>
      </c>
      <c r="M1168" s="13"/>
      <c r="N1168" s="3">
        <v>1</v>
      </c>
      <c r="O1168" s="3">
        <v>0.1</v>
      </c>
      <c r="P1168" s="3"/>
      <c r="Q1168" s="3">
        <f t="shared" si="43"/>
        <v>0</v>
      </c>
      <c r="R1168" s="4">
        <f t="shared" si="44"/>
        <v>0</v>
      </c>
      <c r="S1168" s="3" t="s">
        <v>23</v>
      </c>
      <c r="T1168" s="195"/>
    </row>
    <row r="1169" spans="1:20" ht="21.6" x14ac:dyDescent="0.3">
      <c r="A1169" s="139"/>
      <c r="B1169" s="42" t="s">
        <v>20</v>
      </c>
      <c r="C1169" s="43" t="s">
        <v>267</v>
      </c>
      <c r="D1169" s="50">
        <v>6173</v>
      </c>
      <c r="E1169" s="52" t="s">
        <v>282</v>
      </c>
      <c r="F1169" s="52" t="s">
        <v>274</v>
      </c>
      <c r="G1169" s="213" t="s">
        <v>208</v>
      </c>
      <c r="H1169" s="45" t="s">
        <v>429</v>
      </c>
      <c r="I1169" s="47" t="s">
        <v>22</v>
      </c>
      <c r="J1169" s="3">
        <v>0.7</v>
      </c>
      <c r="K1169" s="49" t="s">
        <v>310</v>
      </c>
      <c r="L1169" s="30" t="s">
        <v>136</v>
      </c>
      <c r="M1169" s="49" t="s">
        <v>137</v>
      </c>
      <c r="N1169" s="3">
        <v>0.9</v>
      </c>
      <c r="O1169" s="3">
        <v>0.1</v>
      </c>
      <c r="P1169" s="19"/>
      <c r="Q1169" s="3">
        <f t="shared" si="43"/>
        <v>0</v>
      </c>
      <c r="R1169" s="4">
        <f t="shared" si="44"/>
        <v>0</v>
      </c>
      <c r="S1169" s="3" t="s">
        <v>23</v>
      </c>
      <c r="T1169" s="195"/>
    </row>
    <row r="1170" spans="1:20" ht="22.2" thickBot="1" x14ac:dyDescent="0.35">
      <c r="A1170" s="142">
        <v>12</v>
      </c>
      <c r="B1170" s="81" t="s">
        <v>20</v>
      </c>
      <c r="C1170" s="82" t="s">
        <v>267</v>
      </c>
      <c r="D1170" s="113">
        <v>6173</v>
      </c>
      <c r="E1170" s="118" t="s">
        <v>282</v>
      </c>
      <c r="F1170" s="118" t="s">
        <v>274</v>
      </c>
      <c r="G1170" s="214" t="s">
        <v>208</v>
      </c>
      <c r="H1170" s="84" t="s">
        <v>429</v>
      </c>
      <c r="I1170" s="85" t="s">
        <v>26</v>
      </c>
      <c r="J1170" s="86">
        <v>0.3</v>
      </c>
      <c r="K1170" s="115" t="s">
        <v>138</v>
      </c>
      <c r="L1170" s="114" t="s">
        <v>139</v>
      </c>
      <c r="M1170" s="115" t="s">
        <v>140</v>
      </c>
      <c r="N1170" s="86">
        <v>1</v>
      </c>
      <c r="O1170" s="86">
        <v>1</v>
      </c>
      <c r="P1170" s="127"/>
      <c r="Q1170" s="86">
        <f t="shared" si="43"/>
        <v>0</v>
      </c>
      <c r="R1170" s="90">
        <f t="shared" si="44"/>
        <v>0</v>
      </c>
      <c r="S1170" s="91" t="s">
        <v>23</v>
      </c>
      <c r="T1170" s="149"/>
    </row>
    <row r="1171" spans="1:20" ht="21.6" x14ac:dyDescent="0.3">
      <c r="A1171" s="139">
        <v>7</v>
      </c>
      <c r="B1171" s="42" t="s">
        <v>20</v>
      </c>
      <c r="C1171" s="43" t="s">
        <v>267</v>
      </c>
      <c r="D1171" s="50">
        <v>6202</v>
      </c>
      <c r="E1171" s="52" t="s">
        <v>283</v>
      </c>
      <c r="F1171" s="52" t="s">
        <v>274</v>
      </c>
      <c r="G1171" s="213" t="s">
        <v>208</v>
      </c>
      <c r="H1171" s="45" t="s">
        <v>429</v>
      </c>
      <c r="I1171" s="7" t="s">
        <v>22</v>
      </c>
      <c r="J1171" s="3">
        <v>0.7</v>
      </c>
      <c r="K1171" s="1" t="s">
        <v>215</v>
      </c>
      <c r="L1171" s="2" t="s">
        <v>205</v>
      </c>
      <c r="M1171" s="1"/>
      <c r="N1171" s="3">
        <v>0.95</v>
      </c>
      <c r="O1171" s="3">
        <v>0.2</v>
      </c>
      <c r="P1171" s="3"/>
      <c r="Q1171" s="3">
        <f t="shared" si="43"/>
        <v>0</v>
      </c>
      <c r="R1171" s="4">
        <f t="shared" si="44"/>
        <v>0</v>
      </c>
      <c r="S1171" s="3" t="s">
        <v>23</v>
      </c>
      <c r="T1171" s="195">
        <f>SUM(R1171:R1177)%</f>
        <v>0</v>
      </c>
    </row>
    <row r="1172" spans="1:20" ht="21.6" x14ac:dyDescent="0.3">
      <c r="A1172" s="139">
        <v>8</v>
      </c>
      <c r="B1172" s="42" t="s">
        <v>20</v>
      </c>
      <c r="C1172" s="43" t="s">
        <v>267</v>
      </c>
      <c r="D1172" s="50">
        <v>6202</v>
      </c>
      <c r="E1172" s="52" t="s">
        <v>283</v>
      </c>
      <c r="F1172" s="52" t="s">
        <v>274</v>
      </c>
      <c r="G1172" s="213" t="s">
        <v>208</v>
      </c>
      <c r="H1172" s="45" t="s">
        <v>429</v>
      </c>
      <c r="I1172" s="7" t="s">
        <v>22</v>
      </c>
      <c r="J1172" s="3">
        <v>0.7</v>
      </c>
      <c r="K1172" s="1" t="s">
        <v>307</v>
      </c>
      <c r="L1172" s="8" t="s">
        <v>206</v>
      </c>
      <c r="M1172" s="1"/>
      <c r="N1172" s="3">
        <v>0.95</v>
      </c>
      <c r="O1172" s="3">
        <v>0.2</v>
      </c>
      <c r="P1172" s="3"/>
      <c r="Q1172" s="3">
        <f t="shared" si="43"/>
        <v>0</v>
      </c>
      <c r="R1172" s="4">
        <f t="shared" si="44"/>
        <v>0</v>
      </c>
      <c r="S1172" s="3" t="s">
        <v>23</v>
      </c>
      <c r="T1172" s="195"/>
    </row>
    <row r="1173" spans="1:20" ht="21.6" x14ac:dyDescent="0.3">
      <c r="A1173" s="139">
        <v>9</v>
      </c>
      <c r="B1173" s="42" t="s">
        <v>20</v>
      </c>
      <c r="C1173" s="43" t="s">
        <v>267</v>
      </c>
      <c r="D1173" s="50">
        <v>6202</v>
      </c>
      <c r="E1173" s="52" t="s">
        <v>283</v>
      </c>
      <c r="F1173" s="52" t="s">
        <v>274</v>
      </c>
      <c r="G1173" s="213" t="s">
        <v>208</v>
      </c>
      <c r="H1173" s="45" t="s">
        <v>429</v>
      </c>
      <c r="I1173" s="7" t="s">
        <v>22</v>
      </c>
      <c r="J1173" s="3">
        <v>0.7</v>
      </c>
      <c r="K1173" s="1" t="s">
        <v>305</v>
      </c>
      <c r="L1173" s="8" t="s">
        <v>257</v>
      </c>
      <c r="M1173" s="13" t="s">
        <v>306</v>
      </c>
      <c r="N1173" s="3">
        <v>0.95</v>
      </c>
      <c r="O1173" s="3">
        <v>0.25</v>
      </c>
      <c r="P1173" s="3"/>
      <c r="Q1173" s="3">
        <f t="shared" si="43"/>
        <v>0</v>
      </c>
      <c r="R1173" s="4">
        <f t="shared" si="44"/>
        <v>0</v>
      </c>
      <c r="S1173" s="3" t="s">
        <v>23</v>
      </c>
      <c r="T1173" s="195"/>
    </row>
    <row r="1174" spans="1:20" ht="21.6" x14ac:dyDescent="0.3">
      <c r="A1174" s="139">
        <v>10</v>
      </c>
      <c r="B1174" s="42" t="s">
        <v>20</v>
      </c>
      <c r="C1174" s="43" t="s">
        <v>267</v>
      </c>
      <c r="D1174" s="50">
        <v>6202</v>
      </c>
      <c r="E1174" s="52" t="s">
        <v>283</v>
      </c>
      <c r="F1174" s="52" t="s">
        <v>274</v>
      </c>
      <c r="G1174" s="213" t="s">
        <v>208</v>
      </c>
      <c r="H1174" s="45" t="s">
        <v>429</v>
      </c>
      <c r="I1174" s="7" t="s">
        <v>22</v>
      </c>
      <c r="J1174" s="3">
        <v>0.7</v>
      </c>
      <c r="K1174" s="1" t="s">
        <v>308</v>
      </c>
      <c r="L1174" s="8" t="s">
        <v>130</v>
      </c>
      <c r="M1174" s="13" t="s">
        <v>131</v>
      </c>
      <c r="N1174" s="3">
        <v>0.9</v>
      </c>
      <c r="O1174" s="3">
        <v>0.15</v>
      </c>
      <c r="P1174" s="3"/>
      <c r="Q1174" s="3">
        <f t="shared" si="43"/>
        <v>0</v>
      </c>
      <c r="R1174" s="4">
        <f t="shared" si="44"/>
        <v>0</v>
      </c>
      <c r="S1174" s="3" t="s">
        <v>23</v>
      </c>
      <c r="T1174" s="195"/>
    </row>
    <row r="1175" spans="1:20" ht="21.6" x14ac:dyDescent="0.3">
      <c r="A1175" s="139">
        <v>11</v>
      </c>
      <c r="B1175" s="42" t="s">
        <v>20</v>
      </c>
      <c r="C1175" s="43" t="s">
        <v>267</v>
      </c>
      <c r="D1175" s="50">
        <v>6202</v>
      </c>
      <c r="E1175" s="52" t="s">
        <v>283</v>
      </c>
      <c r="F1175" s="52" t="s">
        <v>274</v>
      </c>
      <c r="G1175" s="213" t="s">
        <v>208</v>
      </c>
      <c r="H1175" s="45" t="s">
        <v>429</v>
      </c>
      <c r="I1175" s="7" t="s">
        <v>22</v>
      </c>
      <c r="J1175" s="3">
        <v>0.7</v>
      </c>
      <c r="K1175" s="1" t="s">
        <v>309</v>
      </c>
      <c r="L1175" s="8" t="s">
        <v>207</v>
      </c>
      <c r="M1175" s="13"/>
      <c r="N1175" s="3">
        <v>1</v>
      </c>
      <c r="O1175" s="3">
        <v>0.1</v>
      </c>
      <c r="P1175" s="3"/>
      <c r="Q1175" s="3">
        <f t="shared" si="43"/>
        <v>0</v>
      </c>
      <c r="R1175" s="4">
        <f t="shared" si="44"/>
        <v>0</v>
      </c>
      <c r="S1175" s="3" t="s">
        <v>23</v>
      </c>
      <c r="T1175" s="195"/>
    </row>
    <row r="1176" spans="1:20" ht="21.6" x14ac:dyDescent="0.3">
      <c r="A1176" s="139"/>
      <c r="B1176" s="42" t="s">
        <v>20</v>
      </c>
      <c r="C1176" s="43" t="s">
        <v>267</v>
      </c>
      <c r="D1176" s="50">
        <v>6202</v>
      </c>
      <c r="E1176" s="52" t="s">
        <v>283</v>
      </c>
      <c r="F1176" s="52" t="s">
        <v>274</v>
      </c>
      <c r="G1176" s="213" t="s">
        <v>208</v>
      </c>
      <c r="H1176" s="45" t="s">
        <v>429</v>
      </c>
      <c r="I1176" s="47" t="s">
        <v>22</v>
      </c>
      <c r="J1176" s="3">
        <v>0.7</v>
      </c>
      <c r="K1176" s="49" t="s">
        <v>310</v>
      </c>
      <c r="L1176" s="30" t="s">
        <v>136</v>
      </c>
      <c r="M1176" s="49" t="s">
        <v>137</v>
      </c>
      <c r="N1176" s="3">
        <v>0.9</v>
      </c>
      <c r="O1176" s="3">
        <v>0.1</v>
      </c>
      <c r="P1176" s="19"/>
      <c r="Q1176" s="3">
        <f t="shared" si="43"/>
        <v>0</v>
      </c>
      <c r="R1176" s="4">
        <f t="shared" si="44"/>
        <v>0</v>
      </c>
      <c r="S1176" s="3" t="s">
        <v>23</v>
      </c>
      <c r="T1176" s="195"/>
    </row>
    <row r="1177" spans="1:20" ht="22.2" thickBot="1" x14ac:dyDescent="0.35">
      <c r="A1177" s="142">
        <v>12</v>
      </c>
      <c r="B1177" s="81" t="s">
        <v>20</v>
      </c>
      <c r="C1177" s="82" t="s">
        <v>267</v>
      </c>
      <c r="D1177" s="113">
        <v>6202</v>
      </c>
      <c r="E1177" s="118" t="s">
        <v>283</v>
      </c>
      <c r="F1177" s="118" t="s">
        <v>274</v>
      </c>
      <c r="G1177" s="214" t="s">
        <v>208</v>
      </c>
      <c r="H1177" s="84" t="s">
        <v>429</v>
      </c>
      <c r="I1177" s="85" t="s">
        <v>26</v>
      </c>
      <c r="J1177" s="86">
        <v>0.3</v>
      </c>
      <c r="K1177" s="115" t="s">
        <v>138</v>
      </c>
      <c r="L1177" s="114" t="s">
        <v>139</v>
      </c>
      <c r="M1177" s="115" t="s">
        <v>140</v>
      </c>
      <c r="N1177" s="86">
        <v>1</v>
      </c>
      <c r="O1177" s="86">
        <v>1</v>
      </c>
      <c r="P1177" s="127"/>
      <c r="Q1177" s="86">
        <f t="shared" si="43"/>
        <v>0</v>
      </c>
      <c r="R1177" s="90">
        <f t="shared" si="44"/>
        <v>0</v>
      </c>
      <c r="S1177" s="91" t="s">
        <v>23</v>
      </c>
      <c r="T1177" s="149"/>
    </row>
    <row r="1178" spans="1:20" ht="21.6" x14ac:dyDescent="0.3">
      <c r="A1178" s="139">
        <v>13</v>
      </c>
      <c r="B1178" s="42" t="s">
        <v>20</v>
      </c>
      <c r="C1178" s="43" t="s">
        <v>267</v>
      </c>
      <c r="D1178" s="50">
        <v>5431</v>
      </c>
      <c r="E1178" s="52" t="s">
        <v>210</v>
      </c>
      <c r="F1178" s="52" t="s">
        <v>211</v>
      </c>
      <c r="G1178" s="213" t="s">
        <v>31</v>
      </c>
      <c r="H1178" s="45" t="s">
        <v>429</v>
      </c>
      <c r="I1178" s="7" t="s">
        <v>22</v>
      </c>
      <c r="J1178" s="3">
        <v>0.7</v>
      </c>
      <c r="K1178" s="1" t="s">
        <v>557</v>
      </c>
      <c r="L1178" s="2" t="s">
        <v>558</v>
      </c>
      <c r="M1178" s="1" t="s">
        <v>559</v>
      </c>
      <c r="N1178" s="3">
        <v>0.95</v>
      </c>
      <c r="O1178" s="3">
        <v>0.25</v>
      </c>
      <c r="P1178" s="3"/>
      <c r="Q1178" s="3">
        <f t="shared" si="43"/>
        <v>0</v>
      </c>
      <c r="R1178" s="4">
        <f t="shared" si="44"/>
        <v>0</v>
      </c>
      <c r="S1178" s="3" t="s">
        <v>23</v>
      </c>
      <c r="T1178" s="195">
        <f>SUM(R1178:R1183)%</f>
        <v>0</v>
      </c>
    </row>
    <row r="1179" spans="1:20" ht="21.6" x14ac:dyDescent="0.3">
      <c r="A1179" s="139">
        <v>14</v>
      </c>
      <c r="B1179" s="42" t="s">
        <v>20</v>
      </c>
      <c r="C1179" s="43" t="s">
        <v>267</v>
      </c>
      <c r="D1179" s="50">
        <v>5431</v>
      </c>
      <c r="E1179" s="52" t="s">
        <v>210</v>
      </c>
      <c r="F1179" s="52" t="s">
        <v>211</v>
      </c>
      <c r="G1179" s="213" t="s">
        <v>31</v>
      </c>
      <c r="H1179" s="45" t="s">
        <v>429</v>
      </c>
      <c r="I1179" s="7" t="s">
        <v>22</v>
      </c>
      <c r="J1179" s="3">
        <v>0.7</v>
      </c>
      <c r="K1179" s="1" t="s">
        <v>560</v>
      </c>
      <c r="L1179" s="8" t="s">
        <v>561</v>
      </c>
      <c r="M1179" s="1" t="s">
        <v>562</v>
      </c>
      <c r="N1179" s="3">
        <v>0.95</v>
      </c>
      <c r="O1179" s="3">
        <v>0.25</v>
      </c>
      <c r="P1179" s="3"/>
      <c r="Q1179" s="3">
        <f t="shared" si="43"/>
        <v>0</v>
      </c>
      <c r="R1179" s="4">
        <f t="shared" si="44"/>
        <v>0</v>
      </c>
      <c r="S1179" s="3" t="s">
        <v>23</v>
      </c>
      <c r="T1179" s="195"/>
    </row>
    <row r="1180" spans="1:20" ht="21.6" x14ac:dyDescent="0.3">
      <c r="A1180" s="139">
        <v>15</v>
      </c>
      <c r="B1180" s="42" t="s">
        <v>20</v>
      </c>
      <c r="C1180" s="43" t="s">
        <v>267</v>
      </c>
      <c r="D1180" s="50">
        <v>5431</v>
      </c>
      <c r="E1180" s="52" t="s">
        <v>210</v>
      </c>
      <c r="F1180" s="52" t="s">
        <v>211</v>
      </c>
      <c r="G1180" s="213" t="s">
        <v>31</v>
      </c>
      <c r="H1180" s="45" t="s">
        <v>429</v>
      </c>
      <c r="I1180" s="7" t="s">
        <v>22</v>
      </c>
      <c r="J1180" s="3">
        <v>0.7</v>
      </c>
      <c r="K1180" s="1" t="s">
        <v>308</v>
      </c>
      <c r="L1180" s="8" t="s">
        <v>130</v>
      </c>
      <c r="M1180" s="13" t="s">
        <v>131</v>
      </c>
      <c r="N1180" s="3">
        <v>0.9</v>
      </c>
      <c r="O1180" s="3">
        <v>0.25</v>
      </c>
      <c r="P1180" s="3"/>
      <c r="Q1180" s="3">
        <f t="shared" si="43"/>
        <v>0</v>
      </c>
      <c r="R1180" s="4">
        <f t="shared" si="44"/>
        <v>0</v>
      </c>
      <c r="S1180" s="3" t="s">
        <v>23</v>
      </c>
      <c r="T1180" s="195"/>
    </row>
    <row r="1181" spans="1:20" ht="21.6" x14ac:dyDescent="0.3">
      <c r="A1181" s="139">
        <v>16</v>
      </c>
      <c r="B1181" s="42" t="s">
        <v>20</v>
      </c>
      <c r="C1181" s="43" t="s">
        <v>267</v>
      </c>
      <c r="D1181" s="50">
        <v>5431</v>
      </c>
      <c r="E1181" s="52" t="s">
        <v>210</v>
      </c>
      <c r="F1181" s="52" t="s">
        <v>211</v>
      </c>
      <c r="G1181" s="213" t="s">
        <v>31</v>
      </c>
      <c r="H1181" s="45" t="s">
        <v>429</v>
      </c>
      <c r="I1181" s="7" t="s">
        <v>22</v>
      </c>
      <c r="J1181" s="3">
        <v>0.7</v>
      </c>
      <c r="K1181" s="1" t="s">
        <v>309</v>
      </c>
      <c r="L1181" s="8" t="s">
        <v>207</v>
      </c>
      <c r="M1181" s="13"/>
      <c r="N1181" s="3">
        <v>1</v>
      </c>
      <c r="O1181" s="3">
        <v>0.1</v>
      </c>
      <c r="P1181" s="3"/>
      <c r="Q1181" s="3">
        <f t="shared" ref="Q1181:Q1242" si="45">ROUND(IF(OR(N1181="",P1181=""),0,IF(AND(N1181=0,P1181=0),1,IF(S1181="+",P1181/N1181,N1181/P1181))),2)</f>
        <v>0</v>
      </c>
      <c r="R1181" s="4">
        <f t="shared" si="44"/>
        <v>0</v>
      </c>
      <c r="S1181" s="3" t="s">
        <v>23</v>
      </c>
      <c r="T1181" s="195"/>
    </row>
    <row r="1182" spans="1:20" ht="21.6" x14ac:dyDescent="0.3">
      <c r="A1182" s="139">
        <v>17</v>
      </c>
      <c r="B1182" s="42" t="s">
        <v>20</v>
      </c>
      <c r="C1182" s="43" t="s">
        <v>267</v>
      </c>
      <c r="D1182" s="50">
        <v>5431</v>
      </c>
      <c r="E1182" s="52" t="s">
        <v>210</v>
      </c>
      <c r="F1182" s="52" t="s">
        <v>211</v>
      </c>
      <c r="G1182" s="213" t="s">
        <v>31</v>
      </c>
      <c r="H1182" s="45" t="s">
        <v>429</v>
      </c>
      <c r="I1182" s="7" t="s">
        <v>22</v>
      </c>
      <c r="J1182" s="3">
        <v>0.7</v>
      </c>
      <c r="K1182" s="1" t="s">
        <v>310</v>
      </c>
      <c r="L1182" s="8" t="s">
        <v>136</v>
      </c>
      <c r="M1182" s="13" t="s">
        <v>137</v>
      </c>
      <c r="N1182" s="3">
        <v>0.9</v>
      </c>
      <c r="O1182" s="3">
        <v>0.15</v>
      </c>
      <c r="P1182" s="3"/>
      <c r="Q1182" s="3">
        <f t="shared" si="45"/>
        <v>0</v>
      </c>
      <c r="R1182" s="4">
        <f t="shared" si="44"/>
        <v>0</v>
      </c>
      <c r="S1182" s="3" t="s">
        <v>23</v>
      </c>
      <c r="T1182" s="195"/>
    </row>
    <row r="1183" spans="1:20" ht="22.2" thickBot="1" x14ac:dyDescent="0.35">
      <c r="A1183" s="142">
        <v>18</v>
      </c>
      <c r="B1183" s="81" t="s">
        <v>20</v>
      </c>
      <c r="C1183" s="82" t="s">
        <v>267</v>
      </c>
      <c r="D1183" s="113">
        <v>5431</v>
      </c>
      <c r="E1183" s="118" t="s">
        <v>210</v>
      </c>
      <c r="F1183" s="118" t="s">
        <v>211</v>
      </c>
      <c r="G1183" s="214" t="s">
        <v>31</v>
      </c>
      <c r="H1183" s="84" t="s">
        <v>429</v>
      </c>
      <c r="I1183" s="85" t="s">
        <v>26</v>
      </c>
      <c r="J1183" s="86">
        <v>0.3</v>
      </c>
      <c r="K1183" s="115" t="s">
        <v>138</v>
      </c>
      <c r="L1183" s="114" t="s">
        <v>139</v>
      </c>
      <c r="M1183" s="115" t="s">
        <v>140</v>
      </c>
      <c r="N1183" s="86">
        <v>1</v>
      </c>
      <c r="O1183" s="86">
        <v>1</v>
      </c>
      <c r="P1183" s="127"/>
      <c r="Q1183" s="86">
        <f t="shared" si="45"/>
        <v>0</v>
      </c>
      <c r="R1183" s="90">
        <f t="shared" si="44"/>
        <v>0</v>
      </c>
      <c r="S1183" s="91" t="s">
        <v>23</v>
      </c>
      <c r="T1183" s="149"/>
    </row>
    <row r="1184" spans="1:20" ht="21.6" x14ac:dyDescent="0.3">
      <c r="A1184" s="139">
        <v>13</v>
      </c>
      <c r="B1184" s="42" t="s">
        <v>20</v>
      </c>
      <c r="C1184" s="43" t="s">
        <v>267</v>
      </c>
      <c r="D1184" s="50">
        <v>5500</v>
      </c>
      <c r="E1184" s="52" t="s">
        <v>285</v>
      </c>
      <c r="F1184" s="52" t="s">
        <v>284</v>
      </c>
      <c r="G1184" s="213" t="s">
        <v>31</v>
      </c>
      <c r="H1184" s="45" t="s">
        <v>429</v>
      </c>
      <c r="I1184" s="7" t="s">
        <v>22</v>
      </c>
      <c r="J1184" s="3">
        <v>0.7</v>
      </c>
      <c r="K1184" s="1" t="s">
        <v>557</v>
      </c>
      <c r="L1184" s="2" t="s">
        <v>558</v>
      </c>
      <c r="M1184" s="1" t="s">
        <v>559</v>
      </c>
      <c r="N1184" s="3">
        <v>0.95</v>
      </c>
      <c r="O1184" s="3">
        <v>0.25</v>
      </c>
      <c r="P1184" s="3"/>
      <c r="Q1184" s="3">
        <f t="shared" si="45"/>
        <v>0</v>
      </c>
      <c r="R1184" s="4">
        <f t="shared" si="44"/>
        <v>0</v>
      </c>
      <c r="S1184" s="3" t="s">
        <v>23</v>
      </c>
      <c r="T1184" s="195">
        <f>SUM(R1184:R1189)%</f>
        <v>0</v>
      </c>
    </row>
    <row r="1185" spans="1:20" ht="21.6" x14ac:dyDescent="0.3">
      <c r="A1185" s="139">
        <v>14</v>
      </c>
      <c r="B1185" s="42" t="s">
        <v>20</v>
      </c>
      <c r="C1185" s="43" t="s">
        <v>267</v>
      </c>
      <c r="D1185" s="50">
        <v>5500</v>
      </c>
      <c r="E1185" s="52" t="s">
        <v>285</v>
      </c>
      <c r="F1185" s="52" t="s">
        <v>284</v>
      </c>
      <c r="G1185" s="213" t="s">
        <v>31</v>
      </c>
      <c r="H1185" s="45" t="s">
        <v>429</v>
      </c>
      <c r="I1185" s="7" t="s">
        <v>22</v>
      </c>
      <c r="J1185" s="3">
        <v>0.7</v>
      </c>
      <c r="K1185" s="1" t="s">
        <v>560</v>
      </c>
      <c r="L1185" s="8" t="s">
        <v>561</v>
      </c>
      <c r="M1185" s="1" t="s">
        <v>562</v>
      </c>
      <c r="N1185" s="3">
        <v>0.95</v>
      </c>
      <c r="O1185" s="3">
        <v>0.25</v>
      </c>
      <c r="P1185" s="3"/>
      <c r="Q1185" s="3">
        <f t="shared" si="45"/>
        <v>0</v>
      </c>
      <c r="R1185" s="4">
        <f t="shared" si="44"/>
        <v>0</v>
      </c>
      <c r="S1185" s="3" t="s">
        <v>23</v>
      </c>
      <c r="T1185" s="195"/>
    </row>
    <row r="1186" spans="1:20" ht="21.6" x14ac:dyDescent="0.3">
      <c r="A1186" s="139">
        <v>15</v>
      </c>
      <c r="B1186" s="42" t="s">
        <v>20</v>
      </c>
      <c r="C1186" s="43" t="s">
        <v>267</v>
      </c>
      <c r="D1186" s="50">
        <v>5500</v>
      </c>
      <c r="E1186" s="52" t="s">
        <v>285</v>
      </c>
      <c r="F1186" s="52" t="s">
        <v>284</v>
      </c>
      <c r="G1186" s="213" t="s">
        <v>31</v>
      </c>
      <c r="H1186" s="45" t="s">
        <v>429</v>
      </c>
      <c r="I1186" s="7" t="s">
        <v>22</v>
      </c>
      <c r="J1186" s="3">
        <v>0.7</v>
      </c>
      <c r="K1186" s="1" t="s">
        <v>308</v>
      </c>
      <c r="L1186" s="8" t="s">
        <v>130</v>
      </c>
      <c r="M1186" s="13" t="s">
        <v>131</v>
      </c>
      <c r="N1186" s="3">
        <v>0.9</v>
      </c>
      <c r="O1186" s="3">
        <v>0.25</v>
      </c>
      <c r="P1186" s="3"/>
      <c r="Q1186" s="3">
        <f t="shared" si="45"/>
        <v>0</v>
      </c>
      <c r="R1186" s="4">
        <f t="shared" si="44"/>
        <v>0</v>
      </c>
      <c r="S1186" s="3" t="s">
        <v>23</v>
      </c>
      <c r="T1186" s="195"/>
    </row>
    <row r="1187" spans="1:20" ht="21.6" x14ac:dyDescent="0.3">
      <c r="A1187" s="139">
        <v>16</v>
      </c>
      <c r="B1187" s="42" t="s">
        <v>20</v>
      </c>
      <c r="C1187" s="43" t="s">
        <v>267</v>
      </c>
      <c r="D1187" s="50">
        <v>5500</v>
      </c>
      <c r="E1187" s="52" t="s">
        <v>285</v>
      </c>
      <c r="F1187" s="52" t="s">
        <v>284</v>
      </c>
      <c r="G1187" s="213" t="s">
        <v>31</v>
      </c>
      <c r="H1187" s="45" t="s">
        <v>429</v>
      </c>
      <c r="I1187" s="7" t="s">
        <v>22</v>
      </c>
      <c r="J1187" s="3">
        <v>0.7</v>
      </c>
      <c r="K1187" s="1" t="s">
        <v>309</v>
      </c>
      <c r="L1187" s="8" t="s">
        <v>207</v>
      </c>
      <c r="M1187" s="13"/>
      <c r="N1187" s="3">
        <v>1</v>
      </c>
      <c r="O1187" s="3">
        <v>0.1</v>
      </c>
      <c r="P1187" s="3"/>
      <c r="Q1187" s="3">
        <f t="shared" si="45"/>
        <v>0</v>
      </c>
      <c r="R1187" s="4">
        <f t="shared" si="44"/>
        <v>0</v>
      </c>
      <c r="S1187" s="3" t="s">
        <v>23</v>
      </c>
      <c r="T1187" s="195"/>
    </row>
    <row r="1188" spans="1:20" ht="21.6" x14ac:dyDescent="0.3">
      <c r="A1188" s="139">
        <v>17</v>
      </c>
      <c r="B1188" s="42" t="s">
        <v>20</v>
      </c>
      <c r="C1188" s="43" t="s">
        <v>267</v>
      </c>
      <c r="D1188" s="50">
        <v>5500</v>
      </c>
      <c r="E1188" s="52" t="s">
        <v>285</v>
      </c>
      <c r="F1188" s="52" t="s">
        <v>284</v>
      </c>
      <c r="G1188" s="213" t="s">
        <v>31</v>
      </c>
      <c r="H1188" s="45" t="s">
        <v>429</v>
      </c>
      <c r="I1188" s="7" t="s">
        <v>22</v>
      </c>
      <c r="J1188" s="3">
        <v>0.7</v>
      </c>
      <c r="K1188" s="1" t="s">
        <v>310</v>
      </c>
      <c r="L1188" s="8" t="s">
        <v>136</v>
      </c>
      <c r="M1188" s="13" t="s">
        <v>137</v>
      </c>
      <c r="N1188" s="3">
        <v>0.9</v>
      </c>
      <c r="O1188" s="3">
        <v>0.15</v>
      </c>
      <c r="P1188" s="3"/>
      <c r="Q1188" s="3">
        <f t="shared" si="45"/>
        <v>0</v>
      </c>
      <c r="R1188" s="4">
        <f t="shared" si="44"/>
        <v>0</v>
      </c>
      <c r="S1188" s="3" t="s">
        <v>23</v>
      </c>
      <c r="T1188" s="195"/>
    </row>
    <row r="1189" spans="1:20" ht="22.2" thickBot="1" x14ac:dyDescent="0.35">
      <c r="A1189" s="142">
        <v>18</v>
      </c>
      <c r="B1189" s="81" t="s">
        <v>20</v>
      </c>
      <c r="C1189" s="82" t="s">
        <v>267</v>
      </c>
      <c r="D1189" s="113">
        <v>5500</v>
      </c>
      <c r="E1189" s="118" t="s">
        <v>285</v>
      </c>
      <c r="F1189" s="118" t="s">
        <v>284</v>
      </c>
      <c r="G1189" s="214" t="s">
        <v>31</v>
      </c>
      <c r="H1189" s="84" t="s">
        <v>429</v>
      </c>
      <c r="I1189" s="85" t="s">
        <v>26</v>
      </c>
      <c r="J1189" s="86">
        <v>0.3</v>
      </c>
      <c r="K1189" s="115" t="s">
        <v>138</v>
      </c>
      <c r="L1189" s="114" t="s">
        <v>139</v>
      </c>
      <c r="M1189" s="115" t="s">
        <v>140</v>
      </c>
      <c r="N1189" s="86">
        <v>1</v>
      </c>
      <c r="O1189" s="86">
        <v>1</v>
      </c>
      <c r="P1189" s="86"/>
      <c r="Q1189" s="86">
        <f t="shared" si="45"/>
        <v>0</v>
      </c>
      <c r="R1189" s="90">
        <f t="shared" si="44"/>
        <v>0</v>
      </c>
      <c r="S1189" s="91" t="s">
        <v>23</v>
      </c>
      <c r="T1189" s="149"/>
    </row>
    <row r="1190" spans="1:20" ht="21.6" x14ac:dyDescent="0.3">
      <c r="A1190" s="139">
        <v>13</v>
      </c>
      <c r="B1190" s="42" t="s">
        <v>20</v>
      </c>
      <c r="C1190" s="43" t="s">
        <v>267</v>
      </c>
      <c r="D1190" s="50">
        <v>6484</v>
      </c>
      <c r="E1190" s="52" t="s">
        <v>212</v>
      </c>
      <c r="F1190" s="52" t="s">
        <v>145</v>
      </c>
      <c r="G1190" s="213" t="s">
        <v>31</v>
      </c>
      <c r="H1190" s="45" t="s">
        <v>429</v>
      </c>
      <c r="I1190" s="7" t="s">
        <v>22</v>
      </c>
      <c r="J1190" s="3">
        <v>0.7</v>
      </c>
      <c r="K1190" s="1" t="s">
        <v>215</v>
      </c>
      <c r="L1190" s="2" t="s">
        <v>205</v>
      </c>
      <c r="M1190" s="1"/>
      <c r="N1190" s="3">
        <v>0.95</v>
      </c>
      <c r="O1190" s="3">
        <v>0.2</v>
      </c>
      <c r="P1190" s="3"/>
      <c r="Q1190" s="3">
        <f t="shared" si="45"/>
        <v>0</v>
      </c>
      <c r="R1190" s="4">
        <f t="shared" si="44"/>
        <v>0</v>
      </c>
      <c r="S1190" s="3" t="s">
        <v>23</v>
      </c>
      <c r="T1190" s="195">
        <f>SUM(R1190:R1196)%</f>
        <v>0</v>
      </c>
    </row>
    <row r="1191" spans="1:20" ht="21.6" x14ac:dyDescent="0.3">
      <c r="A1191" s="139">
        <v>14</v>
      </c>
      <c r="B1191" s="42" t="s">
        <v>20</v>
      </c>
      <c r="C1191" s="43" t="s">
        <v>267</v>
      </c>
      <c r="D1191" s="50">
        <v>6484</v>
      </c>
      <c r="E1191" s="52" t="s">
        <v>212</v>
      </c>
      <c r="F1191" s="52" t="s">
        <v>145</v>
      </c>
      <c r="G1191" s="213" t="s">
        <v>31</v>
      </c>
      <c r="H1191" s="45" t="s">
        <v>429</v>
      </c>
      <c r="I1191" s="7" t="s">
        <v>22</v>
      </c>
      <c r="J1191" s="3">
        <v>0.7</v>
      </c>
      <c r="K1191" s="1" t="s">
        <v>307</v>
      </c>
      <c r="L1191" s="8" t="s">
        <v>206</v>
      </c>
      <c r="M1191" s="1"/>
      <c r="N1191" s="3">
        <v>0.95</v>
      </c>
      <c r="O1191" s="3">
        <v>0.2</v>
      </c>
      <c r="P1191" s="3"/>
      <c r="Q1191" s="3">
        <f t="shared" si="45"/>
        <v>0</v>
      </c>
      <c r="R1191" s="4">
        <f t="shared" si="44"/>
        <v>0</v>
      </c>
      <c r="S1191" s="3" t="s">
        <v>23</v>
      </c>
      <c r="T1191" s="195"/>
    </row>
    <row r="1192" spans="1:20" ht="21.6" x14ac:dyDescent="0.3">
      <c r="A1192" s="139">
        <v>15</v>
      </c>
      <c r="B1192" s="42" t="s">
        <v>20</v>
      </c>
      <c r="C1192" s="43" t="s">
        <v>267</v>
      </c>
      <c r="D1192" s="50">
        <v>6484</v>
      </c>
      <c r="E1192" s="52" t="s">
        <v>212</v>
      </c>
      <c r="F1192" s="52" t="s">
        <v>145</v>
      </c>
      <c r="G1192" s="213" t="s">
        <v>31</v>
      </c>
      <c r="H1192" s="45" t="s">
        <v>429</v>
      </c>
      <c r="I1192" s="7" t="s">
        <v>22</v>
      </c>
      <c r="J1192" s="3">
        <v>0.7</v>
      </c>
      <c r="K1192" s="1" t="s">
        <v>305</v>
      </c>
      <c r="L1192" s="8" t="s">
        <v>257</v>
      </c>
      <c r="M1192" s="13" t="s">
        <v>306</v>
      </c>
      <c r="N1192" s="3">
        <v>0.95</v>
      </c>
      <c r="O1192" s="3">
        <v>0.25</v>
      </c>
      <c r="P1192" s="3"/>
      <c r="Q1192" s="3">
        <f t="shared" si="45"/>
        <v>0</v>
      </c>
      <c r="R1192" s="4">
        <f t="shared" si="44"/>
        <v>0</v>
      </c>
      <c r="S1192" s="3" t="s">
        <v>23</v>
      </c>
      <c r="T1192" s="195"/>
    </row>
    <row r="1193" spans="1:20" ht="21.6" x14ac:dyDescent="0.3">
      <c r="A1193" s="139">
        <v>16</v>
      </c>
      <c r="B1193" s="42" t="s">
        <v>20</v>
      </c>
      <c r="C1193" s="43" t="s">
        <v>267</v>
      </c>
      <c r="D1193" s="50">
        <v>6484</v>
      </c>
      <c r="E1193" s="52" t="s">
        <v>212</v>
      </c>
      <c r="F1193" s="52" t="s">
        <v>145</v>
      </c>
      <c r="G1193" s="213" t="s">
        <v>31</v>
      </c>
      <c r="H1193" s="45" t="s">
        <v>429</v>
      </c>
      <c r="I1193" s="7" t="s">
        <v>22</v>
      </c>
      <c r="J1193" s="3">
        <v>0.7</v>
      </c>
      <c r="K1193" s="1" t="s">
        <v>308</v>
      </c>
      <c r="L1193" s="8" t="s">
        <v>130</v>
      </c>
      <c r="M1193" s="13" t="s">
        <v>131</v>
      </c>
      <c r="N1193" s="3">
        <v>0.9</v>
      </c>
      <c r="O1193" s="3">
        <v>0.15</v>
      </c>
      <c r="P1193" s="3"/>
      <c r="Q1193" s="3">
        <f t="shared" si="45"/>
        <v>0</v>
      </c>
      <c r="R1193" s="4">
        <f t="shared" si="44"/>
        <v>0</v>
      </c>
      <c r="S1193" s="3" t="s">
        <v>23</v>
      </c>
      <c r="T1193" s="195"/>
    </row>
    <row r="1194" spans="1:20" ht="21.6" x14ac:dyDescent="0.3">
      <c r="A1194" s="139">
        <v>17</v>
      </c>
      <c r="B1194" s="42" t="s">
        <v>20</v>
      </c>
      <c r="C1194" s="43" t="s">
        <v>267</v>
      </c>
      <c r="D1194" s="50">
        <v>6484</v>
      </c>
      <c r="E1194" s="52" t="s">
        <v>212</v>
      </c>
      <c r="F1194" s="52" t="s">
        <v>145</v>
      </c>
      <c r="G1194" s="213" t="s">
        <v>31</v>
      </c>
      <c r="H1194" s="45" t="s">
        <v>429</v>
      </c>
      <c r="I1194" s="7" t="s">
        <v>22</v>
      </c>
      <c r="J1194" s="3">
        <v>0.7</v>
      </c>
      <c r="K1194" s="1" t="s">
        <v>309</v>
      </c>
      <c r="L1194" s="8" t="s">
        <v>207</v>
      </c>
      <c r="M1194" s="13"/>
      <c r="N1194" s="3">
        <v>1</v>
      </c>
      <c r="O1194" s="3">
        <v>0.1</v>
      </c>
      <c r="P1194" s="3"/>
      <c r="Q1194" s="3">
        <f t="shared" si="45"/>
        <v>0</v>
      </c>
      <c r="R1194" s="4">
        <f t="shared" si="44"/>
        <v>0</v>
      </c>
      <c r="S1194" s="3" t="s">
        <v>23</v>
      </c>
      <c r="T1194" s="195"/>
    </row>
    <row r="1195" spans="1:20" ht="21.6" x14ac:dyDescent="0.3">
      <c r="A1195" s="139"/>
      <c r="B1195" s="42" t="s">
        <v>20</v>
      </c>
      <c r="C1195" s="43" t="s">
        <v>267</v>
      </c>
      <c r="D1195" s="50">
        <v>6484</v>
      </c>
      <c r="E1195" s="52" t="s">
        <v>212</v>
      </c>
      <c r="F1195" s="52" t="s">
        <v>145</v>
      </c>
      <c r="G1195" s="213" t="s">
        <v>31</v>
      </c>
      <c r="H1195" s="45" t="s">
        <v>429</v>
      </c>
      <c r="I1195" s="47" t="s">
        <v>22</v>
      </c>
      <c r="J1195" s="3">
        <v>0.7</v>
      </c>
      <c r="K1195" s="49" t="s">
        <v>310</v>
      </c>
      <c r="L1195" s="30" t="s">
        <v>136</v>
      </c>
      <c r="M1195" s="49" t="s">
        <v>137</v>
      </c>
      <c r="N1195" s="3">
        <v>0.9</v>
      </c>
      <c r="O1195" s="3">
        <v>0.1</v>
      </c>
      <c r="P1195" s="19"/>
      <c r="Q1195" s="3">
        <f t="shared" si="45"/>
        <v>0</v>
      </c>
      <c r="R1195" s="4">
        <f t="shared" si="44"/>
        <v>0</v>
      </c>
      <c r="S1195" s="3" t="s">
        <v>23</v>
      </c>
      <c r="T1195" s="195"/>
    </row>
    <row r="1196" spans="1:20" ht="22.2" thickBot="1" x14ac:dyDescent="0.35">
      <c r="A1196" s="142">
        <v>18</v>
      </c>
      <c r="B1196" s="81" t="s">
        <v>20</v>
      </c>
      <c r="C1196" s="82" t="s">
        <v>267</v>
      </c>
      <c r="D1196" s="113">
        <v>6484</v>
      </c>
      <c r="E1196" s="118" t="s">
        <v>212</v>
      </c>
      <c r="F1196" s="118" t="s">
        <v>145</v>
      </c>
      <c r="G1196" s="214" t="s">
        <v>31</v>
      </c>
      <c r="H1196" s="84" t="s">
        <v>429</v>
      </c>
      <c r="I1196" s="85" t="s">
        <v>26</v>
      </c>
      <c r="J1196" s="86">
        <v>0.3</v>
      </c>
      <c r="K1196" s="115" t="s">
        <v>138</v>
      </c>
      <c r="L1196" s="114" t="s">
        <v>139</v>
      </c>
      <c r="M1196" s="115" t="s">
        <v>140</v>
      </c>
      <c r="N1196" s="86">
        <v>1</v>
      </c>
      <c r="O1196" s="86">
        <v>1</v>
      </c>
      <c r="P1196" s="127"/>
      <c r="Q1196" s="86">
        <f t="shared" si="45"/>
        <v>0</v>
      </c>
      <c r="R1196" s="90">
        <f t="shared" si="44"/>
        <v>0</v>
      </c>
      <c r="S1196" s="91" t="s">
        <v>23</v>
      </c>
      <c r="T1196" s="149"/>
    </row>
    <row r="1197" spans="1:20" ht="21.6" x14ac:dyDescent="0.3">
      <c r="A1197" s="139">
        <v>13</v>
      </c>
      <c r="B1197" s="42" t="s">
        <v>20</v>
      </c>
      <c r="C1197" s="43" t="s">
        <v>267</v>
      </c>
      <c r="D1197" s="50">
        <v>6560</v>
      </c>
      <c r="E1197" s="52" t="s">
        <v>268</v>
      </c>
      <c r="F1197" s="52" t="s">
        <v>123</v>
      </c>
      <c r="G1197" s="213" t="s">
        <v>31</v>
      </c>
      <c r="H1197" s="45" t="s">
        <v>429</v>
      </c>
      <c r="I1197" s="7" t="s">
        <v>22</v>
      </c>
      <c r="J1197" s="3">
        <v>0.7</v>
      </c>
      <c r="K1197" s="1" t="s">
        <v>215</v>
      </c>
      <c r="L1197" s="2" t="s">
        <v>205</v>
      </c>
      <c r="M1197" s="1"/>
      <c r="N1197" s="3">
        <v>0.95</v>
      </c>
      <c r="O1197" s="3">
        <v>0.2</v>
      </c>
      <c r="P1197" s="3"/>
      <c r="Q1197" s="3">
        <f t="shared" si="45"/>
        <v>0</v>
      </c>
      <c r="R1197" s="4">
        <f t="shared" si="44"/>
        <v>0</v>
      </c>
      <c r="S1197" s="3" t="s">
        <v>23</v>
      </c>
      <c r="T1197" s="195">
        <f>SUM(R1197:R1203)%</f>
        <v>0</v>
      </c>
    </row>
    <row r="1198" spans="1:20" ht="21.6" x14ac:dyDescent="0.3">
      <c r="A1198" s="139">
        <v>14</v>
      </c>
      <c r="B1198" s="42" t="s">
        <v>20</v>
      </c>
      <c r="C1198" s="43" t="s">
        <v>267</v>
      </c>
      <c r="D1198" s="50">
        <v>6560</v>
      </c>
      <c r="E1198" s="52" t="s">
        <v>268</v>
      </c>
      <c r="F1198" s="52" t="s">
        <v>123</v>
      </c>
      <c r="G1198" s="213" t="s">
        <v>31</v>
      </c>
      <c r="H1198" s="45" t="s">
        <v>429</v>
      </c>
      <c r="I1198" s="7" t="s">
        <v>22</v>
      </c>
      <c r="J1198" s="3">
        <v>0.7</v>
      </c>
      <c r="K1198" s="1" t="s">
        <v>307</v>
      </c>
      <c r="L1198" s="8" t="s">
        <v>206</v>
      </c>
      <c r="M1198" s="1"/>
      <c r="N1198" s="3">
        <v>0.95</v>
      </c>
      <c r="O1198" s="3">
        <v>0.2</v>
      </c>
      <c r="P1198" s="3"/>
      <c r="Q1198" s="3">
        <f t="shared" si="45"/>
        <v>0</v>
      </c>
      <c r="R1198" s="4">
        <f t="shared" si="44"/>
        <v>0</v>
      </c>
      <c r="S1198" s="3" t="s">
        <v>23</v>
      </c>
      <c r="T1198" s="195"/>
    </row>
    <row r="1199" spans="1:20" ht="21.6" x14ac:dyDescent="0.3">
      <c r="A1199" s="139">
        <v>15</v>
      </c>
      <c r="B1199" s="42" t="s">
        <v>20</v>
      </c>
      <c r="C1199" s="43" t="s">
        <v>267</v>
      </c>
      <c r="D1199" s="50">
        <v>6560</v>
      </c>
      <c r="E1199" s="52" t="s">
        <v>268</v>
      </c>
      <c r="F1199" s="52" t="s">
        <v>123</v>
      </c>
      <c r="G1199" s="213" t="s">
        <v>31</v>
      </c>
      <c r="H1199" s="45" t="s">
        <v>429</v>
      </c>
      <c r="I1199" s="7" t="s">
        <v>22</v>
      </c>
      <c r="J1199" s="3">
        <v>0.7</v>
      </c>
      <c r="K1199" s="1" t="s">
        <v>305</v>
      </c>
      <c r="L1199" s="8" t="s">
        <v>257</v>
      </c>
      <c r="M1199" s="13" t="s">
        <v>306</v>
      </c>
      <c r="N1199" s="3">
        <v>0.95</v>
      </c>
      <c r="O1199" s="3">
        <v>0.25</v>
      </c>
      <c r="P1199" s="3"/>
      <c r="Q1199" s="3">
        <f t="shared" si="45"/>
        <v>0</v>
      </c>
      <c r="R1199" s="4">
        <f t="shared" si="44"/>
        <v>0</v>
      </c>
      <c r="S1199" s="3" t="s">
        <v>23</v>
      </c>
      <c r="T1199" s="195"/>
    </row>
    <row r="1200" spans="1:20" ht="21.6" x14ac:dyDescent="0.3">
      <c r="A1200" s="139">
        <v>16</v>
      </c>
      <c r="B1200" s="42" t="s">
        <v>20</v>
      </c>
      <c r="C1200" s="43" t="s">
        <v>267</v>
      </c>
      <c r="D1200" s="50">
        <v>6560</v>
      </c>
      <c r="E1200" s="52" t="s">
        <v>268</v>
      </c>
      <c r="F1200" s="52" t="s">
        <v>123</v>
      </c>
      <c r="G1200" s="213" t="s">
        <v>31</v>
      </c>
      <c r="H1200" s="45" t="s">
        <v>429</v>
      </c>
      <c r="I1200" s="7" t="s">
        <v>22</v>
      </c>
      <c r="J1200" s="3">
        <v>0.7</v>
      </c>
      <c r="K1200" s="1" t="s">
        <v>308</v>
      </c>
      <c r="L1200" s="8" t="s">
        <v>130</v>
      </c>
      <c r="M1200" s="13" t="s">
        <v>131</v>
      </c>
      <c r="N1200" s="3">
        <v>0.9</v>
      </c>
      <c r="O1200" s="3">
        <v>0.15</v>
      </c>
      <c r="P1200" s="3"/>
      <c r="Q1200" s="3">
        <f t="shared" si="45"/>
        <v>0</v>
      </c>
      <c r="R1200" s="4">
        <f t="shared" si="44"/>
        <v>0</v>
      </c>
      <c r="S1200" s="3" t="s">
        <v>23</v>
      </c>
      <c r="T1200" s="195"/>
    </row>
    <row r="1201" spans="1:20" ht="21.6" x14ac:dyDescent="0.3">
      <c r="A1201" s="139">
        <v>17</v>
      </c>
      <c r="B1201" s="42" t="s">
        <v>20</v>
      </c>
      <c r="C1201" s="43" t="s">
        <v>267</v>
      </c>
      <c r="D1201" s="50">
        <v>6560</v>
      </c>
      <c r="E1201" s="52" t="s">
        <v>268</v>
      </c>
      <c r="F1201" s="52" t="s">
        <v>123</v>
      </c>
      <c r="G1201" s="213" t="s">
        <v>31</v>
      </c>
      <c r="H1201" s="45" t="s">
        <v>429</v>
      </c>
      <c r="I1201" s="7" t="s">
        <v>22</v>
      </c>
      <c r="J1201" s="3">
        <v>0.7</v>
      </c>
      <c r="K1201" s="1" t="s">
        <v>309</v>
      </c>
      <c r="L1201" s="8" t="s">
        <v>207</v>
      </c>
      <c r="M1201" s="13"/>
      <c r="N1201" s="3">
        <v>1</v>
      </c>
      <c r="O1201" s="3">
        <v>0.1</v>
      </c>
      <c r="P1201" s="3"/>
      <c r="Q1201" s="3">
        <f t="shared" si="45"/>
        <v>0</v>
      </c>
      <c r="R1201" s="4">
        <f t="shared" si="44"/>
        <v>0</v>
      </c>
      <c r="S1201" s="3" t="s">
        <v>23</v>
      </c>
      <c r="T1201" s="195"/>
    </row>
    <row r="1202" spans="1:20" ht="21.6" x14ac:dyDescent="0.3">
      <c r="A1202" s="139"/>
      <c r="B1202" s="42" t="s">
        <v>20</v>
      </c>
      <c r="C1202" s="43" t="s">
        <v>267</v>
      </c>
      <c r="D1202" s="50">
        <v>6560</v>
      </c>
      <c r="E1202" s="52" t="s">
        <v>268</v>
      </c>
      <c r="F1202" s="52" t="s">
        <v>123</v>
      </c>
      <c r="G1202" s="213" t="s">
        <v>31</v>
      </c>
      <c r="H1202" s="45" t="s">
        <v>429</v>
      </c>
      <c r="I1202" s="47" t="s">
        <v>22</v>
      </c>
      <c r="J1202" s="3">
        <v>0.7</v>
      </c>
      <c r="K1202" s="49" t="s">
        <v>310</v>
      </c>
      <c r="L1202" s="30" t="s">
        <v>136</v>
      </c>
      <c r="M1202" s="49" t="s">
        <v>137</v>
      </c>
      <c r="N1202" s="3">
        <v>0.9</v>
      </c>
      <c r="O1202" s="3">
        <v>0.1</v>
      </c>
      <c r="P1202" s="19"/>
      <c r="Q1202" s="3">
        <f t="shared" si="45"/>
        <v>0</v>
      </c>
      <c r="R1202" s="4">
        <f t="shared" si="44"/>
        <v>0</v>
      </c>
      <c r="S1202" s="3" t="s">
        <v>23</v>
      </c>
      <c r="T1202" s="195"/>
    </row>
    <row r="1203" spans="1:20" ht="22.2" thickBot="1" x14ac:dyDescent="0.35">
      <c r="A1203" s="142">
        <v>18</v>
      </c>
      <c r="B1203" s="81" t="s">
        <v>20</v>
      </c>
      <c r="C1203" s="82" t="s">
        <v>267</v>
      </c>
      <c r="D1203" s="113">
        <v>6560</v>
      </c>
      <c r="E1203" s="118" t="s">
        <v>268</v>
      </c>
      <c r="F1203" s="118" t="s">
        <v>123</v>
      </c>
      <c r="G1203" s="214" t="s">
        <v>31</v>
      </c>
      <c r="H1203" s="84" t="s">
        <v>429</v>
      </c>
      <c r="I1203" s="85" t="s">
        <v>26</v>
      </c>
      <c r="J1203" s="86">
        <v>0.3</v>
      </c>
      <c r="K1203" s="115" t="s">
        <v>138</v>
      </c>
      <c r="L1203" s="114" t="s">
        <v>139</v>
      </c>
      <c r="M1203" s="115" t="s">
        <v>140</v>
      </c>
      <c r="N1203" s="86">
        <v>1</v>
      </c>
      <c r="O1203" s="86">
        <v>1</v>
      </c>
      <c r="P1203" s="127"/>
      <c r="Q1203" s="86">
        <f t="shared" si="45"/>
        <v>0</v>
      </c>
      <c r="R1203" s="90">
        <f t="shared" si="44"/>
        <v>0</v>
      </c>
      <c r="S1203" s="91" t="s">
        <v>23</v>
      </c>
      <c r="T1203" s="149"/>
    </row>
    <row r="1204" spans="1:20" ht="21.6" x14ac:dyDescent="0.3">
      <c r="A1204" s="139">
        <v>13</v>
      </c>
      <c r="B1204" s="42" t="s">
        <v>20</v>
      </c>
      <c r="C1204" s="43" t="s">
        <v>267</v>
      </c>
      <c r="D1204" s="50">
        <v>6562</v>
      </c>
      <c r="E1204" s="52" t="s">
        <v>269</v>
      </c>
      <c r="F1204" s="52" t="s">
        <v>264</v>
      </c>
      <c r="G1204" s="213" t="s">
        <v>31</v>
      </c>
      <c r="H1204" s="45" t="s">
        <v>429</v>
      </c>
      <c r="I1204" s="7" t="s">
        <v>22</v>
      </c>
      <c r="J1204" s="3">
        <v>0.7</v>
      </c>
      <c r="K1204" s="1" t="s">
        <v>215</v>
      </c>
      <c r="L1204" s="2" t="s">
        <v>205</v>
      </c>
      <c r="M1204" s="1"/>
      <c r="N1204" s="3">
        <v>0.95</v>
      </c>
      <c r="O1204" s="3">
        <v>0.2</v>
      </c>
      <c r="P1204" s="3"/>
      <c r="Q1204" s="3">
        <f t="shared" si="45"/>
        <v>0</v>
      </c>
      <c r="R1204" s="4">
        <f t="shared" si="44"/>
        <v>0</v>
      </c>
      <c r="S1204" s="3" t="s">
        <v>23</v>
      </c>
      <c r="T1204" s="195">
        <f>SUM(R1204:R1210)%</f>
        <v>0</v>
      </c>
    </row>
    <row r="1205" spans="1:20" ht="21.6" x14ac:dyDescent="0.3">
      <c r="A1205" s="139">
        <v>14</v>
      </c>
      <c r="B1205" s="42" t="s">
        <v>20</v>
      </c>
      <c r="C1205" s="43" t="s">
        <v>267</v>
      </c>
      <c r="D1205" s="50">
        <v>6562</v>
      </c>
      <c r="E1205" s="52" t="s">
        <v>269</v>
      </c>
      <c r="F1205" s="52" t="s">
        <v>264</v>
      </c>
      <c r="G1205" s="213" t="s">
        <v>31</v>
      </c>
      <c r="H1205" s="45" t="s">
        <v>429</v>
      </c>
      <c r="I1205" s="7" t="s">
        <v>22</v>
      </c>
      <c r="J1205" s="3">
        <v>0.7</v>
      </c>
      <c r="K1205" s="1" t="s">
        <v>307</v>
      </c>
      <c r="L1205" s="8" t="s">
        <v>206</v>
      </c>
      <c r="M1205" s="1"/>
      <c r="N1205" s="3">
        <v>0.95</v>
      </c>
      <c r="O1205" s="3">
        <v>0.2</v>
      </c>
      <c r="P1205" s="3"/>
      <c r="Q1205" s="3">
        <f t="shared" si="45"/>
        <v>0</v>
      </c>
      <c r="R1205" s="4">
        <f t="shared" si="44"/>
        <v>0</v>
      </c>
      <c r="S1205" s="3" t="s">
        <v>23</v>
      </c>
      <c r="T1205" s="195"/>
    </row>
    <row r="1206" spans="1:20" ht="21.6" x14ac:dyDescent="0.3">
      <c r="A1206" s="139">
        <v>15</v>
      </c>
      <c r="B1206" s="42" t="s">
        <v>20</v>
      </c>
      <c r="C1206" s="43" t="s">
        <v>267</v>
      </c>
      <c r="D1206" s="50">
        <v>6562</v>
      </c>
      <c r="E1206" s="52" t="s">
        <v>269</v>
      </c>
      <c r="F1206" s="52" t="s">
        <v>264</v>
      </c>
      <c r="G1206" s="213" t="s">
        <v>31</v>
      </c>
      <c r="H1206" s="45" t="s">
        <v>429</v>
      </c>
      <c r="I1206" s="7" t="s">
        <v>22</v>
      </c>
      <c r="J1206" s="3">
        <v>0.7</v>
      </c>
      <c r="K1206" s="1" t="s">
        <v>305</v>
      </c>
      <c r="L1206" s="8" t="s">
        <v>257</v>
      </c>
      <c r="M1206" s="13" t="s">
        <v>306</v>
      </c>
      <c r="N1206" s="3">
        <v>0.95</v>
      </c>
      <c r="O1206" s="3">
        <v>0.25</v>
      </c>
      <c r="P1206" s="3"/>
      <c r="Q1206" s="3">
        <f t="shared" si="45"/>
        <v>0</v>
      </c>
      <c r="R1206" s="4">
        <f t="shared" si="44"/>
        <v>0</v>
      </c>
      <c r="S1206" s="3" t="s">
        <v>23</v>
      </c>
      <c r="T1206" s="195"/>
    </row>
    <row r="1207" spans="1:20" ht="21.6" x14ac:dyDescent="0.3">
      <c r="A1207" s="139">
        <v>16</v>
      </c>
      <c r="B1207" s="42" t="s">
        <v>20</v>
      </c>
      <c r="C1207" s="43" t="s">
        <v>267</v>
      </c>
      <c r="D1207" s="50">
        <v>6562</v>
      </c>
      <c r="E1207" s="52" t="s">
        <v>269</v>
      </c>
      <c r="F1207" s="52" t="s">
        <v>264</v>
      </c>
      <c r="G1207" s="213" t="s">
        <v>31</v>
      </c>
      <c r="H1207" s="45" t="s">
        <v>429</v>
      </c>
      <c r="I1207" s="7" t="s">
        <v>22</v>
      </c>
      <c r="J1207" s="3">
        <v>0.7</v>
      </c>
      <c r="K1207" s="1" t="s">
        <v>308</v>
      </c>
      <c r="L1207" s="8" t="s">
        <v>130</v>
      </c>
      <c r="M1207" s="13" t="s">
        <v>131</v>
      </c>
      <c r="N1207" s="3">
        <v>0.9</v>
      </c>
      <c r="O1207" s="3">
        <v>0.15</v>
      </c>
      <c r="P1207" s="3"/>
      <c r="Q1207" s="3">
        <f t="shared" si="45"/>
        <v>0</v>
      </c>
      <c r="R1207" s="4">
        <f t="shared" si="44"/>
        <v>0</v>
      </c>
      <c r="S1207" s="3" t="s">
        <v>23</v>
      </c>
      <c r="T1207" s="195"/>
    </row>
    <row r="1208" spans="1:20" ht="21.6" x14ac:dyDescent="0.3">
      <c r="A1208" s="139">
        <v>17</v>
      </c>
      <c r="B1208" s="42" t="s">
        <v>20</v>
      </c>
      <c r="C1208" s="43" t="s">
        <v>267</v>
      </c>
      <c r="D1208" s="50">
        <v>6562</v>
      </c>
      <c r="E1208" s="52" t="s">
        <v>269</v>
      </c>
      <c r="F1208" s="52" t="s">
        <v>264</v>
      </c>
      <c r="G1208" s="213" t="s">
        <v>31</v>
      </c>
      <c r="H1208" s="45" t="s">
        <v>429</v>
      </c>
      <c r="I1208" s="7" t="s">
        <v>22</v>
      </c>
      <c r="J1208" s="3">
        <v>0.7</v>
      </c>
      <c r="K1208" s="1" t="s">
        <v>309</v>
      </c>
      <c r="L1208" s="8" t="s">
        <v>207</v>
      </c>
      <c r="M1208" s="13"/>
      <c r="N1208" s="3">
        <v>1</v>
      </c>
      <c r="O1208" s="3">
        <v>0.1</v>
      </c>
      <c r="P1208" s="3"/>
      <c r="Q1208" s="3">
        <f t="shared" si="45"/>
        <v>0</v>
      </c>
      <c r="R1208" s="4">
        <f t="shared" si="44"/>
        <v>0</v>
      </c>
      <c r="S1208" s="3" t="s">
        <v>23</v>
      </c>
      <c r="T1208" s="195"/>
    </row>
    <row r="1209" spans="1:20" ht="21.6" x14ac:dyDescent="0.3">
      <c r="A1209" s="139"/>
      <c r="B1209" s="42" t="s">
        <v>20</v>
      </c>
      <c r="C1209" s="43" t="s">
        <v>267</v>
      </c>
      <c r="D1209" s="50">
        <v>6562</v>
      </c>
      <c r="E1209" s="52" t="s">
        <v>269</v>
      </c>
      <c r="F1209" s="52" t="s">
        <v>264</v>
      </c>
      <c r="G1209" s="213" t="s">
        <v>31</v>
      </c>
      <c r="H1209" s="45" t="s">
        <v>429</v>
      </c>
      <c r="I1209" s="47" t="s">
        <v>22</v>
      </c>
      <c r="J1209" s="3">
        <v>0.7</v>
      </c>
      <c r="K1209" s="49" t="s">
        <v>310</v>
      </c>
      <c r="L1209" s="30" t="s">
        <v>136</v>
      </c>
      <c r="M1209" s="49" t="s">
        <v>137</v>
      </c>
      <c r="N1209" s="3">
        <v>0.9</v>
      </c>
      <c r="O1209" s="3">
        <v>0.1</v>
      </c>
      <c r="P1209" s="19"/>
      <c r="Q1209" s="3">
        <f t="shared" si="45"/>
        <v>0</v>
      </c>
      <c r="R1209" s="4">
        <f t="shared" si="44"/>
        <v>0</v>
      </c>
      <c r="S1209" s="3" t="s">
        <v>23</v>
      </c>
      <c r="T1209" s="195"/>
    </row>
    <row r="1210" spans="1:20" ht="22.2" thickBot="1" x14ac:dyDescent="0.35">
      <c r="A1210" s="142">
        <v>18</v>
      </c>
      <c r="B1210" s="81" t="s">
        <v>20</v>
      </c>
      <c r="C1210" s="82" t="s">
        <v>267</v>
      </c>
      <c r="D1210" s="113">
        <v>6562</v>
      </c>
      <c r="E1210" s="118" t="s">
        <v>269</v>
      </c>
      <c r="F1210" s="118" t="s">
        <v>264</v>
      </c>
      <c r="G1210" s="214" t="s">
        <v>31</v>
      </c>
      <c r="H1210" s="84" t="s">
        <v>429</v>
      </c>
      <c r="I1210" s="85" t="s">
        <v>26</v>
      </c>
      <c r="J1210" s="86">
        <v>0.3</v>
      </c>
      <c r="K1210" s="115" t="s">
        <v>138</v>
      </c>
      <c r="L1210" s="114" t="s">
        <v>139</v>
      </c>
      <c r="M1210" s="115" t="s">
        <v>140</v>
      </c>
      <c r="N1210" s="86">
        <v>1</v>
      </c>
      <c r="O1210" s="86">
        <v>1</v>
      </c>
      <c r="P1210" s="127"/>
      <c r="Q1210" s="86">
        <f t="shared" si="45"/>
        <v>0</v>
      </c>
      <c r="R1210" s="90">
        <f t="shared" si="44"/>
        <v>0</v>
      </c>
      <c r="S1210" s="91" t="s">
        <v>23</v>
      </c>
      <c r="T1210" s="149"/>
    </row>
    <row r="1211" spans="1:20" ht="21.6" x14ac:dyDescent="0.3">
      <c r="A1211" s="139">
        <v>2070</v>
      </c>
      <c r="B1211" s="42" t="s">
        <v>20</v>
      </c>
      <c r="C1211" s="43" t="s">
        <v>267</v>
      </c>
      <c r="D1211" s="50">
        <v>5021</v>
      </c>
      <c r="E1211" s="42" t="s">
        <v>213</v>
      </c>
      <c r="F1211" s="45" t="s">
        <v>123</v>
      </c>
      <c r="G1211" s="207" t="s">
        <v>50</v>
      </c>
      <c r="H1211" s="45" t="s">
        <v>214</v>
      </c>
      <c r="I1211" s="7" t="s">
        <v>22</v>
      </c>
      <c r="J1211" s="3">
        <v>0.7</v>
      </c>
      <c r="K1211" s="1" t="s">
        <v>215</v>
      </c>
      <c r="L1211" s="2" t="s">
        <v>216</v>
      </c>
      <c r="M1211" s="1" t="s">
        <v>217</v>
      </c>
      <c r="N1211" s="3">
        <v>0.95</v>
      </c>
      <c r="O1211" s="3">
        <v>0.2</v>
      </c>
      <c r="P1211" s="12"/>
      <c r="Q1211" s="3">
        <f t="shared" si="45"/>
        <v>0</v>
      </c>
      <c r="R1211" s="4">
        <f t="shared" si="44"/>
        <v>0</v>
      </c>
      <c r="S1211" s="3" t="s">
        <v>23</v>
      </c>
      <c r="T1211" s="195">
        <f>SUM(R1211:R1216)%</f>
        <v>0</v>
      </c>
    </row>
    <row r="1212" spans="1:20" ht="21.6" x14ac:dyDescent="0.3">
      <c r="A1212" s="139">
        <v>2071</v>
      </c>
      <c r="B1212" s="42" t="s">
        <v>20</v>
      </c>
      <c r="C1212" s="43" t="s">
        <v>267</v>
      </c>
      <c r="D1212" s="50">
        <v>5021</v>
      </c>
      <c r="E1212" s="42" t="s">
        <v>213</v>
      </c>
      <c r="F1212" s="45" t="s">
        <v>123</v>
      </c>
      <c r="G1212" s="207" t="s">
        <v>50</v>
      </c>
      <c r="H1212" s="45" t="s">
        <v>214</v>
      </c>
      <c r="I1212" s="7" t="s">
        <v>22</v>
      </c>
      <c r="J1212" s="3">
        <v>0.7</v>
      </c>
      <c r="K1212" s="1" t="s">
        <v>218</v>
      </c>
      <c r="L1212" s="8" t="s">
        <v>219</v>
      </c>
      <c r="M1212" s="7" t="s">
        <v>220</v>
      </c>
      <c r="N1212" s="3">
        <v>0.9</v>
      </c>
      <c r="O1212" s="3">
        <v>0.2</v>
      </c>
      <c r="P1212" s="6"/>
      <c r="Q1212" s="3">
        <f t="shared" si="45"/>
        <v>0</v>
      </c>
      <c r="R1212" s="4">
        <f t="shared" ref="R1212:R1258" si="46">IF(AND(Q1212&gt;=60%,Q1212&lt;100%),Q1212*((O1212*J1212)),IF(Q1212=100%,((O1212*J1212)*Q1212)*100%,IF(Q1212&gt;100%,((J1212*O1212)*100%)*100%,0)))*100</f>
        <v>0</v>
      </c>
      <c r="S1212" s="3" t="s">
        <v>23</v>
      </c>
      <c r="T1212" s="195"/>
    </row>
    <row r="1213" spans="1:20" ht="21.6" x14ac:dyDescent="0.3">
      <c r="A1213" s="139">
        <v>2072</v>
      </c>
      <c r="B1213" s="42" t="s">
        <v>20</v>
      </c>
      <c r="C1213" s="43" t="s">
        <v>267</v>
      </c>
      <c r="D1213" s="50">
        <v>5021</v>
      </c>
      <c r="E1213" s="42" t="s">
        <v>213</v>
      </c>
      <c r="F1213" s="45" t="s">
        <v>123</v>
      </c>
      <c r="G1213" s="207" t="s">
        <v>50</v>
      </c>
      <c r="H1213" s="45" t="s">
        <v>214</v>
      </c>
      <c r="I1213" s="7" t="s">
        <v>22</v>
      </c>
      <c r="J1213" s="3">
        <v>0.7</v>
      </c>
      <c r="K1213" s="1" t="s">
        <v>221</v>
      </c>
      <c r="L1213" s="8" t="s">
        <v>222</v>
      </c>
      <c r="M1213" s="7" t="s">
        <v>223</v>
      </c>
      <c r="N1213" s="3">
        <v>0.95</v>
      </c>
      <c r="O1213" s="3">
        <v>0.2</v>
      </c>
      <c r="P1213" s="172"/>
      <c r="Q1213" s="3">
        <f t="shared" si="45"/>
        <v>0</v>
      </c>
      <c r="R1213" s="4">
        <f t="shared" si="46"/>
        <v>0</v>
      </c>
      <c r="S1213" s="3" t="s">
        <v>23</v>
      </c>
      <c r="T1213" s="195"/>
    </row>
    <row r="1214" spans="1:20" ht="21.6" x14ac:dyDescent="0.3">
      <c r="A1214" s="139">
        <v>2073</v>
      </c>
      <c r="B1214" s="42" t="s">
        <v>20</v>
      </c>
      <c r="C1214" s="43" t="s">
        <v>267</v>
      </c>
      <c r="D1214" s="50">
        <v>5021</v>
      </c>
      <c r="E1214" s="42" t="s">
        <v>213</v>
      </c>
      <c r="F1214" s="45" t="s">
        <v>123</v>
      </c>
      <c r="G1214" s="207" t="s">
        <v>50</v>
      </c>
      <c r="H1214" s="45" t="s">
        <v>214</v>
      </c>
      <c r="I1214" s="7" t="s">
        <v>22</v>
      </c>
      <c r="J1214" s="3">
        <v>0.7</v>
      </c>
      <c r="K1214" s="1" t="s">
        <v>224</v>
      </c>
      <c r="L1214" s="8" t="s">
        <v>225</v>
      </c>
      <c r="M1214" s="7" t="s">
        <v>226</v>
      </c>
      <c r="N1214" s="3">
        <v>1</v>
      </c>
      <c r="O1214" s="3">
        <v>0.2</v>
      </c>
      <c r="P1214" s="10"/>
      <c r="Q1214" s="3">
        <f t="shared" si="45"/>
        <v>0</v>
      </c>
      <c r="R1214" s="4">
        <f t="shared" si="46"/>
        <v>0</v>
      </c>
      <c r="S1214" s="3" t="s">
        <v>23</v>
      </c>
      <c r="T1214" s="195"/>
    </row>
    <row r="1215" spans="1:20" ht="21.6" x14ac:dyDescent="0.3">
      <c r="A1215" s="139">
        <v>2074</v>
      </c>
      <c r="B1215" s="42" t="s">
        <v>20</v>
      </c>
      <c r="C1215" s="43" t="s">
        <v>267</v>
      </c>
      <c r="D1215" s="50">
        <v>5021</v>
      </c>
      <c r="E1215" s="42" t="s">
        <v>213</v>
      </c>
      <c r="F1215" s="45" t="s">
        <v>123</v>
      </c>
      <c r="G1215" s="207" t="s">
        <v>50</v>
      </c>
      <c r="H1215" s="45" t="s">
        <v>214</v>
      </c>
      <c r="I1215" s="7" t="s">
        <v>22</v>
      </c>
      <c r="J1215" s="3">
        <v>0.7</v>
      </c>
      <c r="K1215" s="1" t="s">
        <v>132</v>
      </c>
      <c r="L1215" s="8" t="s">
        <v>133</v>
      </c>
      <c r="M1215" s="7" t="s">
        <v>227</v>
      </c>
      <c r="N1215" s="4">
        <v>0</v>
      </c>
      <c r="O1215" s="3">
        <v>0.2</v>
      </c>
      <c r="P1215" s="3"/>
      <c r="Q1215" s="3">
        <f t="shared" si="45"/>
        <v>0</v>
      </c>
      <c r="R1215" s="4">
        <f t="shared" si="46"/>
        <v>0</v>
      </c>
      <c r="S1215" s="10" t="s">
        <v>24</v>
      </c>
      <c r="T1215" s="195"/>
    </row>
    <row r="1216" spans="1:20" ht="22.2" thickBot="1" x14ac:dyDescent="0.35">
      <c r="A1216" s="142">
        <v>2076</v>
      </c>
      <c r="B1216" s="81" t="s">
        <v>20</v>
      </c>
      <c r="C1216" s="82" t="s">
        <v>267</v>
      </c>
      <c r="D1216" s="113">
        <v>5021</v>
      </c>
      <c r="E1216" s="118" t="s">
        <v>213</v>
      </c>
      <c r="F1216" s="118" t="s">
        <v>123</v>
      </c>
      <c r="G1216" s="214" t="s">
        <v>50</v>
      </c>
      <c r="H1216" s="84" t="s">
        <v>214</v>
      </c>
      <c r="I1216" s="85" t="s">
        <v>26</v>
      </c>
      <c r="J1216" s="86">
        <v>0.3</v>
      </c>
      <c r="K1216" s="115" t="s">
        <v>228</v>
      </c>
      <c r="L1216" s="114" t="s">
        <v>229</v>
      </c>
      <c r="M1216" s="115" t="s">
        <v>230</v>
      </c>
      <c r="N1216" s="86">
        <v>0.9</v>
      </c>
      <c r="O1216" s="86">
        <v>1</v>
      </c>
      <c r="P1216" s="127"/>
      <c r="Q1216" s="86">
        <f t="shared" si="45"/>
        <v>0</v>
      </c>
      <c r="R1216" s="90">
        <f t="shared" si="46"/>
        <v>0</v>
      </c>
      <c r="S1216" s="91" t="s">
        <v>23</v>
      </c>
      <c r="T1216" s="149"/>
    </row>
    <row r="1217" spans="1:20" ht="21.6" x14ac:dyDescent="0.3">
      <c r="A1217" s="144">
        <v>2070</v>
      </c>
      <c r="B1217" s="64" t="s">
        <v>20</v>
      </c>
      <c r="C1217" s="65" t="s">
        <v>267</v>
      </c>
      <c r="D1217" s="111">
        <v>5676</v>
      </c>
      <c r="E1217" s="64" t="s">
        <v>231</v>
      </c>
      <c r="F1217" s="67" t="s">
        <v>123</v>
      </c>
      <c r="G1217" s="210" t="s">
        <v>50</v>
      </c>
      <c r="H1217" s="67" t="s">
        <v>214</v>
      </c>
      <c r="I1217" s="98" t="s">
        <v>22</v>
      </c>
      <c r="J1217" s="69">
        <v>0.7</v>
      </c>
      <c r="K1217" s="99" t="s">
        <v>215</v>
      </c>
      <c r="L1217" s="70" t="s">
        <v>216</v>
      </c>
      <c r="M1217" s="99" t="s">
        <v>217</v>
      </c>
      <c r="N1217" s="69">
        <v>0.95</v>
      </c>
      <c r="O1217" s="69">
        <v>0.2</v>
      </c>
      <c r="P1217" s="12"/>
      <c r="Q1217" s="69">
        <f t="shared" si="45"/>
        <v>0</v>
      </c>
      <c r="R1217" s="100">
        <f t="shared" si="46"/>
        <v>0</v>
      </c>
      <c r="S1217" s="69" t="s">
        <v>23</v>
      </c>
      <c r="T1217" s="192">
        <f>SUM(R1217:R1222)%</f>
        <v>0</v>
      </c>
    </row>
    <row r="1218" spans="1:20" ht="21.6" x14ac:dyDescent="0.3">
      <c r="A1218" s="139">
        <v>2071</v>
      </c>
      <c r="B1218" s="42" t="s">
        <v>20</v>
      </c>
      <c r="C1218" s="43" t="s">
        <v>267</v>
      </c>
      <c r="D1218" s="50">
        <v>5676</v>
      </c>
      <c r="E1218" s="42" t="s">
        <v>231</v>
      </c>
      <c r="F1218" s="45" t="s">
        <v>123</v>
      </c>
      <c r="G1218" s="207" t="s">
        <v>50</v>
      </c>
      <c r="H1218" s="45" t="s">
        <v>214</v>
      </c>
      <c r="I1218" s="7" t="s">
        <v>22</v>
      </c>
      <c r="J1218" s="3">
        <v>0.7</v>
      </c>
      <c r="K1218" s="1" t="s">
        <v>218</v>
      </c>
      <c r="L1218" s="8" t="s">
        <v>219</v>
      </c>
      <c r="M1218" s="7" t="s">
        <v>220</v>
      </c>
      <c r="N1218" s="3">
        <v>0.9</v>
      </c>
      <c r="O1218" s="3">
        <v>0.2</v>
      </c>
      <c r="P1218" s="3"/>
      <c r="Q1218" s="3">
        <f t="shared" si="45"/>
        <v>0</v>
      </c>
      <c r="R1218" s="4">
        <f t="shared" si="46"/>
        <v>0</v>
      </c>
      <c r="S1218" s="3" t="s">
        <v>23</v>
      </c>
      <c r="T1218" s="195"/>
    </row>
    <row r="1219" spans="1:20" ht="21.6" x14ac:dyDescent="0.3">
      <c r="A1219" s="139">
        <v>2072</v>
      </c>
      <c r="B1219" s="42" t="s">
        <v>20</v>
      </c>
      <c r="C1219" s="43" t="s">
        <v>267</v>
      </c>
      <c r="D1219" s="50">
        <v>5676</v>
      </c>
      <c r="E1219" s="42" t="s">
        <v>231</v>
      </c>
      <c r="F1219" s="45" t="s">
        <v>123</v>
      </c>
      <c r="G1219" s="207" t="s">
        <v>50</v>
      </c>
      <c r="H1219" s="45" t="s">
        <v>214</v>
      </c>
      <c r="I1219" s="7" t="s">
        <v>22</v>
      </c>
      <c r="J1219" s="3">
        <v>0.7</v>
      </c>
      <c r="K1219" s="1" t="s">
        <v>221</v>
      </c>
      <c r="L1219" s="8" t="s">
        <v>222</v>
      </c>
      <c r="M1219" s="7" t="s">
        <v>223</v>
      </c>
      <c r="N1219" s="3">
        <v>0.95</v>
      </c>
      <c r="O1219" s="3">
        <v>0.2</v>
      </c>
      <c r="P1219" s="172"/>
      <c r="Q1219" s="3">
        <f t="shared" si="45"/>
        <v>0</v>
      </c>
      <c r="R1219" s="4">
        <f t="shared" si="46"/>
        <v>0</v>
      </c>
      <c r="S1219" s="3" t="s">
        <v>23</v>
      </c>
      <c r="T1219" s="195"/>
    </row>
    <row r="1220" spans="1:20" ht="21.6" x14ac:dyDescent="0.3">
      <c r="A1220" s="139">
        <v>2073</v>
      </c>
      <c r="B1220" s="42" t="s">
        <v>20</v>
      </c>
      <c r="C1220" s="43" t="s">
        <v>267</v>
      </c>
      <c r="D1220" s="50">
        <v>5676</v>
      </c>
      <c r="E1220" s="42" t="s">
        <v>231</v>
      </c>
      <c r="F1220" s="45" t="s">
        <v>123</v>
      </c>
      <c r="G1220" s="207" t="s">
        <v>50</v>
      </c>
      <c r="H1220" s="45" t="s">
        <v>214</v>
      </c>
      <c r="I1220" s="7" t="s">
        <v>22</v>
      </c>
      <c r="J1220" s="3">
        <v>0.7</v>
      </c>
      <c r="K1220" s="1" t="s">
        <v>224</v>
      </c>
      <c r="L1220" s="8" t="s">
        <v>225</v>
      </c>
      <c r="M1220" s="7" t="s">
        <v>226</v>
      </c>
      <c r="N1220" s="3">
        <v>1</v>
      </c>
      <c r="O1220" s="3">
        <v>0.2</v>
      </c>
      <c r="P1220" s="10"/>
      <c r="Q1220" s="3">
        <f t="shared" si="45"/>
        <v>0</v>
      </c>
      <c r="R1220" s="4">
        <f t="shared" si="46"/>
        <v>0</v>
      </c>
      <c r="S1220" s="3" t="s">
        <v>23</v>
      </c>
      <c r="T1220" s="195"/>
    </row>
    <row r="1221" spans="1:20" ht="21.6" x14ac:dyDescent="0.3">
      <c r="A1221" s="139">
        <v>2074</v>
      </c>
      <c r="B1221" s="42" t="s">
        <v>20</v>
      </c>
      <c r="C1221" s="43" t="s">
        <v>267</v>
      </c>
      <c r="D1221" s="50">
        <v>5676</v>
      </c>
      <c r="E1221" s="42" t="s">
        <v>231</v>
      </c>
      <c r="F1221" s="45" t="s">
        <v>123</v>
      </c>
      <c r="G1221" s="207" t="s">
        <v>50</v>
      </c>
      <c r="H1221" s="45" t="s">
        <v>214</v>
      </c>
      <c r="I1221" s="7" t="s">
        <v>22</v>
      </c>
      <c r="J1221" s="3">
        <v>0.7</v>
      </c>
      <c r="K1221" s="1" t="s">
        <v>132</v>
      </c>
      <c r="L1221" s="8" t="s">
        <v>133</v>
      </c>
      <c r="M1221" s="7" t="s">
        <v>227</v>
      </c>
      <c r="N1221" s="4">
        <v>0</v>
      </c>
      <c r="O1221" s="3">
        <v>0.2</v>
      </c>
      <c r="P1221" s="3"/>
      <c r="Q1221" s="3">
        <f t="shared" si="45"/>
        <v>0</v>
      </c>
      <c r="R1221" s="4">
        <f t="shared" si="46"/>
        <v>0</v>
      </c>
      <c r="S1221" s="10" t="s">
        <v>24</v>
      </c>
      <c r="T1221" s="195"/>
    </row>
    <row r="1222" spans="1:20" ht="22.2" thickBot="1" x14ac:dyDescent="0.35">
      <c r="A1222" s="142">
        <v>2076</v>
      </c>
      <c r="B1222" s="81" t="s">
        <v>20</v>
      </c>
      <c r="C1222" s="82" t="s">
        <v>267</v>
      </c>
      <c r="D1222" s="113">
        <v>5676</v>
      </c>
      <c r="E1222" s="81" t="s">
        <v>231</v>
      </c>
      <c r="F1222" s="84" t="s">
        <v>123</v>
      </c>
      <c r="G1222" s="209" t="s">
        <v>50</v>
      </c>
      <c r="H1222" s="84" t="s">
        <v>214</v>
      </c>
      <c r="I1222" s="85" t="s">
        <v>26</v>
      </c>
      <c r="J1222" s="86">
        <v>0.3</v>
      </c>
      <c r="K1222" s="115" t="s">
        <v>228</v>
      </c>
      <c r="L1222" s="114" t="s">
        <v>229</v>
      </c>
      <c r="M1222" s="85" t="s">
        <v>230</v>
      </c>
      <c r="N1222" s="86">
        <v>0.9</v>
      </c>
      <c r="O1222" s="91">
        <v>1</v>
      </c>
      <c r="P1222" s="127"/>
      <c r="Q1222" s="86">
        <f t="shared" si="45"/>
        <v>0</v>
      </c>
      <c r="R1222" s="104">
        <f t="shared" si="46"/>
        <v>0</v>
      </c>
      <c r="S1222" s="91" t="s">
        <v>23</v>
      </c>
      <c r="T1222" s="147"/>
    </row>
    <row r="1223" spans="1:20" ht="21.6" x14ac:dyDescent="0.3">
      <c r="A1223" s="144">
        <v>2070</v>
      </c>
      <c r="B1223" s="64" t="s">
        <v>20</v>
      </c>
      <c r="C1223" s="65" t="s">
        <v>267</v>
      </c>
      <c r="D1223" s="111">
        <v>5988</v>
      </c>
      <c r="E1223" s="64" t="s">
        <v>232</v>
      </c>
      <c r="F1223" s="67" t="s">
        <v>123</v>
      </c>
      <c r="G1223" s="210" t="s">
        <v>50</v>
      </c>
      <c r="H1223" s="67" t="s">
        <v>214</v>
      </c>
      <c r="I1223" s="98" t="s">
        <v>22</v>
      </c>
      <c r="J1223" s="69">
        <v>0.7</v>
      </c>
      <c r="K1223" s="99" t="s">
        <v>215</v>
      </c>
      <c r="L1223" s="70" t="s">
        <v>216</v>
      </c>
      <c r="M1223" s="99" t="s">
        <v>217</v>
      </c>
      <c r="N1223" s="69">
        <v>0.95</v>
      </c>
      <c r="O1223" s="69">
        <v>0.2</v>
      </c>
      <c r="P1223" s="12"/>
      <c r="Q1223" s="69">
        <f t="shared" si="45"/>
        <v>0</v>
      </c>
      <c r="R1223" s="100">
        <f t="shared" si="46"/>
        <v>0</v>
      </c>
      <c r="S1223" s="69" t="s">
        <v>23</v>
      </c>
      <c r="T1223" s="192">
        <f>SUM(R1223:R1228)%</f>
        <v>0</v>
      </c>
    </row>
    <row r="1224" spans="1:20" ht="21.6" x14ac:dyDescent="0.3">
      <c r="A1224" s="139">
        <v>2071</v>
      </c>
      <c r="B1224" s="42" t="s">
        <v>20</v>
      </c>
      <c r="C1224" s="43" t="s">
        <v>267</v>
      </c>
      <c r="D1224" s="50">
        <v>5989</v>
      </c>
      <c r="E1224" s="42" t="s">
        <v>232</v>
      </c>
      <c r="F1224" s="45" t="s">
        <v>123</v>
      </c>
      <c r="G1224" s="207" t="s">
        <v>50</v>
      </c>
      <c r="H1224" s="45" t="s">
        <v>214</v>
      </c>
      <c r="I1224" s="7" t="s">
        <v>22</v>
      </c>
      <c r="J1224" s="3">
        <v>0.7</v>
      </c>
      <c r="K1224" s="1" t="s">
        <v>218</v>
      </c>
      <c r="L1224" s="8" t="s">
        <v>219</v>
      </c>
      <c r="M1224" s="7" t="s">
        <v>220</v>
      </c>
      <c r="N1224" s="3">
        <v>0.9</v>
      </c>
      <c r="O1224" s="3">
        <v>0.2</v>
      </c>
      <c r="P1224" s="3"/>
      <c r="Q1224" s="3">
        <f t="shared" si="45"/>
        <v>0</v>
      </c>
      <c r="R1224" s="4">
        <f t="shared" si="46"/>
        <v>0</v>
      </c>
      <c r="S1224" s="3" t="s">
        <v>23</v>
      </c>
      <c r="T1224" s="195"/>
    </row>
    <row r="1225" spans="1:20" ht="21.6" x14ac:dyDescent="0.3">
      <c r="A1225" s="139">
        <v>2072</v>
      </c>
      <c r="B1225" s="42" t="s">
        <v>20</v>
      </c>
      <c r="C1225" s="43" t="s">
        <v>267</v>
      </c>
      <c r="D1225" s="50">
        <v>5990</v>
      </c>
      <c r="E1225" s="42" t="s">
        <v>232</v>
      </c>
      <c r="F1225" s="45" t="s">
        <v>123</v>
      </c>
      <c r="G1225" s="207" t="s">
        <v>50</v>
      </c>
      <c r="H1225" s="45" t="s">
        <v>214</v>
      </c>
      <c r="I1225" s="7" t="s">
        <v>22</v>
      </c>
      <c r="J1225" s="3">
        <v>0.7</v>
      </c>
      <c r="K1225" s="1" t="s">
        <v>221</v>
      </c>
      <c r="L1225" s="8" t="s">
        <v>222</v>
      </c>
      <c r="M1225" s="7" t="s">
        <v>223</v>
      </c>
      <c r="N1225" s="3">
        <v>0.95</v>
      </c>
      <c r="O1225" s="3">
        <v>0.2</v>
      </c>
      <c r="P1225" s="172"/>
      <c r="Q1225" s="3">
        <f t="shared" si="45"/>
        <v>0</v>
      </c>
      <c r="R1225" s="4">
        <f t="shared" si="46"/>
        <v>0</v>
      </c>
      <c r="S1225" s="3" t="s">
        <v>23</v>
      </c>
      <c r="T1225" s="195"/>
    </row>
    <row r="1226" spans="1:20" ht="21.6" x14ac:dyDescent="0.3">
      <c r="A1226" s="139">
        <v>2073</v>
      </c>
      <c r="B1226" s="42" t="s">
        <v>20</v>
      </c>
      <c r="C1226" s="43" t="s">
        <v>267</v>
      </c>
      <c r="D1226" s="50">
        <v>5991</v>
      </c>
      <c r="E1226" s="42" t="s">
        <v>232</v>
      </c>
      <c r="F1226" s="45" t="s">
        <v>123</v>
      </c>
      <c r="G1226" s="207" t="s">
        <v>50</v>
      </c>
      <c r="H1226" s="45" t="s">
        <v>214</v>
      </c>
      <c r="I1226" s="7" t="s">
        <v>22</v>
      </c>
      <c r="J1226" s="3">
        <v>0.7</v>
      </c>
      <c r="K1226" s="1" t="s">
        <v>224</v>
      </c>
      <c r="L1226" s="8" t="s">
        <v>225</v>
      </c>
      <c r="M1226" s="7" t="s">
        <v>226</v>
      </c>
      <c r="N1226" s="3">
        <v>1</v>
      </c>
      <c r="O1226" s="3">
        <v>0.2</v>
      </c>
      <c r="P1226" s="10"/>
      <c r="Q1226" s="3">
        <f t="shared" si="45"/>
        <v>0</v>
      </c>
      <c r="R1226" s="4">
        <f t="shared" si="46"/>
        <v>0</v>
      </c>
      <c r="S1226" s="3" t="s">
        <v>23</v>
      </c>
      <c r="T1226" s="195"/>
    </row>
    <row r="1227" spans="1:20" ht="21.6" x14ac:dyDescent="0.3">
      <c r="A1227" s="139">
        <v>2074</v>
      </c>
      <c r="B1227" s="42" t="s">
        <v>20</v>
      </c>
      <c r="C1227" s="43" t="s">
        <v>267</v>
      </c>
      <c r="D1227" s="50">
        <v>5992</v>
      </c>
      <c r="E1227" s="42" t="s">
        <v>232</v>
      </c>
      <c r="F1227" s="45" t="s">
        <v>123</v>
      </c>
      <c r="G1227" s="207" t="s">
        <v>50</v>
      </c>
      <c r="H1227" s="45" t="s">
        <v>214</v>
      </c>
      <c r="I1227" s="7" t="s">
        <v>22</v>
      </c>
      <c r="J1227" s="3">
        <v>0.7</v>
      </c>
      <c r="K1227" s="1" t="s">
        <v>132</v>
      </c>
      <c r="L1227" s="8" t="s">
        <v>133</v>
      </c>
      <c r="M1227" s="7" t="s">
        <v>227</v>
      </c>
      <c r="N1227" s="4">
        <v>0</v>
      </c>
      <c r="O1227" s="3">
        <v>0.2</v>
      </c>
      <c r="P1227" s="3"/>
      <c r="Q1227" s="3">
        <f t="shared" si="45"/>
        <v>0</v>
      </c>
      <c r="R1227" s="4">
        <f t="shared" si="46"/>
        <v>0</v>
      </c>
      <c r="S1227" s="10" t="s">
        <v>24</v>
      </c>
      <c r="T1227" s="195"/>
    </row>
    <row r="1228" spans="1:20" ht="22.2" thickBot="1" x14ac:dyDescent="0.35">
      <c r="A1228" s="142">
        <v>2076</v>
      </c>
      <c r="B1228" s="81" t="s">
        <v>20</v>
      </c>
      <c r="C1228" s="82" t="s">
        <v>267</v>
      </c>
      <c r="D1228" s="113">
        <v>5994</v>
      </c>
      <c r="E1228" s="81" t="s">
        <v>232</v>
      </c>
      <c r="F1228" s="84" t="s">
        <v>123</v>
      </c>
      <c r="G1228" s="209" t="s">
        <v>50</v>
      </c>
      <c r="H1228" s="84" t="s">
        <v>214</v>
      </c>
      <c r="I1228" s="85" t="s">
        <v>26</v>
      </c>
      <c r="J1228" s="86">
        <v>0.3</v>
      </c>
      <c r="K1228" s="115" t="s">
        <v>228</v>
      </c>
      <c r="L1228" s="114" t="s">
        <v>229</v>
      </c>
      <c r="M1228" s="85" t="s">
        <v>230</v>
      </c>
      <c r="N1228" s="86">
        <v>0.9</v>
      </c>
      <c r="O1228" s="91">
        <v>1</v>
      </c>
      <c r="P1228" s="127"/>
      <c r="Q1228" s="86">
        <f t="shared" si="45"/>
        <v>0</v>
      </c>
      <c r="R1228" s="104">
        <f t="shared" si="46"/>
        <v>0</v>
      </c>
      <c r="S1228" s="91" t="s">
        <v>23</v>
      </c>
      <c r="T1228" s="147"/>
    </row>
    <row r="1229" spans="1:20" ht="21.6" x14ac:dyDescent="0.3">
      <c r="A1229" s="144">
        <v>2070</v>
      </c>
      <c r="B1229" s="64" t="s">
        <v>20</v>
      </c>
      <c r="C1229" s="65" t="s">
        <v>267</v>
      </c>
      <c r="D1229" s="111">
        <v>6174</v>
      </c>
      <c r="E1229" s="64" t="s">
        <v>233</v>
      </c>
      <c r="F1229" s="67" t="s">
        <v>123</v>
      </c>
      <c r="G1229" s="210" t="s">
        <v>50</v>
      </c>
      <c r="H1229" s="67" t="s">
        <v>214</v>
      </c>
      <c r="I1229" s="98" t="s">
        <v>22</v>
      </c>
      <c r="J1229" s="69">
        <v>0.7</v>
      </c>
      <c r="K1229" s="99" t="s">
        <v>215</v>
      </c>
      <c r="L1229" s="70" t="s">
        <v>216</v>
      </c>
      <c r="M1229" s="99" t="s">
        <v>217</v>
      </c>
      <c r="N1229" s="69">
        <v>0.95</v>
      </c>
      <c r="O1229" s="69">
        <v>0.2</v>
      </c>
      <c r="P1229" s="12"/>
      <c r="Q1229" s="69">
        <f t="shared" si="45"/>
        <v>0</v>
      </c>
      <c r="R1229" s="100">
        <f t="shared" si="46"/>
        <v>0</v>
      </c>
      <c r="S1229" s="69" t="s">
        <v>23</v>
      </c>
      <c r="T1229" s="192">
        <f>SUM(R1229:R1234)%</f>
        <v>0</v>
      </c>
    </row>
    <row r="1230" spans="1:20" ht="21.6" x14ac:dyDescent="0.3">
      <c r="A1230" s="139">
        <v>2071</v>
      </c>
      <c r="B1230" s="42" t="s">
        <v>20</v>
      </c>
      <c r="C1230" s="43" t="s">
        <v>267</v>
      </c>
      <c r="D1230" s="50">
        <v>6174</v>
      </c>
      <c r="E1230" s="42" t="s">
        <v>233</v>
      </c>
      <c r="F1230" s="45" t="s">
        <v>123</v>
      </c>
      <c r="G1230" s="207" t="s">
        <v>50</v>
      </c>
      <c r="H1230" s="45" t="s">
        <v>214</v>
      </c>
      <c r="I1230" s="7" t="s">
        <v>22</v>
      </c>
      <c r="J1230" s="3">
        <v>0.7</v>
      </c>
      <c r="K1230" s="1" t="s">
        <v>218</v>
      </c>
      <c r="L1230" s="8" t="s">
        <v>219</v>
      </c>
      <c r="M1230" s="7" t="s">
        <v>220</v>
      </c>
      <c r="N1230" s="3">
        <v>0.9</v>
      </c>
      <c r="O1230" s="3">
        <v>0.2</v>
      </c>
      <c r="P1230" s="3"/>
      <c r="Q1230" s="3">
        <f t="shared" si="45"/>
        <v>0</v>
      </c>
      <c r="R1230" s="4">
        <f t="shared" si="46"/>
        <v>0</v>
      </c>
      <c r="S1230" s="3" t="s">
        <v>23</v>
      </c>
      <c r="T1230" s="195"/>
    </row>
    <row r="1231" spans="1:20" ht="21.6" x14ac:dyDescent="0.3">
      <c r="A1231" s="139">
        <v>2072</v>
      </c>
      <c r="B1231" s="42" t="s">
        <v>20</v>
      </c>
      <c r="C1231" s="43" t="s">
        <v>267</v>
      </c>
      <c r="D1231" s="50">
        <v>6174</v>
      </c>
      <c r="E1231" s="42" t="s">
        <v>233</v>
      </c>
      <c r="F1231" s="45" t="s">
        <v>123</v>
      </c>
      <c r="G1231" s="207" t="s">
        <v>50</v>
      </c>
      <c r="H1231" s="45" t="s">
        <v>214</v>
      </c>
      <c r="I1231" s="7" t="s">
        <v>22</v>
      </c>
      <c r="J1231" s="3">
        <v>0.7</v>
      </c>
      <c r="K1231" s="1" t="s">
        <v>221</v>
      </c>
      <c r="L1231" s="8" t="s">
        <v>222</v>
      </c>
      <c r="M1231" s="7" t="s">
        <v>223</v>
      </c>
      <c r="N1231" s="3">
        <v>0.95</v>
      </c>
      <c r="O1231" s="3">
        <v>0.2</v>
      </c>
      <c r="P1231" s="172"/>
      <c r="Q1231" s="3">
        <f t="shared" si="45"/>
        <v>0</v>
      </c>
      <c r="R1231" s="4">
        <f t="shared" si="46"/>
        <v>0</v>
      </c>
      <c r="S1231" s="3" t="s">
        <v>23</v>
      </c>
      <c r="T1231" s="195"/>
    </row>
    <row r="1232" spans="1:20" ht="21.6" x14ac:dyDescent="0.3">
      <c r="A1232" s="139">
        <v>2073</v>
      </c>
      <c r="B1232" s="42" t="s">
        <v>20</v>
      </c>
      <c r="C1232" s="43" t="s">
        <v>267</v>
      </c>
      <c r="D1232" s="50">
        <v>6174</v>
      </c>
      <c r="E1232" s="42" t="s">
        <v>233</v>
      </c>
      <c r="F1232" s="45" t="s">
        <v>123</v>
      </c>
      <c r="G1232" s="207" t="s">
        <v>50</v>
      </c>
      <c r="H1232" s="45" t="s">
        <v>214</v>
      </c>
      <c r="I1232" s="7" t="s">
        <v>22</v>
      </c>
      <c r="J1232" s="3">
        <v>0.7</v>
      </c>
      <c r="K1232" s="1" t="s">
        <v>224</v>
      </c>
      <c r="L1232" s="8" t="s">
        <v>225</v>
      </c>
      <c r="M1232" s="7" t="s">
        <v>226</v>
      </c>
      <c r="N1232" s="3">
        <v>1</v>
      </c>
      <c r="O1232" s="3">
        <v>0.2</v>
      </c>
      <c r="P1232" s="10"/>
      <c r="Q1232" s="3">
        <f t="shared" si="45"/>
        <v>0</v>
      </c>
      <c r="R1232" s="4">
        <f t="shared" si="46"/>
        <v>0</v>
      </c>
      <c r="S1232" s="3" t="s">
        <v>23</v>
      </c>
      <c r="T1232" s="195"/>
    </row>
    <row r="1233" spans="1:20" ht="21.6" x14ac:dyDescent="0.3">
      <c r="A1233" s="139">
        <v>2074</v>
      </c>
      <c r="B1233" s="42" t="s">
        <v>20</v>
      </c>
      <c r="C1233" s="43" t="s">
        <v>267</v>
      </c>
      <c r="D1233" s="50">
        <v>6174</v>
      </c>
      <c r="E1233" s="42" t="s">
        <v>233</v>
      </c>
      <c r="F1233" s="45" t="s">
        <v>123</v>
      </c>
      <c r="G1233" s="207" t="s">
        <v>50</v>
      </c>
      <c r="H1233" s="45" t="s">
        <v>214</v>
      </c>
      <c r="I1233" s="7" t="s">
        <v>22</v>
      </c>
      <c r="J1233" s="3">
        <v>0.7</v>
      </c>
      <c r="K1233" s="1" t="s">
        <v>132</v>
      </c>
      <c r="L1233" s="8" t="s">
        <v>133</v>
      </c>
      <c r="M1233" s="7" t="s">
        <v>227</v>
      </c>
      <c r="N1233" s="4">
        <v>0</v>
      </c>
      <c r="O1233" s="3">
        <v>0.2</v>
      </c>
      <c r="P1233" s="3"/>
      <c r="Q1233" s="3">
        <f t="shared" si="45"/>
        <v>0</v>
      </c>
      <c r="R1233" s="4">
        <f t="shared" si="46"/>
        <v>0</v>
      </c>
      <c r="S1233" s="10" t="s">
        <v>24</v>
      </c>
      <c r="T1233" s="195"/>
    </row>
    <row r="1234" spans="1:20" ht="22.2" thickBot="1" x14ac:dyDescent="0.35">
      <c r="A1234" s="142">
        <v>2076</v>
      </c>
      <c r="B1234" s="81" t="s">
        <v>20</v>
      </c>
      <c r="C1234" s="82" t="s">
        <v>267</v>
      </c>
      <c r="D1234" s="113">
        <v>6174</v>
      </c>
      <c r="E1234" s="81" t="s">
        <v>233</v>
      </c>
      <c r="F1234" s="84" t="s">
        <v>123</v>
      </c>
      <c r="G1234" s="209" t="s">
        <v>50</v>
      </c>
      <c r="H1234" s="84" t="s">
        <v>214</v>
      </c>
      <c r="I1234" s="85" t="s">
        <v>26</v>
      </c>
      <c r="J1234" s="86">
        <v>0.3</v>
      </c>
      <c r="K1234" s="115" t="s">
        <v>228</v>
      </c>
      <c r="L1234" s="114" t="s">
        <v>229</v>
      </c>
      <c r="M1234" s="85" t="s">
        <v>230</v>
      </c>
      <c r="N1234" s="86">
        <v>0.9</v>
      </c>
      <c r="O1234" s="91">
        <v>1</v>
      </c>
      <c r="P1234" s="127"/>
      <c r="Q1234" s="86">
        <f t="shared" si="45"/>
        <v>0</v>
      </c>
      <c r="R1234" s="104">
        <f t="shared" si="46"/>
        <v>0</v>
      </c>
      <c r="S1234" s="91" t="s">
        <v>23</v>
      </c>
      <c r="T1234" s="147"/>
    </row>
    <row r="1235" spans="1:20" ht="21.6" x14ac:dyDescent="0.3">
      <c r="A1235" s="139">
        <v>2070</v>
      </c>
      <c r="B1235" s="42" t="s">
        <v>20</v>
      </c>
      <c r="C1235" s="43" t="s">
        <v>267</v>
      </c>
      <c r="D1235" s="50">
        <v>6228</v>
      </c>
      <c r="E1235" s="42" t="s">
        <v>234</v>
      </c>
      <c r="F1235" s="45" t="s">
        <v>123</v>
      </c>
      <c r="G1235" s="207" t="s">
        <v>50</v>
      </c>
      <c r="H1235" s="45" t="s">
        <v>214</v>
      </c>
      <c r="I1235" s="7" t="s">
        <v>22</v>
      </c>
      <c r="J1235" s="3">
        <v>0.7</v>
      </c>
      <c r="K1235" s="1" t="s">
        <v>215</v>
      </c>
      <c r="L1235" s="2" t="s">
        <v>216</v>
      </c>
      <c r="M1235" s="1" t="s">
        <v>217</v>
      </c>
      <c r="N1235" s="3">
        <v>0.95</v>
      </c>
      <c r="O1235" s="3">
        <v>0.2</v>
      </c>
      <c r="P1235" s="12"/>
      <c r="Q1235" s="3">
        <f t="shared" si="45"/>
        <v>0</v>
      </c>
      <c r="R1235" s="4">
        <f t="shared" si="46"/>
        <v>0</v>
      </c>
      <c r="S1235" s="3" t="s">
        <v>23</v>
      </c>
      <c r="T1235" s="195">
        <f>SUM(R1235:R1240)%</f>
        <v>0</v>
      </c>
    </row>
    <row r="1236" spans="1:20" ht="21.6" x14ac:dyDescent="0.3">
      <c r="A1236" s="139">
        <v>2071</v>
      </c>
      <c r="B1236" s="42" t="s">
        <v>20</v>
      </c>
      <c r="C1236" s="43" t="s">
        <v>267</v>
      </c>
      <c r="D1236" s="50">
        <v>6228</v>
      </c>
      <c r="E1236" s="42" t="s">
        <v>234</v>
      </c>
      <c r="F1236" s="45" t="s">
        <v>123</v>
      </c>
      <c r="G1236" s="207" t="s">
        <v>50</v>
      </c>
      <c r="H1236" s="45" t="s">
        <v>214</v>
      </c>
      <c r="I1236" s="7" t="s">
        <v>22</v>
      </c>
      <c r="J1236" s="3">
        <v>0.7</v>
      </c>
      <c r="K1236" s="1" t="s">
        <v>218</v>
      </c>
      <c r="L1236" s="8" t="s">
        <v>219</v>
      </c>
      <c r="M1236" s="7" t="s">
        <v>220</v>
      </c>
      <c r="N1236" s="3">
        <v>0.9</v>
      </c>
      <c r="O1236" s="3">
        <v>0.2</v>
      </c>
      <c r="P1236" s="3"/>
      <c r="Q1236" s="3">
        <f t="shared" si="45"/>
        <v>0</v>
      </c>
      <c r="R1236" s="4">
        <f t="shared" si="46"/>
        <v>0</v>
      </c>
      <c r="S1236" s="3" t="s">
        <v>23</v>
      </c>
      <c r="T1236" s="195"/>
    </row>
    <row r="1237" spans="1:20" ht="21.6" x14ac:dyDescent="0.3">
      <c r="A1237" s="139">
        <v>2072</v>
      </c>
      <c r="B1237" s="42" t="s">
        <v>20</v>
      </c>
      <c r="C1237" s="43" t="s">
        <v>267</v>
      </c>
      <c r="D1237" s="50">
        <v>6228</v>
      </c>
      <c r="E1237" s="42" t="s">
        <v>234</v>
      </c>
      <c r="F1237" s="45" t="s">
        <v>123</v>
      </c>
      <c r="G1237" s="207" t="s">
        <v>50</v>
      </c>
      <c r="H1237" s="45" t="s">
        <v>214</v>
      </c>
      <c r="I1237" s="7" t="s">
        <v>22</v>
      </c>
      <c r="J1237" s="3">
        <v>0.7</v>
      </c>
      <c r="K1237" s="1" t="s">
        <v>221</v>
      </c>
      <c r="L1237" s="8" t="s">
        <v>222</v>
      </c>
      <c r="M1237" s="7" t="s">
        <v>223</v>
      </c>
      <c r="N1237" s="3">
        <v>0.95</v>
      </c>
      <c r="O1237" s="3">
        <v>0.2</v>
      </c>
      <c r="P1237" s="172"/>
      <c r="Q1237" s="3">
        <f t="shared" si="45"/>
        <v>0</v>
      </c>
      <c r="R1237" s="4">
        <f t="shared" si="46"/>
        <v>0</v>
      </c>
      <c r="S1237" s="3" t="s">
        <v>23</v>
      </c>
      <c r="T1237" s="195"/>
    </row>
    <row r="1238" spans="1:20" ht="21.6" x14ac:dyDescent="0.3">
      <c r="A1238" s="139">
        <v>2073</v>
      </c>
      <c r="B1238" s="42" t="s">
        <v>20</v>
      </c>
      <c r="C1238" s="43" t="s">
        <v>267</v>
      </c>
      <c r="D1238" s="50">
        <v>6228</v>
      </c>
      <c r="E1238" s="42" t="s">
        <v>234</v>
      </c>
      <c r="F1238" s="45" t="s">
        <v>123</v>
      </c>
      <c r="G1238" s="207" t="s">
        <v>50</v>
      </c>
      <c r="H1238" s="45" t="s">
        <v>214</v>
      </c>
      <c r="I1238" s="7" t="s">
        <v>22</v>
      </c>
      <c r="J1238" s="3">
        <v>0.7</v>
      </c>
      <c r="K1238" s="1" t="s">
        <v>224</v>
      </c>
      <c r="L1238" s="8" t="s">
        <v>225</v>
      </c>
      <c r="M1238" s="7" t="s">
        <v>226</v>
      </c>
      <c r="N1238" s="3">
        <v>1</v>
      </c>
      <c r="O1238" s="3">
        <v>0.2</v>
      </c>
      <c r="P1238" s="10"/>
      <c r="Q1238" s="3">
        <f t="shared" si="45"/>
        <v>0</v>
      </c>
      <c r="R1238" s="4">
        <f t="shared" si="46"/>
        <v>0</v>
      </c>
      <c r="S1238" s="3" t="s">
        <v>23</v>
      </c>
      <c r="T1238" s="195"/>
    </row>
    <row r="1239" spans="1:20" ht="21.6" x14ac:dyDescent="0.3">
      <c r="A1239" s="139">
        <v>2074</v>
      </c>
      <c r="B1239" s="42" t="s">
        <v>20</v>
      </c>
      <c r="C1239" s="43" t="s">
        <v>267</v>
      </c>
      <c r="D1239" s="50">
        <v>6228</v>
      </c>
      <c r="E1239" s="42" t="s">
        <v>234</v>
      </c>
      <c r="F1239" s="45" t="s">
        <v>123</v>
      </c>
      <c r="G1239" s="207" t="s">
        <v>50</v>
      </c>
      <c r="H1239" s="45" t="s">
        <v>214</v>
      </c>
      <c r="I1239" s="7" t="s">
        <v>22</v>
      </c>
      <c r="J1239" s="3">
        <v>0.7</v>
      </c>
      <c r="K1239" s="1" t="s">
        <v>132</v>
      </c>
      <c r="L1239" s="8" t="s">
        <v>133</v>
      </c>
      <c r="M1239" s="7" t="s">
        <v>227</v>
      </c>
      <c r="N1239" s="4">
        <v>0</v>
      </c>
      <c r="O1239" s="3">
        <v>0.2</v>
      </c>
      <c r="P1239" s="3"/>
      <c r="Q1239" s="3">
        <f t="shared" si="45"/>
        <v>0</v>
      </c>
      <c r="R1239" s="4">
        <f t="shared" si="46"/>
        <v>0</v>
      </c>
      <c r="S1239" s="10" t="s">
        <v>24</v>
      </c>
      <c r="T1239" s="195"/>
    </row>
    <row r="1240" spans="1:20" ht="22.2" thickBot="1" x14ac:dyDescent="0.35">
      <c r="A1240" s="142">
        <v>2076</v>
      </c>
      <c r="B1240" s="81" t="s">
        <v>20</v>
      </c>
      <c r="C1240" s="82" t="s">
        <v>267</v>
      </c>
      <c r="D1240" s="113">
        <v>6228</v>
      </c>
      <c r="E1240" s="81" t="s">
        <v>234</v>
      </c>
      <c r="F1240" s="84" t="s">
        <v>123</v>
      </c>
      <c r="G1240" s="209" t="s">
        <v>50</v>
      </c>
      <c r="H1240" s="84" t="s">
        <v>214</v>
      </c>
      <c r="I1240" s="85" t="s">
        <v>26</v>
      </c>
      <c r="J1240" s="86">
        <v>0.3</v>
      </c>
      <c r="K1240" s="115" t="s">
        <v>228</v>
      </c>
      <c r="L1240" s="114" t="s">
        <v>229</v>
      </c>
      <c r="M1240" s="85" t="s">
        <v>230</v>
      </c>
      <c r="N1240" s="86">
        <v>0.9</v>
      </c>
      <c r="O1240" s="91">
        <v>1</v>
      </c>
      <c r="P1240" s="127"/>
      <c r="Q1240" s="86">
        <f t="shared" si="45"/>
        <v>0</v>
      </c>
      <c r="R1240" s="104">
        <f t="shared" si="46"/>
        <v>0</v>
      </c>
      <c r="S1240" s="91" t="s">
        <v>23</v>
      </c>
      <c r="T1240" s="147"/>
    </row>
    <row r="1241" spans="1:20" ht="21.6" x14ac:dyDescent="0.3">
      <c r="A1241" s="139">
        <v>2070</v>
      </c>
      <c r="B1241" s="42" t="s">
        <v>20</v>
      </c>
      <c r="C1241" s="43" t="s">
        <v>267</v>
      </c>
      <c r="D1241" s="50">
        <v>6366</v>
      </c>
      <c r="E1241" s="42" t="s">
        <v>235</v>
      </c>
      <c r="F1241" s="45" t="s">
        <v>123</v>
      </c>
      <c r="G1241" s="207" t="s">
        <v>50</v>
      </c>
      <c r="H1241" s="45" t="s">
        <v>214</v>
      </c>
      <c r="I1241" s="7" t="s">
        <v>22</v>
      </c>
      <c r="J1241" s="3">
        <v>0.7</v>
      </c>
      <c r="K1241" s="1" t="s">
        <v>215</v>
      </c>
      <c r="L1241" s="2" t="s">
        <v>216</v>
      </c>
      <c r="M1241" s="1" t="s">
        <v>217</v>
      </c>
      <c r="N1241" s="3">
        <v>0.95</v>
      </c>
      <c r="O1241" s="3">
        <v>0.2</v>
      </c>
      <c r="P1241" s="12"/>
      <c r="Q1241" s="3">
        <f t="shared" si="45"/>
        <v>0</v>
      </c>
      <c r="R1241" s="4">
        <f t="shared" si="46"/>
        <v>0</v>
      </c>
      <c r="S1241" s="3" t="s">
        <v>23</v>
      </c>
      <c r="T1241" s="195">
        <f>SUM(R1241:R1246)%</f>
        <v>0</v>
      </c>
    </row>
    <row r="1242" spans="1:20" ht="21.6" x14ac:dyDescent="0.3">
      <c r="A1242" s="139">
        <v>2071</v>
      </c>
      <c r="B1242" s="42" t="s">
        <v>20</v>
      </c>
      <c r="C1242" s="43" t="s">
        <v>267</v>
      </c>
      <c r="D1242" s="50">
        <v>6366</v>
      </c>
      <c r="E1242" s="42" t="s">
        <v>235</v>
      </c>
      <c r="F1242" s="45" t="s">
        <v>123</v>
      </c>
      <c r="G1242" s="207" t="s">
        <v>50</v>
      </c>
      <c r="H1242" s="45" t="s">
        <v>214</v>
      </c>
      <c r="I1242" s="7" t="s">
        <v>22</v>
      </c>
      <c r="J1242" s="3">
        <v>0.7</v>
      </c>
      <c r="K1242" s="1" t="s">
        <v>218</v>
      </c>
      <c r="L1242" s="8" t="s">
        <v>219</v>
      </c>
      <c r="M1242" s="7" t="s">
        <v>220</v>
      </c>
      <c r="N1242" s="3">
        <v>0.9</v>
      </c>
      <c r="O1242" s="3">
        <v>0.2</v>
      </c>
      <c r="P1242" s="3"/>
      <c r="Q1242" s="3">
        <f t="shared" si="45"/>
        <v>0</v>
      </c>
      <c r="R1242" s="4">
        <f t="shared" si="46"/>
        <v>0</v>
      </c>
      <c r="S1242" s="3" t="s">
        <v>23</v>
      </c>
      <c r="T1242" s="195"/>
    </row>
    <row r="1243" spans="1:20" ht="21.6" x14ac:dyDescent="0.3">
      <c r="A1243" s="139">
        <v>2072</v>
      </c>
      <c r="B1243" s="42" t="s">
        <v>20</v>
      </c>
      <c r="C1243" s="43" t="s">
        <v>267</v>
      </c>
      <c r="D1243" s="50">
        <v>6366</v>
      </c>
      <c r="E1243" s="42" t="s">
        <v>235</v>
      </c>
      <c r="F1243" s="45" t="s">
        <v>123</v>
      </c>
      <c r="G1243" s="207" t="s">
        <v>50</v>
      </c>
      <c r="H1243" s="45" t="s">
        <v>214</v>
      </c>
      <c r="I1243" s="7" t="s">
        <v>22</v>
      </c>
      <c r="J1243" s="3">
        <v>0.7</v>
      </c>
      <c r="K1243" s="1" t="s">
        <v>221</v>
      </c>
      <c r="L1243" s="8" t="s">
        <v>222</v>
      </c>
      <c r="M1243" s="7" t="s">
        <v>223</v>
      </c>
      <c r="N1243" s="3">
        <v>0.95</v>
      </c>
      <c r="O1243" s="3">
        <v>0.2</v>
      </c>
      <c r="P1243" s="6"/>
      <c r="Q1243" s="3">
        <f t="shared" ref="Q1243:Q1258" si="47">ROUND(IF(OR(N1243="",P1243=""),0,IF(AND(N1243=0,P1243=0),1,IF(S1243="+",P1243/N1243,N1243/P1243))),2)</f>
        <v>0</v>
      </c>
      <c r="R1243" s="4">
        <f t="shared" si="46"/>
        <v>0</v>
      </c>
      <c r="S1243" s="3" t="s">
        <v>23</v>
      </c>
      <c r="T1243" s="195"/>
    </row>
    <row r="1244" spans="1:20" ht="21.6" x14ac:dyDescent="0.3">
      <c r="A1244" s="139">
        <v>2073</v>
      </c>
      <c r="B1244" s="42" t="s">
        <v>20</v>
      </c>
      <c r="C1244" s="43" t="s">
        <v>267</v>
      </c>
      <c r="D1244" s="50">
        <v>6366</v>
      </c>
      <c r="E1244" s="42" t="s">
        <v>235</v>
      </c>
      <c r="F1244" s="45" t="s">
        <v>123</v>
      </c>
      <c r="G1244" s="207" t="s">
        <v>50</v>
      </c>
      <c r="H1244" s="45" t="s">
        <v>214</v>
      </c>
      <c r="I1244" s="7" t="s">
        <v>22</v>
      </c>
      <c r="J1244" s="3">
        <v>0.7</v>
      </c>
      <c r="K1244" s="1" t="s">
        <v>224</v>
      </c>
      <c r="L1244" s="8" t="s">
        <v>225</v>
      </c>
      <c r="M1244" s="7" t="s">
        <v>226</v>
      </c>
      <c r="N1244" s="3">
        <v>1</v>
      </c>
      <c r="O1244" s="3">
        <v>0.2</v>
      </c>
      <c r="P1244" s="10"/>
      <c r="Q1244" s="3">
        <f t="shared" si="47"/>
        <v>0</v>
      </c>
      <c r="R1244" s="4">
        <f t="shared" si="46"/>
        <v>0</v>
      </c>
      <c r="S1244" s="3" t="s">
        <v>23</v>
      </c>
      <c r="T1244" s="195"/>
    </row>
    <row r="1245" spans="1:20" ht="21.6" x14ac:dyDescent="0.3">
      <c r="A1245" s="139">
        <v>2074</v>
      </c>
      <c r="B1245" s="42" t="s">
        <v>20</v>
      </c>
      <c r="C1245" s="43" t="s">
        <v>267</v>
      </c>
      <c r="D1245" s="50">
        <v>6366</v>
      </c>
      <c r="E1245" s="42" t="s">
        <v>235</v>
      </c>
      <c r="F1245" s="45" t="s">
        <v>123</v>
      </c>
      <c r="G1245" s="207" t="s">
        <v>50</v>
      </c>
      <c r="H1245" s="45" t="s">
        <v>214</v>
      </c>
      <c r="I1245" s="7" t="s">
        <v>22</v>
      </c>
      <c r="J1245" s="3">
        <v>0.7</v>
      </c>
      <c r="K1245" s="1" t="s">
        <v>132</v>
      </c>
      <c r="L1245" s="8" t="s">
        <v>133</v>
      </c>
      <c r="M1245" s="7" t="s">
        <v>227</v>
      </c>
      <c r="N1245" s="4">
        <v>0</v>
      </c>
      <c r="O1245" s="3">
        <v>0.2</v>
      </c>
      <c r="P1245" s="3"/>
      <c r="Q1245" s="3">
        <f t="shared" si="47"/>
        <v>0</v>
      </c>
      <c r="R1245" s="4">
        <f t="shared" si="46"/>
        <v>0</v>
      </c>
      <c r="S1245" s="10" t="s">
        <v>24</v>
      </c>
      <c r="T1245" s="195"/>
    </row>
    <row r="1246" spans="1:20" ht="22.2" thickBot="1" x14ac:dyDescent="0.35">
      <c r="A1246" s="142">
        <v>2076</v>
      </c>
      <c r="B1246" s="81" t="s">
        <v>20</v>
      </c>
      <c r="C1246" s="82" t="s">
        <v>267</v>
      </c>
      <c r="D1246" s="113">
        <v>6366</v>
      </c>
      <c r="E1246" s="81" t="s">
        <v>235</v>
      </c>
      <c r="F1246" s="84" t="s">
        <v>123</v>
      </c>
      <c r="G1246" s="209" t="s">
        <v>50</v>
      </c>
      <c r="H1246" s="84" t="s">
        <v>214</v>
      </c>
      <c r="I1246" s="85" t="s">
        <v>26</v>
      </c>
      <c r="J1246" s="86">
        <v>0.3</v>
      </c>
      <c r="K1246" s="115" t="s">
        <v>228</v>
      </c>
      <c r="L1246" s="114" t="s">
        <v>229</v>
      </c>
      <c r="M1246" s="85" t="s">
        <v>230</v>
      </c>
      <c r="N1246" s="86">
        <v>0.9</v>
      </c>
      <c r="O1246" s="91">
        <v>1</v>
      </c>
      <c r="P1246" s="127"/>
      <c r="Q1246" s="86">
        <f t="shared" si="47"/>
        <v>0</v>
      </c>
      <c r="R1246" s="104">
        <f t="shared" si="46"/>
        <v>0</v>
      </c>
      <c r="S1246" s="91" t="s">
        <v>23</v>
      </c>
      <c r="T1246" s="147"/>
    </row>
    <row r="1247" spans="1:20" ht="21.6" x14ac:dyDescent="0.3">
      <c r="A1247" s="139">
        <v>2070</v>
      </c>
      <c r="B1247" s="42" t="s">
        <v>20</v>
      </c>
      <c r="C1247" s="43" t="s">
        <v>267</v>
      </c>
      <c r="D1247" s="50">
        <v>6016</v>
      </c>
      <c r="E1247" s="42" t="s">
        <v>236</v>
      </c>
      <c r="F1247" s="45" t="s">
        <v>123</v>
      </c>
      <c r="G1247" s="207" t="s">
        <v>50</v>
      </c>
      <c r="H1247" s="45" t="s">
        <v>214</v>
      </c>
      <c r="I1247" s="7" t="s">
        <v>22</v>
      </c>
      <c r="J1247" s="3">
        <v>0.7</v>
      </c>
      <c r="K1247" s="1" t="s">
        <v>215</v>
      </c>
      <c r="L1247" s="2" t="s">
        <v>216</v>
      </c>
      <c r="M1247" s="1" t="s">
        <v>217</v>
      </c>
      <c r="N1247" s="3">
        <v>0.95</v>
      </c>
      <c r="O1247" s="3">
        <v>0.2</v>
      </c>
      <c r="P1247" s="12"/>
      <c r="Q1247" s="3">
        <f t="shared" si="47"/>
        <v>0</v>
      </c>
      <c r="R1247" s="4">
        <f t="shared" si="46"/>
        <v>0</v>
      </c>
      <c r="S1247" s="3" t="s">
        <v>23</v>
      </c>
      <c r="T1247" s="195">
        <f>SUM(R1247:R1252)%</f>
        <v>0</v>
      </c>
    </row>
    <row r="1248" spans="1:20" ht="21.6" x14ac:dyDescent="0.3">
      <c r="A1248" s="139">
        <v>2071</v>
      </c>
      <c r="B1248" s="42" t="s">
        <v>20</v>
      </c>
      <c r="C1248" s="43" t="s">
        <v>267</v>
      </c>
      <c r="D1248" s="50">
        <v>6016</v>
      </c>
      <c r="E1248" s="42" t="s">
        <v>236</v>
      </c>
      <c r="F1248" s="45" t="s">
        <v>123</v>
      </c>
      <c r="G1248" s="207" t="s">
        <v>50</v>
      </c>
      <c r="H1248" s="45" t="s">
        <v>214</v>
      </c>
      <c r="I1248" s="7" t="s">
        <v>22</v>
      </c>
      <c r="J1248" s="3">
        <v>0.7</v>
      </c>
      <c r="K1248" s="1" t="s">
        <v>218</v>
      </c>
      <c r="L1248" s="8" t="s">
        <v>219</v>
      </c>
      <c r="M1248" s="7" t="s">
        <v>220</v>
      </c>
      <c r="N1248" s="3">
        <v>0.9</v>
      </c>
      <c r="O1248" s="3">
        <v>0.2</v>
      </c>
      <c r="P1248" s="3"/>
      <c r="Q1248" s="3">
        <f t="shared" si="47"/>
        <v>0</v>
      </c>
      <c r="R1248" s="4">
        <f t="shared" si="46"/>
        <v>0</v>
      </c>
      <c r="S1248" s="3" t="s">
        <v>23</v>
      </c>
      <c r="T1248" s="195"/>
    </row>
    <row r="1249" spans="1:20" ht="21.6" x14ac:dyDescent="0.3">
      <c r="A1249" s="139">
        <v>2072</v>
      </c>
      <c r="B1249" s="42" t="s">
        <v>20</v>
      </c>
      <c r="C1249" s="43" t="s">
        <v>267</v>
      </c>
      <c r="D1249" s="50">
        <v>6016</v>
      </c>
      <c r="E1249" s="42" t="s">
        <v>236</v>
      </c>
      <c r="F1249" s="45" t="s">
        <v>123</v>
      </c>
      <c r="G1249" s="207" t="s">
        <v>50</v>
      </c>
      <c r="H1249" s="45" t="s">
        <v>214</v>
      </c>
      <c r="I1249" s="7" t="s">
        <v>22</v>
      </c>
      <c r="J1249" s="3">
        <v>0.7</v>
      </c>
      <c r="K1249" s="1" t="s">
        <v>221</v>
      </c>
      <c r="L1249" s="8" t="s">
        <v>222</v>
      </c>
      <c r="M1249" s="7" t="s">
        <v>223</v>
      </c>
      <c r="N1249" s="3">
        <v>0.95</v>
      </c>
      <c r="O1249" s="3">
        <v>0.2</v>
      </c>
      <c r="P1249" s="172"/>
      <c r="Q1249" s="3">
        <f t="shared" si="47"/>
        <v>0</v>
      </c>
      <c r="R1249" s="4">
        <f t="shared" si="46"/>
        <v>0</v>
      </c>
      <c r="S1249" s="3" t="s">
        <v>23</v>
      </c>
      <c r="T1249" s="195"/>
    </row>
    <row r="1250" spans="1:20" ht="21.6" x14ac:dyDescent="0.3">
      <c r="A1250" s="139">
        <v>2073</v>
      </c>
      <c r="B1250" s="42" t="s">
        <v>20</v>
      </c>
      <c r="C1250" s="43" t="s">
        <v>267</v>
      </c>
      <c r="D1250" s="50">
        <v>6016</v>
      </c>
      <c r="E1250" s="42" t="s">
        <v>236</v>
      </c>
      <c r="F1250" s="45" t="s">
        <v>123</v>
      </c>
      <c r="G1250" s="207" t="s">
        <v>50</v>
      </c>
      <c r="H1250" s="45" t="s">
        <v>214</v>
      </c>
      <c r="I1250" s="7" t="s">
        <v>22</v>
      </c>
      <c r="J1250" s="3">
        <v>0.7</v>
      </c>
      <c r="K1250" s="1" t="s">
        <v>224</v>
      </c>
      <c r="L1250" s="8" t="s">
        <v>225</v>
      </c>
      <c r="M1250" s="7" t="s">
        <v>226</v>
      </c>
      <c r="N1250" s="3">
        <v>1</v>
      </c>
      <c r="O1250" s="3">
        <v>0.2</v>
      </c>
      <c r="P1250" s="10"/>
      <c r="Q1250" s="3">
        <f t="shared" si="47"/>
        <v>0</v>
      </c>
      <c r="R1250" s="4">
        <f t="shared" si="46"/>
        <v>0</v>
      </c>
      <c r="S1250" s="3" t="s">
        <v>23</v>
      </c>
      <c r="T1250" s="195"/>
    </row>
    <row r="1251" spans="1:20" ht="21.6" x14ac:dyDescent="0.3">
      <c r="A1251" s="139">
        <v>2074</v>
      </c>
      <c r="B1251" s="42" t="s">
        <v>20</v>
      </c>
      <c r="C1251" s="43" t="s">
        <v>267</v>
      </c>
      <c r="D1251" s="50">
        <v>6016</v>
      </c>
      <c r="E1251" s="42" t="s">
        <v>236</v>
      </c>
      <c r="F1251" s="45" t="s">
        <v>123</v>
      </c>
      <c r="G1251" s="207" t="s">
        <v>50</v>
      </c>
      <c r="H1251" s="45" t="s">
        <v>214</v>
      </c>
      <c r="I1251" s="7" t="s">
        <v>22</v>
      </c>
      <c r="J1251" s="3">
        <v>0.7</v>
      </c>
      <c r="K1251" s="1" t="s">
        <v>132</v>
      </c>
      <c r="L1251" s="8" t="s">
        <v>133</v>
      </c>
      <c r="M1251" s="7" t="s">
        <v>227</v>
      </c>
      <c r="N1251" s="4">
        <v>0</v>
      </c>
      <c r="O1251" s="3">
        <v>0.2</v>
      </c>
      <c r="P1251" s="3"/>
      <c r="Q1251" s="3">
        <f t="shared" si="47"/>
        <v>0</v>
      </c>
      <c r="R1251" s="4">
        <f t="shared" si="46"/>
        <v>0</v>
      </c>
      <c r="S1251" s="10" t="s">
        <v>24</v>
      </c>
      <c r="T1251" s="195"/>
    </row>
    <row r="1252" spans="1:20" ht="22.2" thickBot="1" x14ac:dyDescent="0.35">
      <c r="A1252" s="142">
        <v>2076</v>
      </c>
      <c r="B1252" s="81" t="s">
        <v>20</v>
      </c>
      <c r="C1252" s="82" t="s">
        <v>267</v>
      </c>
      <c r="D1252" s="113">
        <v>6016</v>
      </c>
      <c r="E1252" s="81" t="s">
        <v>236</v>
      </c>
      <c r="F1252" s="84" t="s">
        <v>123</v>
      </c>
      <c r="G1252" s="209" t="s">
        <v>50</v>
      </c>
      <c r="H1252" s="84" t="s">
        <v>214</v>
      </c>
      <c r="I1252" s="85" t="s">
        <v>26</v>
      </c>
      <c r="J1252" s="86">
        <v>0.3</v>
      </c>
      <c r="K1252" s="115" t="s">
        <v>228</v>
      </c>
      <c r="L1252" s="114" t="s">
        <v>229</v>
      </c>
      <c r="M1252" s="85" t="s">
        <v>230</v>
      </c>
      <c r="N1252" s="86">
        <v>0.9</v>
      </c>
      <c r="O1252" s="91">
        <v>1</v>
      </c>
      <c r="P1252" s="127"/>
      <c r="Q1252" s="86">
        <f t="shared" si="47"/>
        <v>0</v>
      </c>
      <c r="R1252" s="104">
        <f t="shared" si="46"/>
        <v>0</v>
      </c>
      <c r="S1252" s="91" t="s">
        <v>23</v>
      </c>
      <c r="T1252" s="147"/>
    </row>
    <row r="1253" spans="1:20" ht="21.6" x14ac:dyDescent="0.3">
      <c r="A1253" s="139">
        <v>2070</v>
      </c>
      <c r="B1253" s="42" t="s">
        <v>20</v>
      </c>
      <c r="C1253" s="43" t="s">
        <v>267</v>
      </c>
      <c r="D1253" s="50">
        <v>6553</v>
      </c>
      <c r="E1253" s="42" t="s">
        <v>286</v>
      </c>
      <c r="F1253" s="45" t="s">
        <v>123</v>
      </c>
      <c r="G1253" s="207" t="s">
        <v>50</v>
      </c>
      <c r="H1253" s="45" t="s">
        <v>214</v>
      </c>
      <c r="I1253" s="7" t="s">
        <v>22</v>
      </c>
      <c r="J1253" s="3">
        <v>0.7</v>
      </c>
      <c r="K1253" s="1" t="s">
        <v>215</v>
      </c>
      <c r="L1253" s="2" t="s">
        <v>216</v>
      </c>
      <c r="M1253" s="1" t="s">
        <v>217</v>
      </c>
      <c r="N1253" s="3">
        <v>0.95</v>
      </c>
      <c r="O1253" s="3">
        <v>0.2</v>
      </c>
      <c r="P1253" s="12"/>
      <c r="Q1253" s="3">
        <f t="shared" si="47"/>
        <v>0</v>
      </c>
      <c r="R1253" s="4">
        <f t="shared" si="46"/>
        <v>0</v>
      </c>
      <c r="S1253" s="3" t="s">
        <v>23</v>
      </c>
      <c r="T1253" s="195">
        <f>SUM(R1253:R1258)%</f>
        <v>0</v>
      </c>
    </row>
    <row r="1254" spans="1:20" ht="21.6" x14ac:dyDescent="0.3">
      <c r="A1254" s="139">
        <v>2071</v>
      </c>
      <c r="B1254" s="42" t="s">
        <v>20</v>
      </c>
      <c r="C1254" s="43" t="s">
        <v>267</v>
      </c>
      <c r="D1254" s="50">
        <v>6553</v>
      </c>
      <c r="E1254" s="42" t="s">
        <v>286</v>
      </c>
      <c r="F1254" s="45" t="s">
        <v>123</v>
      </c>
      <c r="G1254" s="207" t="s">
        <v>50</v>
      </c>
      <c r="H1254" s="45" t="s">
        <v>214</v>
      </c>
      <c r="I1254" s="7" t="s">
        <v>22</v>
      </c>
      <c r="J1254" s="3">
        <v>0.7</v>
      </c>
      <c r="K1254" s="1" t="s">
        <v>218</v>
      </c>
      <c r="L1254" s="8" t="s">
        <v>219</v>
      </c>
      <c r="M1254" s="7" t="s">
        <v>220</v>
      </c>
      <c r="N1254" s="3">
        <v>0.9</v>
      </c>
      <c r="O1254" s="3">
        <v>0.2</v>
      </c>
      <c r="P1254" s="3"/>
      <c r="Q1254" s="3">
        <f t="shared" si="47"/>
        <v>0</v>
      </c>
      <c r="R1254" s="4">
        <f t="shared" si="46"/>
        <v>0</v>
      </c>
      <c r="S1254" s="3" t="s">
        <v>23</v>
      </c>
      <c r="T1254" s="195"/>
    </row>
    <row r="1255" spans="1:20" ht="21.6" x14ac:dyDescent="0.3">
      <c r="A1255" s="139">
        <v>2072</v>
      </c>
      <c r="B1255" s="42" t="s">
        <v>20</v>
      </c>
      <c r="C1255" s="43" t="s">
        <v>267</v>
      </c>
      <c r="D1255" s="50">
        <v>6553</v>
      </c>
      <c r="E1255" s="42" t="s">
        <v>286</v>
      </c>
      <c r="F1255" s="45" t="s">
        <v>123</v>
      </c>
      <c r="G1255" s="207" t="s">
        <v>50</v>
      </c>
      <c r="H1255" s="45" t="s">
        <v>214</v>
      </c>
      <c r="I1255" s="7" t="s">
        <v>22</v>
      </c>
      <c r="J1255" s="3">
        <v>0.7</v>
      </c>
      <c r="K1255" s="1" t="s">
        <v>221</v>
      </c>
      <c r="L1255" s="8" t="s">
        <v>222</v>
      </c>
      <c r="M1255" s="7" t="s">
        <v>223</v>
      </c>
      <c r="N1255" s="3">
        <v>0.95</v>
      </c>
      <c r="O1255" s="3">
        <v>0.2</v>
      </c>
      <c r="P1255" s="173"/>
      <c r="Q1255" s="3">
        <f t="shared" si="47"/>
        <v>0</v>
      </c>
      <c r="R1255" s="4">
        <f t="shared" si="46"/>
        <v>0</v>
      </c>
      <c r="S1255" s="3" t="s">
        <v>23</v>
      </c>
      <c r="T1255" s="195"/>
    </row>
    <row r="1256" spans="1:20" ht="21.6" x14ac:dyDescent="0.3">
      <c r="A1256" s="139">
        <v>2073</v>
      </c>
      <c r="B1256" s="42" t="s">
        <v>20</v>
      </c>
      <c r="C1256" s="43" t="s">
        <v>267</v>
      </c>
      <c r="D1256" s="50">
        <v>6553</v>
      </c>
      <c r="E1256" s="42" t="s">
        <v>286</v>
      </c>
      <c r="F1256" s="45" t="s">
        <v>123</v>
      </c>
      <c r="G1256" s="207" t="s">
        <v>50</v>
      </c>
      <c r="H1256" s="45" t="s">
        <v>214</v>
      </c>
      <c r="I1256" s="7" t="s">
        <v>22</v>
      </c>
      <c r="J1256" s="3">
        <v>0.7</v>
      </c>
      <c r="K1256" s="1" t="s">
        <v>224</v>
      </c>
      <c r="L1256" s="8" t="s">
        <v>225</v>
      </c>
      <c r="M1256" s="7" t="s">
        <v>226</v>
      </c>
      <c r="N1256" s="3">
        <v>1</v>
      </c>
      <c r="O1256" s="3">
        <v>0.2</v>
      </c>
      <c r="P1256" s="10"/>
      <c r="Q1256" s="3">
        <f t="shared" si="47"/>
        <v>0</v>
      </c>
      <c r="R1256" s="4">
        <f t="shared" si="46"/>
        <v>0</v>
      </c>
      <c r="S1256" s="3" t="s">
        <v>23</v>
      </c>
      <c r="T1256" s="195"/>
    </row>
    <row r="1257" spans="1:20" ht="21.6" x14ac:dyDescent="0.3">
      <c r="A1257" s="139">
        <v>2074</v>
      </c>
      <c r="B1257" s="42" t="s">
        <v>20</v>
      </c>
      <c r="C1257" s="43" t="s">
        <v>267</v>
      </c>
      <c r="D1257" s="50">
        <v>6553</v>
      </c>
      <c r="E1257" s="42" t="s">
        <v>286</v>
      </c>
      <c r="F1257" s="45" t="s">
        <v>123</v>
      </c>
      <c r="G1257" s="207" t="s">
        <v>50</v>
      </c>
      <c r="H1257" s="45" t="s">
        <v>214</v>
      </c>
      <c r="I1257" s="7" t="s">
        <v>22</v>
      </c>
      <c r="J1257" s="3">
        <v>0.7</v>
      </c>
      <c r="K1257" s="1" t="s">
        <v>132</v>
      </c>
      <c r="L1257" s="8" t="s">
        <v>133</v>
      </c>
      <c r="M1257" s="7" t="s">
        <v>227</v>
      </c>
      <c r="N1257" s="4">
        <v>0</v>
      </c>
      <c r="O1257" s="3">
        <v>0.2</v>
      </c>
      <c r="P1257" s="3"/>
      <c r="Q1257" s="3">
        <f t="shared" si="47"/>
        <v>0</v>
      </c>
      <c r="R1257" s="4">
        <f t="shared" si="46"/>
        <v>0</v>
      </c>
      <c r="S1257" s="10" t="s">
        <v>24</v>
      </c>
      <c r="T1257" s="195"/>
    </row>
    <row r="1258" spans="1:20" ht="22.2" thickBot="1" x14ac:dyDescent="0.35">
      <c r="A1258" s="141">
        <v>2076</v>
      </c>
      <c r="B1258" s="160" t="s">
        <v>20</v>
      </c>
      <c r="C1258" s="161" t="s">
        <v>267</v>
      </c>
      <c r="D1258" s="162">
        <v>6553</v>
      </c>
      <c r="E1258" s="160" t="s">
        <v>286</v>
      </c>
      <c r="F1258" s="163" t="s">
        <v>123</v>
      </c>
      <c r="G1258" s="215" t="s">
        <v>50</v>
      </c>
      <c r="H1258" s="163" t="s">
        <v>214</v>
      </c>
      <c r="I1258" s="164" t="s">
        <v>26</v>
      </c>
      <c r="J1258" s="132">
        <v>0.3</v>
      </c>
      <c r="K1258" s="177" t="s">
        <v>228</v>
      </c>
      <c r="L1258" s="165" t="s">
        <v>229</v>
      </c>
      <c r="M1258" s="164" t="s">
        <v>230</v>
      </c>
      <c r="N1258" s="132">
        <v>0.9</v>
      </c>
      <c r="O1258" s="166">
        <v>1</v>
      </c>
      <c r="P1258" s="127"/>
      <c r="Q1258" s="132">
        <f t="shared" si="47"/>
        <v>0</v>
      </c>
      <c r="R1258" s="167">
        <f t="shared" si="46"/>
        <v>0</v>
      </c>
      <c r="S1258" s="166" t="s">
        <v>23</v>
      </c>
      <c r="T1258" s="148"/>
    </row>
  </sheetData>
  <phoneticPr fontId="9" type="noConversion"/>
  <conditionalFormatting sqref="I1:I1258">
    <cfRule type="cellIs" dxfId="140" priority="1" operator="equal">
      <formula>"maintasks"</formula>
    </cfRule>
  </conditionalFormatting>
  <conditionalFormatting sqref="K1026:K1032 M1026:M1032">
    <cfRule type="cellIs" dxfId="139" priority="77" operator="equal">
      <formula>"maintasks"</formula>
    </cfRule>
  </conditionalFormatting>
  <conditionalFormatting sqref="K1083:K1084">
    <cfRule type="cellIs" dxfId="138" priority="178" operator="equal">
      <formula>"maintasks"</formula>
    </cfRule>
  </conditionalFormatting>
  <conditionalFormatting sqref="K1090:K1091">
    <cfRule type="cellIs" dxfId="137" priority="172" operator="equal">
      <formula>"maintasks"</formula>
    </cfRule>
  </conditionalFormatting>
  <conditionalFormatting sqref="K1097:K1098">
    <cfRule type="cellIs" dxfId="136" priority="168" operator="equal">
      <formula>"maintasks"</formula>
    </cfRule>
  </conditionalFormatting>
  <conditionalFormatting sqref="K1104:K1105">
    <cfRule type="cellIs" dxfId="135" priority="164" operator="equal">
      <formula>"maintasks"</formula>
    </cfRule>
  </conditionalFormatting>
  <conditionalFormatting sqref="K1111:K1112">
    <cfRule type="cellIs" dxfId="134" priority="161" operator="equal">
      <formula>"maintasks"</formula>
    </cfRule>
  </conditionalFormatting>
  <conditionalFormatting sqref="K1115:K1121">
    <cfRule type="cellIs" dxfId="133" priority="176" operator="equal">
      <formula>"maintasks"</formula>
    </cfRule>
  </conditionalFormatting>
  <conditionalFormatting sqref="K1125:K1126">
    <cfRule type="cellIs" dxfId="132" priority="157" operator="equal">
      <formula>"maintasks"</formula>
    </cfRule>
  </conditionalFormatting>
  <conditionalFormatting sqref="K1132:K1133">
    <cfRule type="cellIs" dxfId="131" priority="153" operator="equal">
      <formula>"maintasks"</formula>
    </cfRule>
  </conditionalFormatting>
  <conditionalFormatting sqref="K1139:K1140">
    <cfRule type="cellIs" dxfId="130" priority="149" operator="equal">
      <formula>"maintasks"</formula>
    </cfRule>
  </conditionalFormatting>
  <conditionalFormatting sqref="K1146:K1147">
    <cfRule type="cellIs" dxfId="129" priority="145" operator="equal">
      <formula>"maintasks"</formula>
    </cfRule>
  </conditionalFormatting>
  <conditionalFormatting sqref="K1153:K1154">
    <cfRule type="cellIs" dxfId="128" priority="141" operator="equal">
      <formula>"maintasks"</formula>
    </cfRule>
  </conditionalFormatting>
  <conditionalFormatting sqref="K1160:K1161">
    <cfRule type="cellIs" dxfId="127" priority="137" operator="equal">
      <formula>"maintasks"</formula>
    </cfRule>
  </conditionalFormatting>
  <conditionalFormatting sqref="K1167:K1168">
    <cfRule type="cellIs" dxfId="126" priority="133" operator="equal">
      <formula>"maintasks"</formula>
    </cfRule>
  </conditionalFormatting>
  <conditionalFormatting sqref="K1174:K1175">
    <cfRule type="cellIs" dxfId="125" priority="129" operator="equal">
      <formula>"maintasks"</formula>
    </cfRule>
  </conditionalFormatting>
  <conditionalFormatting sqref="K1181:K1182">
    <cfRule type="cellIs" dxfId="124" priority="125" operator="equal">
      <formula>"maintasks"</formula>
    </cfRule>
  </conditionalFormatting>
  <conditionalFormatting sqref="K1187:K1188">
    <cfRule type="cellIs" dxfId="123" priority="121" operator="equal">
      <formula>"maintasks"</formula>
    </cfRule>
  </conditionalFormatting>
  <conditionalFormatting sqref="K1193:K1194">
    <cfRule type="cellIs" dxfId="122" priority="117" operator="equal">
      <formula>"maintasks"</formula>
    </cfRule>
  </conditionalFormatting>
  <conditionalFormatting sqref="K1200:K1201">
    <cfRule type="cellIs" dxfId="121" priority="113" operator="equal">
      <formula>"maintasks"</formula>
    </cfRule>
  </conditionalFormatting>
  <conditionalFormatting sqref="K1207:K1208">
    <cfRule type="cellIs" dxfId="120" priority="109" operator="equal">
      <formula>"maintasks"</formula>
    </cfRule>
  </conditionalFormatting>
  <conditionalFormatting sqref="K2:L2 K3:M3 K4:L4">
    <cfRule type="cellIs" dxfId="119" priority="92" operator="equal">
      <formula>"maintasks"</formula>
    </cfRule>
  </conditionalFormatting>
  <conditionalFormatting sqref="K25:L27">
    <cfRule type="cellIs" dxfId="118" priority="84" operator="equal">
      <formula>"maintasks"</formula>
    </cfRule>
  </conditionalFormatting>
  <conditionalFormatting sqref="K32:L33">
    <cfRule type="cellIs" dxfId="117" priority="15" operator="equal">
      <formula>"maintasks"</formula>
    </cfRule>
  </conditionalFormatting>
  <conditionalFormatting sqref="K43:L44">
    <cfRule type="cellIs" dxfId="116" priority="14" operator="equal">
      <formula>"maintasks"</formula>
    </cfRule>
  </conditionalFormatting>
  <conditionalFormatting sqref="K54:L55">
    <cfRule type="cellIs" dxfId="115" priority="13" operator="equal">
      <formula>"maintasks"</formula>
    </cfRule>
  </conditionalFormatting>
  <conditionalFormatting sqref="K64:L65">
    <cfRule type="cellIs" dxfId="114" priority="12" operator="equal">
      <formula>"maintasks"</formula>
    </cfRule>
  </conditionalFormatting>
  <conditionalFormatting sqref="K75:L76">
    <cfRule type="cellIs" dxfId="113" priority="11" operator="equal">
      <formula>"maintasks"</formula>
    </cfRule>
  </conditionalFormatting>
  <conditionalFormatting sqref="K89:L90">
    <cfRule type="cellIs" dxfId="112" priority="10" operator="equal">
      <formula>"maintasks"</formula>
    </cfRule>
  </conditionalFormatting>
  <conditionalFormatting sqref="K100:L101">
    <cfRule type="cellIs" dxfId="111" priority="9" operator="equal">
      <formula>"maintasks"</formula>
    </cfRule>
  </conditionalFormatting>
  <conditionalFormatting sqref="K148:L148">
    <cfRule type="cellIs" dxfId="110" priority="360" operator="equal">
      <formula>"maintasks"</formula>
    </cfRule>
  </conditionalFormatting>
  <conditionalFormatting sqref="K164:L164">
    <cfRule type="cellIs" dxfId="109" priority="357" operator="equal">
      <formula>"maintasks"</formula>
    </cfRule>
  </conditionalFormatting>
  <conditionalFormatting sqref="K173:L173">
    <cfRule type="cellIs" dxfId="108" priority="354" operator="equal">
      <formula>"maintasks"</formula>
    </cfRule>
  </conditionalFormatting>
  <conditionalFormatting sqref="K182:L182">
    <cfRule type="cellIs" dxfId="107" priority="351" operator="equal">
      <formula>"maintasks"</formula>
    </cfRule>
  </conditionalFormatting>
  <conditionalFormatting sqref="K191:L191">
    <cfRule type="cellIs" dxfId="106" priority="348" operator="equal">
      <formula>"maintasks"</formula>
    </cfRule>
  </conditionalFormatting>
  <conditionalFormatting sqref="K200:L200">
    <cfRule type="cellIs" dxfId="105" priority="345" operator="equal">
      <formula>"maintasks"</formula>
    </cfRule>
  </conditionalFormatting>
  <conditionalFormatting sqref="K209:L209">
    <cfRule type="cellIs" dxfId="104" priority="342" operator="equal">
      <formula>"maintasks"</formula>
    </cfRule>
  </conditionalFormatting>
  <conditionalFormatting sqref="K218:L218">
    <cfRule type="cellIs" dxfId="103" priority="331" operator="equal">
      <formula>"maintasks"</formula>
    </cfRule>
  </conditionalFormatting>
  <conditionalFormatting sqref="K1:M1 K8:N17 M25:N27">
    <cfRule type="cellIs" dxfId="102" priority="362" operator="equal">
      <formula>"maintasks"</formula>
    </cfRule>
  </conditionalFormatting>
  <conditionalFormatting sqref="K5:M7">
    <cfRule type="cellIs" dxfId="101" priority="88" operator="equal">
      <formula>"maintasks"</formula>
    </cfRule>
  </conditionalFormatting>
  <conditionalFormatting sqref="K18:M23 N20:N21">
    <cfRule type="cellIs" dxfId="100" priority="86" operator="equal">
      <formula>"maintasks"</formula>
    </cfRule>
  </conditionalFormatting>
  <conditionalFormatting sqref="K28:M31">
    <cfRule type="cellIs" dxfId="99" priority="8" operator="equal">
      <formula>"maintasks"</formula>
    </cfRule>
  </conditionalFormatting>
  <conditionalFormatting sqref="K77:M88">
    <cfRule type="cellIs" dxfId="98" priority="2" operator="equal">
      <formula>"maintasks"</formula>
    </cfRule>
  </conditionalFormatting>
  <conditionalFormatting sqref="K125:M129">
    <cfRule type="cellIs" dxfId="97" priority="20" operator="equal">
      <formula>"maintasks"</formula>
    </cfRule>
  </conditionalFormatting>
  <conditionalFormatting sqref="K144:M147">
    <cfRule type="cellIs" dxfId="96" priority="361" operator="equal">
      <formula>"maintasks"</formula>
    </cfRule>
  </conditionalFormatting>
  <conditionalFormatting sqref="K149:M163">
    <cfRule type="cellIs" dxfId="95" priority="334" operator="equal">
      <formula>"maintasks"</formula>
    </cfRule>
  </conditionalFormatting>
  <conditionalFormatting sqref="K165:M172">
    <cfRule type="cellIs" dxfId="94" priority="340" operator="equal">
      <formula>"maintasks"</formula>
    </cfRule>
  </conditionalFormatting>
  <conditionalFormatting sqref="K174:M181">
    <cfRule type="cellIs" dxfId="93" priority="339" operator="equal">
      <formula>"maintasks"</formula>
    </cfRule>
  </conditionalFormatting>
  <conditionalFormatting sqref="K183:M190">
    <cfRule type="cellIs" dxfId="92" priority="338" operator="equal">
      <formula>"maintasks"</formula>
    </cfRule>
  </conditionalFormatting>
  <conditionalFormatting sqref="K192:M199">
    <cfRule type="cellIs" dxfId="91" priority="337" operator="equal">
      <formula>"maintasks"</formula>
    </cfRule>
  </conditionalFormatting>
  <conditionalFormatting sqref="K201:M208">
    <cfRule type="cellIs" dxfId="90" priority="336" operator="equal">
      <formula>"maintasks"</formula>
    </cfRule>
  </conditionalFormatting>
  <conditionalFormatting sqref="K210:M217">
    <cfRule type="cellIs" dxfId="89" priority="330" operator="equal">
      <formula>"maintasks"</formula>
    </cfRule>
  </conditionalFormatting>
  <conditionalFormatting sqref="K219:M1025">
    <cfRule type="cellIs" dxfId="88" priority="21" operator="equal">
      <formula>"maintasks"</formula>
    </cfRule>
  </conditionalFormatting>
  <conditionalFormatting sqref="K1033:M1082">
    <cfRule type="cellIs" dxfId="87" priority="179" operator="equal">
      <formula>"maintasks"</formula>
    </cfRule>
  </conditionalFormatting>
  <conditionalFormatting sqref="K1085:M1089">
    <cfRule type="cellIs" dxfId="86" priority="173" operator="equal">
      <formula>"maintasks"</formula>
    </cfRule>
  </conditionalFormatting>
  <conditionalFormatting sqref="K1092:M1096">
    <cfRule type="cellIs" dxfId="85" priority="169" operator="equal">
      <formula>"maintasks"</formula>
    </cfRule>
  </conditionalFormatting>
  <conditionalFormatting sqref="K1099:M1103">
    <cfRule type="cellIs" dxfId="84" priority="165" operator="equal">
      <formula>"maintasks"</formula>
    </cfRule>
  </conditionalFormatting>
  <conditionalFormatting sqref="K1106:M1110">
    <cfRule type="cellIs" dxfId="83" priority="162" operator="equal">
      <formula>"maintasks"</formula>
    </cfRule>
  </conditionalFormatting>
  <conditionalFormatting sqref="K1113:M1114">
    <cfRule type="cellIs" dxfId="82" priority="159" operator="equal">
      <formula>"maintasks"</formula>
    </cfRule>
  </conditionalFormatting>
  <conditionalFormatting sqref="K1122:M1124">
    <cfRule type="cellIs" dxfId="81" priority="158" operator="equal">
      <formula>"maintasks"</formula>
    </cfRule>
  </conditionalFormatting>
  <conditionalFormatting sqref="K1127:M1131">
    <cfRule type="cellIs" dxfId="80" priority="154" operator="equal">
      <formula>"maintasks"</formula>
    </cfRule>
  </conditionalFormatting>
  <conditionalFormatting sqref="K1134:M1138">
    <cfRule type="cellIs" dxfId="79" priority="150" operator="equal">
      <formula>"maintasks"</formula>
    </cfRule>
  </conditionalFormatting>
  <conditionalFormatting sqref="K1141:M1145">
    <cfRule type="cellIs" dxfId="78" priority="146" operator="equal">
      <formula>"maintasks"</formula>
    </cfRule>
  </conditionalFormatting>
  <conditionalFormatting sqref="K1148:M1152">
    <cfRule type="cellIs" dxfId="77" priority="51" operator="equal">
      <formula>"maintasks"</formula>
    </cfRule>
  </conditionalFormatting>
  <conditionalFormatting sqref="K1155:M1159">
    <cfRule type="cellIs" dxfId="76" priority="50" operator="equal">
      <formula>"maintasks"</formula>
    </cfRule>
  </conditionalFormatting>
  <conditionalFormatting sqref="K1162:M1166">
    <cfRule type="cellIs" dxfId="75" priority="49" operator="equal">
      <formula>"maintasks"</formula>
    </cfRule>
  </conditionalFormatting>
  <conditionalFormatting sqref="K1169:M1173">
    <cfRule type="cellIs" dxfId="74" priority="48" operator="equal">
      <formula>"maintasks"</formula>
    </cfRule>
  </conditionalFormatting>
  <conditionalFormatting sqref="K1176:M1180">
    <cfRule type="cellIs" dxfId="73" priority="47" operator="equal">
      <formula>"maintasks"</formula>
    </cfRule>
  </conditionalFormatting>
  <conditionalFormatting sqref="K1183:M1186">
    <cfRule type="cellIs" dxfId="72" priority="46" operator="equal">
      <formula>"maintasks"</formula>
    </cfRule>
  </conditionalFormatting>
  <conditionalFormatting sqref="K1189:M1192">
    <cfRule type="cellIs" dxfId="71" priority="45" operator="equal">
      <formula>"maintasks"</formula>
    </cfRule>
  </conditionalFormatting>
  <conditionalFormatting sqref="K1195:M1199">
    <cfRule type="cellIs" dxfId="70" priority="44" operator="equal">
      <formula>"maintasks"</formula>
    </cfRule>
  </conditionalFormatting>
  <conditionalFormatting sqref="K1202:M1206">
    <cfRule type="cellIs" dxfId="69" priority="43" operator="equal">
      <formula>"maintasks"</formula>
    </cfRule>
  </conditionalFormatting>
  <conditionalFormatting sqref="K1209:M1258">
    <cfRule type="cellIs" dxfId="68" priority="41" operator="equal">
      <formula>"maintasks"</formula>
    </cfRule>
  </conditionalFormatting>
  <conditionalFormatting sqref="K24:N24">
    <cfRule type="cellIs" dxfId="67" priority="85" operator="equal">
      <formula>"maintasks"</formula>
    </cfRule>
  </conditionalFormatting>
  <conditionalFormatting sqref="L138:L143">
    <cfRule type="cellIs" dxfId="66" priority="90" operator="equal">
      <formula>"maintasks"</formula>
    </cfRule>
  </conditionalFormatting>
  <conditionalFormatting sqref="L1026:L1032">
    <cfRule type="cellIs" dxfId="65" priority="76" operator="equal">
      <formula>"maintasks"</formula>
    </cfRule>
  </conditionalFormatting>
  <conditionalFormatting sqref="L137:M137">
    <cfRule type="cellIs" dxfId="64" priority="64" operator="equal">
      <formula>"maintasks"</formula>
    </cfRule>
  </conditionalFormatting>
  <conditionalFormatting sqref="L1083:M1084">
    <cfRule type="cellIs" dxfId="63" priority="177" operator="equal">
      <formula>"maintasks"</formula>
    </cfRule>
  </conditionalFormatting>
  <conditionalFormatting sqref="L1090:M1091">
    <cfRule type="cellIs" dxfId="62" priority="171" operator="equal">
      <formula>"maintasks"</formula>
    </cfRule>
  </conditionalFormatting>
  <conditionalFormatting sqref="L1097:M1098">
    <cfRule type="cellIs" dxfId="61" priority="167" operator="equal">
      <formula>"maintasks"</formula>
    </cfRule>
  </conditionalFormatting>
  <conditionalFormatting sqref="L1104:M1105">
    <cfRule type="cellIs" dxfId="60" priority="163" operator="equal">
      <formula>"maintasks"</formula>
    </cfRule>
  </conditionalFormatting>
  <conditionalFormatting sqref="L1111:M1112">
    <cfRule type="cellIs" dxfId="59" priority="160" operator="equal">
      <formula>"maintasks"</formula>
    </cfRule>
  </conditionalFormatting>
  <conditionalFormatting sqref="L1115:M1121">
    <cfRule type="cellIs" dxfId="58" priority="175" operator="equal">
      <formula>"maintasks"</formula>
    </cfRule>
  </conditionalFormatting>
  <conditionalFormatting sqref="L1125:M1126">
    <cfRule type="cellIs" dxfId="57" priority="156" operator="equal">
      <formula>"maintasks"</formula>
    </cfRule>
  </conditionalFormatting>
  <conditionalFormatting sqref="L1132:M1133">
    <cfRule type="cellIs" dxfId="56" priority="152" operator="equal">
      <formula>"maintasks"</formula>
    </cfRule>
  </conditionalFormatting>
  <conditionalFormatting sqref="L1139:M1140">
    <cfRule type="cellIs" dxfId="55" priority="148" operator="equal">
      <formula>"maintasks"</formula>
    </cfRule>
  </conditionalFormatting>
  <conditionalFormatting sqref="L1146:M1147">
    <cfRule type="cellIs" dxfId="54" priority="144" operator="equal">
      <formula>"maintasks"</formula>
    </cfRule>
  </conditionalFormatting>
  <conditionalFormatting sqref="L1153:M1154">
    <cfRule type="cellIs" dxfId="53" priority="140" operator="equal">
      <formula>"maintasks"</formula>
    </cfRule>
  </conditionalFormatting>
  <conditionalFormatting sqref="L1160:M1161">
    <cfRule type="cellIs" dxfId="52" priority="136" operator="equal">
      <formula>"maintasks"</formula>
    </cfRule>
  </conditionalFormatting>
  <conditionalFormatting sqref="L1167:M1168">
    <cfRule type="cellIs" dxfId="51" priority="132" operator="equal">
      <formula>"maintasks"</formula>
    </cfRule>
  </conditionalFormatting>
  <conditionalFormatting sqref="L1174:M1175">
    <cfRule type="cellIs" dxfId="50" priority="128" operator="equal">
      <formula>"maintasks"</formula>
    </cfRule>
  </conditionalFormatting>
  <conditionalFormatting sqref="L1181:M1182">
    <cfRule type="cellIs" dxfId="49" priority="124" operator="equal">
      <formula>"maintasks"</formula>
    </cfRule>
  </conditionalFormatting>
  <conditionalFormatting sqref="L1187:M1188">
    <cfRule type="cellIs" dxfId="48" priority="120" operator="equal">
      <formula>"maintasks"</formula>
    </cfRule>
  </conditionalFormatting>
  <conditionalFormatting sqref="L1193:M1194">
    <cfRule type="cellIs" dxfId="47" priority="116" operator="equal">
      <formula>"maintasks"</formula>
    </cfRule>
  </conditionalFormatting>
  <conditionalFormatting sqref="L1200:M1201">
    <cfRule type="cellIs" dxfId="46" priority="112" operator="equal">
      <formula>"maintasks"</formula>
    </cfRule>
  </conditionalFormatting>
  <conditionalFormatting sqref="L1207:M1208">
    <cfRule type="cellIs" dxfId="45" priority="108" operator="equal">
      <formula>"maintasks"</formula>
    </cfRule>
  </conditionalFormatting>
  <conditionalFormatting sqref="M32:M44 K34:L42 K45:M53 M54:M55 K56:M63 M64:M65 K66:M74 M75:M76 M89:M90 K91:M99 M100:M101 K102:M124 L130:M136 K130:K143">
    <cfRule type="cellIs" dxfId="44" priority="363" operator="equal">
      <formula>"maintasks"</formula>
    </cfRule>
  </conditionalFormatting>
  <conditionalFormatting sqref="M138:M143">
    <cfRule type="cellIs" dxfId="43" priority="91" operator="equal">
      <formula>"maintasks"</formula>
    </cfRule>
  </conditionalFormatting>
  <conditionalFormatting sqref="M2:N2">
    <cfRule type="cellIs" dxfId="42" priority="89" operator="equal">
      <formula>"maintasks"</formula>
    </cfRule>
  </conditionalFormatting>
  <conditionalFormatting sqref="N23">
    <cfRule type="cellIs" dxfId="41" priority="82" operator="equal">
      <formula>"maintasks"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8B38-C024-446B-B542-85A5F2C7893F}">
  <sheetPr filterMode="1"/>
  <dimension ref="A1:T1258"/>
  <sheetViews>
    <sheetView tabSelected="1" topLeftCell="M1" workbookViewId="0">
      <selection activeCell="N224" sqref="N224"/>
    </sheetView>
  </sheetViews>
  <sheetFormatPr defaultRowHeight="14.4" x14ac:dyDescent="0.3"/>
  <cols>
    <col min="1" max="1" width="8.109375" bestFit="1" customWidth="1"/>
    <col min="2" max="2" width="10.44140625" bestFit="1" customWidth="1"/>
    <col min="3" max="3" width="7.5546875" bestFit="1" customWidth="1"/>
    <col min="4" max="4" width="10.88671875" bestFit="1" customWidth="1"/>
    <col min="5" max="5" width="15" bestFit="1" customWidth="1"/>
    <col min="6" max="6" width="17.21875" bestFit="1" customWidth="1"/>
    <col min="7" max="7" width="14.6640625" bestFit="1" customWidth="1"/>
    <col min="8" max="8" width="30.77734375" bestFit="1" customWidth="1"/>
    <col min="9" max="9" width="10.77734375" bestFit="1" customWidth="1"/>
    <col min="10" max="10" width="11.33203125" bestFit="1" customWidth="1"/>
    <col min="11" max="11" width="68.109375" bestFit="1" customWidth="1"/>
    <col min="12" max="12" width="50.21875" bestFit="1" customWidth="1"/>
    <col min="13" max="13" width="159.88671875" bestFit="1" customWidth="1"/>
    <col min="14" max="14" width="8.88671875" bestFit="1" customWidth="1"/>
    <col min="15" max="15" width="11.88671875" bestFit="1" customWidth="1"/>
    <col min="16" max="16" width="15.6640625" bestFit="1" customWidth="1"/>
    <col min="17" max="17" width="20.33203125" bestFit="1" customWidth="1"/>
    <col min="18" max="18" width="16.88671875" bestFit="1" customWidth="1"/>
    <col min="19" max="19" width="7.6640625" bestFit="1" customWidth="1"/>
    <col min="20" max="20" width="8" bestFit="1" customWidth="1"/>
  </cols>
  <sheetData>
    <row r="1" spans="1:20" ht="16.8" thickBot="1" x14ac:dyDescent="0.35">
      <c r="A1" s="347" t="s">
        <v>0</v>
      </c>
      <c r="B1" s="343" t="s">
        <v>1</v>
      </c>
      <c r="C1" s="343" t="s">
        <v>2</v>
      </c>
      <c r="D1" s="348" t="s">
        <v>3</v>
      </c>
      <c r="E1" s="343" t="s">
        <v>4</v>
      </c>
      <c r="F1" s="343" t="s">
        <v>5</v>
      </c>
      <c r="G1" s="343" t="s">
        <v>6</v>
      </c>
      <c r="H1" s="343" t="s">
        <v>7</v>
      </c>
      <c r="I1" s="343" t="s">
        <v>8</v>
      </c>
      <c r="J1" s="344" t="s">
        <v>9</v>
      </c>
      <c r="K1" s="345" t="s">
        <v>10</v>
      </c>
      <c r="L1" s="345" t="s">
        <v>11</v>
      </c>
      <c r="M1" s="345" t="s">
        <v>12</v>
      </c>
      <c r="N1" s="345" t="s">
        <v>13</v>
      </c>
      <c r="O1" s="344" t="s">
        <v>14</v>
      </c>
      <c r="P1" s="345" t="s">
        <v>15</v>
      </c>
      <c r="Q1" s="349" t="s">
        <v>16</v>
      </c>
      <c r="R1" s="350" t="s">
        <v>17</v>
      </c>
      <c r="S1" s="351" t="s">
        <v>18</v>
      </c>
      <c r="T1" s="346" t="s">
        <v>19</v>
      </c>
    </row>
    <row r="2" spans="1:20" ht="22.2" hidden="1" thickBot="1" x14ac:dyDescent="0.35">
      <c r="A2" s="181">
        <v>1</v>
      </c>
      <c r="B2" s="71" t="s">
        <v>20</v>
      </c>
      <c r="C2" s="72" t="s">
        <v>536</v>
      </c>
      <c r="D2" s="73" t="s">
        <v>369</v>
      </c>
      <c r="E2" s="71" t="s">
        <v>368</v>
      </c>
      <c r="F2" s="74" t="s">
        <v>371</v>
      </c>
      <c r="G2" s="71" t="s">
        <v>544</v>
      </c>
      <c r="H2" s="74" t="s">
        <v>21</v>
      </c>
      <c r="I2" s="75" t="s">
        <v>22</v>
      </c>
      <c r="J2" s="76">
        <v>0.7</v>
      </c>
      <c r="K2" s="309" t="s">
        <v>372</v>
      </c>
      <c r="L2" s="310" t="s">
        <v>471</v>
      </c>
      <c r="M2" s="309" t="s">
        <v>373</v>
      </c>
      <c r="N2" s="78">
        <v>0.9</v>
      </c>
      <c r="O2" s="79">
        <v>0.25</v>
      </c>
      <c r="P2" s="76"/>
      <c r="Q2" s="76">
        <f>ROUND(IF(OR(N2="",P2=""),0,IF(AND(N2=0,P2=0),1,IF(S2="+",P2/N2,N2/P2))),2)</f>
        <v>0</v>
      </c>
      <c r="R2" s="80">
        <f t="shared" ref="R2:R65" si="0">IF(AND(Q2&gt;=60%,Q2&lt;100%),Q2*((O2*J2)),IF(Q2=100%,((O2*J2)*Q2)*100%,IF(Q2&gt;100%,((J2*O2)*100%)*100%,0)))*100</f>
        <v>0</v>
      </c>
      <c r="S2" s="76" t="s">
        <v>23</v>
      </c>
      <c r="T2" s="189">
        <f>SUM(R2:R17)%</f>
        <v>0</v>
      </c>
    </row>
    <row r="3" spans="1:20" ht="22.2" hidden="1" thickBot="1" x14ac:dyDescent="0.35">
      <c r="A3" s="182">
        <v>2</v>
      </c>
      <c r="B3" s="42" t="s">
        <v>20</v>
      </c>
      <c r="C3" s="43" t="s">
        <v>536</v>
      </c>
      <c r="D3" s="44" t="s">
        <v>369</v>
      </c>
      <c r="E3" s="42" t="s">
        <v>368</v>
      </c>
      <c r="F3" s="45" t="s">
        <v>371</v>
      </c>
      <c r="G3" s="42" t="s">
        <v>544</v>
      </c>
      <c r="H3" s="45" t="s">
        <v>21</v>
      </c>
      <c r="I3" s="7" t="s">
        <v>22</v>
      </c>
      <c r="J3" s="3">
        <v>0.7</v>
      </c>
      <c r="K3" s="311" t="s">
        <v>374</v>
      </c>
      <c r="L3" s="21" t="s">
        <v>472</v>
      </c>
      <c r="M3" s="21" t="s">
        <v>375</v>
      </c>
      <c r="N3" s="24">
        <v>0.95</v>
      </c>
      <c r="O3" s="24">
        <v>0.25</v>
      </c>
      <c r="P3" s="6"/>
      <c r="Q3" s="3">
        <f t="shared" ref="Q3:Q66" si="1">ROUND(IF(OR(N3="",P3=""),0,IF(AND(N3=0,P3=0),1,IF(S3="+",P3/N3,N3/P3))),2)</f>
        <v>0</v>
      </c>
      <c r="R3" s="4">
        <f t="shared" si="0"/>
        <v>0</v>
      </c>
      <c r="S3" s="3" t="s">
        <v>23</v>
      </c>
      <c r="T3" s="190"/>
    </row>
    <row r="4" spans="1:20" ht="22.2" hidden="1" thickBot="1" x14ac:dyDescent="0.35">
      <c r="A4" s="182">
        <v>3</v>
      </c>
      <c r="B4" s="42" t="s">
        <v>20</v>
      </c>
      <c r="C4" s="43" t="s">
        <v>536</v>
      </c>
      <c r="D4" s="44" t="s">
        <v>369</v>
      </c>
      <c r="E4" s="42" t="s">
        <v>368</v>
      </c>
      <c r="F4" s="45" t="s">
        <v>371</v>
      </c>
      <c r="G4" s="42" t="s">
        <v>544</v>
      </c>
      <c r="H4" s="45" t="s">
        <v>21</v>
      </c>
      <c r="I4" s="7" t="s">
        <v>22</v>
      </c>
      <c r="J4" s="3">
        <v>0.7</v>
      </c>
      <c r="K4" s="311" t="s">
        <v>376</v>
      </c>
      <c r="L4" s="21" t="s">
        <v>473</v>
      </c>
      <c r="M4" s="312" t="s">
        <v>377</v>
      </c>
      <c r="N4" s="24">
        <v>0.05</v>
      </c>
      <c r="O4" s="24">
        <v>0.125</v>
      </c>
      <c r="P4" s="6"/>
      <c r="Q4" s="3">
        <f t="shared" si="1"/>
        <v>0</v>
      </c>
      <c r="R4" s="4">
        <f t="shared" si="0"/>
        <v>0</v>
      </c>
      <c r="S4" s="3" t="s">
        <v>23</v>
      </c>
      <c r="T4" s="190"/>
    </row>
    <row r="5" spans="1:20" ht="22.2" hidden="1" thickBot="1" x14ac:dyDescent="0.35">
      <c r="A5" s="182">
        <v>4</v>
      </c>
      <c r="B5" s="42" t="s">
        <v>20</v>
      </c>
      <c r="C5" s="43" t="s">
        <v>536</v>
      </c>
      <c r="D5" s="44" t="s">
        <v>369</v>
      </c>
      <c r="E5" s="42" t="s">
        <v>368</v>
      </c>
      <c r="F5" s="45" t="s">
        <v>371</v>
      </c>
      <c r="G5" s="42" t="s">
        <v>544</v>
      </c>
      <c r="H5" s="45" t="s">
        <v>21</v>
      </c>
      <c r="I5" s="47" t="s">
        <v>22</v>
      </c>
      <c r="J5" s="3">
        <v>0.7</v>
      </c>
      <c r="K5" s="311" t="s">
        <v>378</v>
      </c>
      <c r="L5" s="21" t="s">
        <v>474</v>
      </c>
      <c r="M5" s="21" t="s">
        <v>379</v>
      </c>
      <c r="N5" s="24">
        <v>1</v>
      </c>
      <c r="O5" s="24">
        <v>0.125</v>
      </c>
      <c r="P5" s="6"/>
      <c r="Q5" s="3">
        <f t="shared" si="1"/>
        <v>0</v>
      </c>
      <c r="R5" s="48">
        <f t="shared" si="0"/>
        <v>0</v>
      </c>
      <c r="S5" s="10" t="s">
        <v>23</v>
      </c>
      <c r="T5" s="191"/>
    </row>
    <row r="6" spans="1:20" ht="22.2" hidden="1" thickBot="1" x14ac:dyDescent="0.35">
      <c r="A6" s="182">
        <v>5</v>
      </c>
      <c r="B6" s="42" t="s">
        <v>20</v>
      </c>
      <c r="C6" s="43" t="s">
        <v>536</v>
      </c>
      <c r="D6" s="44" t="s">
        <v>369</v>
      </c>
      <c r="E6" s="42" t="s">
        <v>368</v>
      </c>
      <c r="F6" s="45" t="s">
        <v>371</v>
      </c>
      <c r="G6" s="42" t="s">
        <v>544</v>
      </c>
      <c r="H6" s="45" t="s">
        <v>21</v>
      </c>
      <c r="I6" s="47" t="s">
        <v>22</v>
      </c>
      <c r="J6" s="3">
        <v>0.7</v>
      </c>
      <c r="K6" s="311" t="s">
        <v>476</v>
      </c>
      <c r="L6" s="21" t="s">
        <v>413</v>
      </c>
      <c r="M6" s="21" t="s">
        <v>380</v>
      </c>
      <c r="N6" s="24">
        <v>0.7</v>
      </c>
      <c r="O6" s="24">
        <v>0.125</v>
      </c>
      <c r="P6" s="6"/>
      <c r="Q6" s="3">
        <f t="shared" si="1"/>
        <v>0</v>
      </c>
      <c r="R6" s="48">
        <f t="shared" si="0"/>
        <v>0</v>
      </c>
      <c r="S6" s="10" t="s">
        <v>23</v>
      </c>
      <c r="T6" s="191"/>
    </row>
    <row r="7" spans="1:20" ht="22.2" hidden="1" thickBot="1" x14ac:dyDescent="0.35">
      <c r="A7" s="182">
        <v>6</v>
      </c>
      <c r="B7" s="42" t="s">
        <v>20</v>
      </c>
      <c r="C7" s="43" t="s">
        <v>536</v>
      </c>
      <c r="D7" s="44" t="s">
        <v>369</v>
      </c>
      <c r="E7" s="42" t="s">
        <v>368</v>
      </c>
      <c r="F7" s="45" t="s">
        <v>371</v>
      </c>
      <c r="G7" s="42" t="s">
        <v>544</v>
      </c>
      <c r="H7" s="45" t="s">
        <v>21</v>
      </c>
      <c r="I7" s="47" t="s">
        <v>22</v>
      </c>
      <c r="J7" s="3">
        <v>0.7</v>
      </c>
      <c r="K7" s="311" t="s">
        <v>381</v>
      </c>
      <c r="L7" s="21" t="s">
        <v>475</v>
      </c>
      <c r="M7" s="21" t="s">
        <v>382</v>
      </c>
      <c r="N7" s="24">
        <v>0.05</v>
      </c>
      <c r="O7" s="24">
        <v>0.125</v>
      </c>
      <c r="P7" s="6"/>
      <c r="Q7" s="3">
        <f t="shared" si="1"/>
        <v>0</v>
      </c>
      <c r="R7" s="48">
        <f t="shared" si="0"/>
        <v>0</v>
      </c>
      <c r="S7" s="10" t="s">
        <v>23</v>
      </c>
      <c r="T7" s="191"/>
    </row>
    <row r="8" spans="1:20" ht="22.2" hidden="1" thickBot="1" x14ac:dyDescent="0.35">
      <c r="A8" s="219">
        <v>7</v>
      </c>
      <c r="B8" s="220" t="s">
        <v>20</v>
      </c>
      <c r="C8" s="221" t="s">
        <v>536</v>
      </c>
      <c r="D8" s="222" t="s">
        <v>537</v>
      </c>
      <c r="E8" s="220" t="s">
        <v>368</v>
      </c>
      <c r="F8" s="223" t="s">
        <v>371</v>
      </c>
      <c r="G8" s="220" t="s">
        <v>544</v>
      </c>
      <c r="H8" s="223" t="s">
        <v>21</v>
      </c>
      <c r="I8" s="224" t="s">
        <v>26</v>
      </c>
      <c r="J8" s="225">
        <v>0.3</v>
      </c>
      <c r="K8" s="313" t="s">
        <v>401</v>
      </c>
      <c r="L8" s="313" t="s">
        <v>402</v>
      </c>
      <c r="M8" s="313"/>
      <c r="N8" s="225">
        <v>1</v>
      </c>
      <c r="O8" s="226">
        <v>0.05</v>
      </c>
      <c r="P8" s="227"/>
      <c r="Q8" s="225">
        <f t="shared" si="1"/>
        <v>0</v>
      </c>
      <c r="R8" s="228">
        <f t="shared" si="0"/>
        <v>0</v>
      </c>
      <c r="S8" s="229" t="s">
        <v>23</v>
      </c>
      <c r="T8" s="230"/>
    </row>
    <row r="9" spans="1:20" ht="22.2" hidden="1" thickBot="1" x14ac:dyDescent="0.35">
      <c r="A9" s="197">
        <v>8</v>
      </c>
      <c r="B9" s="33" t="s">
        <v>20</v>
      </c>
      <c r="C9" s="34" t="s">
        <v>536</v>
      </c>
      <c r="D9" s="35" t="s">
        <v>538</v>
      </c>
      <c r="E9" s="33" t="s">
        <v>368</v>
      </c>
      <c r="F9" s="36" t="s">
        <v>371</v>
      </c>
      <c r="G9" s="33" t="s">
        <v>544</v>
      </c>
      <c r="H9" s="36" t="s">
        <v>21</v>
      </c>
      <c r="I9" s="37" t="s">
        <v>26</v>
      </c>
      <c r="J9" s="231">
        <v>0.3</v>
      </c>
      <c r="K9" s="199" t="s">
        <v>519</v>
      </c>
      <c r="L9" s="198" t="s">
        <v>514</v>
      </c>
      <c r="M9" s="199"/>
      <c r="N9" s="231">
        <v>0.7</v>
      </c>
      <c r="O9" s="231">
        <v>0.2</v>
      </c>
      <c r="P9" s="56"/>
      <c r="Q9" s="231">
        <f t="shared" si="1"/>
        <v>0</v>
      </c>
      <c r="R9" s="232">
        <f t="shared" si="0"/>
        <v>0</v>
      </c>
      <c r="S9" s="233" t="s">
        <v>23</v>
      </c>
      <c r="T9" s="234"/>
    </row>
    <row r="10" spans="1:20" ht="22.2" hidden="1" thickBot="1" x14ac:dyDescent="0.35">
      <c r="A10" s="219">
        <v>9</v>
      </c>
      <c r="B10" s="220" t="s">
        <v>20</v>
      </c>
      <c r="C10" s="221" t="s">
        <v>536</v>
      </c>
      <c r="D10" s="222" t="s">
        <v>539</v>
      </c>
      <c r="E10" s="220" t="s">
        <v>368</v>
      </c>
      <c r="F10" s="223" t="s">
        <v>371</v>
      </c>
      <c r="G10" s="220" t="s">
        <v>544</v>
      </c>
      <c r="H10" s="223" t="s">
        <v>21</v>
      </c>
      <c r="I10" s="224" t="s">
        <v>26</v>
      </c>
      <c r="J10" s="225">
        <v>0.3</v>
      </c>
      <c r="K10" s="236" t="s">
        <v>520</v>
      </c>
      <c r="L10" s="235" t="s">
        <v>515</v>
      </c>
      <c r="M10" s="236"/>
      <c r="N10" s="225">
        <v>0.8</v>
      </c>
      <c r="O10" s="225">
        <v>0.1</v>
      </c>
      <c r="P10" s="227"/>
      <c r="Q10" s="225">
        <f t="shared" si="1"/>
        <v>0</v>
      </c>
      <c r="R10" s="228">
        <f t="shared" si="0"/>
        <v>0</v>
      </c>
      <c r="S10" s="229" t="s">
        <v>23</v>
      </c>
      <c r="T10" s="237"/>
    </row>
    <row r="11" spans="1:20" ht="22.2" hidden="1" thickBot="1" x14ac:dyDescent="0.35">
      <c r="A11" s="197">
        <v>10</v>
      </c>
      <c r="B11" s="33" t="s">
        <v>20</v>
      </c>
      <c r="C11" s="34" t="s">
        <v>536</v>
      </c>
      <c r="D11" s="35" t="s">
        <v>540</v>
      </c>
      <c r="E11" s="33" t="s">
        <v>368</v>
      </c>
      <c r="F11" s="36" t="s">
        <v>371</v>
      </c>
      <c r="G11" s="33" t="s">
        <v>544</v>
      </c>
      <c r="H11" s="36" t="s">
        <v>21</v>
      </c>
      <c r="I11" s="37" t="s">
        <v>26</v>
      </c>
      <c r="J11" s="231">
        <v>0.3</v>
      </c>
      <c r="K11" s="199" t="s">
        <v>403</v>
      </c>
      <c r="L11" s="198" t="s">
        <v>404</v>
      </c>
      <c r="M11" s="199"/>
      <c r="N11" s="231">
        <v>1</v>
      </c>
      <c r="O11" s="231">
        <v>0.1</v>
      </c>
      <c r="P11" s="56"/>
      <c r="Q11" s="231">
        <f t="shared" si="1"/>
        <v>0</v>
      </c>
      <c r="R11" s="232">
        <f t="shared" si="0"/>
        <v>0</v>
      </c>
      <c r="S11" s="233" t="s">
        <v>23</v>
      </c>
      <c r="T11" s="234"/>
    </row>
    <row r="12" spans="1:20" ht="22.2" hidden="1" thickBot="1" x14ac:dyDescent="0.35">
      <c r="A12" s="219"/>
      <c r="B12" s="220" t="s">
        <v>20</v>
      </c>
      <c r="C12" s="221" t="s">
        <v>536</v>
      </c>
      <c r="D12" s="222" t="s">
        <v>541</v>
      </c>
      <c r="E12" s="220" t="s">
        <v>368</v>
      </c>
      <c r="F12" s="223" t="s">
        <v>371</v>
      </c>
      <c r="G12" s="220" t="s">
        <v>544</v>
      </c>
      <c r="H12" s="223" t="s">
        <v>21</v>
      </c>
      <c r="I12" s="224" t="s">
        <v>26</v>
      </c>
      <c r="J12" s="225">
        <v>0.3</v>
      </c>
      <c r="K12" s="236" t="s">
        <v>478</v>
      </c>
      <c r="L12" s="235" t="s">
        <v>405</v>
      </c>
      <c r="M12" s="236"/>
      <c r="N12" s="225">
        <v>1</v>
      </c>
      <c r="O12" s="225">
        <v>0.05</v>
      </c>
      <c r="P12" s="227"/>
      <c r="Q12" s="225">
        <f t="shared" si="1"/>
        <v>0</v>
      </c>
      <c r="R12" s="228">
        <f t="shared" si="0"/>
        <v>0</v>
      </c>
      <c r="S12" s="229" t="s">
        <v>23</v>
      </c>
      <c r="T12" s="237"/>
    </row>
    <row r="13" spans="1:20" ht="22.2" hidden="1" thickBot="1" x14ac:dyDescent="0.35">
      <c r="A13" s="197"/>
      <c r="B13" s="33" t="s">
        <v>20</v>
      </c>
      <c r="C13" s="34" t="s">
        <v>536</v>
      </c>
      <c r="D13" s="35" t="s">
        <v>542</v>
      </c>
      <c r="E13" s="33" t="s">
        <v>368</v>
      </c>
      <c r="F13" s="36" t="s">
        <v>371</v>
      </c>
      <c r="G13" s="33" t="s">
        <v>544</v>
      </c>
      <c r="H13" s="36" t="s">
        <v>21</v>
      </c>
      <c r="I13" s="37" t="s">
        <v>26</v>
      </c>
      <c r="J13" s="231">
        <v>0.3</v>
      </c>
      <c r="K13" s="199" t="s">
        <v>419</v>
      </c>
      <c r="L13" s="198" t="s">
        <v>420</v>
      </c>
      <c r="M13" s="199"/>
      <c r="N13" s="231">
        <v>1</v>
      </c>
      <c r="O13" s="231">
        <v>0.1</v>
      </c>
      <c r="P13" s="56"/>
      <c r="Q13" s="231">
        <f t="shared" si="1"/>
        <v>0</v>
      </c>
      <c r="R13" s="232">
        <f t="shared" si="0"/>
        <v>0</v>
      </c>
      <c r="S13" s="233" t="s">
        <v>23</v>
      </c>
      <c r="T13" s="234"/>
    </row>
    <row r="14" spans="1:20" ht="22.2" hidden="1" thickBot="1" x14ac:dyDescent="0.35">
      <c r="A14" s="219"/>
      <c r="B14" s="220" t="s">
        <v>20</v>
      </c>
      <c r="C14" s="221" t="s">
        <v>536</v>
      </c>
      <c r="D14" s="222" t="s">
        <v>542</v>
      </c>
      <c r="E14" s="220" t="s">
        <v>368</v>
      </c>
      <c r="F14" s="223" t="s">
        <v>371</v>
      </c>
      <c r="G14" s="220" t="s">
        <v>544</v>
      </c>
      <c r="H14" s="223" t="s">
        <v>21</v>
      </c>
      <c r="I14" s="224" t="s">
        <v>26</v>
      </c>
      <c r="J14" s="225">
        <v>0.3</v>
      </c>
      <c r="K14" s="236" t="s">
        <v>521</v>
      </c>
      <c r="L14" s="235" t="s">
        <v>518</v>
      </c>
      <c r="M14" s="236"/>
      <c r="N14" s="225">
        <v>0.8</v>
      </c>
      <c r="O14" s="225">
        <v>0.15</v>
      </c>
      <c r="P14" s="227"/>
      <c r="Q14" s="225">
        <f t="shared" si="1"/>
        <v>0</v>
      </c>
      <c r="R14" s="228">
        <f t="shared" si="0"/>
        <v>0</v>
      </c>
      <c r="S14" s="229" t="s">
        <v>23</v>
      </c>
      <c r="T14" s="237"/>
    </row>
    <row r="15" spans="1:20" ht="22.2" hidden="1" thickBot="1" x14ac:dyDescent="0.35">
      <c r="A15" s="197"/>
      <c r="B15" s="33" t="s">
        <v>20</v>
      </c>
      <c r="C15" s="34" t="s">
        <v>536</v>
      </c>
      <c r="D15" s="35" t="s">
        <v>542</v>
      </c>
      <c r="E15" s="33" t="s">
        <v>368</v>
      </c>
      <c r="F15" s="36" t="s">
        <v>371</v>
      </c>
      <c r="G15" s="33" t="s">
        <v>544</v>
      </c>
      <c r="H15" s="36" t="s">
        <v>21</v>
      </c>
      <c r="I15" s="37" t="s">
        <v>26</v>
      </c>
      <c r="J15" s="231">
        <v>0.3</v>
      </c>
      <c r="K15" s="199" t="s">
        <v>424</v>
      </c>
      <c r="L15" s="198" t="s">
        <v>543</v>
      </c>
      <c r="M15" s="199"/>
      <c r="N15" s="231">
        <v>1</v>
      </c>
      <c r="O15" s="231">
        <v>0.05</v>
      </c>
      <c r="P15" s="56"/>
      <c r="Q15" s="231">
        <f t="shared" si="1"/>
        <v>0</v>
      </c>
      <c r="R15" s="232">
        <f t="shared" si="0"/>
        <v>0</v>
      </c>
      <c r="S15" s="233" t="s">
        <v>23</v>
      </c>
      <c r="T15" s="234"/>
    </row>
    <row r="16" spans="1:20" ht="22.2" hidden="1" thickBot="1" x14ac:dyDescent="0.35">
      <c r="A16" s="219"/>
      <c r="B16" s="220" t="s">
        <v>20</v>
      </c>
      <c r="C16" s="221" t="s">
        <v>536</v>
      </c>
      <c r="D16" s="222" t="s">
        <v>542</v>
      </c>
      <c r="E16" s="220" t="s">
        <v>368</v>
      </c>
      <c r="F16" s="223" t="s">
        <v>371</v>
      </c>
      <c r="G16" s="220" t="s">
        <v>544</v>
      </c>
      <c r="H16" s="223" t="s">
        <v>21</v>
      </c>
      <c r="I16" s="224" t="s">
        <v>26</v>
      </c>
      <c r="J16" s="225">
        <v>0.3</v>
      </c>
      <c r="K16" s="236" t="s">
        <v>425</v>
      </c>
      <c r="L16" s="235" t="s">
        <v>516</v>
      </c>
      <c r="M16" s="236"/>
      <c r="N16" s="225">
        <v>1</v>
      </c>
      <c r="O16" s="225">
        <v>0.1</v>
      </c>
      <c r="P16" s="227"/>
      <c r="Q16" s="225">
        <f t="shared" si="1"/>
        <v>0</v>
      </c>
      <c r="R16" s="228">
        <f t="shared" si="0"/>
        <v>0</v>
      </c>
      <c r="S16" s="229" t="s">
        <v>23</v>
      </c>
      <c r="T16" s="237"/>
    </row>
    <row r="17" spans="1:20" ht="22.2" hidden="1" thickBot="1" x14ac:dyDescent="0.35">
      <c r="A17" s="200">
        <v>11</v>
      </c>
      <c r="B17" s="81" t="s">
        <v>20</v>
      </c>
      <c r="C17" s="82" t="s">
        <v>536</v>
      </c>
      <c r="D17" s="83" t="s">
        <v>541</v>
      </c>
      <c r="E17" s="81" t="s">
        <v>368</v>
      </c>
      <c r="F17" s="84" t="s">
        <v>371</v>
      </c>
      <c r="G17" s="81" t="s">
        <v>544</v>
      </c>
      <c r="H17" s="84" t="s">
        <v>21</v>
      </c>
      <c r="I17" s="85" t="s">
        <v>26</v>
      </c>
      <c r="J17" s="238">
        <v>0.3</v>
      </c>
      <c r="K17" s="114" t="s">
        <v>477</v>
      </c>
      <c r="L17" s="114" t="s">
        <v>426</v>
      </c>
      <c r="M17" s="114"/>
      <c r="N17" s="238">
        <v>0.7</v>
      </c>
      <c r="O17" s="239">
        <v>0.1</v>
      </c>
      <c r="P17" s="186"/>
      <c r="Q17" s="186">
        <f t="shared" si="1"/>
        <v>0</v>
      </c>
      <c r="R17" s="186">
        <f t="shared" si="0"/>
        <v>0</v>
      </c>
      <c r="S17" s="240" t="s">
        <v>23</v>
      </c>
      <c r="T17" s="241"/>
    </row>
    <row r="18" spans="1:20" ht="22.2" hidden="1" thickBot="1" x14ac:dyDescent="0.35">
      <c r="A18" s="242">
        <v>17</v>
      </c>
      <c r="B18" s="243" t="s">
        <v>20</v>
      </c>
      <c r="C18" s="244" t="s">
        <v>267</v>
      </c>
      <c r="D18" s="245" t="s">
        <v>383</v>
      </c>
      <c r="E18" s="243" t="s">
        <v>28</v>
      </c>
      <c r="F18" s="246" t="s">
        <v>384</v>
      </c>
      <c r="G18" s="243" t="s">
        <v>368</v>
      </c>
      <c r="H18" s="246" t="s">
        <v>385</v>
      </c>
      <c r="I18" s="247" t="s">
        <v>22</v>
      </c>
      <c r="J18" s="248">
        <v>0.7</v>
      </c>
      <c r="K18" s="314" t="s">
        <v>512</v>
      </c>
      <c r="L18" s="315" t="s">
        <v>510</v>
      </c>
      <c r="M18" s="316" t="s">
        <v>408</v>
      </c>
      <c r="N18" s="249">
        <v>0.95</v>
      </c>
      <c r="O18" s="249">
        <v>0.15</v>
      </c>
      <c r="P18" s="248"/>
      <c r="Q18" s="248">
        <f t="shared" si="1"/>
        <v>0</v>
      </c>
      <c r="R18" s="250">
        <f t="shared" si="0"/>
        <v>0</v>
      </c>
      <c r="S18" s="248" t="s">
        <v>23</v>
      </c>
      <c r="T18" s="251">
        <f>SUM(R18:R31)%</f>
        <v>0</v>
      </c>
    </row>
    <row r="19" spans="1:20" ht="22.2" hidden="1" thickBot="1" x14ac:dyDescent="0.35">
      <c r="A19" s="182"/>
      <c r="B19" s="42" t="s">
        <v>20</v>
      </c>
      <c r="C19" s="43" t="s">
        <v>267</v>
      </c>
      <c r="D19" s="44" t="s">
        <v>383</v>
      </c>
      <c r="E19" s="42" t="s">
        <v>28</v>
      </c>
      <c r="F19" s="45" t="s">
        <v>384</v>
      </c>
      <c r="G19" s="42" t="s">
        <v>368</v>
      </c>
      <c r="H19" s="45" t="s">
        <v>385</v>
      </c>
      <c r="I19" s="47" t="s">
        <v>22</v>
      </c>
      <c r="J19" s="3">
        <v>0.7</v>
      </c>
      <c r="K19" s="47" t="s">
        <v>513</v>
      </c>
      <c r="L19" s="317" t="s">
        <v>511</v>
      </c>
      <c r="M19" s="8" t="s">
        <v>411</v>
      </c>
      <c r="N19" s="46">
        <v>0.95</v>
      </c>
      <c r="O19" s="46">
        <v>0.15</v>
      </c>
      <c r="P19" s="51"/>
      <c r="Q19" s="3">
        <f t="shared" si="1"/>
        <v>0</v>
      </c>
      <c r="R19" s="4">
        <f t="shared" si="0"/>
        <v>0</v>
      </c>
      <c r="S19" s="3" t="s">
        <v>23</v>
      </c>
      <c r="T19" s="191"/>
    </row>
    <row r="20" spans="1:20" ht="22.2" hidden="1" thickBot="1" x14ac:dyDescent="0.35">
      <c r="A20" s="182"/>
      <c r="B20" s="42" t="s">
        <v>20</v>
      </c>
      <c r="C20" s="43" t="s">
        <v>267</v>
      </c>
      <c r="D20" s="44" t="s">
        <v>383</v>
      </c>
      <c r="E20" s="42" t="s">
        <v>28</v>
      </c>
      <c r="F20" s="45" t="s">
        <v>384</v>
      </c>
      <c r="G20" s="42" t="s">
        <v>368</v>
      </c>
      <c r="H20" s="45" t="s">
        <v>385</v>
      </c>
      <c r="I20" s="47" t="s">
        <v>22</v>
      </c>
      <c r="J20" s="3">
        <v>0.7</v>
      </c>
      <c r="K20" s="8" t="s">
        <v>412</v>
      </c>
      <c r="L20" s="318" t="s">
        <v>413</v>
      </c>
      <c r="M20" s="30" t="s">
        <v>380</v>
      </c>
      <c r="N20" s="10">
        <v>0.7</v>
      </c>
      <c r="O20" s="46">
        <v>0.1</v>
      </c>
      <c r="P20" s="3"/>
      <c r="Q20" s="3">
        <f t="shared" si="1"/>
        <v>0</v>
      </c>
      <c r="R20" s="4">
        <f t="shared" si="0"/>
        <v>0</v>
      </c>
      <c r="S20" s="3" t="s">
        <v>23</v>
      </c>
      <c r="T20" s="191"/>
    </row>
    <row r="21" spans="1:20" ht="22.2" hidden="1" thickBot="1" x14ac:dyDescent="0.35">
      <c r="A21" s="182"/>
      <c r="B21" s="42" t="s">
        <v>20</v>
      </c>
      <c r="C21" s="43" t="s">
        <v>267</v>
      </c>
      <c r="D21" s="44" t="s">
        <v>383</v>
      </c>
      <c r="E21" s="42" t="s">
        <v>28</v>
      </c>
      <c r="F21" s="45" t="s">
        <v>384</v>
      </c>
      <c r="G21" s="42" t="s">
        <v>368</v>
      </c>
      <c r="H21" s="45" t="s">
        <v>385</v>
      </c>
      <c r="I21" s="47" t="s">
        <v>22</v>
      </c>
      <c r="J21" s="3">
        <v>0.7</v>
      </c>
      <c r="K21" s="8" t="s">
        <v>387</v>
      </c>
      <c r="L21" s="8" t="s">
        <v>388</v>
      </c>
      <c r="M21" s="8" t="s">
        <v>377</v>
      </c>
      <c r="N21" s="10">
        <v>0.05</v>
      </c>
      <c r="O21" s="3">
        <v>0.08</v>
      </c>
      <c r="P21" s="3"/>
      <c r="Q21" s="3">
        <f t="shared" si="1"/>
        <v>0</v>
      </c>
      <c r="R21" s="4">
        <f t="shared" si="0"/>
        <v>0</v>
      </c>
      <c r="S21" s="3" t="s">
        <v>23</v>
      </c>
      <c r="T21" s="191"/>
    </row>
    <row r="22" spans="1:20" ht="22.2" hidden="1" thickBot="1" x14ac:dyDescent="0.35">
      <c r="A22" s="182"/>
      <c r="B22" s="42" t="s">
        <v>20</v>
      </c>
      <c r="C22" s="43" t="s">
        <v>267</v>
      </c>
      <c r="D22" s="44" t="s">
        <v>383</v>
      </c>
      <c r="E22" s="42" t="s">
        <v>28</v>
      </c>
      <c r="F22" s="45" t="s">
        <v>384</v>
      </c>
      <c r="G22" s="42" t="s">
        <v>368</v>
      </c>
      <c r="H22" s="45" t="s">
        <v>385</v>
      </c>
      <c r="I22" s="47" t="s">
        <v>22</v>
      </c>
      <c r="J22" s="3">
        <v>0.7</v>
      </c>
      <c r="K22" s="30" t="s">
        <v>378</v>
      </c>
      <c r="L22" s="318" t="s">
        <v>389</v>
      </c>
      <c r="M22" s="30" t="s">
        <v>379</v>
      </c>
      <c r="N22" s="46">
        <v>1</v>
      </c>
      <c r="O22" s="46">
        <v>0.1</v>
      </c>
      <c r="P22" s="3"/>
      <c r="Q22" s="3">
        <f t="shared" si="1"/>
        <v>0</v>
      </c>
      <c r="R22" s="4">
        <f t="shared" si="0"/>
        <v>0</v>
      </c>
      <c r="S22" s="3" t="s">
        <v>23</v>
      </c>
      <c r="T22" s="191"/>
    </row>
    <row r="23" spans="1:20" ht="22.2" hidden="1" thickBot="1" x14ac:dyDescent="0.35">
      <c r="A23" s="182"/>
      <c r="B23" s="42" t="s">
        <v>20</v>
      </c>
      <c r="C23" s="43" t="s">
        <v>267</v>
      </c>
      <c r="D23" s="44" t="s">
        <v>383</v>
      </c>
      <c r="E23" s="42" t="s">
        <v>28</v>
      </c>
      <c r="F23" s="45" t="s">
        <v>384</v>
      </c>
      <c r="G23" s="42" t="s">
        <v>368</v>
      </c>
      <c r="H23" s="45" t="s">
        <v>385</v>
      </c>
      <c r="I23" s="47" t="s">
        <v>22</v>
      </c>
      <c r="J23" s="3">
        <v>0.7</v>
      </c>
      <c r="K23" s="30" t="s">
        <v>390</v>
      </c>
      <c r="L23" s="30" t="s">
        <v>391</v>
      </c>
      <c r="M23" s="30" t="s">
        <v>382</v>
      </c>
      <c r="N23" s="3">
        <v>0.05</v>
      </c>
      <c r="O23" s="10">
        <v>0.15</v>
      </c>
      <c r="P23" s="3"/>
      <c r="Q23" s="3">
        <f t="shared" si="1"/>
        <v>0</v>
      </c>
      <c r="R23" s="4">
        <f t="shared" si="0"/>
        <v>0</v>
      </c>
      <c r="S23" s="3" t="s">
        <v>24</v>
      </c>
      <c r="T23" s="191"/>
    </row>
    <row r="24" spans="1:20" ht="22.2" hidden="1" thickBot="1" x14ac:dyDescent="0.35">
      <c r="A24" s="182"/>
      <c r="B24" s="42" t="s">
        <v>20</v>
      </c>
      <c r="C24" s="43" t="s">
        <v>267</v>
      </c>
      <c r="D24" s="44" t="s">
        <v>383</v>
      </c>
      <c r="E24" s="42" t="s">
        <v>28</v>
      </c>
      <c r="F24" s="45" t="s">
        <v>384</v>
      </c>
      <c r="G24" s="42" t="s">
        <v>368</v>
      </c>
      <c r="H24" s="45" t="s">
        <v>385</v>
      </c>
      <c r="I24" s="47" t="s">
        <v>22</v>
      </c>
      <c r="J24" s="3">
        <v>0.7</v>
      </c>
      <c r="K24" s="30" t="s">
        <v>392</v>
      </c>
      <c r="L24" s="30" t="s">
        <v>393</v>
      </c>
      <c r="M24" s="30" t="s">
        <v>394</v>
      </c>
      <c r="N24" s="3">
        <v>0.05</v>
      </c>
      <c r="O24" s="10">
        <v>0.1</v>
      </c>
      <c r="P24" s="3"/>
      <c r="Q24" s="3">
        <f t="shared" si="1"/>
        <v>0</v>
      </c>
      <c r="R24" s="4">
        <f t="shared" si="0"/>
        <v>0</v>
      </c>
      <c r="S24" s="3" t="s">
        <v>23</v>
      </c>
      <c r="T24" s="191"/>
    </row>
    <row r="25" spans="1:20" ht="22.2" hidden="1" thickBot="1" x14ac:dyDescent="0.35">
      <c r="A25" s="182"/>
      <c r="B25" s="42" t="s">
        <v>20</v>
      </c>
      <c r="C25" s="43" t="s">
        <v>267</v>
      </c>
      <c r="D25" s="44" t="s">
        <v>383</v>
      </c>
      <c r="E25" s="42" t="s">
        <v>28</v>
      </c>
      <c r="F25" s="45" t="s">
        <v>384</v>
      </c>
      <c r="G25" s="42" t="s">
        <v>368</v>
      </c>
      <c r="H25" s="45" t="s">
        <v>385</v>
      </c>
      <c r="I25" s="47" t="s">
        <v>22</v>
      </c>
      <c r="J25" s="3">
        <v>0.7</v>
      </c>
      <c r="K25" s="30" t="s">
        <v>395</v>
      </c>
      <c r="L25" s="30" t="s">
        <v>396</v>
      </c>
      <c r="M25" s="30" t="s">
        <v>397</v>
      </c>
      <c r="N25" s="3">
        <v>0.9</v>
      </c>
      <c r="O25" s="10">
        <v>0.12</v>
      </c>
      <c r="P25" s="51"/>
      <c r="Q25" s="3">
        <f t="shared" si="1"/>
        <v>0</v>
      </c>
      <c r="R25" s="4">
        <f t="shared" si="0"/>
        <v>0</v>
      </c>
      <c r="S25" s="3" t="s">
        <v>23</v>
      </c>
      <c r="T25" s="191"/>
    </row>
    <row r="26" spans="1:20" ht="22.2" hidden="1" thickBot="1" x14ac:dyDescent="0.35">
      <c r="A26" s="182"/>
      <c r="B26" s="42" t="s">
        <v>20</v>
      </c>
      <c r="C26" s="43" t="s">
        <v>267</v>
      </c>
      <c r="D26" s="44" t="s">
        <v>383</v>
      </c>
      <c r="E26" s="42" t="s">
        <v>28</v>
      </c>
      <c r="F26" s="45" t="s">
        <v>384</v>
      </c>
      <c r="G26" s="42" t="s">
        <v>368</v>
      </c>
      <c r="H26" s="45" t="s">
        <v>385</v>
      </c>
      <c r="I26" s="47" t="s">
        <v>22</v>
      </c>
      <c r="J26" s="3">
        <v>0.7</v>
      </c>
      <c r="K26" s="30" t="s">
        <v>398</v>
      </c>
      <c r="L26" s="30" t="s">
        <v>399</v>
      </c>
      <c r="M26" s="30" t="s">
        <v>400</v>
      </c>
      <c r="N26" s="3">
        <v>1</v>
      </c>
      <c r="O26" s="10">
        <v>0.05</v>
      </c>
      <c r="P26" s="3"/>
      <c r="Q26" s="3">
        <f t="shared" si="1"/>
        <v>0</v>
      </c>
      <c r="R26" s="4">
        <f t="shared" si="0"/>
        <v>0</v>
      </c>
      <c r="S26" s="3" t="s">
        <v>23</v>
      </c>
      <c r="T26" s="191"/>
    </row>
    <row r="27" spans="1:20" ht="22.2" hidden="1" thickBot="1" x14ac:dyDescent="0.35">
      <c r="A27" s="197"/>
      <c r="B27" s="33" t="s">
        <v>20</v>
      </c>
      <c r="C27" s="34" t="s">
        <v>267</v>
      </c>
      <c r="D27" s="35" t="s">
        <v>383</v>
      </c>
      <c r="E27" s="33" t="s">
        <v>28</v>
      </c>
      <c r="F27" s="36" t="s">
        <v>384</v>
      </c>
      <c r="G27" s="33" t="s">
        <v>368</v>
      </c>
      <c r="H27" s="36" t="s">
        <v>385</v>
      </c>
      <c r="I27" s="37" t="s">
        <v>26</v>
      </c>
      <c r="J27" s="231">
        <v>0.3</v>
      </c>
      <c r="K27" s="319" t="s">
        <v>401</v>
      </c>
      <c r="L27" s="319" t="s">
        <v>402</v>
      </c>
      <c r="M27" s="319"/>
      <c r="N27" s="231">
        <v>1</v>
      </c>
      <c r="O27" s="233">
        <v>0.1</v>
      </c>
      <c r="P27" s="231"/>
      <c r="Q27" s="231">
        <f t="shared" si="1"/>
        <v>0</v>
      </c>
      <c r="R27" s="232">
        <f t="shared" si="0"/>
        <v>0</v>
      </c>
      <c r="S27" s="233" t="s">
        <v>23</v>
      </c>
      <c r="T27" s="252"/>
    </row>
    <row r="28" spans="1:20" ht="22.2" hidden="1" thickBot="1" x14ac:dyDescent="0.35">
      <c r="A28" s="219"/>
      <c r="B28" s="220" t="s">
        <v>20</v>
      </c>
      <c r="C28" s="221" t="s">
        <v>267</v>
      </c>
      <c r="D28" s="222" t="s">
        <v>383</v>
      </c>
      <c r="E28" s="220" t="s">
        <v>28</v>
      </c>
      <c r="F28" s="223" t="s">
        <v>384</v>
      </c>
      <c r="G28" s="220" t="s">
        <v>368</v>
      </c>
      <c r="H28" s="223" t="s">
        <v>385</v>
      </c>
      <c r="I28" s="224" t="s">
        <v>26</v>
      </c>
      <c r="J28" s="225">
        <v>0.3</v>
      </c>
      <c r="K28" s="320" t="s">
        <v>519</v>
      </c>
      <c r="L28" s="321" t="s">
        <v>514</v>
      </c>
      <c r="M28" s="321"/>
      <c r="N28" s="226">
        <v>0.7</v>
      </c>
      <c r="O28" s="226">
        <v>0.3</v>
      </c>
      <c r="P28" s="225"/>
      <c r="Q28" s="225">
        <f t="shared" si="1"/>
        <v>0</v>
      </c>
      <c r="R28" s="228">
        <f t="shared" si="0"/>
        <v>0</v>
      </c>
      <c r="S28" s="229" t="s">
        <v>23</v>
      </c>
      <c r="T28" s="230"/>
    </row>
    <row r="29" spans="1:20" ht="22.2" hidden="1" thickBot="1" x14ac:dyDescent="0.35">
      <c r="A29" s="197"/>
      <c r="B29" s="33" t="s">
        <v>20</v>
      </c>
      <c r="C29" s="34" t="s">
        <v>267</v>
      </c>
      <c r="D29" s="35" t="s">
        <v>383</v>
      </c>
      <c r="E29" s="33" t="s">
        <v>28</v>
      </c>
      <c r="F29" s="36" t="s">
        <v>384</v>
      </c>
      <c r="G29" s="33" t="s">
        <v>368</v>
      </c>
      <c r="H29" s="36" t="s">
        <v>385</v>
      </c>
      <c r="I29" s="37" t="s">
        <v>26</v>
      </c>
      <c r="J29" s="231">
        <v>0.3</v>
      </c>
      <c r="K29" s="322" t="s">
        <v>520</v>
      </c>
      <c r="L29" s="323" t="s">
        <v>515</v>
      </c>
      <c r="M29" s="323"/>
      <c r="N29" s="253">
        <v>0.8</v>
      </c>
      <c r="O29" s="253">
        <v>0.2</v>
      </c>
      <c r="P29" s="231"/>
      <c r="Q29" s="231">
        <f>ROUND(IF(OR(N29="",P29=""),0,IF(AND(N29=0,P29=0),1,IF(S29="+",P29/N29,N29/P29))),2)</f>
        <v>0</v>
      </c>
      <c r="R29" s="232">
        <f>IF(AND(Q29&gt;=60%,Q29&lt;100%),Q29*((O29*J29)),IF(Q29=100%,((O29*J29)*Q29)*100%,IF(Q29&gt;100%,((J29*O29)*100%)*100%,0)))*100</f>
        <v>0</v>
      </c>
      <c r="S29" s="233" t="s">
        <v>23</v>
      </c>
      <c r="T29" s="252"/>
    </row>
    <row r="30" spans="1:20" ht="22.2" hidden="1" thickBot="1" x14ac:dyDescent="0.35">
      <c r="A30" s="219"/>
      <c r="B30" s="220" t="s">
        <v>20</v>
      </c>
      <c r="C30" s="221" t="s">
        <v>267</v>
      </c>
      <c r="D30" s="222" t="s">
        <v>383</v>
      </c>
      <c r="E30" s="220" t="s">
        <v>28</v>
      </c>
      <c r="F30" s="223" t="s">
        <v>384</v>
      </c>
      <c r="G30" s="220" t="s">
        <v>368</v>
      </c>
      <c r="H30" s="223" t="s">
        <v>385</v>
      </c>
      <c r="I30" s="224" t="s">
        <v>26</v>
      </c>
      <c r="J30" s="225">
        <v>0.3</v>
      </c>
      <c r="K30" s="320" t="s">
        <v>403</v>
      </c>
      <c r="L30" s="321" t="s">
        <v>404</v>
      </c>
      <c r="M30" s="321"/>
      <c r="N30" s="226">
        <v>1</v>
      </c>
      <c r="O30" s="226">
        <v>0.3</v>
      </c>
      <c r="P30" s="225"/>
      <c r="Q30" s="225">
        <f t="shared" si="1"/>
        <v>0</v>
      </c>
      <c r="R30" s="228">
        <f t="shared" si="0"/>
        <v>0</v>
      </c>
      <c r="S30" s="229" t="s">
        <v>23</v>
      </c>
      <c r="T30" s="230"/>
    </row>
    <row r="31" spans="1:20" ht="22.2" hidden="1" thickBot="1" x14ac:dyDescent="0.35">
      <c r="A31" s="200"/>
      <c r="B31" s="81" t="s">
        <v>20</v>
      </c>
      <c r="C31" s="82" t="s">
        <v>267</v>
      </c>
      <c r="D31" s="83" t="s">
        <v>383</v>
      </c>
      <c r="E31" s="81" t="s">
        <v>28</v>
      </c>
      <c r="F31" s="84" t="s">
        <v>384</v>
      </c>
      <c r="G31" s="81" t="s">
        <v>368</v>
      </c>
      <c r="H31" s="84" t="s">
        <v>385</v>
      </c>
      <c r="I31" s="85" t="s">
        <v>26</v>
      </c>
      <c r="J31" s="238">
        <v>0.3</v>
      </c>
      <c r="K31" s="324" t="s">
        <v>478</v>
      </c>
      <c r="L31" s="325" t="s">
        <v>405</v>
      </c>
      <c r="M31" s="325"/>
      <c r="N31" s="239">
        <v>1</v>
      </c>
      <c r="O31" s="239">
        <v>0.1</v>
      </c>
      <c r="P31" s="238"/>
      <c r="Q31" s="238">
        <f t="shared" si="1"/>
        <v>0</v>
      </c>
      <c r="R31" s="254">
        <f t="shared" si="0"/>
        <v>0</v>
      </c>
      <c r="S31" s="255" t="s">
        <v>23</v>
      </c>
      <c r="T31" s="241"/>
    </row>
    <row r="32" spans="1:20" ht="22.2" hidden="1" thickBot="1" x14ac:dyDescent="0.35">
      <c r="A32" s="181"/>
      <c r="B32" s="71" t="s">
        <v>20</v>
      </c>
      <c r="C32" s="72" t="s">
        <v>267</v>
      </c>
      <c r="D32" s="73">
        <v>5387</v>
      </c>
      <c r="E32" s="71" t="s">
        <v>311</v>
      </c>
      <c r="F32" s="74" t="s">
        <v>384</v>
      </c>
      <c r="G32" s="71" t="s">
        <v>545</v>
      </c>
      <c r="H32" s="74" t="s">
        <v>386</v>
      </c>
      <c r="I32" s="95" t="s">
        <v>22</v>
      </c>
      <c r="J32" s="76">
        <v>0.7</v>
      </c>
      <c r="K32" s="326" t="s">
        <v>512</v>
      </c>
      <c r="L32" s="327" t="s">
        <v>510</v>
      </c>
      <c r="M32" s="310" t="s">
        <v>408</v>
      </c>
      <c r="N32" s="79">
        <v>0.95</v>
      </c>
      <c r="O32" s="79">
        <v>0.18</v>
      </c>
      <c r="P32" s="76"/>
      <c r="Q32" s="76">
        <f t="shared" si="1"/>
        <v>0</v>
      </c>
      <c r="R32" s="80">
        <f t="shared" si="0"/>
        <v>0</v>
      </c>
      <c r="S32" s="76" t="s">
        <v>23</v>
      </c>
      <c r="T32" s="189">
        <f>SUM(R32:R42)%</f>
        <v>0</v>
      </c>
    </row>
    <row r="33" spans="1:20" ht="22.2" hidden="1" thickBot="1" x14ac:dyDescent="0.35">
      <c r="A33" s="182"/>
      <c r="B33" s="42" t="s">
        <v>20</v>
      </c>
      <c r="C33" s="43" t="s">
        <v>267</v>
      </c>
      <c r="D33" s="44">
        <v>5387</v>
      </c>
      <c r="E33" s="42" t="s">
        <v>311</v>
      </c>
      <c r="F33" s="45" t="s">
        <v>384</v>
      </c>
      <c r="G33" s="42" t="s">
        <v>545</v>
      </c>
      <c r="H33" s="45" t="s">
        <v>386</v>
      </c>
      <c r="I33" s="47" t="s">
        <v>22</v>
      </c>
      <c r="J33" s="3">
        <v>0.7</v>
      </c>
      <c r="K33" s="47" t="s">
        <v>513</v>
      </c>
      <c r="L33" s="317" t="s">
        <v>511</v>
      </c>
      <c r="M33" s="21" t="s">
        <v>411</v>
      </c>
      <c r="N33" s="24">
        <v>0.95</v>
      </c>
      <c r="O33" s="24">
        <v>0.18</v>
      </c>
      <c r="P33" s="3"/>
      <c r="Q33" s="3">
        <f t="shared" si="1"/>
        <v>0</v>
      </c>
      <c r="R33" s="4">
        <f t="shared" si="0"/>
        <v>0</v>
      </c>
      <c r="S33" s="3" t="s">
        <v>23</v>
      </c>
      <c r="T33" s="191"/>
    </row>
    <row r="34" spans="1:20" ht="22.2" hidden="1" thickBot="1" x14ac:dyDescent="0.35">
      <c r="A34" s="182"/>
      <c r="B34" s="42" t="s">
        <v>20</v>
      </c>
      <c r="C34" s="43" t="s">
        <v>267</v>
      </c>
      <c r="D34" s="44">
        <v>5387</v>
      </c>
      <c r="E34" s="42" t="s">
        <v>311</v>
      </c>
      <c r="F34" s="45" t="s">
        <v>384</v>
      </c>
      <c r="G34" s="42" t="s">
        <v>545</v>
      </c>
      <c r="H34" s="45" t="s">
        <v>386</v>
      </c>
      <c r="I34" s="47" t="s">
        <v>22</v>
      </c>
      <c r="J34" s="3">
        <v>0.7</v>
      </c>
      <c r="K34" s="311" t="s">
        <v>412</v>
      </c>
      <c r="L34" s="21" t="s">
        <v>413</v>
      </c>
      <c r="M34" s="21" t="s">
        <v>380</v>
      </c>
      <c r="N34" s="24">
        <v>0.7</v>
      </c>
      <c r="O34" s="24">
        <v>7.0000000000000007E-2</v>
      </c>
      <c r="P34" s="3"/>
      <c r="Q34" s="3">
        <f t="shared" si="1"/>
        <v>0</v>
      </c>
      <c r="R34" s="4">
        <f t="shared" si="0"/>
        <v>0</v>
      </c>
      <c r="S34" s="3" t="s">
        <v>23</v>
      </c>
      <c r="T34" s="191"/>
    </row>
    <row r="35" spans="1:20" ht="22.2" hidden="1" thickBot="1" x14ac:dyDescent="0.35">
      <c r="A35" s="182"/>
      <c r="B35" s="42" t="s">
        <v>20</v>
      </c>
      <c r="C35" s="43" t="s">
        <v>267</v>
      </c>
      <c r="D35" s="44">
        <v>5387</v>
      </c>
      <c r="E35" s="42" t="s">
        <v>311</v>
      </c>
      <c r="F35" s="45" t="s">
        <v>384</v>
      </c>
      <c r="G35" s="42" t="s">
        <v>545</v>
      </c>
      <c r="H35" s="45" t="s">
        <v>386</v>
      </c>
      <c r="I35" s="47" t="s">
        <v>22</v>
      </c>
      <c r="J35" s="3">
        <v>0.7</v>
      </c>
      <c r="K35" s="311" t="s">
        <v>387</v>
      </c>
      <c r="L35" s="21" t="s">
        <v>388</v>
      </c>
      <c r="M35" s="21" t="s">
        <v>377</v>
      </c>
      <c r="N35" s="24">
        <v>0.05</v>
      </c>
      <c r="O35" s="24">
        <v>0.08</v>
      </c>
      <c r="P35" s="3"/>
      <c r="Q35" s="3">
        <f t="shared" si="1"/>
        <v>0</v>
      </c>
      <c r="R35" s="4">
        <f t="shared" si="0"/>
        <v>0</v>
      </c>
      <c r="S35" s="3" t="s">
        <v>23</v>
      </c>
      <c r="T35" s="191"/>
    </row>
    <row r="36" spans="1:20" ht="22.2" hidden="1" thickBot="1" x14ac:dyDescent="0.35">
      <c r="A36" s="182"/>
      <c r="B36" s="42" t="s">
        <v>20</v>
      </c>
      <c r="C36" s="43" t="s">
        <v>267</v>
      </c>
      <c r="D36" s="44">
        <v>5387</v>
      </c>
      <c r="E36" s="42" t="s">
        <v>311</v>
      </c>
      <c r="F36" s="45" t="s">
        <v>384</v>
      </c>
      <c r="G36" s="42" t="s">
        <v>545</v>
      </c>
      <c r="H36" s="45" t="s">
        <v>386</v>
      </c>
      <c r="I36" s="47" t="s">
        <v>22</v>
      </c>
      <c r="J36" s="3">
        <v>0.7</v>
      </c>
      <c r="K36" s="311" t="s">
        <v>378</v>
      </c>
      <c r="L36" s="21" t="s">
        <v>389</v>
      </c>
      <c r="M36" s="21" t="s">
        <v>379</v>
      </c>
      <c r="N36" s="24">
        <v>1</v>
      </c>
      <c r="O36" s="24">
        <v>7.0000000000000007E-2</v>
      </c>
      <c r="P36" s="3"/>
      <c r="Q36" s="3">
        <f t="shared" si="1"/>
        <v>0</v>
      </c>
      <c r="R36" s="4">
        <f t="shared" si="0"/>
        <v>0</v>
      </c>
      <c r="S36" s="3" t="s">
        <v>23</v>
      </c>
      <c r="T36" s="191"/>
    </row>
    <row r="37" spans="1:20" ht="22.2" hidden="1" thickBot="1" x14ac:dyDescent="0.35">
      <c r="A37" s="182"/>
      <c r="B37" s="42" t="s">
        <v>20</v>
      </c>
      <c r="C37" s="43" t="s">
        <v>267</v>
      </c>
      <c r="D37" s="44">
        <v>5387</v>
      </c>
      <c r="E37" s="42" t="s">
        <v>311</v>
      </c>
      <c r="F37" s="45" t="s">
        <v>384</v>
      </c>
      <c r="G37" s="42" t="s">
        <v>545</v>
      </c>
      <c r="H37" s="45" t="s">
        <v>386</v>
      </c>
      <c r="I37" s="47" t="s">
        <v>22</v>
      </c>
      <c r="J37" s="3">
        <v>0.7</v>
      </c>
      <c r="K37" s="311" t="s">
        <v>390</v>
      </c>
      <c r="L37" s="21" t="s">
        <v>391</v>
      </c>
      <c r="M37" s="21" t="s">
        <v>382</v>
      </c>
      <c r="N37" s="24">
        <v>0.05</v>
      </c>
      <c r="O37" s="24">
        <v>0.18</v>
      </c>
      <c r="P37" s="3"/>
      <c r="Q37" s="3">
        <f t="shared" si="1"/>
        <v>0</v>
      </c>
      <c r="R37" s="4">
        <f t="shared" si="0"/>
        <v>0</v>
      </c>
      <c r="S37" s="3" t="s">
        <v>24</v>
      </c>
      <c r="T37" s="191"/>
    </row>
    <row r="38" spans="1:20" ht="22.2" hidden="1" thickBot="1" x14ac:dyDescent="0.35">
      <c r="A38" s="182"/>
      <c r="B38" s="42" t="s">
        <v>20</v>
      </c>
      <c r="C38" s="43" t="s">
        <v>267</v>
      </c>
      <c r="D38" s="44">
        <v>5387</v>
      </c>
      <c r="E38" s="42" t="s">
        <v>311</v>
      </c>
      <c r="F38" s="45" t="s">
        <v>384</v>
      </c>
      <c r="G38" s="42" t="s">
        <v>545</v>
      </c>
      <c r="H38" s="45" t="s">
        <v>386</v>
      </c>
      <c r="I38" s="47" t="s">
        <v>22</v>
      </c>
      <c r="J38" s="3">
        <v>0.7</v>
      </c>
      <c r="K38" s="311" t="s">
        <v>392</v>
      </c>
      <c r="L38" s="21" t="s">
        <v>393</v>
      </c>
      <c r="M38" s="21" t="s">
        <v>394</v>
      </c>
      <c r="N38" s="24">
        <v>0.05</v>
      </c>
      <c r="O38" s="24">
        <v>0.1</v>
      </c>
      <c r="P38" s="3"/>
      <c r="Q38" s="3">
        <f t="shared" si="1"/>
        <v>0</v>
      </c>
      <c r="R38" s="4">
        <f t="shared" si="0"/>
        <v>0</v>
      </c>
      <c r="S38" s="3" t="s">
        <v>23</v>
      </c>
      <c r="T38" s="191"/>
    </row>
    <row r="39" spans="1:20" ht="22.2" hidden="1" thickBot="1" x14ac:dyDescent="0.35">
      <c r="A39" s="182"/>
      <c r="B39" s="42" t="s">
        <v>20</v>
      </c>
      <c r="C39" s="43" t="s">
        <v>267</v>
      </c>
      <c r="D39" s="44">
        <v>5387</v>
      </c>
      <c r="E39" s="42" t="s">
        <v>311</v>
      </c>
      <c r="F39" s="45" t="s">
        <v>384</v>
      </c>
      <c r="G39" s="42" t="s">
        <v>545</v>
      </c>
      <c r="H39" s="45" t="s">
        <v>386</v>
      </c>
      <c r="I39" s="47" t="s">
        <v>22</v>
      </c>
      <c r="J39" s="3">
        <v>0.7</v>
      </c>
      <c r="K39" s="311" t="s">
        <v>395</v>
      </c>
      <c r="L39" s="21" t="s">
        <v>396</v>
      </c>
      <c r="M39" s="21" t="s">
        <v>397</v>
      </c>
      <c r="N39" s="24">
        <v>0.9</v>
      </c>
      <c r="O39" s="24">
        <v>0.12</v>
      </c>
      <c r="P39" s="3"/>
      <c r="Q39" s="3">
        <f t="shared" si="1"/>
        <v>0</v>
      </c>
      <c r="R39" s="4">
        <f t="shared" si="0"/>
        <v>0</v>
      </c>
      <c r="S39" s="3" t="s">
        <v>23</v>
      </c>
      <c r="T39" s="191"/>
    </row>
    <row r="40" spans="1:20" ht="22.2" hidden="1" thickBot="1" x14ac:dyDescent="0.35">
      <c r="A40" s="182"/>
      <c r="B40" s="42" t="s">
        <v>20</v>
      </c>
      <c r="C40" s="43" t="s">
        <v>267</v>
      </c>
      <c r="D40" s="44">
        <v>5387</v>
      </c>
      <c r="E40" s="42" t="s">
        <v>311</v>
      </c>
      <c r="F40" s="45" t="s">
        <v>384</v>
      </c>
      <c r="G40" s="42" t="s">
        <v>545</v>
      </c>
      <c r="H40" s="45" t="s">
        <v>386</v>
      </c>
      <c r="I40" s="47" t="s">
        <v>22</v>
      </c>
      <c r="J40" s="3">
        <v>0.7</v>
      </c>
      <c r="K40" s="311" t="s">
        <v>398</v>
      </c>
      <c r="L40" s="21" t="s">
        <v>399</v>
      </c>
      <c r="M40" s="21" t="s">
        <v>400</v>
      </c>
      <c r="N40" s="24">
        <v>1</v>
      </c>
      <c r="O40" s="24">
        <v>0.02</v>
      </c>
      <c r="P40" s="3"/>
      <c r="Q40" s="3">
        <f t="shared" si="1"/>
        <v>0</v>
      </c>
      <c r="R40" s="4">
        <f t="shared" si="0"/>
        <v>0</v>
      </c>
      <c r="S40" s="3" t="s">
        <v>23</v>
      </c>
      <c r="T40" s="191"/>
    </row>
    <row r="41" spans="1:20" ht="22.2" hidden="1" thickBot="1" x14ac:dyDescent="0.35">
      <c r="A41" s="197"/>
      <c r="B41" s="33" t="s">
        <v>20</v>
      </c>
      <c r="C41" s="34" t="s">
        <v>267</v>
      </c>
      <c r="D41" s="35">
        <v>5387</v>
      </c>
      <c r="E41" s="33" t="s">
        <v>311</v>
      </c>
      <c r="F41" s="36" t="s">
        <v>384</v>
      </c>
      <c r="G41" s="33" t="s">
        <v>545</v>
      </c>
      <c r="H41" s="36" t="s">
        <v>386</v>
      </c>
      <c r="I41" s="37" t="s">
        <v>26</v>
      </c>
      <c r="J41" s="231">
        <v>0.3</v>
      </c>
      <c r="K41" s="322" t="s">
        <v>482</v>
      </c>
      <c r="L41" s="323" t="s">
        <v>486</v>
      </c>
      <c r="M41" s="323" t="s">
        <v>564</v>
      </c>
      <c r="N41" s="253">
        <v>1</v>
      </c>
      <c r="O41" s="253">
        <v>0.5</v>
      </c>
      <c r="P41" s="231"/>
      <c r="Q41" s="231">
        <f t="shared" si="1"/>
        <v>0</v>
      </c>
      <c r="R41" s="232">
        <f t="shared" si="0"/>
        <v>0</v>
      </c>
      <c r="S41" s="233" t="s">
        <v>23</v>
      </c>
      <c r="T41" s="252"/>
    </row>
    <row r="42" spans="1:20" ht="22.2" hidden="1" thickBot="1" x14ac:dyDescent="0.35">
      <c r="A42" s="219"/>
      <c r="B42" s="220" t="s">
        <v>20</v>
      </c>
      <c r="C42" s="221" t="s">
        <v>267</v>
      </c>
      <c r="D42" s="222">
        <v>5387</v>
      </c>
      <c r="E42" s="220" t="s">
        <v>311</v>
      </c>
      <c r="F42" s="223" t="s">
        <v>384</v>
      </c>
      <c r="G42" s="220" t="s">
        <v>545</v>
      </c>
      <c r="H42" s="223" t="s">
        <v>386</v>
      </c>
      <c r="I42" s="224" t="s">
        <v>26</v>
      </c>
      <c r="J42" s="225">
        <v>0.3</v>
      </c>
      <c r="K42" s="320" t="s">
        <v>484</v>
      </c>
      <c r="L42" s="321" t="s">
        <v>489</v>
      </c>
      <c r="M42" s="321" t="s">
        <v>564</v>
      </c>
      <c r="N42" s="226">
        <v>1</v>
      </c>
      <c r="O42" s="226">
        <v>0.5</v>
      </c>
      <c r="P42" s="225"/>
      <c r="Q42" s="225">
        <f t="shared" si="1"/>
        <v>0</v>
      </c>
      <c r="R42" s="228">
        <f t="shared" si="0"/>
        <v>0</v>
      </c>
      <c r="S42" s="229" t="s">
        <v>23</v>
      </c>
      <c r="T42" s="230"/>
    </row>
    <row r="43" spans="1:20" ht="22.2" hidden="1" thickBot="1" x14ac:dyDescent="0.35">
      <c r="A43" s="181"/>
      <c r="B43" s="71" t="s">
        <v>20</v>
      </c>
      <c r="C43" s="72" t="s">
        <v>267</v>
      </c>
      <c r="D43" s="73" t="s">
        <v>414</v>
      </c>
      <c r="E43" s="71" t="s">
        <v>415</v>
      </c>
      <c r="F43" s="74" t="s">
        <v>416</v>
      </c>
      <c r="G43" s="71" t="s">
        <v>545</v>
      </c>
      <c r="H43" s="74" t="s">
        <v>386</v>
      </c>
      <c r="I43" s="95" t="s">
        <v>22</v>
      </c>
      <c r="J43" s="76">
        <v>0.7</v>
      </c>
      <c r="K43" s="326" t="s">
        <v>512</v>
      </c>
      <c r="L43" s="327" t="s">
        <v>510</v>
      </c>
      <c r="M43" s="310" t="s">
        <v>408</v>
      </c>
      <c r="N43" s="79">
        <v>0.95</v>
      </c>
      <c r="O43" s="79">
        <v>0.18</v>
      </c>
      <c r="P43" s="76"/>
      <c r="Q43" s="76">
        <f t="shared" si="1"/>
        <v>0</v>
      </c>
      <c r="R43" s="80">
        <f t="shared" si="0"/>
        <v>0</v>
      </c>
      <c r="S43" s="76" t="s">
        <v>23</v>
      </c>
      <c r="T43" s="189">
        <f>SUM(R43:R53)%</f>
        <v>0</v>
      </c>
    </row>
    <row r="44" spans="1:20" ht="22.2" hidden="1" thickBot="1" x14ac:dyDescent="0.35">
      <c r="A44" s="182"/>
      <c r="B44" s="42" t="s">
        <v>20</v>
      </c>
      <c r="C44" s="43" t="s">
        <v>267</v>
      </c>
      <c r="D44" s="44" t="s">
        <v>414</v>
      </c>
      <c r="E44" s="42" t="s">
        <v>415</v>
      </c>
      <c r="F44" s="45" t="s">
        <v>416</v>
      </c>
      <c r="G44" s="42" t="s">
        <v>545</v>
      </c>
      <c r="H44" s="45" t="s">
        <v>386</v>
      </c>
      <c r="I44" s="47" t="s">
        <v>22</v>
      </c>
      <c r="J44" s="3">
        <v>0.7</v>
      </c>
      <c r="K44" s="47" t="s">
        <v>513</v>
      </c>
      <c r="L44" s="317" t="s">
        <v>511</v>
      </c>
      <c r="M44" s="21" t="s">
        <v>411</v>
      </c>
      <c r="N44" s="24">
        <v>0.95</v>
      </c>
      <c r="O44" s="24">
        <v>0.18</v>
      </c>
      <c r="P44" s="3"/>
      <c r="Q44" s="3">
        <f t="shared" si="1"/>
        <v>0</v>
      </c>
      <c r="R44" s="4">
        <f t="shared" si="0"/>
        <v>0</v>
      </c>
      <c r="S44" s="3" t="s">
        <v>23</v>
      </c>
      <c r="T44" s="191"/>
    </row>
    <row r="45" spans="1:20" ht="22.2" hidden="1" thickBot="1" x14ac:dyDescent="0.35">
      <c r="A45" s="182"/>
      <c r="B45" s="42" t="s">
        <v>20</v>
      </c>
      <c r="C45" s="43" t="s">
        <v>267</v>
      </c>
      <c r="D45" s="44" t="s">
        <v>414</v>
      </c>
      <c r="E45" s="42" t="s">
        <v>415</v>
      </c>
      <c r="F45" s="45" t="s">
        <v>416</v>
      </c>
      <c r="G45" s="42" t="s">
        <v>545</v>
      </c>
      <c r="H45" s="45" t="s">
        <v>386</v>
      </c>
      <c r="I45" s="47" t="s">
        <v>22</v>
      </c>
      <c r="J45" s="3">
        <v>0.7</v>
      </c>
      <c r="K45" s="311" t="s">
        <v>412</v>
      </c>
      <c r="L45" s="21" t="s">
        <v>413</v>
      </c>
      <c r="M45" s="21" t="s">
        <v>380</v>
      </c>
      <c r="N45" s="24">
        <v>0.7</v>
      </c>
      <c r="O45" s="24">
        <v>7.0000000000000007E-2</v>
      </c>
      <c r="P45" s="3"/>
      <c r="Q45" s="3">
        <f t="shared" si="1"/>
        <v>0</v>
      </c>
      <c r="R45" s="4">
        <f t="shared" si="0"/>
        <v>0</v>
      </c>
      <c r="S45" s="3" t="s">
        <v>23</v>
      </c>
      <c r="T45" s="191"/>
    </row>
    <row r="46" spans="1:20" ht="22.2" hidden="1" thickBot="1" x14ac:dyDescent="0.35">
      <c r="A46" s="182"/>
      <c r="B46" s="42" t="s">
        <v>20</v>
      </c>
      <c r="C46" s="43" t="s">
        <v>267</v>
      </c>
      <c r="D46" s="44" t="s">
        <v>414</v>
      </c>
      <c r="E46" s="42" t="s">
        <v>415</v>
      </c>
      <c r="F46" s="45" t="s">
        <v>416</v>
      </c>
      <c r="G46" s="42" t="s">
        <v>545</v>
      </c>
      <c r="H46" s="45" t="s">
        <v>386</v>
      </c>
      <c r="I46" s="47" t="s">
        <v>22</v>
      </c>
      <c r="J46" s="3">
        <v>0.7</v>
      </c>
      <c r="K46" s="311" t="s">
        <v>387</v>
      </c>
      <c r="L46" s="21" t="s">
        <v>388</v>
      </c>
      <c r="M46" s="21" t="s">
        <v>377</v>
      </c>
      <c r="N46" s="24">
        <v>0.05</v>
      </c>
      <c r="O46" s="24">
        <v>0.08</v>
      </c>
      <c r="P46" s="3"/>
      <c r="Q46" s="3">
        <f t="shared" si="1"/>
        <v>0</v>
      </c>
      <c r="R46" s="4">
        <f t="shared" si="0"/>
        <v>0</v>
      </c>
      <c r="S46" s="3" t="s">
        <v>23</v>
      </c>
      <c r="T46" s="191"/>
    </row>
    <row r="47" spans="1:20" ht="22.2" hidden="1" thickBot="1" x14ac:dyDescent="0.35">
      <c r="A47" s="182"/>
      <c r="B47" s="42" t="s">
        <v>20</v>
      </c>
      <c r="C47" s="43" t="s">
        <v>267</v>
      </c>
      <c r="D47" s="44" t="s">
        <v>414</v>
      </c>
      <c r="E47" s="42" t="s">
        <v>415</v>
      </c>
      <c r="F47" s="45" t="s">
        <v>416</v>
      </c>
      <c r="G47" s="42" t="s">
        <v>545</v>
      </c>
      <c r="H47" s="45" t="s">
        <v>386</v>
      </c>
      <c r="I47" s="47" t="s">
        <v>22</v>
      </c>
      <c r="J47" s="3">
        <v>0.7</v>
      </c>
      <c r="K47" s="311" t="s">
        <v>378</v>
      </c>
      <c r="L47" s="21" t="s">
        <v>389</v>
      </c>
      <c r="M47" s="21" t="s">
        <v>379</v>
      </c>
      <c r="N47" s="24">
        <v>1</v>
      </c>
      <c r="O47" s="24">
        <v>7.0000000000000007E-2</v>
      </c>
      <c r="P47" s="3"/>
      <c r="Q47" s="3">
        <f t="shared" si="1"/>
        <v>0</v>
      </c>
      <c r="R47" s="4">
        <f t="shared" si="0"/>
        <v>0</v>
      </c>
      <c r="S47" s="3" t="s">
        <v>23</v>
      </c>
      <c r="T47" s="191"/>
    </row>
    <row r="48" spans="1:20" ht="22.2" hidden="1" thickBot="1" x14ac:dyDescent="0.35">
      <c r="A48" s="182"/>
      <c r="B48" s="42" t="s">
        <v>20</v>
      </c>
      <c r="C48" s="43" t="s">
        <v>267</v>
      </c>
      <c r="D48" s="44" t="s">
        <v>414</v>
      </c>
      <c r="E48" s="42" t="s">
        <v>415</v>
      </c>
      <c r="F48" s="45" t="s">
        <v>416</v>
      </c>
      <c r="G48" s="42" t="s">
        <v>545</v>
      </c>
      <c r="H48" s="45" t="s">
        <v>386</v>
      </c>
      <c r="I48" s="47" t="s">
        <v>22</v>
      </c>
      <c r="J48" s="3">
        <v>0.7</v>
      </c>
      <c r="K48" s="311" t="s">
        <v>390</v>
      </c>
      <c r="L48" s="21" t="s">
        <v>391</v>
      </c>
      <c r="M48" s="21" t="s">
        <v>382</v>
      </c>
      <c r="N48" s="24">
        <v>0.05</v>
      </c>
      <c r="O48" s="24">
        <v>0.18</v>
      </c>
      <c r="P48" s="3"/>
      <c r="Q48" s="3">
        <f t="shared" si="1"/>
        <v>0</v>
      </c>
      <c r="R48" s="4">
        <f t="shared" si="0"/>
        <v>0</v>
      </c>
      <c r="S48" s="3" t="s">
        <v>24</v>
      </c>
      <c r="T48" s="191"/>
    </row>
    <row r="49" spans="1:20" ht="22.2" hidden="1" thickBot="1" x14ac:dyDescent="0.35">
      <c r="A49" s="182"/>
      <c r="B49" s="42" t="s">
        <v>20</v>
      </c>
      <c r="C49" s="43" t="s">
        <v>267</v>
      </c>
      <c r="D49" s="44" t="s">
        <v>414</v>
      </c>
      <c r="E49" s="42" t="s">
        <v>415</v>
      </c>
      <c r="F49" s="45" t="s">
        <v>416</v>
      </c>
      <c r="G49" s="42" t="s">
        <v>545</v>
      </c>
      <c r="H49" s="45" t="s">
        <v>386</v>
      </c>
      <c r="I49" s="47" t="s">
        <v>22</v>
      </c>
      <c r="J49" s="3">
        <v>0.7</v>
      </c>
      <c r="K49" s="311" t="s">
        <v>392</v>
      </c>
      <c r="L49" s="21" t="s">
        <v>393</v>
      </c>
      <c r="M49" s="21" t="s">
        <v>394</v>
      </c>
      <c r="N49" s="24">
        <v>0.05</v>
      </c>
      <c r="O49" s="24">
        <v>0.1</v>
      </c>
      <c r="P49" s="3"/>
      <c r="Q49" s="3">
        <f t="shared" si="1"/>
        <v>0</v>
      </c>
      <c r="R49" s="4">
        <f t="shared" si="0"/>
        <v>0</v>
      </c>
      <c r="S49" s="3" t="s">
        <v>23</v>
      </c>
      <c r="T49" s="191"/>
    </row>
    <row r="50" spans="1:20" ht="22.2" hidden="1" thickBot="1" x14ac:dyDescent="0.35">
      <c r="A50" s="182"/>
      <c r="B50" s="42" t="s">
        <v>20</v>
      </c>
      <c r="C50" s="43" t="s">
        <v>267</v>
      </c>
      <c r="D50" s="44" t="s">
        <v>414</v>
      </c>
      <c r="E50" s="42" t="s">
        <v>415</v>
      </c>
      <c r="F50" s="45" t="s">
        <v>416</v>
      </c>
      <c r="G50" s="42" t="s">
        <v>545</v>
      </c>
      <c r="H50" s="45" t="s">
        <v>386</v>
      </c>
      <c r="I50" s="47" t="s">
        <v>22</v>
      </c>
      <c r="J50" s="3">
        <v>0.7</v>
      </c>
      <c r="K50" s="311" t="s">
        <v>395</v>
      </c>
      <c r="L50" s="21" t="s">
        <v>396</v>
      </c>
      <c r="M50" s="21" t="s">
        <v>397</v>
      </c>
      <c r="N50" s="24">
        <v>0.9</v>
      </c>
      <c r="O50" s="24">
        <v>0.12</v>
      </c>
      <c r="P50" s="3"/>
      <c r="Q50" s="3">
        <f t="shared" si="1"/>
        <v>0</v>
      </c>
      <c r="R50" s="4">
        <f t="shared" si="0"/>
        <v>0</v>
      </c>
      <c r="S50" s="3" t="s">
        <v>23</v>
      </c>
      <c r="T50" s="191"/>
    </row>
    <row r="51" spans="1:20" ht="22.2" hidden="1" thickBot="1" x14ac:dyDescent="0.35">
      <c r="A51" s="182"/>
      <c r="B51" s="42" t="s">
        <v>20</v>
      </c>
      <c r="C51" s="43" t="s">
        <v>267</v>
      </c>
      <c r="D51" s="44" t="s">
        <v>414</v>
      </c>
      <c r="E51" s="42" t="s">
        <v>415</v>
      </c>
      <c r="F51" s="45" t="s">
        <v>416</v>
      </c>
      <c r="G51" s="42" t="s">
        <v>545</v>
      </c>
      <c r="H51" s="45" t="s">
        <v>386</v>
      </c>
      <c r="I51" s="47" t="s">
        <v>22</v>
      </c>
      <c r="J51" s="3">
        <v>0.7</v>
      </c>
      <c r="K51" s="311" t="s">
        <v>398</v>
      </c>
      <c r="L51" s="21" t="s">
        <v>399</v>
      </c>
      <c r="M51" s="21" t="s">
        <v>400</v>
      </c>
      <c r="N51" s="24">
        <v>1</v>
      </c>
      <c r="O51" s="24">
        <v>0.02</v>
      </c>
      <c r="P51" s="3"/>
      <c r="Q51" s="3">
        <f t="shared" si="1"/>
        <v>0</v>
      </c>
      <c r="R51" s="4">
        <f t="shared" si="0"/>
        <v>0</v>
      </c>
      <c r="S51" s="3" t="s">
        <v>23</v>
      </c>
      <c r="T51" s="191"/>
    </row>
    <row r="52" spans="1:20" ht="22.2" hidden="1" thickBot="1" x14ac:dyDescent="0.35">
      <c r="A52" s="219"/>
      <c r="B52" s="220" t="s">
        <v>20</v>
      </c>
      <c r="C52" s="221" t="s">
        <v>267</v>
      </c>
      <c r="D52" s="222" t="s">
        <v>414</v>
      </c>
      <c r="E52" s="220" t="s">
        <v>415</v>
      </c>
      <c r="F52" s="223" t="s">
        <v>416</v>
      </c>
      <c r="G52" s="220" t="s">
        <v>545</v>
      </c>
      <c r="H52" s="223" t="s">
        <v>386</v>
      </c>
      <c r="I52" s="224" t="s">
        <v>26</v>
      </c>
      <c r="J52" s="225">
        <v>0.3</v>
      </c>
      <c r="K52" s="320" t="s">
        <v>484</v>
      </c>
      <c r="L52" s="321" t="s">
        <v>489</v>
      </c>
      <c r="M52" s="321"/>
      <c r="N52" s="226">
        <v>1</v>
      </c>
      <c r="O52" s="226">
        <v>0.5</v>
      </c>
      <c r="P52" s="225"/>
      <c r="Q52" s="225">
        <f t="shared" si="1"/>
        <v>0</v>
      </c>
      <c r="R52" s="228">
        <f t="shared" si="0"/>
        <v>0</v>
      </c>
      <c r="S52" s="229" t="s">
        <v>23</v>
      </c>
      <c r="T52" s="230"/>
    </row>
    <row r="53" spans="1:20" ht="22.2" hidden="1" thickBot="1" x14ac:dyDescent="0.35">
      <c r="A53" s="197"/>
      <c r="B53" s="33" t="s">
        <v>20</v>
      </c>
      <c r="C53" s="34" t="s">
        <v>267</v>
      </c>
      <c r="D53" s="35" t="s">
        <v>414</v>
      </c>
      <c r="E53" s="33" t="s">
        <v>415</v>
      </c>
      <c r="F53" s="36" t="s">
        <v>416</v>
      </c>
      <c r="G53" s="33" t="s">
        <v>545</v>
      </c>
      <c r="H53" s="36" t="s">
        <v>386</v>
      </c>
      <c r="I53" s="37" t="s">
        <v>26</v>
      </c>
      <c r="J53" s="231">
        <v>0.3</v>
      </c>
      <c r="K53" s="322" t="s">
        <v>482</v>
      </c>
      <c r="L53" s="323" t="s">
        <v>486</v>
      </c>
      <c r="M53" s="323"/>
      <c r="N53" s="253">
        <v>1</v>
      </c>
      <c r="O53" s="253">
        <v>0.5</v>
      </c>
      <c r="P53" s="231"/>
      <c r="Q53" s="231">
        <f t="shared" si="1"/>
        <v>0</v>
      </c>
      <c r="R53" s="232">
        <f t="shared" si="0"/>
        <v>0</v>
      </c>
      <c r="S53" s="233" t="s">
        <v>23</v>
      </c>
      <c r="T53" s="252"/>
    </row>
    <row r="54" spans="1:20" ht="22.2" hidden="1" thickBot="1" x14ac:dyDescent="0.35">
      <c r="A54" s="181"/>
      <c r="B54" s="71" t="s">
        <v>20</v>
      </c>
      <c r="C54" s="72" t="s">
        <v>267</v>
      </c>
      <c r="D54" s="73" t="s">
        <v>370</v>
      </c>
      <c r="E54" s="71" t="s">
        <v>30</v>
      </c>
      <c r="F54" s="74" t="s">
        <v>384</v>
      </c>
      <c r="G54" s="71" t="s">
        <v>368</v>
      </c>
      <c r="H54" s="74" t="s">
        <v>417</v>
      </c>
      <c r="I54" s="95" t="s">
        <v>22</v>
      </c>
      <c r="J54" s="76">
        <v>0.7</v>
      </c>
      <c r="K54" s="326" t="s">
        <v>512</v>
      </c>
      <c r="L54" s="327" t="s">
        <v>510</v>
      </c>
      <c r="M54" s="310" t="s">
        <v>408</v>
      </c>
      <c r="N54" s="79">
        <v>0.95</v>
      </c>
      <c r="O54" s="79">
        <v>0.15</v>
      </c>
      <c r="P54" s="76"/>
      <c r="Q54" s="76">
        <f t="shared" si="1"/>
        <v>0</v>
      </c>
      <c r="R54" s="80">
        <f t="shared" si="0"/>
        <v>0</v>
      </c>
      <c r="S54" s="76" t="s">
        <v>23</v>
      </c>
      <c r="T54" s="189">
        <f>SUM(R54:R63)%</f>
        <v>0</v>
      </c>
    </row>
    <row r="55" spans="1:20" ht="22.2" hidden="1" thickBot="1" x14ac:dyDescent="0.35">
      <c r="A55" s="182"/>
      <c r="B55" s="42" t="s">
        <v>20</v>
      </c>
      <c r="C55" s="43" t="s">
        <v>267</v>
      </c>
      <c r="D55" s="44" t="s">
        <v>370</v>
      </c>
      <c r="E55" s="42" t="s">
        <v>30</v>
      </c>
      <c r="F55" s="45" t="s">
        <v>384</v>
      </c>
      <c r="G55" s="42" t="s">
        <v>368</v>
      </c>
      <c r="H55" s="45" t="s">
        <v>417</v>
      </c>
      <c r="I55" s="47" t="s">
        <v>22</v>
      </c>
      <c r="J55" s="3">
        <v>0.7</v>
      </c>
      <c r="K55" s="47" t="s">
        <v>513</v>
      </c>
      <c r="L55" s="317" t="s">
        <v>511</v>
      </c>
      <c r="M55" s="21" t="s">
        <v>411</v>
      </c>
      <c r="N55" s="24">
        <v>0.95</v>
      </c>
      <c r="O55" s="24">
        <v>0.15</v>
      </c>
      <c r="P55" s="51"/>
      <c r="Q55" s="3">
        <f t="shared" si="1"/>
        <v>0</v>
      </c>
      <c r="R55" s="4">
        <f t="shared" si="0"/>
        <v>0</v>
      </c>
      <c r="S55" s="3" t="s">
        <v>23</v>
      </c>
      <c r="T55" s="191"/>
    </row>
    <row r="56" spans="1:20" ht="22.2" hidden="1" thickBot="1" x14ac:dyDescent="0.35">
      <c r="A56" s="182"/>
      <c r="B56" s="42" t="s">
        <v>20</v>
      </c>
      <c r="C56" s="43" t="s">
        <v>267</v>
      </c>
      <c r="D56" s="44" t="s">
        <v>370</v>
      </c>
      <c r="E56" s="42" t="s">
        <v>30</v>
      </c>
      <c r="F56" s="45" t="s">
        <v>384</v>
      </c>
      <c r="G56" s="42" t="s">
        <v>368</v>
      </c>
      <c r="H56" s="45" t="s">
        <v>417</v>
      </c>
      <c r="I56" s="47" t="s">
        <v>22</v>
      </c>
      <c r="J56" s="3">
        <v>0.7</v>
      </c>
      <c r="K56" s="311" t="s">
        <v>412</v>
      </c>
      <c r="L56" s="21" t="s">
        <v>413</v>
      </c>
      <c r="M56" s="21" t="s">
        <v>380</v>
      </c>
      <c r="N56" s="24">
        <v>0.7</v>
      </c>
      <c r="O56" s="24">
        <v>0.1</v>
      </c>
      <c r="P56" s="3"/>
      <c r="Q56" s="3">
        <f t="shared" si="1"/>
        <v>0</v>
      </c>
      <c r="R56" s="4">
        <f t="shared" si="0"/>
        <v>0</v>
      </c>
      <c r="S56" s="3" t="s">
        <v>23</v>
      </c>
      <c r="T56" s="191"/>
    </row>
    <row r="57" spans="1:20" ht="22.2" hidden="1" thickBot="1" x14ac:dyDescent="0.35">
      <c r="A57" s="182"/>
      <c r="B57" s="42" t="s">
        <v>20</v>
      </c>
      <c r="C57" s="43" t="s">
        <v>267</v>
      </c>
      <c r="D57" s="44" t="s">
        <v>370</v>
      </c>
      <c r="E57" s="42" t="s">
        <v>30</v>
      </c>
      <c r="F57" s="45" t="s">
        <v>384</v>
      </c>
      <c r="G57" s="42" t="s">
        <v>368</v>
      </c>
      <c r="H57" s="45" t="s">
        <v>417</v>
      </c>
      <c r="I57" s="47" t="s">
        <v>22</v>
      </c>
      <c r="J57" s="3">
        <v>0.7</v>
      </c>
      <c r="K57" s="311" t="s">
        <v>387</v>
      </c>
      <c r="L57" s="21" t="s">
        <v>388</v>
      </c>
      <c r="M57" s="21" t="s">
        <v>377</v>
      </c>
      <c r="N57" s="24">
        <v>0.05</v>
      </c>
      <c r="O57" s="24">
        <v>0.08</v>
      </c>
      <c r="P57" s="3"/>
      <c r="Q57" s="3">
        <f t="shared" si="1"/>
        <v>0</v>
      </c>
      <c r="R57" s="4">
        <f t="shared" si="0"/>
        <v>0</v>
      </c>
      <c r="S57" s="3" t="s">
        <v>23</v>
      </c>
      <c r="T57" s="191"/>
    </row>
    <row r="58" spans="1:20" ht="22.2" hidden="1" thickBot="1" x14ac:dyDescent="0.35">
      <c r="A58" s="182"/>
      <c r="B58" s="42" t="s">
        <v>20</v>
      </c>
      <c r="C58" s="43" t="s">
        <v>267</v>
      </c>
      <c r="D58" s="44" t="s">
        <v>370</v>
      </c>
      <c r="E58" s="42" t="s">
        <v>30</v>
      </c>
      <c r="F58" s="45" t="s">
        <v>384</v>
      </c>
      <c r="G58" s="42" t="s">
        <v>368</v>
      </c>
      <c r="H58" s="45" t="s">
        <v>417</v>
      </c>
      <c r="I58" s="47" t="s">
        <v>22</v>
      </c>
      <c r="J58" s="3">
        <v>0.7</v>
      </c>
      <c r="K58" s="311" t="s">
        <v>378</v>
      </c>
      <c r="L58" s="21" t="s">
        <v>389</v>
      </c>
      <c r="M58" s="21" t="s">
        <v>379</v>
      </c>
      <c r="N58" s="24">
        <v>1</v>
      </c>
      <c r="O58" s="24">
        <v>0.1</v>
      </c>
      <c r="P58" s="3"/>
      <c r="Q58" s="3">
        <f t="shared" si="1"/>
        <v>0</v>
      </c>
      <c r="R58" s="4">
        <f t="shared" si="0"/>
        <v>0</v>
      </c>
      <c r="S58" s="3" t="s">
        <v>23</v>
      </c>
      <c r="T58" s="191"/>
    </row>
    <row r="59" spans="1:20" ht="22.2" hidden="1" thickBot="1" x14ac:dyDescent="0.35">
      <c r="A59" s="182"/>
      <c r="B59" s="42" t="s">
        <v>20</v>
      </c>
      <c r="C59" s="43" t="s">
        <v>267</v>
      </c>
      <c r="D59" s="44" t="s">
        <v>370</v>
      </c>
      <c r="E59" s="42" t="s">
        <v>30</v>
      </c>
      <c r="F59" s="45" t="s">
        <v>384</v>
      </c>
      <c r="G59" s="42" t="s">
        <v>368</v>
      </c>
      <c r="H59" s="45" t="s">
        <v>417</v>
      </c>
      <c r="I59" s="47" t="s">
        <v>22</v>
      </c>
      <c r="J59" s="3">
        <v>0.7</v>
      </c>
      <c r="K59" s="311" t="s">
        <v>390</v>
      </c>
      <c r="L59" s="21" t="s">
        <v>391</v>
      </c>
      <c r="M59" s="21" t="s">
        <v>382</v>
      </c>
      <c r="N59" s="24">
        <v>0.05</v>
      </c>
      <c r="O59" s="24">
        <v>0.15</v>
      </c>
      <c r="P59" s="3"/>
      <c r="Q59" s="3">
        <f t="shared" si="1"/>
        <v>0</v>
      </c>
      <c r="R59" s="4">
        <f t="shared" si="0"/>
        <v>0</v>
      </c>
      <c r="S59" s="3" t="s">
        <v>24</v>
      </c>
      <c r="T59" s="191"/>
    </row>
    <row r="60" spans="1:20" ht="22.2" hidden="1" thickBot="1" x14ac:dyDescent="0.35">
      <c r="A60" s="182"/>
      <c r="B60" s="42" t="s">
        <v>20</v>
      </c>
      <c r="C60" s="43" t="s">
        <v>267</v>
      </c>
      <c r="D60" s="44" t="s">
        <v>370</v>
      </c>
      <c r="E60" s="42" t="s">
        <v>30</v>
      </c>
      <c r="F60" s="45" t="s">
        <v>384</v>
      </c>
      <c r="G60" s="42" t="s">
        <v>368</v>
      </c>
      <c r="H60" s="45" t="s">
        <v>417</v>
      </c>
      <c r="I60" s="47" t="s">
        <v>22</v>
      </c>
      <c r="J60" s="3">
        <v>0.7</v>
      </c>
      <c r="K60" s="311" t="s">
        <v>392</v>
      </c>
      <c r="L60" s="21" t="s">
        <v>393</v>
      </c>
      <c r="M60" s="21" t="s">
        <v>394</v>
      </c>
      <c r="N60" s="24">
        <v>0.05</v>
      </c>
      <c r="O60" s="24">
        <v>0.1</v>
      </c>
      <c r="P60" s="3"/>
      <c r="Q60" s="3">
        <f t="shared" si="1"/>
        <v>0</v>
      </c>
      <c r="R60" s="4">
        <f t="shared" si="0"/>
        <v>0</v>
      </c>
      <c r="S60" s="3" t="s">
        <v>23</v>
      </c>
      <c r="T60" s="191"/>
    </row>
    <row r="61" spans="1:20" ht="22.2" hidden="1" thickBot="1" x14ac:dyDescent="0.35">
      <c r="A61" s="182"/>
      <c r="B61" s="42" t="s">
        <v>20</v>
      </c>
      <c r="C61" s="43" t="s">
        <v>267</v>
      </c>
      <c r="D61" s="44" t="s">
        <v>370</v>
      </c>
      <c r="E61" s="42" t="s">
        <v>30</v>
      </c>
      <c r="F61" s="45" t="s">
        <v>384</v>
      </c>
      <c r="G61" s="42" t="s">
        <v>368</v>
      </c>
      <c r="H61" s="45" t="s">
        <v>417</v>
      </c>
      <c r="I61" s="47" t="s">
        <v>22</v>
      </c>
      <c r="J61" s="3">
        <v>0.7</v>
      </c>
      <c r="K61" s="311" t="s">
        <v>395</v>
      </c>
      <c r="L61" s="21" t="s">
        <v>396</v>
      </c>
      <c r="M61" s="21" t="s">
        <v>397</v>
      </c>
      <c r="N61" s="24">
        <v>0.9</v>
      </c>
      <c r="O61" s="24">
        <v>0.12</v>
      </c>
      <c r="P61" s="51"/>
      <c r="Q61" s="3">
        <f t="shared" si="1"/>
        <v>0</v>
      </c>
      <c r="R61" s="4">
        <f t="shared" si="0"/>
        <v>0</v>
      </c>
      <c r="S61" s="3" t="s">
        <v>23</v>
      </c>
      <c r="T61" s="191"/>
    </row>
    <row r="62" spans="1:20" ht="22.2" hidden="1" thickBot="1" x14ac:dyDescent="0.35">
      <c r="A62" s="182"/>
      <c r="B62" s="42" t="s">
        <v>20</v>
      </c>
      <c r="C62" s="43" t="s">
        <v>267</v>
      </c>
      <c r="D62" s="44" t="s">
        <v>370</v>
      </c>
      <c r="E62" s="42" t="s">
        <v>30</v>
      </c>
      <c r="F62" s="45" t="s">
        <v>384</v>
      </c>
      <c r="G62" s="42" t="s">
        <v>368</v>
      </c>
      <c r="H62" s="45" t="s">
        <v>417</v>
      </c>
      <c r="I62" s="47" t="s">
        <v>22</v>
      </c>
      <c r="J62" s="3">
        <v>0.7</v>
      </c>
      <c r="K62" s="311" t="s">
        <v>398</v>
      </c>
      <c r="L62" s="21" t="s">
        <v>399</v>
      </c>
      <c r="M62" s="21" t="s">
        <v>400</v>
      </c>
      <c r="N62" s="24">
        <v>1</v>
      </c>
      <c r="O62" s="24">
        <v>0.05</v>
      </c>
      <c r="P62" s="3"/>
      <c r="Q62" s="3">
        <f t="shared" si="1"/>
        <v>0</v>
      </c>
      <c r="R62" s="4">
        <f t="shared" si="0"/>
        <v>0</v>
      </c>
      <c r="S62" s="3" t="s">
        <v>23</v>
      </c>
      <c r="T62" s="191"/>
    </row>
    <row r="63" spans="1:20" ht="22.2" hidden="1" thickBot="1" x14ac:dyDescent="0.35">
      <c r="A63" s="197"/>
      <c r="B63" s="33" t="s">
        <v>20</v>
      </c>
      <c r="C63" s="34" t="s">
        <v>267</v>
      </c>
      <c r="D63" s="35" t="s">
        <v>370</v>
      </c>
      <c r="E63" s="33" t="s">
        <v>30</v>
      </c>
      <c r="F63" s="36" t="s">
        <v>384</v>
      </c>
      <c r="G63" s="33" t="s">
        <v>368</v>
      </c>
      <c r="H63" s="36" t="s">
        <v>417</v>
      </c>
      <c r="I63" s="37" t="s">
        <v>26</v>
      </c>
      <c r="J63" s="231">
        <v>0.3</v>
      </c>
      <c r="K63" s="322" t="s">
        <v>419</v>
      </c>
      <c r="L63" s="323" t="s">
        <v>420</v>
      </c>
      <c r="M63" s="323"/>
      <c r="N63" s="253">
        <v>1</v>
      </c>
      <c r="O63" s="253">
        <v>1</v>
      </c>
      <c r="P63" s="231"/>
      <c r="Q63" s="231">
        <f t="shared" si="1"/>
        <v>0</v>
      </c>
      <c r="R63" s="232">
        <f t="shared" si="0"/>
        <v>0</v>
      </c>
      <c r="S63" s="233" t="s">
        <v>23</v>
      </c>
      <c r="T63" s="252"/>
    </row>
    <row r="64" spans="1:20" ht="22.2" hidden="1" thickBot="1" x14ac:dyDescent="0.35">
      <c r="A64" s="181"/>
      <c r="B64" s="71" t="s">
        <v>20</v>
      </c>
      <c r="C64" s="72" t="s">
        <v>267</v>
      </c>
      <c r="D64" s="73" t="s">
        <v>421</v>
      </c>
      <c r="E64" s="71" t="s">
        <v>340</v>
      </c>
      <c r="F64" s="74" t="s">
        <v>384</v>
      </c>
      <c r="G64" s="71" t="s">
        <v>545</v>
      </c>
      <c r="H64" s="74" t="s">
        <v>418</v>
      </c>
      <c r="I64" s="95" t="s">
        <v>22</v>
      </c>
      <c r="J64" s="76">
        <v>0.6</v>
      </c>
      <c r="K64" s="326" t="s">
        <v>512</v>
      </c>
      <c r="L64" s="327" t="s">
        <v>510</v>
      </c>
      <c r="M64" s="310" t="s">
        <v>408</v>
      </c>
      <c r="N64" s="79">
        <v>0.95</v>
      </c>
      <c r="O64" s="79">
        <v>0.18</v>
      </c>
      <c r="P64" s="76"/>
      <c r="Q64" s="76">
        <f t="shared" si="1"/>
        <v>0</v>
      </c>
      <c r="R64" s="80">
        <f t="shared" si="0"/>
        <v>0</v>
      </c>
      <c r="S64" s="76" t="s">
        <v>23</v>
      </c>
      <c r="T64" s="189">
        <f>SUM(R64:R74)%</f>
        <v>0</v>
      </c>
    </row>
    <row r="65" spans="1:20" ht="22.2" hidden="1" thickBot="1" x14ac:dyDescent="0.35">
      <c r="A65" s="182"/>
      <c r="B65" s="42" t="s">
        <v>20</v>
      </c>
      <c r="C65" s="43" t="s">
        <v>267</v>
      </c>
      <c r="D65" s="44" t="s">
        <v>421</v>
      </c>
      <c r="E65" s="42" t="s">
        <v>340</v>
      </c>
      <c r="F65" s="45" t="s">
        <v>384</v>
      </c>
      <c r="G65" s="42" t="s">
        <v>545</v>
      </c>
      <c r="H65" s="45" t="s">
        <v>418</v>
      </c>
      <c r="I65" s="47" t="s">
        <v>22</v>
      </c>
      <c r="J65" s="3">
        <v>0.6</v>
      </c>
      <c r="K65" s="47" t="s">
        <v>513</v>
      </c>
      <c r="L65" s="317" t="s">
        <v>511</v>
      </c>
      <c r="M65" s="21" t="s">
        <v>411</v>
      </c>
      <c r="N65" s="24">
        <v>0.95</v>
      </c>
      <c r="O65" s="24">
        <v>0.18</v>
      </c>
      <c r="P65" s="3"/>
      <c r="Q65" s="3">
        <f t="shared" si="1"/>
        <v>0</v>
      </c>
      <c r="R65" s="4">
        <f t="shared" si="0"/>
        <v>0</v>
      </c>
      <c r="S65" s="3" t="s">
        <v>23</v>
      </c>
      <c r="T65" s="191"/>
    </row>
    <row r="66" spans="1:20" ht="22.2" hidden="1" thickBot="1" x14ac:dyDescent="0.35">
      <c r="A66" s="182"/>
      <c r="B66" s="42" t="s">
        <v>20</v>
      </c>
      <c r="C66" s="43" t="s">
        <v>267</v>
      </c>
      <c r="D66" s="44" t="s">
        <v>421</v>
      </c>
      <c r="E66" s="42" t="s">
        <v>340</v>
      </c>
      <c r="F66" s="45" t="s">
        <v>384</v>
      </c>
      <c r="G66" s="42" t="s">
        <v>545</v>
      </c>
      <c r="H66" s="45" t="s">
        <v>418</v>
      </c>
      <c r="I66" s="47" t="s">
        <v>22</v>
      </c>
      <c r="J66" s="3">
        <v>0.6</v>
      </c>
      <c r="K66" s="311" t="s">
        <v>412</v>
      </c>
      <c r="L66" s="21" t="s">
        <v>413</v>
      </c>
      <c r="M66" s="21" t="s">
        <v>380</v>
      </c>
      <c r="N66" s="24">
        <v>0.7</v>
      </c>
      <c r="O66" s="24">
        <v>7.0000000000000007E-2</v>
      </c>
      <c r="P66" s="3"/>
      <c r="Q66" s="3">
        <f t="shared" si="1"/>
        <v>0</v>
      </c>
      <c r="R66" s="4">
        <f t="shared" ref="R66:R130" si="2">IF(AND(Q66&gt;=60%,Q66&lt;100%),Q66*((O66*J66)),IF(Q66=100%,((O66*J66)*Q66)*100%,IF(Q66&gt;100%,((J66*O66)*100%)*100%,0)))*100</f>
        <v>0</v>
      </c>
      <c r="S66" s="3" t="s">
        <v>23</v>
      </c>
      <c r="T66" s="191"/>
    </row>
    <row r="67" spans="1:20" ht="22.2" hidden="1" thickBot="1" x14ac:dyDescent="0.35">
      <c r="A67" s="182"/>
      <c r="B67" s="42" t="s">
        <v>20</v>
      </c>
      <c r="C67" s="43" t="s">
        <v>267</v>
      </c>
      <c r="D67" s="44" t="s">
        <v>421</v>
      </c>
      <c r="E67" s="42" t="s">
        <v>340</v>
      </c>
      <c r="F67" s="45" t="s">
        <v>384</v>
      </c>
      <c r="G67" s="42" t="s">
        <v>545</v>
      </c>
      <c r="H67" s="45" t="s">
        <v>418</v>
      </c>
      <c r="I67" s="47" t="s">
        <v>22</v>
      </c>
      <c r="J67" s="3">
        <v>0.7</v>
      </c>
      <c r="K67" s="311" t="s">
        <v>387</v>
      </c>
      <c r="L67" s="21" t="s">
        <v>388</v>
      </c>
      <c r="M67" s="21" t="s">
        <v>377</v>
      </c>
      <c r="N67" s="24">
        <v>0.05</v>
      </c>
      <c r="O67" s="24">
        <v>0.08</v>
      </c>
      <c r="P67" s="3"/>
      <c r="Q67" s="3">
        <f t="shared" ref="Q67:Q109" si="3">ROUND(IF(OR(N67="",P67=""),0,IF(AND(N67=0,P67=0),1,IF(S67="+",P67/N67,N67/P67))),2)</f>
        <v>0</v>
      </c>
      <c r="R67" s="4">
        <f t="shared" si="2"/>
        <v>0</v>
      </c>
      <c r="S67" s="3" t="s">
        <v>23</v>
      </c>
      <c r="T67" s="191"/>
    </row>
    <row r="68" spans="1:20" ht="22.2" hidden="1" thickBot="1" x14ac:dyDescent="0.35">
      <c r="A68" s="182"/>
      <c r="B68" s="42" t="s">
        <v>20</v>
      </c>
      <c r="C68" s="43" t="s">
        <v>267</v>
      </c>
      <c r="D68" s="44" t="s">
        <v>421</v>
      </c>
      <c r="E68" s="42" t="s">
        <v>340</v>
      </c>
      <c r="F68" s="45" t="s">
        <v>384</v>
      </c>
      <c r="G68" s="42" t="s">
        <v>545</v>
      </c>
      <c r="H68" s="45" t="s">
        <v>418</v>
      </c>
      <c r="I68" s="47" t="s">
        <v>22</v>
      </c>
      <c r="J68" s="3">
        <v>0.7</v>
      </c>
      <c r="K68" s="311" t="s">
        <v>378</v>
      </c>
      <c r="L68" s="21" t="s">
        <v>389</v>
      </c>
      <c r="M68" s="21" t="s">
        <v>379</v>
      </c>
      <c r="N68" s="24">
        <v>1</v>
      </c>
      <c r="O68" s="24">
        <v>7.0000000000000007E-2</v>
      </c>
      <c r="P68" s="3"/>
      <c r="Q68" s="3">
        <f t="shared" si="3"/>
        <v>0</v>
      </c>
      <c r="R68" s="4">
        <f t="shared" si="2"/>
        <v>0</v>
      </c>
      <c r="S68" s="3" t="s">
        <v>23</v>
      </c>
      <c r="T68" s="191"/>
    </row>
    <row r="69" spans="1:20" ht="22.2" hidden="1" thickBot="1" x14ac:dyDescent="0.35">
      <c r="A69" s="182"/>
      <c r="B69" s="42" t="s">
        <v>20</v>
      </c>
      <c r="C69" s="43" t="s">
        <v>267</v>
      </c>
      <c r="D69" s="44" t="s">
        <v>421</v>
      </c>
      <c r="E69" s="42" t="s">
        <v>340</v>
      </c>
      <c r="F69" s="45" t="s">
        <v>384</v>
      </c>
      <c r="G69" s="42" t="s">
        <v>545</v>
      </c>
      <c r="H69" s="45" t="s">
        <v>418</v>
      </c>
      <c r="I69" s="47" t="s">
        <v>22</v>
      </c>
      <c r="J69" s="3">
        <v>0.7</v>
      </c>
      <c r="K69" s="311" t="s">
        <v>390</v>
      </c>
      <c r="L69" s="21" t="s">
        <v>391</v>
      </c>
      <c r="M69" s="21" t="s">
        <v>382</v>
      </c>
      <c r="N69" s="24">
        <v>0.05</v>
      </c>
      <c r="O69" s="24">
        <v>0.18</v>
      </c>
      <c r="P69" s="3"/>
      <c r="Q69" s="3">
        <f t="shared" si="3"/>
        <v>0</v>
      </c>
      <c r="R69" s="4">
        <f t="shared" si="2"/>
        <v>0</v>
      </c>
      <c r="S69" s="3" t="s">
        <v>24</v>
      </c>
      <c r="T69" s="191"/>
    </row>
    <row r="70" spans="1:20" ht="22.2" hidden="1" thickBot="1" x14ac:dyDescent="0.35">
      <c r="A70" s="182"/>
      <c r="B70" s="42" t="s">
        <v>20</v>
      </c>
      <c r="C70" s="43" t="s">
        <v>267</v>
      </c>
      <c r="D70" s="44" t="s">
        <v>421</v>
      </c>
      <c r="E70" s="42" t="s">
        <v>340</v>
      </c>
      <c r="F70" s="45" t="s">
        <v>384</v>
      </c>
      <c r="G70" s="42" t="s">
        <v>545</v>
      </c>
      <c r="H70" s="45" t="s">
        <v>418</v>
      </c>
      <c r="I70" s="47" t="s">
        <v>22</v>
      </c>
      <c r="J70" s="3">
        <v>0.7</v>
      </c>
      <c r="K70" s="311" t="s">
        <v>392</v>
      </c>
      <c r="L70" s="21" t="s">
        <v>393</v>
      </c>
      <c r="M70" s="21" t="s">
        <v>394</v>
      </c>
      <c r="N70" s="24">
        <v>0.05</v>
      </c>
      <c r="O70" s="24">
        <v>0.1</v>
      </c>
      <c r="P70" s="3"/>
      <c r="Q70" s="3">
        <f t="shared" si="3"/>
        <v>0</v>
      </c>
      <c r="R70" s="4">
        <f t="shared" si="2"/>
        <v>0</v>
      </c>
      <c r="S70" s="3" t="s">
        <v>23</v>
      </c>
      <c r="T70" s="191"/>
    </row>
    <row r="71" spans="1:20" ht="22.2" hidden="1" thickBot="1" x14ac:dyDescent="0.35">
      <c r="A71" s="182"/>
      <c r="B71" s="42" t="s">
        <v>20</v>
      </c>
      <c r="C71" s="43" t="s">
        <v>267</v>
      </c>
      <c r="D71" s="44" t="s">
        <v>421</v>
      </c>
      <c r="E71" s="42" t="s">
        <v>340</v>
      </c>
      <c r="F71" s="45" t="s">
        <v>384</v>
      </c>
      <c r="G71" s="42" t="s">
        <v>545</v>
      </c>
      <c r="H71" s="45" t="s">
        <v>418</v>
      </c>
      <c r="I71" s="47" t="s">
        <v>22</v>
      </c>
      <c r="J71" s="3">
        <v>0.7</v>
      </c>
      <c r="K71" s="311" t="s">
        <v>395</v>
      </c>
      <c r="L71" s="21" t="s">
        <v>396</v>
      </c>
      <c r="M71" s="21" t="s">
        <v>397</v>
      </c>
      <c r="N71" s="24">
        <v>0.9</v>
      </c>
      <c r="O71" s="24">
        <v>0.12</v>
      </c>
      <c r="P71" s="3"/>
      <c r="Q71" s="3">
        <f t="shared" si="3"/>
        <v>0</v>
      </c>
      <c r="R71" s="4">
        <f t="shared" si="2"/>
        <v>0</v>
      </c>
      <c r="S71" s="3" t="s">
        <v>23</v>
      </c>
      <c r="T71" s="191"/>
    </row>
    <row r="72" spans="1:20" ht="22.2" hidden="1" thickBot="1" x14ac:dyDescent="0.35">
      <c r="A72" s="182"/>
      <c r="B72" s="42" t="s">
        <v>20</v>
      </c>
      <c r="C72" s="43" t="s">
        <v>267</v>
      </c>
      <c r="D72" s="44" t="s">
        <v>421</v>
      </c>
      <c r="E72" s="42" t="s">
        <v>340</v>
      </c>
      <c r="F72" s="45" t="s">
        <v>384</v>
      </c>
      <c r="G72" s="42" t="s">
        <v>545</v>
      </c>
      <c r="H72" s="45" t="s">
        <v>418</v>
      </c>
      <c r="I72" s="47" t="s">
        <v>22</v>
      </c>
      <c r="J72" s="3">
        <v>0.7</v>
      </c>
      <c r="K72" s="311" t="s">
        <v>398</v>
      </c>
      <c r="L72" s="21" t="s">
        <v>399</v>
      </c>
      <c r="M72" s="21" t="s">
        <v>400</v>
      </c>
      <c r="N72" s="24">
        <v>1</v>
      </c>
      <c r="O72" s="24">
        <v>0.02</v>
      </c>
      <c r="P72" s="3"/>
      <c r="Q72" s="3">
        <f t="shared" si="3"/>
        <v>0</v>
      </c>
      <c r="R72" s="4">
        <f t="shared" si="2"/>
        <v>0</v>
      </c>
      <c r="S72" s="3" t="s">
        <v>23</v>
      </c>
      <c r="T72" s="191"/>
    </row>
    <row r="73" spans="1:20" ht="22.2" hidden="1" thickBot="1" x14ac:dyDescent="0.35">
      <c r="A73" s="197"/>
      <c r="B73" s="33" t="s">
        <v>20</v>
      </c>
      <c r="C73" s="34" t="s">
        <v>267</v>
      </c>
      <c r="D73" s="35" t="s">
        <v>421</v>
      </c>
      <c r="E73" s="33" t="s">
        <v>340</v>
      </c>
      <c r="F73" s="36" t="s">
        <v>384</v>
      </c>
      <c r="G73" s="33" t="s">
        <v>545</v>
      </c>
      <c r="H73" s="36" t="s">
        <v>418</v>
      </c>
      <c r="I73" s="37" t="s">
        <v>26</v>
      </c>
      <c r="J73" s="231">
        <v>0.3</v>
      </c>
      <c r="K73" s="322" t="s">
        <v>563</v>
      </c>
      <c r="L73" s="323" t="s">
        <v>487</v>
      </c>
      <c r="M73" s="323"/>
      <c r="N73" s="253">
        <v>1</v>
      </c>
      <c r="O73" s="253">
        <v>0.5</v>
      </c>
      <c r="P73" s="231"/>
      <c r="Q73" s="231">
        <f t="shared" si="3"/>
        <v>0</v>
      </c>
      <c r="R73" s="232">
        <f t="shared" si="2"/>
        <v>0</v>
      </c>
      <c r="S73" s="233" t="s">
        <v>23</v>
      </c>
      <c r="T73" s="252"/>
    </row>
    <row r="74" spans="1:20" ht="22.2" hidden="1" thickBot="1" x14ac:dyDescent="0.35">
      <c r="A74" s="256"/>
      <c r="B74" s="257" t="s">
        <v>20</v>
      </c>
      <c r="C74" s="258" t="s">
        <v>267</v>
      </c>
      <c r="D74" s="259" t="s">
        <v>421</v>
      </c>
      <c r="E74" s="257" t="s">
        <v>340</v>
      </c>
      <c r="F74" s="260" t="s">
        <v>384</v>
      </c>
      <c r="G74" s="257" t="s">
        <v>545</v>
      </c>
      <c r="H74" s="260" t="s">
        <v>418</v>
      </c>
      <c r="I74" s="261" t="s">
        <v>26</v>
      </c>
      <c r="J74" s="262">
        <v>0.3</v>
      </c>
      <c r="K74" s="328" t="s">
        <v>483</v>
      </c>
      <c r="L74" s="329" t="s">
        <v>488</v>
      </c>
      <c r="M74" s="329"/>
      <c r="N74" s="263">
        <v>1</v>
      </c>
      <c r="O74" s="263">
        <v>0.5</v>
      </c>
      <c r="P74" s="262"/>
      <c r="Q74" s="262">
        <f t="shared" si="3"/>
        <v>0</v>
      </c>
      <c r="R74" s="264">
        <f t="shared" si="2"/>
        <v>0</v>
      </c>
      <c r="S74" s="265" t="s">
        <v>23</v>
      </c>
      <c r="T74" s="266"/>
    </row>
    <row r="75" spans="1:20" ht="22.2" hidden="1" thickBot="1" x14ac:dyDescent="0.35">
      <c r="A75" s="181"/>
      <c r="B75" s="71" t="s">
        <v>20</v>
      </c>
      <c r="C75" s="72" t="s">
        <v>267</v>
      </c>
      <c r="D75" s="73" t="s">
        <v>423</v>
      </c>
      <c r="E75" s="71" t="s">
        <v>29</v>
      </c>
      <c r="F75" s="74" t="s">
        <v>384</v>
      </c>
      <c r="G75" s="71" t="s">
        <v>368</v>
      </c>
      <c r="H75" s="74" t="s">
        <v>422</v>
      </c>
      <c r="I75" s="95" t="s">
        <v>22</v>
      </c>
      <c r="J75" s="76">
        <v>0.7</v>
      </c>
      <c r="K75" s="326" t="s">
        <v>512</v>
      </c>
      <c r="L75" s="327" t="s">
        <v>510</v>
      </c>
      <c r="M75" s="310" t="s">
        <v>408</v>
      </c>
      <c r="N75" s="79">
        <v>0.95</v>
      </c>
      <c r="O75" s="79">
        <v>0.15</v>
      </c>
      <c r="P75" s="76"/>
      <c r="Q75" s="76">
        <f t="shared" si="3"/>
        <v>0</v>
      </c>
      <c r="R75" s="80">
        <f t="shared" si="2"/>
        <v>0</v>
      </c>
      <c r="S75" s="76" t="s">
        <v>23</v>
      </c>
      <c r="T75" s="189">
        <f>SUM(R75:R88)%</f>
        <v>0</v>
      </c>
    </row>
    <row r="76" spans="1:20" ht="22.2" hidden="1" thickBot="1" x14ac:dyDescent="0.35">
      <c r="A76" s="182"/>
      <c r="B76" s="42" t="s">
        <v>20</v>
      </c>
      <c r="C76" s="43" t="s">
        <v>267</v>
      </c>
      <c r="D76" s="44" t="s">
        <v>423</v>
      </c>
      <c r="E76" s="42" t="s">
        <v>29</v>
      </c>
      <c r="F76" s="45" t="s">
        <v>384</v>
      </c>
      <c r="G76" s="42" t="s">
        <v>368</v>
      </c>
      <c r="H76" s="45" t="s">
        <v>422</v>
      </c>
      <c r="I76" s="47" t="s">
        <v>22</v>
      </c>
      <c r="J76" s="3">
        <v>0.7</v>
      </c>
      <c r="K76" s="47" t="s">
        <v>513</v>
      </c>
      <c r="L76" s="317" t="s">
        <v>511</v>
      </c>
      <c r="M76" s="21" t="s">
        <v>411</v>
      </c>
      <c r="N76" s="24">
        <v>0.95</v>
      </c>
      <c r="O76" s="24">
        <v>0.15</v>
      </c>
      <c r="P76" s="51"/>
      <c r="Q76" s="3">
        <f t="shared" si="3"/>
        <v>0</v>
      </c>
      <c r="R76" s="4">
        <f t="shared" si="2"/>
        <v>0</v>
      </c>
      <c r="S76" s="3" t="s">
        <v>23</v>
      </c>
      <c r="T76" s="191"/>
    </row>
    <row r="77" spans="1:20" ht="22.2" hidden="1" thickBot="1" x14ac:dyDescent="0.35">
      <c r="A77" s="182"/>
      <c r="B77" s="42" t="s">
        <v>20</v>
      </c>
      <c r="C77" s="43" t="s">
        <v>267</v>
      </c>
      <c r="D77" s="44" t="s">
        <v>423</v>
      </c>
      <c r="E77" s="42" t="s">
        <v>29</v>
      </c>
      <c r="F77" s="45" t="s">
        <v>384</v>
      </c>
      <c r="G77" s="42" t="s">
        <v>368</v>
      </c>
      <c r="H77" s="45" t="s">
        <v>422</v>
      </c>
      <c r="I77" s="47" t="s">
        <v>22</v>
      </c>
      <c r="J77" s="3">
        <v>0.7</v>
      </c>
      <c r="K77" s="311" t="s">
        <v>412</v>
      </c>
      <c r="L77" s="21" t="s">
        <v>413</v>
      </c>
      <c r="M77" s="21" t="s">
        <v>380</v>
      </c>
      <c r="N77" s="24">
        <v>0.7</v>
      </c>
      <c r="O77" s="24">
        <v>0.1</v>
      </c>
      <c r="P77" s="3"/>
      <c r="Q77" s="3">
        <f t="shared" si="3"/>
        <v>0</v>
      </c>
      <c r="R77" s="4">
        <f t="shared" si="2"/>
        <v>0</v>
      </c>
      <c r="S77" s="3" t="s">
        <v>23</v>
      </c>
      <c r="T77" s="191"/>
    </row>
    <row r="78" spans="1:20" ht="22.2" hidden="1" thickBot="1" x14ac:dyDescent="0.35">
      <c r="A78" s="182"/>
      <c r="B78" s="42" t="s">
        <v>20</v>
      </c>
      <c r="C78" s="43" t="s">
        <v>267</v>
      </c>
      <c r="D78" s="44" t="s">
        <v>423</v>
      </c>
      <c r="E78" s="42" t="s">
        <v>29</v>
      </c>
      <c r="F78" s="45" t="s">
        <v>384</v>
      </c>
      <c r="G78" s="42" t="s">
        <v>368</v>
      </c>
      <c r="H78" s="45" t="s">
        <v>422</v>
      </c>
      <c r="I78" s="47" t="s">
        <v>22</v>
      </c>
      <c r="J78" s="3">
        <v>0.7</v>
      </c>
      <c r="K78" s="311" t="s">
        <v>387</v>
      </c>
      <c r="L78" s="21" t="s">
        <v>388</v>
      </c>
      <c r="M78" s="21" t="s">
        <v>377</v>
      </c>
      <c r="N78" s="24">
        <v>0.05</v>
      </c>
      <c r="O78" s="24">
        <v>0.08</v>
      </c>
      <c r="P78" s="3"/>
      <c r="Q78" s="3">
        <f t="shared" si="3"/>
        <v>0</v>
      </c>
      <c r="R78" s="4">
        <f t="shared" si="2"/>
        <v>0</v>
      </c>
      <c r="S78" s="3" t="s">
        <v>23</v>
      </c>
      <c r="T78" s="191"/>
    </row>
    <row r="79" spans="1:20" ht="22.2" hidden="1" thickBot="1" x14ac:dyDescent="0.35">
      <c r="A79" s="182"/>
      <c r="B79" s="42" t="s">
        <v>20</v>
      </c>
      <c r="C79" s="43" t="s">
        <v>267</v>
      </c>
      <c r="D79" s="44" t="s">
        <v>423</v>
      </c>
      <c r="E79" s="42" t="s">
        <v>29</v>
      </c>
      <c r="F79" s="45" t="s">
        <v>384</v>
      </c>
      <c r="G79" s="42" t="s">
        <v>368</v>
      </c>
      <c r="H79" s="45" t="s">
        <v>422</v>
      </c>
      <c r="I79" s="47" t="s">
        <v>22</v>
      </c>
      <c r="J79" s="3">
        <v>0.7</v>
      </c>
      <c r="K79" s="311" t="s">
        <v>378</v>
      </c>
      <c r="L79" s="21" t="s">
        <v>389</v>
      </c>
      <c r="M79" s="21" t="s">
        <v>379</v>
      </c>
      <c r="N79" s="24">
        <v>1</v>
      </c>
      <c r="O79" s="24">
        <v>0.1</v>
      </c>
      <c r="P79" s="3"/>
      <c r="Q79" s="3">
        <f t="shared" si="3"/>
        <v>0</v>
      </c>
      <c r="R79" s="4">
        <f t="shared" si="2"/>
        <v>0</v>
      </c>
      <c r="S79" s="3" t="s">
        <v>23</v>
      </c>
      <c r="T79" s="191"/>
    </row>
    <row r="80" spans="1:20" ht="22.2" hidden="1" thickBot="1" x14ac:dyDescent="0.35">
      <c r="A80" s="182"/>
      <c r="B80" s="42" t="s">
        <v>20</v>
      </c>
      <c r="C80" s="43" t="s">
        <v>267</v>
      </c>
      <c r="D80" s="44" t="s">
        <v>423</v>
      </c>
      <c r="E80" s="42" t="s">
        <v>29</v>
      </c>
      <c r="F80" s="45" t="s">
        <v>384</v>
      </c>
      <c r="G80" s="42" t="s">
        <v>368</v>
      </c>
      <c r="H80" s="45" t="s">
        <v>422</v>
      </c>
      <c r="I80" s="47" t="s">
        <v>22</v>
      </c>
      <c r="J80" s="3">
        <v>0.7</v>
      </c>
      <c r="K80" s="311" t="s">
        <v>390</v>
      </c>
      <c r="L80" s="21" t="s">
        <v>391</v>
      </c>
      <c r="M80" s="21" t="s">
        <v>382</v>
      </c>
      <c r="N80" s="24">
        <v>0.05</v>
      </c>
      <c r="O80" s="24">
        <v>0.15</v>
      </c>
      <c r="P80" s="3"/>
      <c r="Q80" s="3">
        <f t="shared" si="3"/>
        <v>0</v>
      </c>
      <c r="R80" s="4">
        <f t="shared" si="2"/>
        <v>0</v>
      </c>
      <c r="S80" s="3" t="s">
        <v>24</v>
      </c>
      <c r="T80" s="191"/>
    </row>
    <row r="81" spans="1:20" ht="22.2" hidden="1" thickBot="1" x14ac:dyDescent="0.35">
      <c r="A81" s="182"/>
      <c r="B81" s="42" t="s">
        <v>20</v>
      </c>
      <c r="C81" s="43" t="s">
        <v>267</v>
      </c>
      <c r="D81" s="44" t="s">
        <v>423</v>
      </c>
      <c r="E81" s="42" t="s">
        <v>29</v>
      </c>
      <c r="F81" s="45" t="s">
        <v>384</v>
      </c>
      <c r="G81" s="42" t="s">
        <v>368</v>
      </c>
      <c r="H81" s="45" t="s">
        <v>422</v>
      </c>
      <c r="I81" s="47" t="s">
        <v>22</v>
      </c>
      <c r="J81" s="3">
        <v>0.7</v>
      </c>
      <c r="K81" s="311" t="s">
        <v>392</v>
      </c>
      <c r="L81" s="21" t="s">
        <v>393</v>
      </c>
      <c r="M81" s="21" t="s">
        <v>394</v>
      </c>
      <c r="N81" s="24">
        <v>0.05</v>
      </c>
      <c r="O81" s="24">
        <v>0.1</v>
      </c>
      <c r="P81" s="3"/>
      <c r="Q81" s="3">
        <f t="shared" si="3"/>
        <v>0</v>
      </c>
      <c r="R81" s="4">
        <f t="shared" si="2"/>
        <v>0</v>
      </c>
      <c r="S81" s="3" t="s">
        <v>23</v>
      </c>
      <c r="T81" s="191"/>
    </row>
    <row r="82" spans="1:20" ht="22.2" hidden="1" thickBot="1" x14ac:dyDescent="0.35">
      <c r="A82" s="182"/>
      <c r="B82" s="42" t="s">
        <v>20</v>
      </c>
      <c r="C82" s="43" t="s">
        <v>267</v>
      </c>
      <c r="D82" s="44" t="s">
        <v>423</v>
      </c>
      <c r="E82" s="42" t="s">
        <v>29</v>
      </c>
      <c r="F82" s="45" t="s">
        <v>384</v>
      </c>
      <c r="G82" s="42" t="s">
        <v>368</v>
      </c>
      <c r="H82" s="45" t="s">
        <v>422</v>
      </c>
      <c r="I82" s="47" t="s">
        <v>22</v>
      </c>
      <c r="J82" s="3">
        <v>0.7</v>
      </c>
      <c r="K82" s="311" t="s">
        <v>395</v>
      </c>
      <c r="L82" s="21" t="s">
        <v>396</v>
      </c>
      <c r="M82" s="21" t="s">
        <v>397</v>
      </c>
      <c r="N82" s="24">
        <v>0.9</v>
      </c>
      <c r="O82" s="24">
        <v>0.12</v>
      </c>
      <c r="P82" s="51"/>
      <c r="Q82" s="3">
        <f t="shared" si="3"/>
        <v>0</v>
      </c>
      <c r="R82" s="4">
        <f t="shared" si="2"/>
        <v>0</v>
      </c>
      <c r="S82" s="3" t="s">
        <v>23</v>
      </c>
      <c r="T82" s="191"/>
    </row>
    <row r="83" spans="1:20" ht="22.2" hidden="1" thickBot="1" x14ac:dyDescent="0.35">
      <c r="A83" s="182"/>
      <c r="B83" s="42" t="s">
        <v>20</v>
      </c>
      <c r="C83" s="43" t="s">
        <v>267</v>
      </c>
      <c r="D83" s="44" t="s">
        <v>423</v>
      </c>
      <c r="E83" s="42" t="s">
        <v>29</v>
      </c>
      <c r="F83" s="45" t="s">
        <v>384</v>
      </c>
      <c r="G83" s="42" t="s">
        <v>368</v>
      </c>
      <c r="H83" s="45" t="s">
        <v>422</v>
      </c>
      <c r="I83" s="47" t="s">
        <v>22</v>
      </c>
      <c r="J83" s="3">
        <v>0.7</v>
      </c>
      <c r="K83" s="311" t="s">
        <v>398</v>
      </c>
      <c r="L83" s="21" t="s">
        <v>399</v>
      </c>
      <c r="M83" s="21" t="s">
        <v>400</v>
      </c>
      <c r="N83" s="24">
        <v>1</v>
      </c>
      <c r="O83" s="24">
        <v>0.05</v>
      </c>
      <c r="P83" s="3"/>
      <c r="Q83" s="3">
        <f t="shared" si="3"/>
        <v>0</v>
      </c>
      <c r="R83" s="4">
        <f t="shared" si="2"/>
        <v>0</v>
      </c>
      <c r="S83" s="3" t="s">
        <v>23</v>
      </c>
      <c r="T83" s="191"/>
    </row>
    <row r="84" spans="1:20" ht="22.2" hidden="1" thickBot="1" x14ac:dyDescent="0.35">
      <c r="A84" s="219"/>
      <c r="B84" s="220" t="s">
        <v>20</v>
      </c>
      <c r="C84" s="221" t="s">
        <v>267</v>
      </c>
      <c r="D84" s="222" t="s">
        <v>423</v>
      </c>
      <c r="E84" s="220" t="s">
        <v>29</v>
      </c>
      <c r="F84" s="223" t="s">
        <v>384</v>
      </c>
      <c r="G84" s="220" t="s">
        <v>368</v>
      </c>
      <c r="H84" s="223" t="s">
        <v>422</v>
      </c>
      <c r="I84" s="224" t="s">
        <v>26</v>
      </c>
      <c r="J84" s="225">
        <v>0.3</v>
      </c>
      <c r="K84" s="320" t="s">
        <v>519</v>
      </c>
      <c r="L84" s="321" t="s">
        <v>517</v>
      </c>
      <c r="M84" s="321"/>
      <c r="N84" s="226">
        <v>0.7</v>
      </c>
      <c r="O84" s="226">
        <v>0.3</v>
      </c>
      <c r="P84" s="225"/>
      <c r="Q84" s="225">
        <f t="shared" si="3"/>
        <v>0</v>
      </c>
      <c r="R84" s="228">
        <f t="shared" si="2"/>
        <v>0</v>
      </c>
      <c r="S84" s="229" t="s">
        <v>23</v>
      </c>
      <c r="T84" s="230"/>
    </row>
    <row r="85" spans="1:20" ht="22.2" hidden="1" thickBot="1" x14ac:dyDescent="0.35">
      <c r="A85" s="197"/>
      <c r="B85" s="33" t="s">
        <v>20</v>
      </c>
      <c r="C85" s="34" t="s">
        <v>267</v>
      </c>
      <c r="D85" s="35" t="s">
        <v>423</v>
      </c>
      <c r="E85" s="33" t="s">
        <v>29</v>
      </c>
      <c r="F85" s="36" t="s">
        <v>384</v>
      </c>
      <c r="G85" s="33" t="s">
        <v>368</v>
      </c>
      <c r="H85" s="36" t="s">
        <v>422</v>
      </c>
      <c r="I85" s="37" t="s">
        <v>26</v>
      </c>
      <c r="J85" s="231">
        <v>0.3</v>
      </c>
      <c r="K85" s="322" t="s">
        <v>521</v>
      </c>
      <c r="L85" s="323" t="s">
        <v>518</v>
      </c>
      <c r="M85" s="323"/>
      <c r="N85" s="253">
        <v>0.8</v>
      </c>
      <c r="O85" s="253">
        <v>0.2</v>
      </c>
      <c r="P85" s="231"/>
      <c r="Q85" s="231">
        <f>ROUND(IF(OR(N85="",P85=""),0,IF(AND(N85=0,P85=0),1,IF(S85="+",P85/N85,N85/P85))),2)</f>
        <v>0</v>
      </c>
      <c r="R85" s="232">
        <f>IF(AND(Q85&gt;=60%,Q85&lt;100%),Q85*((O85*J85)),IF(Q85=100%,((O85*J85)*Q85)*100%,IF(Q85&gt;100%,((J85*O85)*100%)*100%,0)))*100</f>
        <v>0</v>
      </c>
      <c r="S85" s="233" t="s">
        <v>23</v>
      </c>
      <c r="T85" s="252"/>
    </row>
    <row r="86" spans="1:20" ht="22.2" hidden="1" thickBot="1" x14ac:dyDescent="0.35">
      <c r="A86" s="219"/>
      <c r="B86" s="220" t="s">
        <v>20</v>
      </c>
      <c r="C86" s="221" t="s">
        <v>267</v>
      </c>
      <c r="D86" s="222" t="s">
        <v>423</v>
      </c>
      <c r="E86" s="220" t="s">
        <v>29</v>
      </c>
      <c r="F86" s="223" t="s">
        <v>384</v>
      </c>
      <c r="G86" s="220" t="s">
        <v>368</v>
      </c>
      <c r="H86" s="223" t="s">
        <v>422</v>
      </c>
      <c r="I86" s="224" t="s">
        <v>26</v>
      </c>
      <c r="J86" s="225">
        <v>0.3</v>
      </c>
      <c r="K86" s="320" t="s">
        <v>424</v>
      </c>
      <c r="L86" s="321" t="s">
        <v>543</v>
      </c>
      <c r="M86" s="321"/>
      <c r="N86" s="226">
        <v>1</v>
      </c>
      <c r="O86" s="226">
        <v>0.1</v>
      </c>
      <c r="P86" s="225"/>
      <c r="Q86" s="225">
        <f t="shared" si="3"/>
        <v>0</v>
      </c>
      <c r="R86" s="228">
        <f t="shared" si="2"/>
        <v>0</v>
      </c>
      <c r="S86" s="229" t="s">
        <v>23</v>
      </c>
      <c r="T86" s="230"/>
    </row>
    <row r="87" spans="1:20" ht="22.2" hidden="1" thickBot="1" x14ac:dyDescent="0.35">
      <c r="A87" s="197"/>
      <c r="B87" s="33" t="s">
        <v>20</v>
      </c>
      <c r="C87" s="34" t="s">
        <v>267</v>
      </c>
      <c r="D87" s="35" t="s">
        <v>423</v>
      </c>
      <c r="E87" s="33" t="s">
        <v>29</v>
      </c>
      <c r="F87" s="36" t="s">
        <v>384</v>
      </c>
      <c r="G87" s="33" t="s">
        <v>368</v>
      </c>
      <c r="H87" s="36" t="s">
        <v>422</v>
      </c>
      <c r="I87" s="37" t="s">
        <v>26</v>
      </c>
      <c r="J87" s="231">
        <v>0.3</v>
      </c>
      <c r="K87" s="322" t="s">
        <v>425</v>
      </c>
      <c r="L87" s="323" t="s">
        <v>516</v>
      </c>
      <c r="M87" s="323"/>
      <c r="N87" s="253">
        <v>1</v>
      </c>
      <c r="O87" s="253">
        <v>0.2</v>
      </c>
      <c r="P87" s="231"/>
      <c r="Q87" s="231">
        <f t="shared" si="3"/>
        <v>0</v>
      </c>
      <c r="R87" s="232">
        <f t="shared" si="2"/>
        <v>0</v>
      </c>
      <c r="S87" s="233" t="s">
        <v>23</v>
      </c>
      <c r="T87" s="252"/>
    </row>
    <row r="88" spans="1:20" ht="22.2" hidden="1" thickBot="1" x14ac:dyDescent="0.35">
      <c r="A88" s="267"/>
      <c r="B88" s="268" t="s">
        <v>20</v>
      </c>
      <c r="C88" s="269" t="s">
        <v>267</v>
      </c>
      <c r="D88" s="270" t="s">
        <v>423</v>
      </c>
      <c r="E88" s="268" t="s">
        <v>29</v>
      </c>
      <c r="F88" s="271" t="s">
        <v>384</v>
      </c>
      <c r="G88" s="268" t="s">
        <v>368</v>
      </c>
      <c r="H88" s="271" t="s">
        <v>422</v>
      </c>
      <c r="I88" s="272" t="s">
        <v>26</v>
      </c>
      <c r="J88" s="273">
        <v>0.3</v>
      </c>
      <c r="K88" s="330" t="s">
        <v>477</v>
      </c>
      <c r="L88" s="331" t="s">
        <v>426</v>
      </c>
      <c r="M88" s="331"/>
      <c r="N88" s="274">
        <v>0.7</v>
      </c>
      <c r="O88" s="274">
        <v>0.2</v>
      </c>
      <c r="P88" s="273"/>
      <c r="Q88" s="273">
        <f t="shared" si="3"/>
        <v>0</v>
      </c>
      <c r="R88" s="275">
        <f t="shared" si="2"/>
        <v>0</v>
      </c>
      <c r="S88" s="276" t="s">
        <v>23</v>
      </c>
      <c r="T88" s="277"/>
    </row>
    <row r="89" spans="1:20" ht="22.2" hidden="1" thickBot="1" x14ac:dyDescent="0.35">
      <c r="A89" s="242"/>
      <c r="B89" s="243" t="s">
        <v>20</v>
      </c>
      <c r="C89" s="244" t="s">
        <v>267</v>
      </c>
      <c r="D89" s="245" t="s">
        <v>427</v>
      </c>
      <c r="E89" s="243" t="s">
        <v>367</v>
      </c>
      <c r="F89" s="246" t="s">
        <v>384</v>
      </c>
      <c r="G89" s="243" t="s">
        <v>545</v>
      </c>
      <c r="H89" s="246" t="s">
        <v>469</v>
      </c>
      <c r="I89" s="247" t="s">
        <v>22</v>
      </c>
      <c r="J89" s="248">
        <v>0.7</v>
      </c>
      <c r="K89" s="314" t="s">
        <v>512</v>
      </c>
      <c r="L89" s="315" t="s">
        <v>510</v>
      </c>
      <c r="M89" s="332" t="s">
        <v>408</v>
      </c>
      <c r="N89" s="278">
        <v>0.95</v>
      </c>
      <c r="O89" s="79">
        <v>0.18</v>
      </c>
      <c r="P89" s="248"/>
      <c r="Q89" s="248">
        <f t="shared" si="3"/>
        <v>0</v>
      </c>
      <c r="R89" s="250">
        <f t="shared" si="2"/>
        <v>0</v>
      </c>
      <c r="S89" s="248" t="s">
        <v>23</v>
      </c>
      <c r="T89" s="251">
        <f>SUM(R89:R99)%</f>
        <v>0</v>
      </c>
    </row>
    <row r="90" spans="1:20" ht="22.2" hidden="1" thickBot="1" x14ac:dyDescent="0.35">
      <c r="A90" s="182"/>
      <c r="B90" s="42" t="s">
        <v>20</v>
      </c>
      <c r="C90" s="43" t="s">
        <v>267</v>
      </c>
      <c r="D90" s="44" t="s">
        <v>427</v>
      </c>
      <c r="E90" s="42" t="s">
        <v>367</v>
      </c>
      <c r="F90" s="45" t="s">
        <v>384</v>
      </c>
      <c r="G90" s="42" t="s">
        <v>545</v>
      </c>
      <c r="H90" s="45" t="s">
        <v>469</v>
      </c>
      <c r="I90" s="47" t="s">
        <v>22</v>
      </c>
      <c r="J90" s="3">
        <v>0.7</v>
      </c>
      <c r="K90" s="47" t="s">
        <v>513</v>
      </c>
      <c r="L90" s="317" t="s">
        <v>511</v>
      </c>
      <c r="M90" s="21" t="s">
        <v>411</v>
      </c>
      <c r="N90" s="24">
        <v>0.95</v>
      </c>
      <c r="O90" s="24">
        <v>0.18</v>
      </c>
      <c r="P90" s="3"/>
      <c r="Q90" s="3">
        <f t="shared" si="3"/>
        <v>0</v>
      </c>
      <c r="R90" s="4">
        <f t="shared" si="2"/>
        <v>0</v>
      </c>
      <c r="S90" s="3" t="s">
        <v>23</v>
      </c>
      <c r="T90" s="191"/>
    </row>
    <row r="91" spans="1:20" ht="22.2" hidden="1" thickBot="1" x14ac:dyDescent="0.35">
      <c r="A91" s="182"/>
      <c r="B91" s="42" t="s">
        <v>20</v>
      </c>
      <c r="C91" s="43" t="s">
        <v>267</v>
      </c>
      <c r="D91" s="44" t="s">
        <v>427</v>
      </c>
      <c r="E91" s="42" t="s">
        <v>367</v>
      </c>
      <c r="F91" s="45" t="s">
        <v>384</v>
      </c>
      <c r="G91" s="42" t="s">
        <v>545</v>
      </c>
      <c r="H91" s="45" t="s">
        <v>469</v>
      </c>
      <c r="I91" s="47" t="s">
        <v>22</v>
      </c>
      <c r="J91" s="3">
        <v>0.7</v>
      </c>
      <c r="K91" s="311" t="s">
        <v>412</v>
      </c>
      <c r="L91" s="21" t="s">
        <v>413</v>
      </c>
      <c r="M91" s="21" t="s">
        <v>380</v>
      </c>
      <c r="N91" s="24">
        <v>0.7</v>
      </c>
      <c r="O91" s="24">
        <v>7.0000000000000007E-2</v>
      </c>
      <c r="P91" s="3"/>
      <c r="Q91" s="3">
        <f t="shared" si="3"/>
        <v>0</v>
      </c>
      <c r="R91" s="4">
        <f t="shared" si="2"/>
        <v>0</v>
      </c>
      <c r="S91" s="3" t="s">
        <v>23</v>
      </c>
      <c r="T91" s="191"/>
    </row>
    <row r="92" spans="1:20" ht="22.2" hidden="1" thickBot="1" x14ac:dyDescent="0.35">
      <c r="A92" s="182"/>
      <c r="B92" s="42" t="s">
        <v>20</v>
      </c>
      <c r="C92" s="43" t="s">
        <v>267</v>
      </c>
      <c r="D92" s="44" t="s">
        <v>427</v>
      </c>
      <c r="E92" s="42" t="s">
        <v>367</v>
      </c>
      <c r="F92" s="45" t="s">
        <v>384</v>
      </c>
      <c r="G92" s="42" t="s">
        <v>545</v>
      </c>
      <c r="H92" s="45" t="s">
        <v>469</v>
      </c>
      <c r="I92" s="47" t="s">
        <v>22</v>
      </c>
      <c r="J92" s="3">
        <v>0.7</v>
      </c>
      <c r="K92" s="311" t="s">
        <v>387</v>
      </c>
      <c r="L92" s="21" t="s">
        <v>388</v>
      </c>
      <c r="M92" s="21" t="s">
        <v>377</v>
      </c>
      <c r="N92" s="24">
        <v>0.05</v>
      </c>
      <c r="O92" s="24">
        <v>0.08</v>
      </c>
      <c r="P92" s="3"/>
      <c r="Q92" s="3">
        <f t="shared" si="3"/>
        <v>0</v>
      </c>
      <c r="R92" s="4">
        <f t="shared" si="2"/>
        <v>0</v>
      </c>
      <c r="S92" s="3" t="s">
        <v>23</v>
      </c>
      <c r="T92" s="191"/>
    </row>
    <row r="93" spans="1:20" ht="22.2" hidden="1" thickBot="1" x14ac:dyDescent="0.35">
      <c r="A93" s="182"/>
      <c r="B93" s="42" t="s">
        <v>20</v>
      </c>
      <c r="C93" s="43" t="s">
        <v>267</v>
      </c>
      <c r="D93" s="44" t="s">
        <v>427</v>
      </c>
      <c r="E93" s="42" t="s">
        <v>367</v>
      </c>
      <c r="F93" s="45" t="s">
        <v>384</v>
      </c>
      <c r="G93" s="42" t="s">
        <v>545</v>
      </c>
      <c r="H93" s="45" t="s">
        <v>469</v>
      </c>
      <c r="I93" s="47" t="s">
        <v>22</v>
      </c>
      <c r="J93" s="3">
        <v>0.7</v>
      </c>
      <c r="K93" s="311" t="s">
        <v>378</v>
      </c>
      <c r="L93" s="21" t="s">
        <v>389</v>
      </c>
      <c r="M93" s="21" t="s">
        <v>379</v>
      </c>
      <c r="N93" s="24">
        <v>1</v>
      </c>
      <c r="O93" s="24">
        <v>7.0000000000000007E-2</v>
      </c>
      <c r="P93" s="3"/>
      <c r="Q93" s="3">
        <f t="shared" si="3"/>
        <v>0</v>
      </c>
      <c r="R93" s="4">
        <f t="shared" si="2"/>
        <v>0</v>
      </c>
      <c r="S93" s="3" t="s">
        <v>23</v>
      </c>
      <c r="T93" s="191"/>
    </row>
    <row r="94" spans="1:20" ht="22.2" hidden="1" thickBot="1" x14ac:dyDescent="0.35">
      <c r="A94" s="182"/>
      <c r="B94" s="42" t="s">
        <v>20</v>
      </c>
      <c r="C94" s="43" t="s">
        <v>267</v>
      </c>
      <c r="D94" s="44" t="s">
        <v>427</v>
      </c>
      <c r="E94" s="42" t="s">
        <v>367</v>
      </c>
      <c r="F94" s="45" t="s">
        <v>384</v>
      </c>
      <c r="G94" s="42" t="s">
        <v>545</v>
      </c>
      <c r="H94" s="45" t="s">
        <v>469</v>
      </c>
      <c r="I94" s="47" t="s">
        <v>22</v>
      </c>
      <c r="J94" s="3">
        <v>0.7</v>
      </c>
      <c r="K94" s="311" t="s">
        <v>390</v>
      </c>
      <c r="L94" s="21" t="s">
        <v>391</v>
      </c>
      <c r="M94" s="21" t="s">
        <v>382</v>
      </c>
      <c r="N94" s="24">
        <v>0.05</v>
      </c>
      <c r="O94" s="24">
        <v>0.18</v>
      </c>
      <c r="P94" s="3"/>
      <c r="Q94" s="3">
        <f t="shared" si="3"/>
        <v>0</v>
      </c>
      <c r="R94" s="4">
        <f t="shared" si="2"/>
        <v>0</v>
      </c>
      <c r="S94" s="3" t="s">
        <v>24</v>
      </c>
      <c r="T94" s="191"/>
    </row>
    <row r="95" spans="1:20" ht="22.2" hidden="1" thickBot="1" x14ac:dyDescent="0.35">
      <c r="A95" s="182"/>
      <c r="B95" s="42" t="s">
        <v>20</v>
      </c>
      <c r="C95" s="43" t="s">
        <v>267</v>
      </c>
      <c r="D95" s="44" t="s">
        <v>427</v>
      </c>
      <c r="E95" s="42" t="s">
        <v>367</v>
      </c>
      <c r="F95" s="45" t="s">
        <v>384</v>
      </c>
      <c r="G95" s="42" t="s">
        <v>545</v>
      </c>
      <c r="H95" s="45" t="s">
        <v>469</v>
      </c>
      <c r="I95" s="47" t="s">
        <v>22</v>
      </c>
      <c r="J95" s="3">
        <v>0.7</v>
      </c>
      <c r="K95" s="311" t="s">
        <v>392</v>
      </c>
      <c r="L95" s="21" t="s">
        <v>393</v>
      </c>
      <c r="M95" s="21" t="s">
        <v>394</v>
      </c>
      <c r="N95" s="24">
        <v>0.05</v>
      </c>
      <c r="O95" s="24">
        <v>0.1</v>
      </c>
      <c r="P95" s="3"/>
      <c r="Q95" s="3">
        <f t="shared" si="3"/>
        <v>0</v>
      </c>
      <c r="R95" s="4">
        <f t="shared" si="2"/>
        <v>0</v>
      </c>
      <c r="S95" s="3" t="s">
        <v>23</v>
      </c>
      <c r="T95" s="191"/>
    </row>
    <row r="96" spans="1:20" ht="22.2" hidden="1" thickBot="1" x14ac:dyDescent="0.35">
      <c r="A96" s="182"/>
      <c r="B96" s="42" t="s">
        <v>20</v>
      </c>
      <c r="C96" s="43" t="s">
        <v>267</v>
      </c>
      <c r="D96" s="44" t="s">
        <v>427</v>
      </c>
      <c r="E96" s="42" t="s">
        <v>367</v>
      </c>
      <c r="F96" s="45" t="s">
        <v>384</v>
      </c>
      <c r="G96" s="42" t="s">
        <v>545</v>
      </c>
      <c r="H96" s="45" t="s">
        <v>469</v>
      </c>
      <c r="I96" s="47" t="s">
        <v>22</v>
      </c>
      <c r="J96" s="3">
        <v>0.7</v>
      </c>
      <c r="K96" s="311" t="s">
        <v>395</v>
      </c>
      <c r="L96" s="21" t="s">
        <v>396</v>
      </c>
      <c r="M96" s="21" t="s">
        <v>397</v>
      </c>
      <c r="N96" s="24">
        <v>0.9</v>
      </c>
      <c r="O96" s="24">
        <v>0.12</v>
      </c>
      <c r="P96" s="3"/>
      <c r="Q96" s="3">
        <f t="shared" si="3"/>
        <v>0</v>
      </c>
      <c r="R96" s="4">
        <f t="shared" si="2"/>
        <v>0</v>
      </c>
      <c r="S96" s="3" t="s">
        <v>23</v>
      </c>
      <c r="T96" s="191"/>
    </row>
    <row r="97" spans="1:20" ht="22.2" hidden="1" thickBot="1" x14ac:dyDescent="0.35">
      <c r="A97" s="182"/>
      <c r="B97" s="42" t="s">
        <v>20</v>
      </c>
      <c r="C97" s="43" t="s">
        <v>267</v>
      </c>
      <c r="D97" s="44" t="s">
        <v>427</v>
      </c>
      <c r="E97" s="42" t="s">
        <v>367</v>
      </c>
      <c r="F97" s="45" t="s">
        <v>384</v>
      </c>
      <c r="G97" s="42" t="s">
        <v>545</v>
      </c>
      <c r="H97" s="45" t="s">
        <v>469</v>
      </c>
      <c r="I97" s="47" t="s">
        <v>22</v>
      </c>
      <c r="J97" s="3">
        <v>0.7</v>
      </c>
      <c r="K97" s="311" t="s">
        <v>398</v>
      </c>
      <c r="L97" s="21" t="s">
        <v>399</v>
      </c>
      <c r="M97" s="21" t="s">
        <v>400</v>
      </c>
      <c r="N97" s="24">
        <v>1</v>
      </c>
      <c r="O97" s="24">
        <v>0.02</v>
      </c>
      <c r="P97" s="3"/>
      <c r="Q97" s="3">
        <f t="shared" si="3"/>
        <v>0</v>
      </c>
      <c r="R97" s="4">
        <f t="shared" si="2"/>
        <v>0</v>
      </c>
      <c r="S97" s="3" t="s">
        <v>23</v>
      </c>
      <c r="T97" s="191"/>
    </row>
    <row r="98" spans="1:20" ht="22.2" hidden="1" thickBot="1" x14ac:dyDescent="0.35">
      <c r="A98" s="219"/>
      <c r="B98" s="220" t="s">
        <v>20</v>
      </c>
      <c r="C98" s="221" t="s">
        <v>267</v>
      </c>
      <c r="D98" s="222" t="s">
        <v>427</v>
      </c>
      <c r="E98" s="220" t="s">
        <v>367</v>
      </c>
      <c r="F98" s="223" t="s">
        <v>384</v>
      </c>
      <c r="G98" s="220" t="s">
        <v>545</v>
      </c>
      <c r="H98" s="223" t="s">
        <v>469</v>
      </c>
      <c r="I98" s="224" t="s">
        <v>26</v>
      </c>
      <c r="J98" s="225">
        <v>0.3</v>
      </c>
      <c r="K98" s="320" t="s">
        <v>479</v>
      </c>
      <c r="L98" s="321" t="s">
        <v>490</v>
      </c>
      <c r="M98" s="321"/>
      <c r="N98" s="226">
        <v>1</v>
      </c>
      <c r="O98" s="226">
        <v>0.5</v>
      </c>
      <c r="P98" s="225"/>
      <c r="Q98" s="225">
        <f t="shared" si="3"/>
        <v>0</v>
      </c>
      <c r="R98" s="228">
        <f t="shared" si="2"/>
        <v>0</v>
      </c>
      <c r="S98" s="229" t="s">
        <v>23</v>
      </c>
      <c r="T98" s="230"/>
    </row>
    <row r="99" spans="1:20" ht="22.2" hidden="1" thickBot="1" x14ac:dyDescent="0.35">
      <c r="A99" s="279"/>
      <c r="B99" s="33" t="s">
        <v>20</v>
      </c>
      <c r="C99" s="34" t="s">
        <v>267</v>
      </c>
      <c r="D99" s="35" t="s">
        <v>427</v>
      </c>
      <c r="E99" s="33" t="s">
        <v>367</v>
      </c>
      <c r="F99" s="36" t="s">
        <v>384</v>
      </c>
      <c r="G99" s="33" t="s">
        <v>545</v>
      </c>
      <c r="H99" s="36" t="s">
        <v>469</v>
      </c>
      <c r="I99" s="37" t="s">
        <v>26</v>
      </c>
      <c r="J99" s="231">
        <v>0.3</v>
      </c>
      <c r="K99" s="322" t="s">
        <v>480</v>
      </c>
      <c r="L99" s="323" t="s">
        <v>485</v>
      </c>
      <c r="M99" s="333"/>
      <c r="N99" s="253">
        <v>1</v>
      </c>
      <c r="O99" s="280">
        <v>0.5</v>
      </c>
      <c r="P99" s="281"/>
      <c r="Q99" s="231">
        <f t="shared" si="3"/>
        <v>0</v>
      </c>
      <c r="R99" s="232">
        <f t="shared" si="2"/>
        <v>0</v>
      </c>
      <c r="S99" s="233" t="s">
        <v>23</v>
      </c>
      <c r="T99" s="282"/>
    </row>
    <row r="100" spans="1:20" ht="22.2" hidden="1" thickBot="1" x14ac:dyDescent="0.35">
      <c r="A100" s="181"/>
      <c r="B100" s="71" t="s">
        <v>20</v>
      </c>
      <c r="C100" s="72" t="s">
        <v>267</v>
      </c>
      <c r="D100" s="73" t="s">
        <v>428</v>
      </c>
      <c r="E100" s="71" t="s">
        <v>31</v>
      </c>
      <c r="F100" s="74" t="s">
        <v>384</v>
      </c>
      <c r="G100" s="71" t="s">
        <v>544</v>
      </c>
      <c r="H100" s="74" t="s">
        <v>429</v>
      </c>
      <c r="I100" s="95" t="s">
        <v>22</v>
      </c>
      <c r="J100" s="76">
        <v>0.7</v>
      </c>
      <c r="K100" s="326" t="s">
        <v>512</v>
      </c>
      <c r="L100" s="327" t="s">
        <v>510</v>
      </c>
      <c r="M100" s="310" t="s">
        <v>408</v>
      </c>
      <c r="N100" s="79">
        <v>0.95</v>
      </c>
      <c r="O100" s="79">
        <v>0.15</v>
      </c>
      <c r="P100" s="169"/>
      <c r="Q100" s="76">
        <f t="shared" si="3"/>
        <v>0</v>
      </c>
      <c r="R100" s="80">
        <f t="shared" si="2"/>
        <v>0</v>
      </c>
      <c r="S100" s="76" t="s">
        <v>23</v>
      </c>
      <c r="T100" s="189">
        <f>SUM(R100:R113)%</f>
        <v>0</v>
      </c>
    </row>
    <row r="101" spans="1:20" ht="22.2" hidden="1" thickBot="1" x14ac:dyDescent="0.35">
      <c r="A101" s="182"/>
      <c r="B101" s="42" t="s">
        <v>20</v>
      </c>
      <c r="C101" s="43" t="s">
        <v>267</v>
      </c>
      <c r="D101" s="44" t="s">
        <v>428</v>
      </c>
      <c r="E101" s="42" t="s">
        <v>31</v>
      </c>
      <c r="F101" s="45" t="s">
        <v>384</v>
      </c>
      <c r="G101" s="42" t="s">
        <v>544</v>
      </c>
      <c r="H101" s="45" t="s">
        <v>429</v>
      </c>
      <c r="I101" s="47" t="s">
        <v>22</v>
      </c>
      <c r="J101" s="3">
        <v>0.7</v>
      </c>
      <c r="K101" s="47" t="s">
        <v>513</v>
      </c>
      <c r="L101" s="317" t="s">
        <v>511</v>
      </c>
      <c r="M101" s="21" t="s">
        <v>411</v>
      </c>
      <c r="N101" s="24">
        <v>0.95</v>
      </c>
      <c r="O101" s="24">
        <v>0.15</v>
      </c>
      <c r="P101" s="51"/>
      <c r="Q101" s="3">
        <f t="shared" si="3"/>
        <v>0</v>
      </c>
      <c r="R101" s="4">
        <f t="shared" si="2"/>
        <v>0</v>
      </c>
      <c r="S101" s="3" t="s">
        <v>23</v>
      </c>
      <c r="T101" s="191"/>
    </row>
    <row r="102" spans="1:20" ht="22.2" hidden="1" thickBot="1" x14ac:dyDescent="0.35">
      <c r="A102" s="182"/>
      <c r="B102" s="42" t="s">
        <v>20</v>
      </c>
      <c r="C102" s="43" t="s">
        <v>267</v>
      </c>
      <c r="D102" s="44" t="s">
        <v>428</v>
      </c>
      <c r="E102" s="42" t="s">
        <v>31</v>
      </c>
      <c r="F102" s="45" t="s">
        <v>384</v>
      </c>
      <c r="G102" s="42" t="s">
        <v>544</v>
      </c>
      <c r="H102" s="45" t="s">
        <v>429</v>
      </c>
      <c r="I102" s="47" t="s">
        <v>22</v>
      </c>
      <c r="J102" s="3">
        <v>0.7</v>
      </c>
      <c r="K102" s="311" t="s">
        <v>412</v>
      </c>
      <c r="L102" s="21" t="s">
        <v>413</v>
      </c>
      <c r="M102" s="21" t="s">
        <v>380</v>
      </c>
      <c r="N102" s="24">
        <v>0.7</v>
      </c>
      <c r="O102" s="24">
        <v>0.15</v>
      </c>
      <c r="P102" s="3"/>
      <c r="Q102" s="3">
        <f t="shared" si="3"/>
        <v>0</v>
      </c>
      <c r="R102" s="4">
        <f t="shared" si="2"/>
        <v>0</v>
      </c>
      <c r="S102" s="3" t="s">
        <v>23</v>
      </c>
      <c r="T102" s="191"/>
    </row>
    <row r="103" spans="1:20" ht="22.2" hidden="1" thickBot="1" x14ac:dyDescent="0.35">
      <c r="A103" s="182"/>
      <c r="B103" s="42" t="s">
        <v>20</v>
      </c>
      <c r="C103" s="43" t="s">
        <v>267</v>
      </c>
      <c r="D103" s="44" t="s">
        <v>428</v>
      </c>
      <c r="E103" s="42" t="s">
        <v>31</v>
      </c>
      <c r="F103" s="45" t="s">
        <v>384</v>
      </c>
      <c r="G103" s="42" t="s">
        <v>544</v>
      </c>
      <c r="H103" s="45" t="s">
        <v>429</v>
      </c>
      <c r="I103" s="47" t="s">
        <v>22</v>
      </c>
      <c r="J103" s="3">
        <v>0.7</v>
      </c>
      <c r="K103" s="311" t="s">
        <v>387</v>
      </c>
      <c r="L103" s="21" t="s">
        <v>388</v>
      </c>
      <c r="M103" s="21" t="s">
        <v>377</v>
      </c>
      <c r="N103" s="24">
        <v>0.05</v>
      </c>
      <c r="O103" s="24">
        <v>0.15</v>
      </c>
      <c r="P103" s="3"/>
      <c r="Q103" s="3">
        <f t="shared" si="3"/>
        <v>0</v>
      </c>
      <c r="R103" s="4">
        <f t="shared" si="2"/>
        <v>0</v>
      </c>
      <c r="S103" s="3" t="s">
        <v>23</v>
      </c>
      <c r="T103" s="191"/>
    </row>
    <row r="104" spans="1:20" ht="22.2" hidden="1" thickBot="1" x14ac:dyDescent="0.35">
      <c r="A104" s="182"/>
      <c r="B104" s="42" t="s">
        <v>20</v>
      </c>
      <c r="C104" s="43" t="s">
        <v>267</v>
      </c>
      <c r="D104" s="44" t="s">
        <v>428</v>
      </c>
      <c r="E104" s="42" t="s">
        <v>31</v>
      </c>
      <c r="F104" s="45" t="s">
        <v>384</v>
      </c>
      <c r="G104" s="42" t="s">
        <v>544</v>
      </c>
      <c r="H104" s="45" t="s">
        <v>429</v>
      </c>
      <c r="I104" s="47" t="s">
        <v>22</v>
      </c>
      <c r="J104" s="3">
        <v>0.7</v>
      </c>
      <c r="K104" s="311" t="s">
        <v>378</v>
      </c>
      <c r="L104" s="21" t="s">
        <v>389</v>
      </c>
      <c r="M104" s="21" t="s">
        <v>379</v>
      </c>
      <c r="N104" s="24">
        <v>1</v>
      </c>
      <c r="O104" s="24">
        <v>0.15</v>
      </c>
      <c r="P104" s="3"/>
      <c r="Q104" s="3">
        <f t="shared" si="3"/>
        <v>0</v>
      </c>
      <c r="R104" s="4">
        <f t="shared" si="2"/>
        <v>0</v>
      </c>
      <c r="S104" s="3" t="s">
        <v>23</v>
      </c>
      <c r="T104" s="191"/>
    </row>
    <row r="105" spans="1:20" ht="22.2" hidden="1" thickBot="1" x14ac:dyDescent="0.35">
      <c r="A105" s="182"/>
      <c r="B105" s="42" t="s">
        <v>20</v>
      </c>
      <c r="C105" s="43" t="s">
        <v>267</v>
      </c>
      <c r="D105" s="44" t="s">
        <v>428</v>
      </c>
      <c r="E105" s="42" t="s">
        <v>31</v>
      </c>
      <c r="F105" s="45" t="s">
        <v>384</v>
      </c>
      <c r="G105" s="42" t="s">
        <v>544</v>
      </c>
      <c r="H105" s="45" t="s">
        <v>429</v>
      </c>
      <c r="I105" s="47" t="s">
        <v>22</v>
      </c>
      <c r="J105" s="3">
        <v>0.7</v>
      </c>
      <c r="K105" s="311" t="s">
        <v>395</v>
      </c>
      <c r="L105" s="21" t="s">
        <v>396</v>
      </c>
      <c r="M105" s="21" t="s">
        <v>397</v>
      </c>
      <c r="N105" s="24">
        <v>0.9</v>
      </c>
      <c r="O105" s="24">
        <v>0.15</v>
      </c>
      <c r="P105" s="51"/>
      <c r="Q105" s="3">
        <f t="shared" si="3"/>
        <v>0</v>
      </c>
      <c r="R105" s="4">
        <f t="shared" si="2"/>
        <v>0</v>
      </c>
      <c r="S105" s="3" t="s">
        <v>23</v>
      </c>
      <c r="T105" s="191"/>
    </row>
    <row r="106" spans="1:20" ht="22.2" hidden="1" thickBot="1" x14ac:dyDescent="0.35">
      <c r="A106" s="182"/>
      <c r="B106" s="42" t="s">
        <v>20</v>
      </c>
      <c r="C106" s="43" t="s">
        <v>267</v>
      </c>
      <c r="D106" s="44" t="s">
        <v>428</v>
      </c>
      <c r="E106" s="42" t="s">
        <v>31</v>
      </c>
      <c r="F106" s="45" t="s">
        <v>384</v>
      </c>
      <c r="G106" s="42" t="s">
        <v>544</v>
      </c>
      <c r="H106" s="45" t="s">
        <v>429</v>
      </c>
      <c r="I106" s="47" t="s">
        <v>22</v>
      </c>
      <c r="J106" s="3">
        <v>0.7</v>
      </c>
      <c r="K106" s="311" t="s">
        <v>398</v>
      </c>
      <c r="L106" s="21" t="s">
        <v>399</v>
      </c>
      <c r="M106" s="21" t="s">
        <v>400</v>
      </c>
      <c r="N106" s="24">
        <v>1</v>
      </c>
      <c r="O106" s="24">
        <v>0.1</v>
      </c>
      <c r="P106" s="3"/>
      <c r="Q106" s="3">
        <f t="shared" si="3"/>
        <v>0</v>
      </c>
      <c r="R106" s="4">
        <f t="shared" si="2"/>
        <v>0</v>
      </c>
      <c r="S106" s="3" t="s">
        <v>23</v>
      </c>
      <c r="T106" s="191"/>
    </row>
    <row r="107" spans="1:20" ht="22.2" hidden="1" thickBot="1" x14ac:dyDescent="0.35">
      <c r="A107" s="197"/>
      <c r="B107" s="33" t="s">
        <v>20</v>
      </c>
      <c r="C107" s="34" t="s">
        <v>267</v>
      </c>
      <c r="D107" s="35" t="s">
        <v>428</v>
      </c>
      <c r="E107" s="33" t="s">
        <v>31</v>
      </c>
      <c r="F107" s="36" t="s">
        <v>384</v>
      </c>
      <c r="G107" s="33" t="s">
        <v>544</v>
      </c>
      <c r="H107" s="36" t="s">
        <v>429</v>
      </c>
      <c r="I107" s="37" t="s">
        <v>26</v>
      </c>
      <c r="J107" s="231">
        <v>0.3</v>
      </c>
      <c r="K107" s="322" t="s">
        <v>546</v>
      </c>
      <c r="L107" s="323" t="s">
        <v>529</v>
      </c>
      <c r="M107" s="323"/>
      <c r="N107" s="253">
        <v>1</v>
      </c>
      <c r="O107" s="253">
        <v>0.1</v>
      </c>
      <c r="P107" s="231"/>
      <c r="Q107" s="231">
        <f t="shared" si="3"/>
        <v>0</v>
      </c>
      <c r="R107" s="232">
        <f t="shared" si="2"/>
        <v>0</v>
      </c>
      <c r="S107" s="233" t="s">
        <v>23</v>
      </c>
      <c r="T107" s="252"/>
    </row>
    <row r="108" spans="1:20" ht="22.2" hidden="1" thickBot="1" x14ac:dyDescent="0.35">
      <c r="A108" s="219"/>
      <c r="B108" s="220" t="s">
        <v>20</v>
      </c>
      <c r="C108" s="221" t="s">
        <v>267</v>
      </c>
      <c r="D108" s="222" t="s">
        <v>428</v>
      </c>
      <c r="E108" s="220" t="s">
        <v>31</v>
      </c>
      <c r="F108" s="223" t="s">
        <v>384</v>
      </c>
      <c r="G108" s="220" t="s">
        <v>544</v>
      </c>
      <c r="H108" s="223" t="s">
        <v>429</v>
      </c>
      <c r="I108" s="224" t="s">
        <v>26</v>
      </c>
      <c r="J108" s="225">
        <v>0.3</v>
      </c>
      <c r="K108" s="320" t="s">
        <v>547</v>
      </c>
      <c r="L108" s="329" t="s">
        <v>530</v>
      </c>
      <c r="M108" s="321"/>
      <c r="N108" s="226">
        <v>0.5</v>
      </c>
      <c r="O108" s="226">
        <v>0.2</v>
      </c>
      <c r="P108" s="225"/>
      <c r="Q108" s="225">
        <f t="shared" si="3"/>
        <v>0</v>
      </c>
      <c r="R108" s="228">
        <f t="shared" si="2"/>
        <v>0</v>
      </c>
      <c r="S108" s="229" t="s">
        <v>23</v>
      </c>
      <c r="T108" s="230"/>
    </row>
    <row r="109" spans="1:20" ht="22.2" hidden="1" thickBot="1" x14ac:dyDescent="0.35">
      <c r="A109" s="279"/>
      <c r="B109" s="33" t="s">
        <v>20</v>
      </c>
      <c r="C109" s="34" t="s">
        <v>267</v>
      </c>
      <c r="D109" s="35" t="s">
        <v>428</v>
      </c>
      <c r="E109" s="33" t="s">
        <v>31</v>
      </c>
      <c r="F109" s="36" t="s">
        <v>384</v>
      </c>
      <c r="G109" s="33" t="s">
        <v>544</v>
      </c>
      <c r="H109" s="36" t="s">
        <v>429</v>
      </c>
      <c r="I109" s="37" t="s">
        <v>26</v>
      </c>
      <c r="J109" s="231">
        <v>0.3</v>
      </c>
      <c r="K109" s="334" t="s">
        <v>548</v>
      </c>
      <c r="L109" s="201" t="s">
        <v>531</v>
      </c>
      <c r="M109" s="333"/>
      <c r="N109" s="253">
        <v>1</v>
      </c>
      <c r="O109" s="253">
        <v>0.1</v>
      </c>
      <c r="P109" s="281"/>
      <c r="Q109" s="231">
        <f t="shared" si="3"/>
        <v>0</v>
      </c>
      <c r="R109" s="232">
        <f t="shared" si="2"/>
        <v>0</v>
      </c>
      <c r="S109" s="233" t="s">
        <v>23</v>
      </c>
      <c r="T109" s="282"/>
    </row>
    <row r="110" spans="1:20" ht="22.2" hidden="1" thickBot="1" x14ac:dyDescent="0.35">
      <c r="A110" s="219"/>
      <c r="B110" s="220" t="s">
        <v>20</v>
      </c>
      <c r="C110" s="221" t="s">
        <v>267</v>
      </c>
      <c r="D110" s="222" t="s">
        <v>428</v>
      </c>
      <c r="E110" s="220" t="s">
        <v>31</v>
      </c>
      <c r="F110" s="223" t="s">
        <v>384</v>
      </c>
      <c r="G110" s="220" t="s">
        <v>544</v>
      </c>
      <c r="H110" s="223" t="s">
        <v>429</v>
      </c>
      <c r="I110" s="224" t="s">
        <v>26</v>
      </c>
      <c r="J110" s="225">
        <v>0.3</v>
      </c>
      <c r="K110" s="335" t="s">
        <v>549</v>
      </c>
      <c r="L110" s="283" t="s">
        <v>532</v>
      </c>
      <c r="M110" s="284"/>
      <c r="N110" s="225">
        <v>1</v>
      </c>
      <c r="O110" s="225">
        <v>0.2</v>
      </c>
      <c r="P110" s="262"/>
      <c r="Q110" s="225">
        <f>ROUND(IF(OR(N110="",P110=""),0,IF(AND(N110=0,P110=0),1,IF(S110="+",P110/N110,N110/P110))),2)</f>
        <v>0</v>
      </c>
      <c r="R110" s="228">
        <f>IF(AND(Q110&gt;=60%,Q110&lt;100%),Q110*((O110*J110)),IF(Q110=100%,((O110*J110)*Q110)*100%,IF(Q110&gt;100%,((J110*O110)*100%)*100%,0)))*100</f>
        <v>0</v>
      </c>
      <c r="S110" s="225" t="s">
        <v>23</v>
      </c>
      <c r="T110" s="237"/>
    </row>
    <row r="111" spans="1:20" ht="22.2" hidden="1" thickBot="1" x14ac:dyDescent="0.35">
      <c r="A111" s="197"/>
      <c r="B111" s="33" t="s">
        <v>20</v>
      </c>
      <c r="C111" s="34" t="s">
        <v>267</v>
      </c>
      <c r="D111" s="35" t="s">
        <v>428</v>
      </c>
      <c r="E111" s="33" t="s">
        <v>31</v>
      </c>
      <c r="F111" s="36" t="s">
        <v>384</v>
      </c>
      <c r="G111" s="33" t="s">
        <v>544</v>
      </c>
      <c r="H111" s="36" t="s">
        <v>429</v>
      </c>
      <c r="I111" s="37" t="s">
        <v>26</v>
      </c>
      <c r="J111" s="231">
        <v>0.3</v>
      </c>
      <c r="K111" s="336" t="s">
        <v>550</v>
      </c>
      <c r="L111" s="201" t="s">
        <v>533</v>
      </c>
      <c r="M111" s="203"/>
      <c r="N111" s="231">
        <v>1</v>
      </c>
      <c r="O111" s="231">
        <v>0.2</v>
      </c>
      <c r="P111" s="281"/>
      <c r="Q111" s="231">
        <f>ROUND(IF(OR(N111="",P111=""),0,IF(AND(N111=0,P111=0),1,IF(S111="+",P111/N111,N111/P111))),2)</f>
        <v>0</v>
      </c>
      <c r="R111" s="232">
        <f>IF(AND(Q111&gt;=60%,Q111&lt;100%),Q111*((O111*J111)),IF(Q111=100%,((O111*J111)*Q111)*100%,IF(Q111&gt;100%,((J111*O111)*100%)*100%,0)))*100</f>
        <v>0</v>
      </c>
      <c r="S111" s="231" t="s">
        <v>23</v>
      </c>
      <c r="T111" s="234"/>
    </row>
    <row r="112" spans="1:20" ht="22.2" hidden="1" thickBot="1" x14ac:dyDescent="0.35">
      <c r="A112" s="219"/>
      <c r="B112" s="220" t="s">
        <v>20</v>
      </c>
      <c r="C112" s="221" t="s">
        <v>267</v>
      </c>
      <c r="D112" s="222" t="s">
        <v>428</v>
      </c>
      <c r="E112" s="220" t="s">
        <v>31</v>
      </c>
      <c r="F112" s="223" t="s">
        <v>384</v>
      </c>
      <c r="G112" s="220" t="s">
        <v>544</v>
      </c>
      <c r="H112" s="223" t="s">
        <v>429</v>
      </c>
      <c r="I112" s="224" t="s">
        <v>26</v>
      </c>
      <c r="J112" s="225">
        <v>0.3</v>
      </c>
      <c r="K112" s="335" t="s">
        <v>551</v>
      </c>
      <c r="L112" s="283" t="s">
        <v>534</v>
      </c>
      <c r="M112" s="284"/>
      <c r="N112" s="225">
        <v>1</v>
      </c>
      <c r="O112" s="225">
        <v>0.1</v>
      </c>
      <c r="P112" s="262"/>
      <c r="Q112" s="225">
        <f>ROUND(IF(OR(N112="",P112=""),0,IF(AND(N112=0,P112=0),1,IF(S112="+",P112/N112,N112/P112))),2)</f>
        <v>0</v>
      </c>
      <c r="R112" s="228">
        <f>IF(AND(Q112&gt;=60%,Q112&lt;100%),Q112*((O112*J112)),IF(Q112=100%,((O112*J112)*Q112)*100%,IF(Q112&gt;100%,((J112*O112)*100%)*100%,0)))*100</f>
        <v>0</v>
      </c>
      <c r="S112" s="225" t="s">
        <v>23</v>
      </c>
      <c r="T112" s="237"/>
    </row>
    <row r="113" spans="1:20" ht="22.2" hidden="1" thickBot="1" x14ac:dyDescent="0.35">
      <c r="A113" s="200"/>
      <c r="B113" s="81" t="s">
        <v>20</v>
      </c>
      <c r="C113" s="82" t="s">
        <v>267</v>
      </c>
      <c r="D113" s="83" t="s">
        <v>428</v>
      </c>
      <c r="E113" s="81" t="s">
        <v>31</v>
      </c>
      <c r="F113" s="84" t="s">
        <v>384</v>
      </c>
      <c r="G113" s="81" t="s">
        <v>544</v>
      </c>
      <c r="H113" s="84" t="s">
        <v>429</v>
      </c>
      <c r="I113" s="85" t="s">
        <v>26</v>
      </c>
      <c r="J113" s="238">
        <v>0.3</v>
      </c>
      <c r="K113" s="324" t="s">
        <v>552</v>
      </c>
      <c r="L113" s="325" t="s">
        <v>535</v>
      </c>
      <c r="M113" s="325"/>
      <c r="N113" s="239">
        <v>1</v>
      </c>
      <c r="O113" s="239">
        <v>0.1</v>
      </c>
      <c r="P113" s="238"/>
      <c r="Q113" s="238">
        <f t="shared" ref="Q113:Q176" si="4">ROUND(IF(OR(N113="",P113=""),0,IF(AND(N113=0,P113=0),1,IF(S113="+",P113/N113,N113/P113))),2)</f>
        <v>0</v>
      </c>
      <c r="R113" s="254">
        <f t="shared" si="2"/>
        <v>0</v>
      </c>
      <c r="S113" s="255" t="s">
        <v>23</v>
      </c>
      <c r="T113" s="241"/>
    </row>
    <row r="114" spans="1:20" ht="22.2" hidden="1" thickBot="1" x14ac:dyDescent="0.35">
      <c r="A114" s="181"/>
      <c r="B114" s="71" t="s">
        <v>20</v>
      </c>
      <c r="C114" s="72" t="s">
        <v>267</v>
      </c>
      <c r="D114" s="73" t="s">
        <v>431</v>
      </c>
      <c r="E114" s="71" t="s">
        <v>430</v>
      </c>
      <c r="F114" s="74" t="s">
        <v>384</v>
      </c>
      <c r="G114" s="71" t="s">
        <v>544</v>
      </c>
      <c r="H114" s="74" t="s">
        <v>505</v>
      </c>
      <c r="I114" s="95" t="s">
        <v>22</v>
      </c>
      <c r="J114" s="76">
        <v>0.7</v>
      </c>
      <c r="K114" s="309" t="s">
        <v>432</v>
      </c>
      <c r="L114" s="310" t="s">
        <v>433</v>
      </c>
      <c r="M114" s="310" t="s">
        <v>434</v>
      </c>
      <c r="N114" s="79">
        <v>0.95</v>
      </c>
      <c r="O114" s="79">
        <v>0.2</v>
      </c>
      <c r="P114" s="76"/>
      <c r="Q114" s="76">
        <f t="shared" si="4"/>
        <v>0</v>
      </c>
      <c r="R114" s="80">
        <f t="shared" si="2"/>
        <v>0</v>
      </c>
      <c r="S114" s="76" t="s">
        <v>23</v>
      </c>
      <c r="T114" s="189">
        <f>SUM(R114:R124)%</f>
        <v>0</v>
      </c>
    </row>
    <row r="115" spans="1:20" ht="22.2" hidden="1" thickBot="1" x14ac:dyDescent="0.35">
      <c r="A115" s="182"/>
      <c r="B115" s="42" t="s">
        <v>20</v>
      </c>
      <c r="C115" s="43" t="s">
        <v>267</v>
      </c>
      <c r="D115" s="44" t="s">
        <v>431</v>
      </c>
      <c r="E115" s="42" t="s">
        <v>430</v>
      </c>
      <c r="F115" s="45" t="s">
        <v>384</v>
      </c>
      <c r="G115" s="42" t="s">
        <v>544</v>
      </c>
      <c r="H115" s="45" t="s">
        <v>505</v>
      </c>
      <c r="I115" s="47" t="s">
        <v>22</v>
      </c>
      <c r="J115" s="3">
        <v>0.7</v>
      </c>
      <c r="K115" s="311" t="s">
        <v>435</v>
      </c>
      <c r="L115" s="21" t="s">
        <v>436</v>
      </c>
      <c r="M115" s="21" t="s">
        <v>437</v>
      </c>
      <c r="N115" s="24">
        <v>0.1</v>
      </c>
      <c r="O115" s="24">
        <v>0.2</v>
      </c>
      <c r="P115" s="3"/>
      <c r="Q115" s="3">
        <f t="shared" si="4"/>
        <v>0</v>
      </c>
      <c r="R115" s="4">
        <f t="shared" si="2"/>
        <v>0</v>
      </c>
      <c r="S115" s="3" t="s">
        <v>24</v>
      </c>
      <c r="T115" s="191"/>
    </row>
    <row r="116" spans="1:20" ht="22.2" hidden="1" thickBot="1" x14ac:dyDescent="0.35">
      <c r="A116" s="182"/>
      <c r="B116" s="42" t="s">
        <v>20</v>
      </c>
      <c r="C116" s="43" t="s">
        <v>267</v>
      </c>
      <c r="D116" s="44" t="s">
        <v>431</v>
      </c>
      <c r="E116" s="42" t="s">
        <v>430</v>
      </c>
      <c r="F116" s="45" t="s">
        <v>384</v>
      </c>
      <c r="G116" s="42" t="s">
        <v>544</v>
      </c>
      <c r="H116" s="45" t="s">
        <v>505</v>
      </c>
      <c r="I116" s="47" t="s">
        <v>22</v>
      </c>
      <c r="J116" s="3">
        <v>0.7</v>
      </c>
      <c r="K116" s="311" t="s">
        <v>438</v>
      </c>
      <c r="L116" s="21" t="s">
        <v>439</v>
      </c>
      <c r="M116" s="21" t="s">
        <v>440</v>
      </c>
      <c r="N116" s="24">
        <v>0.95</v>
      </c>
      <c r="O116" s="24">
        <v>0.2</v>
      </c>
      <c r="P116" s="3"/>
      <c r="Q116" s="3">
        <f t="shared" si="4"/>
        <v>0</v>
      </c>
      <c r="R116" s="4">
        <f t="shared" si="2"/>
        <v>0</v>
      </c>
      <c r="S116" s="3" t="s">
        <v>23</v>
      </c>
      <c r="T116" s="191"/>
    </row>
    <row r="117" spans="1:20" ht="22.2" hidden="1" thickBot="1" x14ac:dyDescent="0.35">
      <c r="A117" s="182"/>
      <c r="B117" s="42" t="s">
        <v>20</v>
      </c>
      <c r="C117" s="43" t="s">
        <v>267</v>
      </c>
      <c r="D117" s="44" t="s">
        <v>431</v>
      </c>
      <c r="E117" s="42" t="s">
        <v>430</v>
      </c>
      <c r="F117" s="45" t="s">
        <v>384</v>
      </c>
      <c r="G117" s="42" t="s">
        <v>544</v>
      </c>
      <c r="H117" s="45" t="s">
        <v>505</v>
      </c>
      <c r="I117" s="47" t="s">
        <v>22</v>
      </c>
      <c r="J117" s="3">
        <v>0.7</v>
      </c>
      <c r="K117" s="311" t="s">
        <v>441</v>
      </c>
      <c r="L117" s="21" t="s">
        <v>442</v>
      </c>
      <c r="M117" s="21" t="s">
        <v>556</v>
      </c>
      <c r="N117" s="24">
        <v>0.95</v>
      </c>
      <c r="O117" s="24">
        <v>0.2</v>
      </c>
      <c r="P117" s="3"/>
      <c r="Q117" s="3">
        <f t="shared" si="4"/>
        <v>0</v>
      </c>
      <c r="R117" s="4">
        <f t="shared" si="2"/>
        <v>0</v>
      </c>
      <c r="S117" s="3" t="s">
        <v>23</v>
      </c>
      <c r="T117" s="191"/>
    </row>
    <row r="118" spans="1:20" ht="22.2" hidden="1" thickBot="1" x14ac:dyDescent="0.35">
      <c r="A118" s="182"/>
      <c r="B118" s="42" t="s">
        <v>20</v>
      </c>
      <c r="C118" s="43" t="s">
        <v>267</v>
      </c>
      <c r="D118" s="44" t="s">
        <v>431</v>
      </c>
      <c r="E118" s="42" t="s">
        <v>430</v>
      </c>
      <c r="F118" s="45" t="s">
        <v>384</v>
      </c>
      <c r="G118" s="42" t="s">
        <v>544</v>
      </c>
      <c r="H118" s="45" t="s">
        <v>505</v>
      </c>
      <c r="I118" s="47" t="s">
        <v>22</v>
      </c>
      <c r="J118" s="3">
        <v>0.7</v>
      </c>
      <c r="K118" s="311" t="s">
        <v>443</v>
      </c>
      <c r="L118" s="21" t="s">
        <v>444</v>
      </c>
      <c r="M118" s="21" t="s">
        <v>445</v>
      </c>
      <c r="N118" s="24">
        <v>0.95</v>
      </c>
      <c r="O118" s="24">
        <v>0.11</v>
      </c>
      <c r="P118" s="3"/>
      <c r="Q118" s="3">
        <f t="shared" si="4"/>
        <v>0</v>
      </c>
      <c r="R118" s="4">
        <f t="shared" si="2"/>
        <v>0</v>
      </c>
      <c r="S118" s="3" t="s">
        <v>23</v>
      </c>
      <c r="T118" s="191"/>
    </row>
    <row r="119" spans="1:20" ht="22.2" hidden="1" thickBot="1" x14ac:dyDescent="0.35">
      <c r="A119" s="197"/>
      <c r="B119" s="33" t="s">
        <v>20</v>
      </c>
      <c r="C119" s="34" t="s">
        <v>267</v>
      </c>
      <c r="D119" s="35" t="s">
        <v>431</v>
      </c>
      <c r="E119" s="33" t="s">
        <v>430</v>
      </c>
      <c r="F119" s="36" t="s">
        <v>384</v>
      </c>
      <c r="G119" s="33" t="s">
        <v>544</v>
      </c>
      <c r="H119" s="36" t="s">
        <v>505</v>
      </c>
      <c r="I119" s="37" t="s">
        <v>26</v>
      </c>
      <c r="J119" s="231">
        <v>0.3</v>
      </c>
      <c r="K119" s="322" t="s">
        <v>446</v>
      </c>
      <c r="L119" s="323" t="s">
        <v>25</v>
      </c>
      <c r="M119" s="323" t="s">
        <v>447</v>
      </c>
      <c r="N119" s="253">
        <v>0.8</v>
      </c>
      <c r="O119" s="253">
        <v>0.15</v>
      </c>
      <c r="P119" s="231"/>
      <c r="Q119" s="231">
        <f t="shared" si="4"/>
        <v>0</v>
      </c>
      <c r="R119" s="232">
        <f t="shared" si="2"/>
        <v>0</v>
      </c>
      <c r="S119" s="233" t="s">
        <v>23</v>
      </c>
      <c r="T119" s="252"/>
    </row>
    <row r="120" spans="1:20" ht="22.2" hidden="1" thickBot="1" x14ac:dyDescent="0.35">
      <c r="A120" s="219"/>
      <c r="B120" s="220" t="s">
        <v>20</v>
      </c>
      <c r="C120" s="221" t="s">
        <v>267</v>
      </c>
      <c r="D120" s="222" t="s">
        <v>431</v>
      </c>
      <c r="E120" s="220" t="s">
        <v>430</v>
      </c>
      <c r="F120" s="223" t="s">
        <v>384</v>
      </c>
      <c r="G120" s="220" t="s">
        <v>544</v>
      </c>
      <c r="H120" s="223" t="s">
        <v>505</v>
      </c>
      <c r="I120" s="224" t="s">
        <v>26</v>
      </c>
      <c r="J120" s="225">
        <v>0.3</v>
      </c>
      <c r="K120" s="320" t="s">
        <v>448</v>
      </c>
      <c r="L120" s="321" t="s">
        <v>449</v>
      </c>
      <c r="M120" s="321" t="s">
        <v>450</v>
      </c>
      <c r="N120" s="226">
        <v>0.85</v>
      </c>
      <c r="O120" s="226">
        <v>0.15</v>
      </c>
      <c r="P120" s="225"/>
      <c r="Q120" s="225">
        <f t="shared" si="4"/>
        <v>0</v>
      </c>
      <c r="R120" s="228">
        <f t="shared" si="2"/>
        <v>0</v>
      </c>
      <c r="S120" s="229" t="s">
        <v>23</v>
      </c>
      <c r="T120" s="230"/>
    </row>
    <row r="121" spans="1:20" ht="22.2" hidden="1" thickBot="1" x14ac:dyDescent="0.35">
      <c r="A121" s="197"/>
      <c r="B121" s="33" t="s">
        <v>20</v>
      </c>
      <c r="C121" s="34" t="s">
        <v>267</v>
      </c>
      <c r="D121" s="35" t="s">
        <v>431</v>
      </c>
      <c r="E121" s="33" t="s">
        <v>430</v>
      </c>
      <c r="F121" s="36" t="s">
        <v>384</v>
      </c>
      <c r="G121" s="33" t="s">
        <v>544</v>
      </c>
      <c r="H121" s="36" t="s">
        <v>505</v>
      </c>
      <c r="I121" s="37" t="s">
        <v>26</v>
      </c>
      <c r="J121" s="231">
        <v>0.3</v>
      </c>
      <c r="K121" s="322" t="s">
        <v>493</v>
      </c>
      <c r="L121" s="323" t="s">
        <v>492</v>
      </c>
      <c r="M121" s="323"/>
      <c r="N121" s="253">
        <v>0.9</v>
      </c>
      <c r="O121" s="253">
        <v>0.25</v>
      </c>
      <c r="P121" s="231"/>
      <c r="Q121" s="231">
        <f t="shared" si="4"/>
        <v>0</v>
      </c>
      <c r="R121" s="232">
        <f t="shared" si="2"/>
        <v>0</v>
      </c>
      <c r="S121" s="233" t="s">
        <v>23</v>
      </c>
      <c r="T121" s="252"/>
    </row>
    <row r="122" spans="1:20" ht="22.2" hidden="1" thickBot="1" x14ac:dyDescent="0.35">
      <c r="A122" s="219"/>
      <c r="B122" s="220" t="s">
        <v>20</v>
      </c>
      <c r="C122" s="221" t="s">
        <v>267</v>
      </c>
      <c r="D122" s="222" t="s">
        <v>431</v>
      </c>
      <c r="E122" s="220" t="s">
        <v>430</v>
      </c>
      <c r="F122" s="223" t="s">
        <v>384</v>
      </c>
      <c r="G122" s="220" t="s">
        <v>544</v>
      </c>
      <c r="H122" s="223" t="s">
        <v>505</v>
      </c>
      <c r="I122" s="224" t="s">
        <v>26</v>
      </c>
      <c r="J122" s="225">
        <v>0.3</v>
      </c>
      <c r="K122" s="320" t="s">
        <v>451</v>
      </c>
      <c r="L122" s="321" t="s">
        <v>452</v>
      </c>
      <c r="M122" s="321"/>
      <c r="N122" s="226">
        <v>1</v>
      </c>
      <c r="O122" s="226">
        <v>0.15</v>
      </c>
      <c r="P122" s="225"/>
      <c r="Q122" s="225">
        <f t="shared" si="4"/>
        <v>0</v>
      </c>
      <c r="R122" s="228">
        <f t="shared" si="2"/>
        <v>0</v>
      </c>
      <c r="S122" s="229" t="s">
        <v>23</v>
      </c>
      <c r="T122" s="230"/>
    </row>
    <row r="123" spans="1:20" ht="22.2" hidden="1" thickBot="1" x14ac:dyDescent="0.35">
      <c r="A123" s="197"/>
      <c r="B123" s="33" t="s">
        <v>20</v>
      </c>
      <c r="C123" s="34" t="s">
        <v>267</v>
      </c>
      <c r="D123" s="218" t="s">
        <v>431</v>
      </c>
      <c r="E123" s="33" t="s">
        <v>430</v>
      </c>
      <c r="F123" s="36" t="s">
        <v>384</v>
      </c>
      <c r="G123" s="33" t="s">
        <v>544</v>
      </c>
      <c r="H123" s="36" t="s">
        <v>505</v>
      </c>
      <c r="I123" s="199" t="s">
        <v>26</v>
      </c>
      <c r="J123" s="231">
        <v>0.3</v>
      </c>
      <c r="K123" s="336" t="s">
        <v>453</v>
      </c>
      <c r="L123" s="201" t="s">
        <v>454</v>
      </c>
      <c r="M123" s="203"/>
      <c r="N123" s="231">
        <v>1</v>
      </c>
      <c r="O123" s="231">
        <v>0.15</v>
      </c>
      <c r="P123" s="281"/>
      <c r="Q123" s="231">
        <f t="shared" si="4"/>
        <v>0</v>
      </c>
      <c r="R123" s="232">
        <f t="shared" si="2"/>
        <v>0</v>
      </c>
      <c r="S123" s="231" t="s">
        <v>23</v>
      </c>
      <c r="T123" s="234"/>
    </row>
    <row r="124" spans="1:20" ht="22.2" hidden="1" thickBot="1" x14ac:dyDescent="0.35">
      <c r="A124" s="267"/>
      <c r="B124" s="268" t="s">
        <v>20</v>
      </c>
      <c r="C124" s="269" t="s">
        <v>267</v>
      </c>
      <c r="D124" s="270" t="s">
        <v>431</v>
      </c>
      <c r="E124" s="268" t="s">
        <v>430</v>
      </c>
      <c r="F124" s="271" t="s">
        <v>384</v>
      </c>
      <c r="G124" s="268" t="s">
        <v>544</v>
      </c>
      <c r="H124" s="271" t="s">
        <v>505</v>
      </c>
      <c r="I124" s="272" t="s">
        <v>26</v>
      </c>
      <c r="J124" s="273">
        <v>0.3</v>
      </c>
      <c r="K124" s="330" t="s">
        <v>555</v>
      </c>
      <c r="L124" s="331" t="s">
        <v>554</v>
      </c>
      <c r="M124" s="331"/>
      <c r="N124" s="274">
        <v>1</v>
      </c>
      <c r="O124" s="274">
        <v>0.15</v>
      </c>
      <c r="P124" s="273"/>
      <c r="Q124" s="273">
        <f t="shared" si="4"/>
        <v>0</v>
      </c>
      <c r="R124" s="275">
        <f t="shared" si="2"/>
        <v>0</v>
      </c>
      <c r="S124" s="276" t="s">
        <v>23</v>
      </c>
      <c r="T124" s="277"/>
    </row>
    <row r="125" spans="1:20" ht="22.2" hidden="1" thickBot="1" x14ac:dyDescent="0.35">
      <c r="A125" s="181"/>
      <c r="B125" s="71" t="s">
        <v>20</v>
      </c>
      <c r="C125" s="72" t="s">
        <v>267</v>
      </c>
      <c r="D125" s="73" t="s">
        <v>456</v>
      </c>
      <c r="E125" s="71" t="s">
        <v>455</v>
      </c>
      <c r="F125" s="74" t="s">
        <v>384</v>
      </c>
      <c r="G125" s="71" t="s">
        <v>544</v>
      </c>
      <c r="H125" s="74" t="s">
        <v>468</v>
      </c>
      <c r="I125" s="294" t="s">
        <v>22</v>
      </c>
      <c r="J125" s="248">
        <v>0.7</v>
      </c>
      <c r="K125" s="316" t="s">
        <v>32</v>
      </c>
      <c r="L125" s="316" t="s">
        <v>33</v>
      </c>
      <c r="M125" s="316" t="s">
        <v>34</v>
      </c>
      <c r="N125" s="248">
        <v>0.95</v>
      </c>
      <c r="O125" s="248">
        <v>0.2</v>
      </c>
      <c r="P125" s="248"/>
      <c r="Q125" s="248">
        <f t="shared" si="4"/>
        <v>0</v>
      </c>
      <c r="R125" s="250">
        <f t="shared" si="2"/>
        <v>0</v>
      </c>
      <c r="S125" s="248" t="s">
        <v>23</v>
      </c>
      <c r="T125" s="189">
        <f>SUM(R125:R134)%</f>
        <v>0</v>
      </c>
    </row>
    <row r="126" spans="1:20" ht="22.2" hidden="1" thickBot="1" x14ac:dyDescent="0.35">
      <c r="A126" s="182"/>
      <c r="B126" s="42" t="s">
        <v>20</v>
      </c>
      <c r="C126" s="43" t="s">
        <v>267</v>
      </c>
      <c r="D126" s="44" t="s">
        <v>456</v>
      </c>
      <c r="E126" s="42" t="s">
        <v>455</v>
      </c>
      <c r="F126" s="45" t="s">
        <v>384</v>
      </c>
      <c r="G126" s="42" t="s">
        <v>544</v>
      </c>
      <c r="H126" s="45" t="s">
        <v>468</v>
      </c>
      <c r="I126" s="7" t="s">
        <v>22</v>
      </c>
      <c r="J126" s="3">
        <v>0.7</v>
      </c>
      <c r="K126" s="8" t="s">
        <v>35</v>
      </c>
      <c r="L126" s="8" t="s">
        <v>36</v>
      </c>
      <c r="M126" s="8" t="s">
        <v>37</v>
      </c>
      <c r="N126" s="3">
        <v>0.95</v>
      </c>
      <c r="O126" s="3">
        <v>0.2</v>
      </c>
      <c r="P126" s="3"/>
      <c r="Q126" s="3">
        <f t="shared" si="4"/>
        <v>0</v>
      </c>
      <c r="R126" s="4">
        <f t="shared" si="2"/>
        <v>0</v>
      </c>
      <c r="S126" s="3" t="s">
        <v>23</v>
      </c>
      <c r="T126" s="191"/>
    </row>
    <row r="127" spans="1:20" ht="22.2" hidden="1" thickBot="1" x14ac:dyDescent="0.35">
      <c r="A127" s="182"/>
      <c r="B127" s="42" t="s">
        <v>20</v>
      </c>
      <c r="C127" s="43" t="s">
        <v>267</v>
      </c>
      <c r="D127" s="44" t="s">
        <v>456</v>
      </c>
      <c r="E127" s="42" t="s">
        <v>455</v>
      </c>
      <c r="F127" s="45" t="s">
        <v>384</v>
      </c>
      <c r="G127" s="42" t="s">
        <v>544</v>
      </c>
      <c r="H127" s="45" t="s">
        <v>468</v>
      </c>
      <c r="I127" s="7" t="s">
        <v>22</v>
      </c>
      <c r="J127" s="3">
        <v>0.7</v>
      </c>
      <c r="K127" s="8" t="s">
        <v>38</v>
      </c>
      <c r="L127" s="8" t="s">
        <v>39</v>
      </c>
      <c r="M127" s="8" t="s">
        <v>40</v>
      </c>
      <c r="N127" s="3">
        <v>1</v>
      </c>
      <c r="O127" s="3">
        <v>0.2</v>
      </c>
      <c r="P127" s="3"/>
      <c r="Q127" s="3">
        <f t="shared" si="4"/>
        <v>0</v>
      </c>
      <c r="R127" s="4">
        <f t="shared" si="2"/>
        <v>0</v>
      </c>
      <c r="S127" s="3" t="s">
        <v>23</v>
      </c>
      <c r="T127" s="191"/>
    </row>
    <row r="128" spans="1:20" ht="22.2" hidden="1" thickBot="1" x14ac:dyDescent="0.35">
      <c r="A128" s="182"/>
      <c r="B128" s="42" t="s">
        <v>20</v>
      </c>
      <c r="C128" s="43" t="s">
        <v>267</v>
      </c>
      <c r="D128" s="44" t="s">
        <v>456</v>
      </c>
      <c r="E128" s="42" t="s">
        <v>455</v>
      </c>
      <c r="F128" s="45" t="s">
        <v>384</v>
      </c>
      <c r="G128" s="42" t="s">
        <v>544</v>
      </c>
      <c r="H128" s="45" t="s">
        <v>468</v>
      </c>
      <c r="I128" s="7" t="s">
        <v>22</v>
      </c>
      <c r="J128" s="3">
        <v>0.7</v>
      </c>
      <c r="K128" s="8" t="s">
        <v>41</v>
      </c>
      <c r="L128" s="8" t="s">
        <v>42</v>
      </c>
      <c r="M128" s="8" t="s">
        <v>43</v>
      </c>
      <c r="N128" s="3">
        <v>0.98</v>
      </c>
      <c r="O128" s="3">
        <v>0.2</v>
      </c>
      <c r="P128" s="3"/>
      <c r="Q128" s="3">
        <f t="shared" si="4"/>
        <v>0</v>
      </c>
      <c r="R128" s="4">
        <f t="shared" si="2"/>
        <v>0</v>
      </c>
      <c r="S128" s="3" t="s">
        <v>23</v>
      </c>
      <c r="T128" s="191"/>
    </row>
    <row r="129" spans="1:20" ht="22.2" hidden="1" thickBot="1" x14ac:dyDescent="0.35">
      <c r="A129" s="182"/>
      <c r="B129" s="42" t="s">
        <v>20</v>
      </c>
      <c r="C129" s="43" t="s">
        <v>267</v>
      </c>
      <c r="D129" s="44" t="s">
        <v>456</v>
      </c>
      <c r="E129" s="42" t="s">
        <v>455</v>
      </c>
      <c r="F129" s="45" t="s">
        <v>384</v>
      </c>
      <c r="G129" s="42" t="s">
        <v>544</v>
      </c>
      <c r="H129" s="45" t="s">
        <v>468</v>
      </c>
      <c r="I129" s="7" t="s">
        <v>22</v>
      </c>
      <c r="J129" s="3">
        <v>0.7</v>
      </c>
      <c r="K129" s="8" t="s">
        <v>44</v>
      </c>
      <c r="L129" s="8" t="s">
        <v>45</v>
      </c>
      <c r="M129" s="8" t="s">
        <v>46</v>
      </c>
      <c r="N129" s="10">
        <v>0.9</v>
      </c>
      <c r="O129" s="3">
        <v>0.15</v>
      </c>
      <c r="P129" s="3"/>
      <c r="Q129" s="3">
        <f t="shared" si="4"/>
        <v>0</v>
      </c>
      <c r="R129" s="4">
        <f t="shared" si="2"/>
        <v>0</v>
      </c>
      <c r="S129" s="3" t="s">
        <v>23</v>
      </c>
      <c r="T129" s="191"/>
    </row>
    <row r="130" spans="1:20" ht="22.2" hidden="1" thickBot="1" x14ac:dyDescent="0.35">
      <c r="A130" s="182"/>
      <c r="B130" s="42" t="s">
        <v>20</v>
      </c>
      <c r="C130" s="43" t="s">
        <v>267</v>
      </c>
      <c r="D130" s="44" t="s">
        <v>456</v>
      </c>
      <c r="E130" s="42" t="s">
        <v>455</v>
      </c>
      <c r="F130" s="45" t="s">
        <v>384</v>
      </c>
      <c r="G130" s="42" t="s">
        <v>544</v>
      </c>
      <c r="H130" s="45" t="s">
        <v>468</v>
      </c>
      <c r="I130" s="47" t="s">
        <v>22</v>
      </c>
      <c r="J130" s="3">
        <v>0.7</v>
      </c>
      <c r="K130" s="311" t="s">
        <v>398</v>
      </c>
      <c r="L130" s="21" t="s">
        <v>399</v>
      </c>
      <c r="M130" s="21" t="s">
        <v>400</v>
      </c>
      <c r="N130" s="24">
        <v>1</v>
      </c>
      <c r="O130" s="24">
        <v>0.05</v>
      </c>
      <c r="P130" s="3"/>
      <c r="Q130" s="3">
        <f t="shared" si="4"/>
        <v>0</v>
      </c>
      <c r="R130" s="4">
        <f t="shared" si="2"/>
        <v>0</v>
      </c>
      <c r="S130" s="3" t="s">
        <v>23</v>
      </c>
      <c r="T130" s="191"/>
    </row>
    <row r="131" spans="1:20" ht="22.2" hidden="1" thickBot="1" x14ac:dyDescent="0.35">
      <c r="A131" s="197"/>
      <c r="B131" s="33" t="s">
        <v>20</v>
      </c>
      <c r="C131" s="34" t="s">
        <v>267</v>
      </c>
      <c r="D131" s="35" t="s">
        <v>456</v>
      </c>
      <c r="E131" s="33" t="s">
        <v>455</v>
      </c>
      <c r="F131" s="36" t="s">
        <v>384</v>
      </c>
      <c r="G131" s="33" t="s">
        <v>544</v>
      </c>
      <c r="H131" s="36" t="s">
        <v>468</v>
      </c>
      <c r="I131" s="37" t="s">
        <v>26</v>
      </c>
      <c r="J131" s="231">
        <v>0.3</v>
      </c>
      <c r="K131" s="322" t="s">
        <v>522</v>
      </c>
      <c r="L131" s="323" t="s">
        <v>553</v>
      </c>
      <c r="M131" s="323"/>
      <c r="N131" s="253">
        <v>1</v>
      </c>
      <c r="O131" s="253">
        <v>0.35</v>
      </c>
      <c r="P131" s="231"/>
      <c r="Q131" s="231">
        <f t="shared" si="4"/>
        <v>0</v>
      </c>
      <c r="R131" s="232">
        <f t="shared" ref="R131:R194" si="5">IF(AND(Q131&gt;=60%,Q131&lt;100%),Q131*((O131*J131)),IF(Q131=100%,((O131*J131)*Q131)*100%,IF(Q131&gt;100%,((J131*O131)*100%)*100%,0)))*100</f>
        <v>0</v>
      </c>
      <c r="S131" s="233" t="s">
        <v>23</v>
      </c>
      <c r="T131" s="252"/>
    </row>
    <row r="132" spans="1:20" ht="22.2" hidden="1" thickBot="1" x14ac:dyDescent="0.35">
      <c r="A132" s="219"/>
      <c r="B132" s="220" t="s">
        <v>20</v>
      </c>
      <c r="C132" s="221" t="s">
        <v>267</v>
      </c>
      <c r="D132" s="222" t="s">
        <v>456</v>
      </c>
      <c r="E132" s="220" t="s">
        <v>455</v>
      </c>
      <c r="F132" s="223" t="s">
        <v>384</v>
      </c>
      <c r="G132" s="220" t="s">
        <v>544</v>
      </c>
      <c r="H132" s="223" t="s">
        <v>468</v>
      </c>
      <c r="I132" s="224" t="s">
        <v>26</v>
      </c>
      <c r="J132" s="225">
        <v>0.3</v>
      </c>
      <c r="K132" s="320" t="s">
        <v>523</v>
      </c>
      <c r="L132" s="321" t="s">
        <v>526</v>
      </c>
      <c r="M132" s="321"/>
      <c r="N132" s="226">
        <v>1</v>
      </c>
      <c r="O132" s="226">
        <v>0.2</v>
      </c>
      <c r="P132" s="225"/>
      <c r="Q132" s="225">
        <f t="shared" si="4"/>
        <v>0</v>
      </c>
      <c r="R132" s="228">
        <f t="shared" si="5"/>
        <v>0</v>
      </c>
      <c r="S132" s="229" t="s">
        <v>23</v>
      </c>
      <c r="T132" s="230"/>
    </row>
    <row r="133" spans="1:20" ht="22.2" hidden="1" thickBot="1" x14ac:dyDescent="0.35">
      <c r="A133" s="279"/>
      <c r="B133" s="33" t="s">
        <v>20</v>
      </c>
      <c r="C133" s="34" t="s">
        <v>267</v>
      </c>
      <c r="D133" s="35" t="s">
        <v>456</v>
      </c>
      <c r="E133" s="33" t="s">
        <v>455</v>
      </c>
      <c r="F133" s="36" t="s">
        <v>384</v>
      </c>
      <c r="G133" s="33" t="s">
        <v>544</v>
      </c>
      <c r="H133" s="36" t="s">
        <v>468</v>
      </c>
      <c r="I133" s="37" t="s">
        <v>26</v>
      </c>
      <c r="J133" s="231">
        <v>0.3</v>
      </c>
      <c r="K133" s="334" t="s">
        <v>524</v>
      </c>
      <c r="L133" s="333" t="s">
        <v>528</v>
      </c>
      <c r="M133" s="333"/>
      <c r="N133" s="280">
        <v>1</v>
      </c>
      <c r="O133" s="280">
        <v>0.3</v>
      </c>
      <c r="P133" s="281"/>
      <c r="Q133" s="231">
        <f t="shared" si="4"/>
        <v>0</v>
      </c>
      <c r="R133" s="232">
        <f t="shared" si="5"/>
        <v>0</v>
      </c>
      <c r="S133" s="233" t="s">
        <v>23</v>
      </c>
      <c r="T133" s="282"/>
    </row>
    <row r="134" spans="1:20" ht="22.2" hidden="1" thickBot="1" x14ac:dyDescent="0.35">
      <c r="A134" s="256"/>
      <c r="B134" s="220" t="s">
        <v>20</v>
      </c>
      <c r="C134" s="221" t="s">
        <v>267</v>
      </c>
      <c r="D134" s="222" t="s">
        <v>456</v>
      </c>
      <c r="E134" s="220" t="s">
        <v>455</v>
      </c>
      <c r="F134" s="223" t="s">
        <v>384</v>
      </c>
      <c r="G134" s="220" t="s">
        <v>544</v>
      </c>
      <c r="H134" s="223" t="s">
        <v>468</v>
      </c>
      <c r="I134" s="224" t="s">
        <v>26</v>
      </c>
      <c r="J134" s="225">
        <v>0.3</v>
      </c>
      <c r="K134" s="328" t="s">
        <v>525</v>
      </c>
      <c r="L134" s="329" t="s">
        <v>527</v>
      </c>
      <c r="M134" s="329"/>
      <c r="N134" s="263">
        <v>1</v>
      </c>
      <c r="O134" s="263">
        <v>0.15</v>
      </c>
      <c r="P134" s="262"/>
      <c r="Q134" s="225">
        <f t="shared" si="4"/>
        <v>0</v>
      </c>
      <c r="R134" s="228">
        <f t="shared" si="5"/>
        <v>0</v>
      </c>
      <c r="S134" s="229" t="s">
        <v>23</v>
      </c>
      <c r="T134" s="266"/>
    </row>
    <row r="135" spans="1:20" ht="22.2" hidden="1" thickBot="1" x14ac:dyDescent="0.35">
      <c r="A135" s="181"/>
      <c r="B135" s="71" t="s">
        <v>20</v>
      </c>
      <c r="C135" s="72" t="s">
        <v>267</v>
      </c>
      <c r="D135" s="73" t="s">
        <v>457</v>
      </c>
      <c r="E135" s="71" t="s">
        <v>50</v>
      </c>
      <c r="F135" s="74" t="s">
        <v>384</v>
      </c>
      <c r="G135" s="71" t="s">
        <v>544</v>
      </c>
      <c r="H135" s="74" t="s">
        <v>470</v>
      </c>
      <c r="I135" s="95" t="s">
        <v>22</v>
      </c>
      <c r="J135" s="76">
        <v>0.7</v>
      </c>
      <c r="K135" s="309" t="s">
        <v>458</v>
      </c>
      <c r="L135" s="310" t="s">
        <v>459</v>
      </c>
      <c r="M135" s="310" t="s">
        <v>460</v>
      </c>
      <c r="N135" s="79">
        <v>0.95</v>
      </c>
      <c r="O135" s="79">
        <v>0.1</v>
      </c>
      <c r="P135" s="76"/>
      <c r="Q135" s="76">
        <f t="shared" si="4"/>
        <v>0</v>
      </c>
      <c r="R135" s="80">
        <f t="shared" si="5"/>
        <v>0</v>
      </c>
      <c r="S135" s="76" t="s">
        <v>23</v>
      </c>
      <c r="T135" s="189">
        <f>SUM(R135:R143)%</f>
        <v>0</v>
      </c>
    </row>
    <row r="136" spans="1:20" ht="22.2" hidden="1" thickBot="1" x14ac:dyDescent="0.35">
      <c r="A136" s="182"/>
      <c r="B136" s="42" t="s">
        <v>20</v>
      </c>
      <c r="C136" s="43" t="s">
        <v>267</v>
      </c>
      <c r="D136" s="44" t="s">
        <v>457</v>
      </c>
      <c r="E136" s="42" t="s">
        <v>50</v>
      </c>
      <c r="F136" s="45" t="s">
        <v>384</v>
      </c>
      <c r="G136" s="42" t="s">
        <v>544</v>
      </c>
      <c r="H136" s="45" t="s">
        <v>470</v>
      </c>
      <c r="I136" s="47" t="s">
        <v>22</v>
      </c>
      <c r="J136" s="3">
        <v>0.7</v>
      </c>
      <c r="K136" s="311" t="s">
        <v>461</v>
      </c>
      <c r="L136" s="21" t="s">
        <v>510</v>
      </c>
      <c r="M136" s="21" t="s">
        <v>408</v>
      </c>
      <c r="N136" s="24">
        <v>0.95</v>
      </c>
      <c r="O136" s="24">
        <v>0.1</v>
      </c>
      <c r="P136" s="3"/>
      <c r="Q136" s="3">
        <f t="shared" si="4"/>
        <v>0</v>
      </c>
      <c r="R136" s="4">
        <f t="shared" si="5"/>
        <v>0</v>
      </c>
      <c r="S136" s="3" t="s">
        <v>23</v>
      </c>
      <c r="T136" s="191"/>
    </row>
    <row r="137" spans="1:20" ht="22.2" hidden="1" thickBot="1" x14ac:dyDescent="0.35">
      <c r="A137" s="182"/>
      <c r="B137" s="42" t="s">
        <v>20</v>
      </c>
      <c r="C137" s="43" t="s">
        <v>267</v>
      </c>
      <c r="D137" s="44" t="s">
        <v>457</v>
      </c>
      <c r="E137" s="42" t="s">
        <v>50</v>
      </c>
      <c r="F137" s="45" t="s">
        <v>384</v>
      </c>
      <c r="G137" s="42" t="s">
        <v>544</v>
      </c>
      <c r="H137" s="45" t="s">
        <v>470</v>
      </c>
      <c r="I137" s="47" t="s">
        <v>22</v>
      </c>
      <c r="J137" s="3">
        <v>0.7</v>
      </c>
      <c r="K137" s="311" t="s">
        <v>51</v>
      </c>
      <c r="L137" s="8" t="s">
        <v>127</v>
      </c>
      <c r="M137" s="7" t="s">
        <v>128</v>
      </c>
      <c r="N137" s="24">
        <v>0.05</v>
      </c>
      <c r="O137" s="24">
        <v>0.1</v>
      </c>
      <c r="P137" s="3"/>
      <c r="Q137" s="3">
        <f t="shared" si="4"/>
        <v>0</v>
      </c>
      <c r="R137" s="4">
        <f t="shared" si="5"/>
        <v>0</v>
      </c>
      <c r="S137" s="3" t="s">
        <v>24</v>
      </c>
      <c r="T137" s="191"/>
    </row>
    <row r="138" spans="1:20" ht="22.2" hidden="1" thickBot="1" x14ac:dyDescent="0.35">
      <c r="A138" s="182"/>
      <c r="B138" s="42" t="s">
        <v>20</v>
      </c>
      <c r="C138" s="43" t="s">
        <v>267</v>
      </c>
      <c r="D138" s="44" t="s">
        <v>457</v>
      </c>
      <c r="E138" s="42" t="s">
        <v>50</v>
      </c>
      <c r="F138" s="45" t="s">
        <v>384</v>
      </c>
      <c r="G138" s="42" t="s">
        <v>544</v>
      </c>
      <c r="H138" s="45" t="s">
        <v>470</v>
      </c>
      <c r="I138" s="47" t="s">
        <v>22</v>
      </c>
      <c r="J138" s="3">
        <v>0.7</v>
      </c>
      <c r="K138" s="311" t="s">
        <v>462</v>
      </c>
      <c r="L138" s="21" t="s">
        <v>463</v>
      </c>
      <c r="M138" s="21" t="s">
        <v>464</v>
      </c>
      <c r="N138" s="24">
        <v>0.05</v>
      </c>
      <c r="O138" s="24">
        <v>0.15</v>
      </c>
      <c r="P138" s="3"/>
      <c r="Q138" s="3">
        <f t="shared" si="4"/>
        <v>0</v>
      </c>
      <c r="R138" s="4">
        <f t="shared" si="5"/>
        <v>0</v>
      </c>
      <c r="S138" s="3" t="s">
        <v>24</v>
      </c>
      <c r="T138" s="191"/>
    </row>
    <row r="139" spans="1:20" ht="22.2" hidden="1" thickBot="1" x14ac:dyDescent="0.35">
      <c r="A139" s="182"/>
      <c r="B139" s="42" t="s">
        <v>20</v>
      </c>
      <c r="C139" s="43" t="s">
        <v>267</v>
      </c>
      <c r="D139" s="44" t="s">
        <v>457</v>
      </c>
      <c r="E139" s="42" t="s">
        <v>50</v>
      </c>
      <c r="F139" s="45" t="s">
        <v>384</v>
      </c>
      <c r="G139" s="42" t="s">
        <v>544</v>
      </c>
      <c r="H139" s="45" t="s">
        <v>470</v>
      </c>
      <c r="I139" s="47" t="s">
        <v>22</v>
      </c>
      <c r="J139" s="3">
        <v>0.7</v>
      </c>
      <c r="K139" s="311" t="s">
        <v>395</v>
      </c>
      <c r="L139" s="21" t="s">
        <v>465</v>
      </c>
      <c r="M139" s="21" t="s">
        <v>397</v>
      </c>
      <c r="N139" s="24">
        <v>0.9</v>
      </c>
      <c r="O139" s="24">
        <v>0.15</v>
      </c>
      <c r="P139" s="3"/>
      <c r="Q139" s="3">
        <f t="shared" si="4"/>
        <v>0</v>
      </c>
      <c r="R139" s="4">
        <f t="shared" si="5"/>
        <v>0</v>
      </c>
      <c r="S139" s="3" t="s">
        <v>23</v>
      </c>
      <c r="T139" s="191"/>
    </row>
    <row r="140" spans="1:20" ht="22.2" hidden="1" thickBot="1" x14ac:dyDescent="0.35">
      <c r="A140" s="182"/>
      <c r="B140" s="42" t="s">
        <v>20</v>
      </c>
      <c r="C140" s="43" t="s">
        <v>267</v>
      </c>
      <c r="D140" s="44" t="s">
        <v>457</v>
      </c>
      <c r="E140" s="42" t="s">
        <v>50</v>
      </c>
      <c r="F140" s="45" t="s">
        <v>384</v>
      </c>
      <c r="G140" s="42" t="s">
        <v>544</v>
      </c>
      <c r="H140" s="45" t="s">
        <v>470</v>
      </c>
      <c r="I140" s="47" t="s">
        <v>22</v>
      </c>
      <c r="J140" s="3">
        <v>0.7</v>
      </c>
      <c r="K140" s="311" t="s">
        <v>466</v>
      </c>
      <c r="L140" s="21" t="s">
        <v>467</v>
      </c>
      <c r="M140" s="21" t="s">
        <v>379</v>
      </c>
      <c r="N140" s="57">
        <v>0</v>
      </c>
      <c r="O140" s="24">
        <v>0.15</v>
      </c>
      <c r="P140" s="3"/>
      <c r="Q140" s="3">
        <f t="shared" si="4"/>
        <v>0</v>
      </c>
      <c r="R140" s="4">
        <f t="shared" si="5"/>
        <v>0</v>
      </c>
      <c r="S140" s="3" t="s">
        <v>24</v>
      </c>
      <c r="T140" s="191"/>
    </row>
    <row r="141" spans="1:20" ht="22.2" hidden="1" thickBot="1" x14ac:dyDescent="0.35">
      <c r="A141" s="182"/>
      <c r="B141" s="42" t="s">
        <v>20</v>
      </c>
      <c r="C141" s="43" t="s">
        <v>267</v>
      </c>
      <c r="D141" s="44" t="s">
        <v>457</v>
      </c>
      <c r="E141" s="42" t="s">
        <v>50</v>
      </c>
      <c r="F141" s="45" t="s">
        <v>384</v>
      </c>
      <c r="G141" s="42" t="s">
        <v>544</v>
      </c>
      <c r="H141" s="45" t="s">
        <v>470</v>
      </c>
      <c r="I141" s="47" t="s">
        <v>22</v>
      </c>
      <c r="J141" s="3">
        <v>0.7</v>
      </c>
      <c r="K141" s="311" t="s">
        <v>412</v>
      </c>
      <c r="L141" s="21" t="s">
        <v>413</v>
      </c>
      <c r="M141" s="21" t="s">
        <v>380</v>
      </c>
      <c r="N141" s="24">
        <v>0.7</v>
      </c>
      <c r="O141" s="24">
        <v>0.15</v>
      </c>
      <c r="P141" s="3"/>
      <c r="Q141" s="3">
        <f t="shared" si="4"/>
        <v>0</v>
      </c>
      <c r="R141" s="4">
        <f t="shared" si="5"/>
        <v>0</v>
      </c>
      <c r="S141" s="3" t="s">
        <v>23</v>
      </c>
      <c r="T141" s="191"/>
    </row>
    <row r="142" spans="1:20" ht="22.2" hidden="1" thickBot="1" x14ac:dyDescent="0.35">
      <c r="A142" s="182"/>
      <c r="B142" s="42" t="s">
        <v>20</v>
      </c>
      <c r="C142" s="43" t="s">
        <v>267</v>
      </c>
      <c r="D142" s="44" t="s">
        <v>457</v>
      </c>
      <c r="E142" s="42" t="s">
        <v>50</v>
      </c>
      <c r="F142" s="45" t="s">
        <v>384</v>
      </c>
      <c r="G142" s="42" t="s">
        <v>544</v>
      </c>
      <c r="H142" s="45" t="s">
        <v>470</v>
      </c>
      <c r="I142" s="47" t="s">
        <v>22</v>
      </c>
      <c r="J142" s="3">
        <v>0.7</v>
      </c>
      <c r="K142" s="311" t="s">
        <v>398</v>
      </c>
      <c r="L142" s="21" t="s">
        <v>399</v>
      </c>
      <c r="M142" s="21" t="s">
        <v>400</v>
      </c>
      <c r="N142" s="24">
        <v>1</v>
      </c>
      <c r="O142" s="24">
        <v>0.1</v>
      </c>
      <c r="P142" s="3"/>
      <c r="Q142" s="3">
        <f t="shared" si="4"/>
        <v>0</v>
      </c>
      <c r="R142" s="4">
        <f t="shared" si="5"/>
        <v>0</v>
      </c>
      <c r="S142" s="3" t="s">
        <v>23</v>
      </c>
      <c r="T142" s="191"/>
    </row>
    <row r="143" spans="1:20" ht="22.2" hidden="1" thickBot="1" x14ac:dyDescent="0.35">
      <c r="A143" s="200"/>
      <c r="B143" s="81" t="s">
        <v>20</v>
      </c>
      <c r="C143" s="82" t="s">
        <v>267</v>
      </c>
      <c r="D143" s="83" t="s">
        <v>457</v>
      </c>
      <c r="E143" s="81" t="s">
        <v>50</v>
      </c>
      <c r="F143" s="84" t="s">
        <v>384</v>
      </c>
      <c r="G143" s="81" t="s">
        <v>544</v>
      </c>
      <c r="H143" s="84" t="s">
        <v>470</v>
      </c>
      <c r="I143" s="85" t="s">
        <v>26</v>
      </c>
      <c r="J143" s="238">
        <v>0.3</v>
      </c>
      <c r="K143" s="324" t="s">
        <v>481</v>
      </c>
      <c r="L143" s="325" t="s">
        <v>491</v>
      </c>
      <c r="M143" s="325"/>
      <c r="N143" s="239">
        <v>1</v>
      </c>
      <c r="O143" s="239">
        <v>1</v>
      </c>
      <c r="P143" s="238"/>
      <c r="Q143" s="238">
        <f t="shared" si="4"/>
        <v>0</v>
      </c>
      <c r="R143" s="254">
        <f t="shared" si="5"/>
        <v>0</v>
      </c>
      <c r="S143" s="255" t="s">
        <v>23</v>
      </c>
      <c r="T143" s="241"/>
    </row>
    <row r="144" spans="1:20" ht="22.2" hidden="1" thickBot="1" x14ac:dyDescent="0.35">
      <c r="A144" s="181">
        <v>1</v>
      </c>
      <c r="B144" s="71" t="s">
        <v>20</v>
      </c>
      <c r="C144" s="72" t="s">
        <v>267</v>
      </c>
      <c r="D144" s="73">
        <v>3926</v>
      </c>
      <c r="E144" s="71" t="s">
        <v>52</v>
      </c>
      <c r="F144" s="74" t="s">
        <v>145</v>
      </c>
      <c r="G144" s="71" t="s">
        <v>53</v>
      </c>
      <c r="H144" s="74" t="s">
        <v>505</v>
      </c>
      <c r="I144" s="75" t="s">
        <v>22</v>
      </c>
      <c r="J144" s="76">
        <v>0.7</v>
      </c>
      <c r="K144" s="75" t="s">
        <v>54</v>
      </c>
      <c r="L144" s="105" t="s">
        <v>55</v>
      </c>
      <c r="M144" s="75" t="s">
        <v>56</v>
      </c>
      <c r="N144" s="76">
        <v>0.95</v>
      </c>
      <c r="O144" s="76">
        <v>0.2</v>
      </c>
      <c r="P144" s="76"/>
      <c r="Q144" s="76">
        <f t="shared" si="4"/>
        <v>0</v>
      </c>
      <c r="R144" s="80">
        <f t="shared" si="5"/>
        <v>0</v>
      </c>
      <c r="S144" s="76" t="s">
        <v>23</v>
      </c>
      <c r="T144" s="189">
        <f>SUM(R144:R152)%</f>
        <v>0</v>
      </c>
    </row>
    <row r="145" spans="1:20" ht="22.2" hidden="1" thickBot="1" x14ac:dyDescent="0.35">
      <c r="A145" s="182">
        <v>2</v>
      </c>
      <c r="B145" s="42" t="s">
        <v>20</v>
      </c>
      <c r="C145" s="43" t="s">
        <v>267</v>
      </c>
      <c r="D145" s="44">
        <v>3926</v>
      </c>
      <c r="E145" s="42" t="s">
        <v>52</v>
      </c>
      <c r="F145" s="45" t="s">
        <v>145</v>
      </c>
      <c r="G145" s="42" t="s">
        <v>53</v>
      </c>
      <c r="H145" s="45" t="s">
        <v>505</v>
      </c>
      <c r="I145" s="7" t="s">
        <v>22</v>
      </c>
      <c r="J145" s="3">
        <v>0.7</v>
      </c>
      <c r="K145" s="7" t="s">
        <v>57</v>
      </c>
      <c r="L145" s="8" t="s">
        <v>58</v>
      </c>
      <c r="M145" s="7" t="s">
        <v>59</v>
      </c>
      <c r="N145" s="3">
        <v>0.95</v>
      </c>
      <c r="O145" s="3">
        <v>0.2</v>
      </c>
      <c r="P145" s="6"/>
      <c r="Q145" s="3">
        <f t="shared" si="4"/>
        <v>0</v>
      </c>
      <c r="R145" s="4">
        <f t="shared" si="5"/>
        <v>0</v>
      </c>
      <c r="S145" s="3" t="s">
        <v>23</v>
      </c>
      <c r="T145" s="190"/>
    </row>
    <row r="146" spans="1:20" ht="22.2" hidden="1" thickBot="1" x14ac:dyDescent="0.35">
      <c r="A146" s="182">
        <v>3</v>
      </c>
      <c r="B146" s="42" t="s">
        <v>20</v>
      </c>
      <c r="C146" s="43" t="s">
        <v>267</v>
      </c>
      <c r="D146" s="44">
        <v>3926</v>
      </c>
      <c r="E146" s="42" t="s">
        <v>52</v>
      </c>
      <c r="F146" s="45" t="s">
        <v>145</v>
      </c>
      <c r="G146" s="42" t="s">
        <v>53</v>
      </c>
      <c r="H146" s="45" t="s">
        <v>505</v>
      </c>
      <c r="I146" s="7" t="s">
        <v>22</v>
      </c>
      <c r="J146" s="3">
        <v>0.7</v>
      </c>
      <c r="K146" s="7" t="s">
        <v>79</v>
      </c>
      <c r="L146" s="8" t="s">
        <v>80</v>
      </c>
      <c r="M146" s="7" t="s">
        <v>81</v>
      </c>
      <c r="N146" s="10">
        <v>1</v>
      </c>
      <c r="O146" s="3">
        <v>0.2</v>
      </c>
      <c r="P146" s="6"/>
      <c r="Q146" s="3">
        <f t="shared" si="4"/>
        <v>0</v>
      </c>
      <c r="R146" s="4">
        <f t="shared" si="5"/>
        <v>0</v>
      </c>
      <c r="S146" s="3" t="s">
        <v>23</v>
      </c>
      <c r="T146" s="190"/>
    </row>
    <row r="147" spans="1:20" ht="22.2" hidden="1" thickBot="1" x14ac:dyDescent="0.35">
      <c r="A147" s="182">
        <v>4</v>
      </c>
      <c r="B147" s="42" t="s">
        <v>20</v>
      </c>
      <c r="C147" s="43" t="s">
        <v>267</v>
      </c>
      <c r="D147" s="44">
        <v>3926</v>
      </c>
      <c r="E147" s="42" t="s">
        <v>52</v>
      </c>
      <c r="F147" s="45" t="s">
        <v>145</v>
      </c>
      <c r="G147" s="42" t="s">
        <v>53</v>
      </c>
      <c r="H147" s="45" t="s">
        <v>505</v>
      </c>
      <c r="I147" s="47" t="s">
        <v>22</v>
      </c>
      <c r="J147" s="3">
        <v>0.7</v>
      </c>
      <c r="K147" s="7" t="s">
        <v>72</v>
      </c>
      <c r="L147" s="8" t="s">
        <v>73</v>
      </c>
      <c r="M147" s="7" t="s">
        <v>74</v>
      </c>
      <c r="N147" s="10">
        <v>0.9</v>
      </c>
      <c r="O147" s="3">
        <v>0.25</v>
      </c>
      <c r="P147" s="6"/>
      <c r="Q147" s="3">
        <f t="shared" si="4"/>
        <v>0</v>
      </c>
      <c r="R147" s="48">
        <f t="shared" si="5"/>
        <v>0</v>
      </c>
      <c r="S147" s="10" t="s">
        <v>23</v>
      </c>
      <c r="T147" s="191"/>
    </row>
    <row r="148" spans="1:20" ht="22.2" hidden="1" thickBot="1" x14ac:dyDescent="0.35">
      <c r="A148" s="182">
        <v>5</v>
      </c>
      <c r="B148" s="42" t="s">
        <v>20</v>
      </c>
      <c r="C148" s="43" t="s">
        <v>267</v>
      </c>
      <c r="D148" s="44">
        <v>3926</v>
      </c>
      <c r="E148" s="42" t="s">
        <v>52</v>
      </c>
      <c r="F148" s="45" t="s">
        <v>145</v>
      </c>
      <c r="G148" s="42" t="s">
        <v>53</v>
      </c>
      <c r="H148" s="45" t="s">
        <v>505</v>
      </c>
      <c r="I148" s="47" t="s">
        <v>22</v>
      </c>
      <c r="J148" s="3">
        <v>0.7</v>
      </c>
      <c r="K148" s="7" t="s">
        <v>63</v>
      </c>
      <c r="L148" s="8" t="s">
        <v>64</v>
      </c>
      <c r="M148" s="7" t="s">
        <v>65</v>
      </c>
      <c r="N148" s="3">
        <v>1</v>
      </c>
      <c r="O148" s="3">
        <v>0.15</v>
      </c>
      <c r="P148" s="6"/>
      <c r="Q148" s="3">
        <f t="shared" si="4"/>
        <v>0</v>
      </c>
      <c r="R148" s="48">
        <f t="shared" si="5"/>
        <v>0</v>
      </c>
      <c r="S148" s="10" t="s">
        <v>23</v>
      </c>
      <c r="T148" s="191"/>
    </row>
    <row r="149" spans="1:20" ht="22.2" hidden="1" thickBot="1" x14ac:dyDescent="0.35">
      <c r="A149" s="197">
        <v>6</v>
      </c>
      <c r="B149" s="33" t="s">
        <v>20</v>
      </c>
      <c r="C149" s="34" t="s">
        <v>267</v>
      </c>
      <c r="D149" s="35">
        <v>3926</v>
      </c>
      <c r="E149" s="33" t="s">
        <v>52</v>
      </c>
      <c r="F149" s="36" t="s">
        <v>145</v>
      </c>
      <c r="G149" s="33" t="s">
        <v>53</v>
      </c>
      <c r="H149" s="36" t="s">
        <v>505</v>
      </c>
      <c r="I149" s="37" t="s">
        <v>26</v>
      </c>
      <c r="J149" s="231">
        <v>0.3</v>
      </c>
      <c r="K149" s="199" t="s">
        <v>60</v>
      </c>
      <c r="L149" s="198" t="s">
        <v>61</v>
      </c>
      <c r="M149" s="199" t="s">
        <v>62</v>
      </c>
      <c r="N149" s="233">
        <v>1</v>
      </c>
      <c r="O149" s="231">
        <v>0.2</v>
      </c>
      <c r="P149" s="56"/>
      <c r="Q149" s="231">
        <f t="shared" si="4"/>
        <v>0</v>
      </c>
      <c r="R149" s="285">
        <f t="shared" si="5"/>
        <v>0</v>
      </c>
      <c r="S149" s="233" t="s">
        <v>23</v>
      </c>
      <c r="T149" s="252"/>
    </row>
    <row r="150" spans="1:20" ht="22.2" hidden="1" thickBot="1" x14ac:dyDescent="0.35">
      <c r="A150" s="219">
        <v>7</v>
      </c>
      <c r="B150" s="220" t="s">
        <v>20</v>
      </c>
      <c r="C150" s="221" t="s">
        <v>267</v>
      </c>
      <c r="D150" s="222">
        <v>3926</v>
      </c>
      <c r="E150" s="220" t="s">
        <v>52</v>
      </c>
      <c r="F150" s="223" t="s">
        <v>145</v>
      </c>
      <c r="G150" s="220" t="s">
        <v>53</v>
      </c>
      <c r="H150" s="223" t="s">
        <v>505</v>
      </c>
      <c r="I150" s="224" t="s">
        <v>26</v>
      </c>
      <c r="J150" s="225">
        <v>0.3</v>
      </c>
      <c r="K150" s="236" t="s">
        <v>66</v>
      </c>
      <c r="L150" s="235" t="s">
        <v>67</v>
      </c>
      <c r="M150" s="236" t="s">
        <v>68</v>
      </c>
      <c r="N150" s="229">
        <v>0.95</v>
      </c>
      <c r="O150" s="225">
        <v>0.2</v>
      </c>
      <c r="P150" s="227"/>
      <c r="Q150" s="225">
        <f t="shared" si="4"/>
        <v>0</v>
      </c>
      <c r="R150" s="286">
        <f t="shared" si="5"/>
        <v>0</v>
      </c>
      <c r="S150" s="229" t="s">
        <v>23</v>
      </c>
      <c r="T150" s="230"/>
    </row>
    <row r="151" spans="1:20" ht="22.2" hidden="1" thickBot="1" x14ac:dyDescent="0.35">
      <c r="A151" s="197">
        <v>8</v>
      </c>
      <c r="B151" s="33" t="s">
        <v>20</v>
      </c>
      <c r="C151" s="34" t="s">
        <v>267</v>
      </c>
      <c r="D151" s="35">
        <v>3926</v>
      </c>
      <c r="E151" s="33" t="s">
        <v>52</v>
      </c>
      <c r="F151" s="36" t="s">
        <v>145</v>
      </c>
      <c r="G151" s="33" t="s">
        <v>53</v>
      </c>
      <c r="H151" s="36" t="s">
        <v>505</v>
      </c>
      <c r="I151" s="37" t="s">
        <v>26</v>
      </c>
      <c r="J151" s="231">
        <v>0.3</v>
      </c>
      <c r="K151" s="199" t="s">
        <v>69</v>
      </c>
      <c r="L151" s="198" t="s">
        <v>25</v>
      </c>
      <c r="M151" s="199" t="s">
        <v>70</v>
      </c>
      <c r="N151" s="233">
        <v>1</v>
      </c>
      <c r="O151" s="231">
        <v>0.4</v>
      </c>
      <c r="P151" s="56"/>
      <c r="Q151" s="231">
        <f t="shared" si="4"/>
        <v>0</v>
      </c>
      <c r="R151" s="285">
        <f t="shared" si="5"/>
        <v>0</v>
      </c>
      <c r="S151" s="233" t="s">
        <v>23</v>
      </c>
      <c r="T151" s="252"/>
    </row>
    <row r="152" spans="1:20" ht="22.2" hidden="1" thickBot="1" x14ac:dyDescent="0.35">
      <c r="A152" s="267">
        <v>9</v>
      </c>
      <c r="B152" s="268" t="s">
        <v>20</v>
      </c>
      <c r="C152" s="269" t="s">
        <v>267</v>
      </c>
      <c r="D152" s="270">
        <v>3926</v>
      </c>
      <c r="E152" s="268" t="s">
        <v>52</v>
      </c>
      <c r="F152" s="271" t="s">
        <v>145</v>
      </c>
      <c r="G152" s="268" t="s">
        <v>53</v>
      </c>
      <c r="H152" s="271" t="s">
        <v>505</v>
      </c>
      <c r="I152" s="272" t="s">
        <v>26</v>
      </c>
      <c r="J152" s="273">
        <v>0.3</v>
      </c>
      <c r="K152" s="337" t="s">
        <v>47</v>
      </c>
      <c r="L152" s="338" t="s">
        <v>27</v>
      </c>
      <c r="M152" s="337" t="s">
        <v>71</v>
      </c>
      <c r="N152" s="276">
        <v>1</v>
      </c>
      <c r="O152" s="273">
        <v>0.2</v>
      </c>
      <c r="P152" s="273"/>
      <c r="Q152" s="273">
        <f t="shared" si="4"/>
        <v>0</v>
      </c>
      <c r="R152" s="287">
        <f t="shared" si="5"/>
        <v>0</v>
      </c>
      <c r="S152" s="276" t="s">
        <v>23</v>
      </c>
      <c r="T152" s="277"/>
    </row>
    <row r="153" spans="1:20" ht="22.2" hidden="1" thickBot="1" x14ac:dyDescent="0.35">
      <c r="A153" s="181">
        <v>10</v>
      </c>
      <c r="B153" s="71" t="s">
        <v>20</v>
      </c>
      <c r="C153" s="72" t="s">
        <v>267</v>
      </c>
      <c r="D153" s="73">
        <v>5135</v>
      </c>
      <c r="E153" s="73" t="s">
        <v>75</v>
      </c>
      <c r="F153" s="74" t="s">
        <v>145</v>
      </c>
      <c r="G153" s="71" t="s">
        <v>53</v>
      </c>
      <c r="H153" s="74" t="s">
        <v>505</v>
      </c>
      <c r="I153" s="75" t="s">
        <v>22</v>
      </c>
      <c r="J153" s="76">
        <v>1</v>
      </c>
      <c r="K153" s="75" t="s">
        <v>76</v>
      </c>
      <c r="L153" s="105" t="s">
        <v>77</v>
      </c>
      <c r="M153" s="75" t="s">
        <v>78</v>
      </c>
      <c r="N153" s="76">
        <v>0.98</v>
      </c>
      <c r="O153" s="76">
        <v>0.15</v>
      </c>
      <c r="P153" s="76"/>
      <c r="Q153" s="76">
        <f t="shared" si="4"/>
        <v>0</v>
      </c>
      <c r="R153" s="80">
        <f t="shared" si="5"/>
        <v>0</v>
      </c>
      <c r="S153" s="76" t="s">
        <v>23</v>
      </c>
      <c r="T153" s="189">
        <f>SUM(R153:R159)%</f>
        <v>0</v>
      </c>
    </row>
    <row r="154" spans="1:20" ht="22.2" hidden="1" thickBot="1" x14ac:dyDescent="0.35">
      <c r="A154" s="182">
        <v>11</v>
      </c>
      <c r="B154" s="42" t="s">
        <v>20</v>
      </c>
      <c r="C154" s="43" t="s">
        <v>267</v>
      </c>
      <c r="D154" s="44">
        <v>5135</v>
      </c>
      <c r="E154" s="44" t="s">
        <v>75</v>
      </c>
      <c r="F154" s="45" t="s">
        <v>145</v>
      </c>
      <c r="G154" s="42" t="s">
        <v>53</v>
      </c>
      <c r="H154" s="45" t="s">
        <v>505</v>
      </c>
      <c r="I154" s="7" t="s">
        <v>22</v>
      </c>
      <c r="J154" s="3">
        <v>1</v>
      </c>
      <c r="K154" s="7" t="s">
        <v>79</v>
      </c>
      <c r="L154" s="8" t="s">
        <v>80</v>
      </c>
      <c r="M154" s="7" t="s">
        <v>81</v>
      </c>
      <c r="N154" s="3">
        <v>1</v>
      </c>
      <c r="O154" s="3">
        <v>0.15</v>
      </c>
      <c r="P154" s="6"/>
      <c r="Q154" s="3">
        <f t="shared" si="4"/>
        <v>0</v>
      </c>
      <c r="R154" s="4">
        <f t="shared" si="5"/>
        <v>0</v>
      </c>
      <c r="S154" s="3" t="s">
        <v>23</v>
      </c>
      <c r="T154" s="190"/>
    </row>
    <row r="155" spans="1:20" ht="22.2" hidden="1" thickBot="1" x14ac:dyDescent="0.35">
      <c r="A155" s="182">
        <v>12</v>
      </c>
      <c r="B155" s="42" t="s">
        <v>20</v>
      </c>
      <c r="C155" s="43" t="s">
        <v>267</v>
      </c>
      <c r="D155" s="44">
        <v>5135</v>
      </c>
      <c r="E155" s="44" t="s">
        <v>75</v>
      </c>
      <c r="F155" s="45" t="s">
        <v>145</v>
      </c>
      <c r="G155" s="42" t="s">
        <v>53</v>
      </c>
      <c r="H155" s="45" t="s">
        <v>505</v>
      </c>
      <c r="I155" s="7" t="s">
        <v>22</v>
      </c>
      <c r="J155" s="3">
        <v>1</v>
      </c>
      <c r="K155" s="7" t="s">
        <v>82</v>
      </c>
      <c r="L155" s="8" t="s">
        <v>83</v>
      </c>
      <c r="M155" s="7" t="s">
        <v>84</v>
      </c>
      <c r="N155" s="3">
        <v>0.8</v>
      </c>
      <c r="O155" s="3">
        <v>0.2</v>
      </c>
      <c r="P155" s="6"/>
      <c r="Q155" s="3">
        <f t="shared" si="4"/>
        <v>0</v>
      </c>
      <c r="R155" s="4">
        <f t="shared" si="5"/>
        <v>0</v>
      </c>
      <c r="S155" s="3" t="s">
        <v>23</v>
      </c>
      <c r="T155" s="190"/>
    </row>
    <row r="156" spans="1:20" ht="22.2" hidden="1" thickBot="1" x14ac:dyDescent="0.35">
      <c r="A156" s="182">
        <v>13</v>
      </c>
      <c r="B156" s="42" t="s">
        <v>20</v>
      </c>
      <c r="C156" s="43" t="s">
        <v>267</v>
      </c>
      <c r="D156" s="44">
        <v>5135</v>
      </c>
      <c r="E156" s="44" t="s">
        <v>75</v>
      </c>
      <c r="F156" s="45" t="s">
        <v>145</v>
      </c>
      <c r="G156" s="42" t="s">
        <v>53</v>
      </c>
      <c r="H156" s="45" t="s">
        <v>505</v>
      </c>
      <c r="I156" s="7" t="s">
        <v>22</v>
      </c>
      <c r="J156" s="3">
        <v>1</v>
      </c>
      <c r="K156" s="7" t="s">
        <v>85</v>
      </c>
      <c r="L156" s="8" t="s">
        <v>86</v>
      </c>
      <c r="M156" s="7" t="s">
        <v>87</v>
      </c>
      <c r="N156" s="3">
        <v>0.99</v>
      </c>
      <c r="O156" s="3">
        <v>0.2</v>
      </c>
      <c r="P156" s="11"/>
      <c r="Q156" s="3">
        <f t="shared" si="4"/>
        <v>0</v>
      </c>
      <c r="R156" s="4">
        <f t="shared" si="5"/>
        <v>0</v>
      </c>
      <c r="S156" s="3" t="s">
        <v>23</v>
      </c>
      <c r="T156" s="190"/>
    </row>
    <row r="157" spans="1:20" ht="22.2" hidden="1" thickBot="1" x14ac:dyDescent="0.35">
      <c r="A157" s="182">
        <v>14</v>
      </c>
      <c r="B157" s="42" t="s">
        <v>20</v>
      </c>
      <c r="C157" s="43" t="s">
        <v>267</v>
      </c>
      <c r="D157" s="44">
        <v>5135</v>
      </c>
      <c r="E157" s="44" t="s">
        <v>75</v>
      </c>
      <c r="F157" s="45" t="s">
        <v>145</v>
      </c>
      <c r="G157" s="42" t="s">
        <v>53</v>
      </c>
      <c r="H157" s="45" t="s">
        <v>505</v>
      </c>
      <c r="I157" s="7" t="s">
        <v>22</v>
      </c>
      <c r="J157" s="3">
        <v>1</v>
      </c>
      <c r="K157" s="7" t="s">
        <v>88</v>
      </c>
      <c r="L157" s="8" t="s">
        <v>89</v>
      </c>
      <c r="M157" s="7" t="s">
        <v>90</v>
      </c>
      <c r="N157" s="3">
        <v>1</v>
      </c>
      <c r="O157" s="3">
        <v>0.1</v>
      </c>
      <c r="P157" s="11"/>
      <c r="Q157" s="3">
        <f t="shared" si="4"/>
        <v>0</v>
      </c>
      <c r="R157" s="4">
        <f t="shared" si="5"/>
        <v>0</v>
      </c>
      <c r="S157" s="3" t="s">
        <v>23</v>
      </c>
      <c r="T157" s="190"/>
    </row>
    <row r="158" spans="1:20" ht="22.2" hidden="1" thickBot="1" x14ac:dyDescent="0.35">
      <c r="A158" s="182">
        <v>15</v>
      </c>
      <c r="B158" s="42" t="s">
        <v>20</v>
      </c>
      <c r="C158" s="43" t="s">
        <v>267</v>
      </c>
      <c r="D158" s="44">
        <v>5135</v>
      </c>
      <c r="E158" s="44" t="s">
        <v>75</v>
      </c>
      <c r="F158" s="45" t="s">
        <v>145</v>
      </c>
      <c r="G158" s="42" t="s">
        <v>53</v>
      </c>
      <c r="H158" s="45" t="s">
        <v>505</v>
      </c>
      <c r="I158" s="47" t="s">
        <v>22</v>
      </c>
      <c r="J158" s="3">
        <v>1</v>
      </c>
      <c r="K158" s="7" t="s">
        <v>94</v>
      </c>
      <c r="L158" s="8" t="s">
        <v>95</v>
      </c>
      <c r="M158" s="7" t="s">
        <v>96</v>
      </c>
      <c r="N158" s="3">
        <v>1</v>
      </c>
      <c r="O158" s="3">
        <v>0.1</v>
      </c>
      <c r="P158" s="11"/>
      <c r="Q158" s="3">
        <f t="shared" si="4"/>
        <v>0</v>
      </c>
      <c r="R158" s="4">
        <f t="shared" si="5"/>
        <v>0</v>
      </c>
      <c r="S158" s="3" t="s">
        <v>23</v>
      </c>
      <c r="T158" s="190"/>
    </row>
    <row r="159" spans="1:20" ht="22.2" hidden="1" thickBot="1" x14ac:dyDescent="0.35">
      <c r="A159" s="288">
        <v>16</v>
      </c>
      <c r="B159" s="58" t="s">
        <v>20</v>
      </c>
      <c r="C159" s="59" t="s">
        <v>267</v>
      </c>
      <c r="D159" s="106">
        <v>5135</v>
      </c>
      <c r="E159" s="106" t="s">
        <v>75</v>
      </c>
      <c r="F159" s="61" t="s">
        <v>145</v>
      </c>
      <c r="G159" s="58" t="s">
        <v>53</v>
      </c>
      <c r="H159" s="61" t="s">
        <v>505</v>
      </c>
      <c r="I159" s="107" t="s">
        <v>22</v>
      </c>
      <c r="J159" s="62">
        <v>1</v>
      </c>
      <c r="K159" s="107" t="s">
        <v>91</v>
      </c>
      <c r="L159" s="108" t="s">
        <v>92</v>
      </c>
      <c r="M159" s="107" t="s">
        <v>93</v>
      </c>
      <c r="N159" s="110">
        <v>5</v>
      </c>
      <c r="O159" s="63">
        <v>0.1</v>
      </c>
      <c r="P159" s="110"/>
      <c r="Q159" s="62">
        <f t="shared" si="4"/>
        <v>0</v>
      </c>
      <c r="R159" s="110">
        <f t="shared" si="5"/>
        <v>0</v>
      </c>
      <c r="S159" s="63" t="s">
        <v>23</v>
      </c>
      <c r="T159" s="289"/>
    </row>
    <row r="160" spans="1:20" ht="22.2" hidden="1" thickBot="1" x14ac:dyDescent="0.35">
      <c r="A160" s="181">
        <v>17</v>
      </c>
      <c r="B160" s="71" t="s">
        <v>20</v>
      </c>
      <c r="C160" s="72" t="s">
        <v>267</v>
      </c>
      <c r="D160" s="73">
        <v>5300</v>
      </c>
      <c r="E160" s="73" t="s">
        <v>97</v>
      </c>
      <c r="F160" s="74" t="s">
        <v>145</v>
      </c>
      <c r="G160" s="71" t="s">
        <v>53</v>
      </c>
      <c r="H160" s="74" t="s">
        <v>505</v>
      </c>
      <c r="I160" s="75" t="s">
        <v>22</v>
      </c>
      <c r="J160" s="76">
        <v>0.7</v>
      </c>
      <c r="K160" s="75" t="s">
        <v>54</v>
      </c>
      <c r="L160" s="105" t="s">
        <v>55</v>
      </c>
      <c r="M160" s="75" t="s">
        <v>56</v>
      </c>
      <c r="N160" s="76">
        <v>0.95</v>
      </c>
      <c r="O160" s="76">
        <v>0.2</v>
      </c>
      <c r="P160" s="76"/>
      <c r="Q160" s="76">
        <f t="shared" si="4"/>
        <v>0</v>
      </c>
      <c r="R160" s="80">
        <f t="shared" si="5"/>
        <v>0</v>
      </c>
      <c r="S160" s="76" t="s">
        <v>23</v>
      </c>
      <c r="T160" s="189">
        <f>SUM(R160:R168)%</f>
        <v>0</v>
      </c>
    </row>
    <row r="161" spans="1:20" ht="22.2" hidden="1" thickBot="1" x14ac:dyDescent="0.35">
      <c r="A161" s="182">
        <v>18</v>
      </c>
      <c r="B161" s="42" t="s">
        <v>20</v>
      </c>
      <c r="C161" s="43" t="s">
        <v>267</v>
      </c>
      <c r="D161" s="44">
        <v>5300</v>
      </c>
      <c r="E161" s="44" t="s">
        <v>97</v>
      </c>
      <c r="F161" s="45" t="s">
        <v>145</v>
      </c>
      <c r="G161" s="42" t="s">
        <v>53</v>
      </c>
      <c r="H161" s="45" t="s">
        <v>505</v>
      </c>
      <c r="I161" s="7" t="s">
        <v>22</v>
      </c>
      <c r="J161" s="3">
        <v>0.7</v>
      </c>
      <c r="K161" s="7" t="s">
        <v>57</v>
      </c>
      <c r="L161" s="8" t="s">
        <v>58</v>
      </c>
      <c r="M161" s="7" t="s">
        <v>59</v>
      </c>
      <c r="N161" s="3">
        <v>0.95</v>
      </c>
      <c r="O161" s="3">
        <v>0.2</v>
      </c>
      <c r="P161" s="6"/>
      <c r="Q161" s="3">
        <f t="shared" si="4"/>
        <v>0</v>
      </c>
      <c r="R161" s="4">
        <f t="shared" si="5"/>
        <v>0</v>
      </c>
      <c r="S161" s="3" t="s">
        <v>23</v>
      </c>
      <c r="T161" s="190"/>
    </row>
    <row r="162" spans="1:20" ht="22.2" hidden="1" thickBot="1" x14ac:dyDescent="0.35">
      <c r="A162" s="182">
        <v>19</v>
      </c>
      <c r="B162" s="42" t="s">
        <v>20</v>
      </c>
      <c r="C162" s="43" t="s">
        <v>267</v>
      </c>
      <c r="D162" s="44">
        <v>5300</v>
      </c>
      <c r="E162" s="44" t="s">
        <v>97</v>
      </c>
      <c r="F162" s="45" t="s">
        <v>145</v>
      </c>
      <c r="G162" s="42" t="s">
        <v>53</v>
      </c>
      <c r="H162" s="45" t="s">
        <v>505</v>
      </c>
      <c r="I162" s="7" t="s">
        <v>22</v>
      </c>
      <c r="J162" s="3">
        <v>0.7</v>
      </c>
      <c r="K162" s="7" t="s">
        <v>79</v>
      </c>
      <c r="L162" s="8" t="s">
        <v>80</v>
      </c>
      <c r="M162" s="7" t="s">
        <v>81</v>
      </c>
      <c r="N162" s="10">
        <v>1</v>
      </c>
      <c r="O162" s="3">
        <v>0.2</v>
      </c>
      <c r="P162" s="6"/>
      <c r="Q162" s="3">
        <f t="shared" si="4"/>
        <v>0</v>
      </c>
      <c r="R162" s="4">
        <f t="shared" si="5"/>
        <v>0</v>
      </c>
      <c r="S162" s="3" t="s">
        <v>23</v>
      </c>
      <c r="T162" s="190"/>
    </row>
    <row r="163" spans="1:20" ht="22.2" hidden="1" thickBot="1" x14ac:dyDescent="0.35">
      <c r="A163" s="182">
        <v>20</v>
      </c>
      <c r="B163" s="42" t="s">
        <v>20</v>
      </c>
      <c r="C163" s="43" t="s">
        <v>267</v>
      </c>
      <c r="D163" s="44">
        <v>5300</v>
      </c>
      <c r="E163" s="44" t="s">
        <v>97</v>
      </c>
      <c r="F163" s="45" t="s">
        <v>145</v>
      </c>
      <c r="G163" s="42" t="s">
        <v>53</v>
      </c>
      <c r="H163" s="45" t="s">
        <v>505</v>
      </c>
      <c r="I163" s="47" t="s">
        <v>22</v>
      </c>
      <c r="J163" s="3">
        <v>0.7</v>
      </c>
      <c r="K163" s="7" t="s">
        <v>72</v>
      </c>
      <c r="L163" s="8" t="s">
        <v>73</v>
      </c>
      <c r="M163" s="7" t="s">
        <v>74</v>
      </c>
      <c r="N163" s="10">
        <v>0.9</v>
      </c>
      <c r="O163" s="3">
        <v>0.25</v>
      </c>
      <c r="P163" s="6"/>
      <c r="Q163" s="3">
        <f t="shared" si="4"/>
        <v>0</v>
      </c>
      <c r="R163" s="48">
        <f t="shared" si="5"/>
        <v>0</v>
      </c>
      <c r="S163" s="10" t="s">
        <v>23</v>
      </c>
      <c r="T163" s="191"/>
    </row>
    <row r="164" spans="1:20" ht="22.2" hidden="1" thickBot="1" x14ac:dyDescent="0.35">
      <c r="A164" s="182">
        <v>21</v>
      </c>
      <c r="B164" s="42" t="s">
        <v>20</v>
      </c>
      <c r="C164" s="43" t="s">
        <v>267</v>
      </c>
      <c r="D164" s="44">
        <v>5300</v>
      </c>
      <c r="E164" s="44" t="s">
        <v>97</v>
      </c>
      <c r="F164" s="45" t="s">
        <v>145</v>
      </c>
      <c r="G164" s="42" t="s">
        <v>53</v>
      </c>
      <c r="H164" s="45" t="s">
        <v>505</v>
      </c>
      <c r="I164" s="47" t="s">
        <v>22</v>
      </c>
      <c r="J164" s="3">
        <v>0.7</v>
      </c>
      <c r="K164" s="7" t="s">
        <v>63</v>
      </c>
      <c r="L164" s="8" t="s">
        <v>64</v>
      </c>
      <c r="M164" s="7" t="s">
        <v>65</v>
      </c>
      <c r="N164" s="3">
        <v>1</v>
      </c>
      <c r="O164" s="3">
        <v>0.15</v>
      </c>
      <c r="P164" s="6"/>
      <c r="Q164" s="3">
        <f t="shared" si="4"/>
        <v>0</v>
      </c>
      <c r="R164" s="48">
        <f t="shared" si="5"/>
        <v>0</v>
      </c>
      <c r="S164" s="10" t="s">
        <v>23</v>
      </c>
      <c r="T164" s="191"/>
    </row>
    <row r="165" spans="1:20" ht="22.2" hidden="1" thickBot="1" x14ac:dyDescent="0.35">
      <c r="A165" s="197">
        <v>22</v>
      </c>
      <c r="B165" s="33" t="s">
        <v>20</v>
      </c>
      <c r="C165" s="34" t="s">
        <v>267</v>
      </c>
      <c r="D165" s="35">
        <v>5300</v>
      </c>
      <c r="E165" s="35" t="s">
        <v>97</v>
      </c>
      <c r="F165" s="36" t="s">
        <v>145</v>
      </c>
      <c r="G165" s="33" t="s">
        <v>53</v>
      </c>
      <c r="H165" s="36" t="s">
        <v>505</v>
      </c>
      <c r="I165" s="37" t="s">
        <v>26</v>
      </c>
      <c r="J165" s="231">
        <v>0.3</v>
      </c>
      <c r="K165" s="199" t="s">
        <v>60</v>
      </c>
      <c r="L165" s="198" t="s">
        <v>61</v>
      </c>
      <c r="M165" s="199" t="s">
        <v>62</v>
      </c>
      <c r="N165" s="233">
        <v>1</v>
      </c>
      <c r="O165" s="231">
        <v>0.2</v>
      </c>
      <c r="P165" s="231"/>
      <c r="Q165" s="231">
        <f t="shared" si="4"/>
        <v>0</v>
      </c>
      <c r="R165" s="285">
        <f t="shared" si="5"/>
        <v>0</v>
      </c>
      <c r="S165" s="233" t="s">
        <v>23</v>
      </c>
      <c r="T165" s="252"/>
    </row>
    <row r="166" spans="1:20" ht="22.2" hidden="1" thickBot="1" x14ac:dyDescent="0.35">
      <c r="A166" s="219">
        <v>23</v>
      </c>
      <c r="B166" s="220" t="s">
        <v>20</v>
      </c>
      <c r="C166" s="221" t="s">
        <v>267</v>
      </c>
      <c r="D166" s="222">
        <v>5300</v>
      </c>
      <c r="E166" s="222" t="s">
        <v>97</v>
      </c>
      <c r="F166" s="223" t="s">
        <v>145</v>
      </c>
      <c r="G166" s="220" t="s">
        <v>53</v>
      </c>
      <c r="H166" s="223" t="s">
        <v>505</v>
      </c>
      <c r="I166" s="224" t="s">
        <v>26</v>
      </c>
      <c r="J166" s="225">
        <v>0.3</v>
      </c>
      <c r="K166" s="236" t="s">
        <v>66</v>
      </c>
      <c r="L166" s="235" t="s">
        <v>67</v>
      </c>
      <c r="M166" s="236" t="s">
        <v>68</v>
      </c>
      <c r="N166" s="229">
        <v>0.95</v>
      </c>
      <c r="O166" s="225">
        <v>0.2</v>
      </c>
      <c r="P166" s="225"/>
      <c r="Q166" s="225">
        <f t="shared" si="4"/>
        <v>0</v>
      </c>
      <c r="R166" s="286">
        <f t="shared" si="5"/>
        <v>0</v>
      </c>
      <c r="S166" s="229" t="s">
        <v>23</v>
      </c>
      <c r="T166" s="230"/>
    </row>
    <row r="167" spans="1:20" ht="22.2" hidden="1" thickBot="1" x14ac:dyDescent="0.35">
      <c r="A167" s="197">
        <v>24</v>
      </c>
      <c r="B167" s="33" t="s">
        <v>20</v>
      </c>
      <c r="C167" s="34" t="s">
        <v>267</v>
      </c>
      <c r="D167" s="35">
        <v>5300</v>
      </c>
      <c r="E167" s="35" t="s">
        <v>97</v>
      </c>
      <c r="F167" s="36" t="s">
        <v>145</v>
      </c>
      <c r="G167" s="33" t="s">
        <v>53</v>
      </c>
      <c r="H167" s="36" t="s">
        <v>505</v>
      </c>
      <c r="I167" s="37" t="s">
        <v>26</v>
      </c>
      <c r="J167" s="231">
        <v>0.3</v>
      </c>
      <c r="K167" s="199" t="s">
        <v>69</v>
      </c>
      <c r="L167" s="198" t="s">
        <v>25</v>
      </c>
      <c r="M167" s="199" t="s">
        <v>70</v>
      </c>
      <c r="N167" s="233">
        <v>1</v>
      </c>
      <c r="O167" s="231">
        <v>0.4</v>
      </c>
      <c r="P167" s="231"/>
      <c r="Q167" s="231">
        <f t="shared" si="4"/>
        <v>0</v>
      </c>
      <c r="R167" s="285">
        <f t="shared" si="5"/>
        <v>0</v>
      </c>
      <c r="S167" s="233" t="s">
        <v>23</v>
      </c>
      <c r="T167" s="252"/>
    </row>
    <row r="168" spans="1:20" ht="22.2" hidden="1" thickBot="1" x14ac:dyDescent="0.35">
      <c r="A168" s="267">
        <v>25</v>
      </c>
      <c r="B168" s="268" t="s">
        <v>20</v>
      </c>
      <c r="C168" s="269" t="s">
        <v>267</v>
      </c>
      <c r="D168" s="270">
        <v>5300</v>
      </c>
      <c r="E168" s="270" t="s">
        <v>97</v>
      </c>
      <c r="F168" s="271" t="s">
        <v>145</v>
      </c>
      <c r="G168" s="268" t="s">
        <v>53</v>
      </c>
      <c r="H168" s="271" t="s">
        <v>505</v>
      </c>
      <c r="I168" s="272" t="s">
        <v>26</v>
      </c>
      <c r="J168" s="273">
        <v>0.3</v>
      </c>
      <c r="K168" s="337" t="s">
        <v>47</v>
      </c>
      <c r="L168" s="338" t="s">
        <v>27</v>
      </c>
      <c r="M168" s="337" t="s">
        <v>71</v>
      </c>
      <c r="N168" s="276">
        <v>1</v>
      </c>
      <c r="O168" s="273">
        <v>0.2</v>
      </c>
      <c r="P168" s="273"/>
      <c r="Q168" s="273">
        <f t="shared" si="4"/>
        <v>0</v>
      </c>
      <c r="R168" s="287">
        <f t="shared" si="5"/>
        <v>0</v>
      </c>
      <c r="S168" s="276" t="s">
        <v>23</v>
      </c>
      <c r="T168" s="277"/>
    </row>
    <row r="169" spans="1:20" ht="22.2" hidden="1" thickBot="1" x14ac:dyDescent="0.35">
      <c r="A169" s="181">
        <v>26</v>
      </c>
      <c r="B169" s="71" t="s">
        <v>20</v>
      </c>
      <c r="C169" s="72" t="s">
        <v>267</v>
      </c>
      <c r="D169" s="73">
        <v>5814</v>
      </c>
      <c r="E169" s="73" t="s">
        <v>98</v>
      </c>
      <c r="F169" s="74" t="s">
        <v>145</v>
      </c>
      <c r="G169" s="71" t="s">
        <v>53</v>
      </c>
      <c r="H169" s="74" t="s">
        <v>505</v>
      </c>
      <c r="I169" s="75" t="s">
        <v>22</v>
      </c>
      <c r="J169" s="76">
        <v>0.7</v>
      </c>
      <c r="K169" s="75" t="s">
        <v>54</v>
      </c>
      <c r="L169" s="105" t="s">
        <v>55</v>
      </c>
      <c r="M169" s="75" t="s">
        <v>56</v>
      </c>
      <c r="N169" s="76">
        <v>0.95</v>
      </c>
      <c r="O169" s="76">
        <v>0.2</v>
      </c>
      <c r="P169" s="76"/>
      <c r="Q169" s="76">
        <f t="shared" si="4"/>
        <v>0</v>
      </c>
      <c r="R169" s="80">
        <f t="shared" si="5"/>
        <v>0</v>
      </c>
      <c r="S169" s="76" t="s">
        <v>23</v>
      </c>
      <c r="T169" s="189">
        <f>SUM(R169:R177)%</f>
        <v>0</v>
      </c>
    </row>
    <row r="170" spans="1:20" ht="22.2" hidden="1" thickBot="1" x14ac:dyDescent="0.35">
      <c r="A170" s="182">
        <v>27</v>
      </c>
      <c r="B170" s="42" t="s">
        <v>20</v>
      </c>
      <c r="C170" s="43" t="s">
        <v>267</v>
      </c>
      <c r="D170" s="44">
        <v>5814</v>
      </c>
      <c r="E170" s="44" t="s">
        <v>98</v>
      </c>
      <c r="F170" s="45" t="s">
        <v>145</v>
      </c>
      <c r="G170" s="42" t="s">
        <v>53</v>
      </c>
      <c r="H170" s="45" t="s">
        <v>505</v>
      </c>
      <c r="I170" s="7" t="s">
        <v>22</v>
      </c>
      <c r="J170" s="3">
        <v>0.7</v>
      </c>
      <c r="K170" s="7" t="s">
        <v>57</v>
      </c>
      <c r="L170" s="8" t="s">
        <v>58</v>
      </c>
      <c r="M170" s="7" t="s">
        <v>59</v>
      </c>
      <c r="N170" s="3">
        <v>0.95</v>
      </c>
      <c r="O170" s="3">
        <v>0.2</v>
      </c>
      <c r="P170" s="6"/>
      <c r="Q170" s="3">
        <f t="shared" si="4"/>
        <v>0</v>
      </c>
      <c r="R170" s="4">
        <f t="shared" si="5"/>
        <v>0</v>
      </c>
      <c r="S170" s="3" t="s">
        <v>23</v>
      </c>
      <c r="T170" s="190"/>
    </row>
    <row r="171" spans="1:20" ht="22.2" hidden="1" thickBot="1" x14ac:dyDescent="0.35">
      <c r="A171" s="182">
        <v>28</v>
      </c>
      <c r="B171" s="42" t="s">
        <v>20</v>
      </c>
      <c r="C171" s="43" t="s">
        <v>267</v>
      </c>
      <c r="D171" s="44">
        <v>5814</v>
      </c>
      <c r="E171" s="44" t="s">
        <v>98</v>
      </c>
      <c r="F171" s="45" t="s">
        <v>145</v>
      </c>
      <c r="G171" s="42" t="s">
        <v>53</v>
      </c>
      <c r="H171" s="45" t="s">
        <v>505</v>
      </c>
      <c r="I171" s="7" t="s">
        <v>22</v>
      </c>
      <c r="J171" s="3">
        <v>0.7</v>
      </c>
      <c r="K171" s="7" t="s">
        <v>79</v>
      </c>
      <c r="L171" s="8" t="s">
        <v>80</v>
      </c>
      <c r="M171" s="7" t="s">
        <v>81</v>
      </c>
      <c r="N171" s="10">
        <v>1</v>
      </c>
      <c r="O171" s="3">
        <v>0.2</v>
      </c>
      <c r="P171" s="6"/>
      <c r="Q171" s="3">
        <f t="shared" si="4"/>
        <v>0</v>
      </c>
      <c r="R171" s="4">
        <f t="shared" si="5"/>
        <v>0</v>
      </c>
      <c r="S171" s="3" t="s">
        <v>23</v>
      </c>
      <c r="T171" s="190"/>
    </row>
    <row r="172" spans="1:20" ht="22.2" hidden="1" thickBot="1" x14ac:dyDescent="0.35">
      <c r="A172" s="182">
        <v>29</v>
      </c>
      <c r="B172" s="42" t="s">
        <v>20</v>
      </c>
      <c r="C172" s="43" t="s">
        <v>267</v>
      </c>
      <c r="D172" s="44">
        <v>5814</v>
      </c>
      <c r="E172" s="44" t="s">
        <v>98</v>
      </c>
      <c r="F172" s="45" t="s">
        <v>145</v>
      </c>
      <c r="G172" s="42" t="s">
        <v>53</v>
      </c>
      <c r="H172" s="45" t="s">
        <v>505</v>
      </c>
      <c r="I172" s="47" t="s">
        <v>22</v>
      </c>
      <c r="J172" s="3">
        <v>0.7</v>
      </c>
      <c r="K172" s="7" t="s">
        <v>72</v>
      </c>
      <c r="L172" s="8" t="s">
        <v>73</v>
      </c>
      <c r="M172" s="7" t="s">
        <v>74</v>
      </c>
      <c r="N172" s="10">
        <v>0.9</v>
      </c>
      <c r="O172" s="3">
        <v>0.25</v>
      </c>
      <c r="P172" s="6"/>
      <c r="Q172" s="3">
        <f t="shared" si="4"/>
        <v>0</v>
      </c>
      <c r="R172" s="48">
        <f t="shared" si="5"/>
        <v>0</v>
      </c>
      <c r="S172" s="10" t="s">
        <v>23</v>
      </c>
      <c r="T172" s="191"/>
    </row>
    <row r="173" spans="1:20" ht="22.2" hidden="1" thickBot="1" x14ac:dyDescent="0.35">
      <c r="A173" s="182">
        <v>30</v>
      </c>
      <c r="B173" s="42" t="s">
        <v>20</v>
      </c>
      <c r="C173" s="43" t="s">
        <v>267</v>
      </c>
      <c r="D173" s="44">
        <v>5814</v>
      </c>
      <c r="E173" s="44" t="s">
        <v>98</v>
      </c>
      <c r="F173" s="45" t="s">
        <v>145</v>
      </c>
      <c r="G173" s="42" t="s">
        <v>53</v>
      </c>
      <c r="H173" s="45" t="s">
        <v>505</v>
      </c>
      <c r="I173" s="47" t="s">
        <v>22</v>
      </c>
      <c r="J173" s="3">
        <v>0.7</v>
      </c>
      <c r="K173" s="7" t="s">
        <v>63</v>
      </c>
      <c r="L173" s="8" t="s">
        <v>64</v>
      </c>
      <c r="M173" s="7" t="s">
        <v>65</v>
      </c>
      <c r="N173" s="3">
        <v>1</v>
      </c>
      <c r="O173" s="3">
        <v>0.15</v>
      </c>
      <c r="P173" s="6"/>
      <c r="Q173" s="3">
        <f t="shared" si="4"/>
        <v>0</v>
      </c>
      <c r="R173" s="48">
        <f t="shared" si="5"/>
        <v>0</v>
      </c>
      <c r="S173" s="10" t="s">
        <v>23</v>
      </c>
      <c r="T173" s="191"/>
    </row>
    <row r="174" spans="1:20" ht="22.2" hidden="1" thickBot="1" x14ac:dyDescent="0.35">
      <c r="A174" s="219">
        <v>31</v>
      </c>
      <c r="B174" s="220" t="s">
        <v>20</v>
      </c>
      <c r="C174" s="221" t="s">
        <v>267</v>
      </c>
      <c r="D174" s="222">
        <v>5814</v>
      </c>
      <c r="E174" s="222" t="s">
        <v>98</v>
      </c>
      <c r="F174" s="223" t="s">
        <v>145</v>
      </c>
      <c r="G174" s="220" t="s">
        <v>53</v>
      </c>
      <c r="H174" s="223" t="s">
        <v>505</v>
      </c>
      <c r="I174" s="224" t="s">
        <v>26</v>
      </c>
      <c r="J174" s="225">
        <v>0.3</v>
      </c>
      <c r="K174" s="236" t="s">
        <v>60</v>
      </c>
      <c r="L174" s="235" t="s">
        <v>61</v>
      </c>
      <c r="M174" s="236" t="s">
        <v>62</v>
      </c>
      <c r="N174" s="229">
        <v>1</v>
      </c>
      <c r="O174" s="225">
        <v>0.2</v>
      </c>
      <c r="P174" s="227"/>
      <c r="Q174" s="225">
        <f t="shared" si="4"/>
        <v>0</v>
      </c>
      <c r="R174" s="286">
        <f t="shared" si="5"/>
        <v>0</v>
      </c>
      <c r="S174" s="229" t="s">
        <v>23</v>
      </c>
      <c r="T174" s="230"/>
    </row>
    <row r="175" spans="1:20" ht="22.2" hidden="1" thickBot="1" x14ac:dyDescent="0.35">
      <c r="A175" s="197">
        <v>32</v>
      </c>
      <c r="B175" s="33" t="s">
        <v>20</v>
      </c>
      <c r="C175" s="34" t="s">
        <v>267</v>
      </c>
      <c r="D175" s="35">
        <v>5814</v>
      </c>
      <c r="E175" s="35" t="s">
        <v>98</v>
      </c>
      <c r="F175" s="36" t="s">
        <v>145</v>
      </c>
      <c r="G175" s="33" t="s">
        <v>53</v>
      </c>
      <c r="H175" s="36" t="s">
        <v>505</v>
      </c>
      <c r="I175" s="37" t="s">
        <v>26</v>
      </c>
      <c r="J175" s="231">
        <v>0.3</v>
      </c>
      <c r="K175" s="199" t="s">
        <v>66</v>
      </c>
      <c r="L175" s="198" t="s">
        <v>67</v>
      </c>
      <c r="M175" s="199" t="s">
        <v>68</v>
      </c>
      <c r="N175" s="233">
        <v>0.95</v>
      </c>
      <c r="O175" s="231">
        <v>0.2</v>
      </c>
      <c r="P175" s="56"/>
      <c r="Q175" s="231">
        <f t="shared" si="4"/>
        <v>0</v>
      </c>
      <c r="R175" s="285">
        <f t="shared" si="5"/>
        <v>0</v>
      </c>
      <c r="S175" s="233" t="s">
        <v>23</v>
      </c>
      <c r="T175" s="252"/>
    </row>
    <row r="176" spans="1:20" ht="22.2" hidden="1" thickBot="1" x14ac:dyDescent="0.35">
      <c r="A176" s="219">
        <v>33</v>
      </c>
      <c r="B176" s="220" t="s">
        <v>20</v>
      </c>
      <c r="C176" s="221" t="s">
        <v>267</v>
      </c>
      <c r="D176" s="222">
        <v>5814</v>
      </c>
      <c r="E176" s="222" t="s">
        <v>98</v>
      </c>
      <c r="F176" s="223" t="s">
        <v>145</v>
      </c>
      <c r="G176" s="220" t="s">
        <v>53</v>
      </c>
      <c r="H176" s="223" t="s">
        <v>505</v>
      </c>
      <c r="I176" s="224" t="s">
        <v>26</v>
      </c>
      <c r="J176" s="225">
        <v>0.3</v>
      </c>
      <c r="K176" s="236" t="s">
        <v>69</v>
      </c>
      <c r="L176" s="235" t="s">
        <v>25</v>
      </c>
      <c r="M176" s="236" t="s">
        <v>70</v>
      </c>
      <c r="N176" s="229">
        <v>1</v>
      </c>
      <c r="O176" s="225">
        <v>0.4</v>
      </c>
      <c r="P176" s="227"/>
      <c r="Q176" s="225">
        <f t="shared" si="4"/>
        <v>0</v>
      </c>
      <c r="R176" s="286">
        <f t="shared" si="5"/>
        <v>0</v>
      </c>
      <c r="S176" s="229" t="s">
        <v>23</v>
      </c>
      <c r="T176" s="230"/>
    </row>
    <row r="177" spans="1:20" ht="22.2" hidden="1" thickBot="1" x14ac:dyDescent="0.35">
      <c r="A177" s="200">
        <v>34</v>
      </c>
      <c r="B177" s="81" t="s">
        <v>20</v>
      </c>
      <c r="C177" s="82" t="s">
        <v>267</v>
      </c>
      <c r="D177" s="83">
        <v>5814</v>
      </c>
      <c r="E177" s="83" t="s">
        <v>98</v>
      </c>
      <c r="F177" s="84" t="s">
        <v>145</v>
      </c>
      <c r="G177" s="81" t="s">
        <v>53</v>
      </c>
      <c r="H177" s="84" t="s">
        <v>505</v>
      </c>
      <c r="I177" s="85" t="s">
        <v>26</v>
      </c>
      <c r="J177" s="238">
        <v>0.3</v>
      </c>
      <c r="K177" s="125" t="s">
        <v>47</v>
      </c>
      <c r="L177" s="126" t="s">
        <v>27</v>
      </c>
      <c r="M177" s="125" t="s">
        <v>71</v>
      </c>
      <c r="N177" s="255">
        <v>1</v>
      </c>
      <c r="O177" s="238">
        <v>0.2</v>
      </c>
      <c r="P177" s="238"/>
      <c r="Q177" s="238">
        <f t="shared" ref="Q177:Q240" si="6">ROUND(IF(OR(N177="",P177=""),0,IF(AND(N177=0,P177=0),1,IF(S177="+",P177/N177,N177/P177))),2)</f>
        <v>0</v>
      </c>
      <c r="R177" s="240">
        <f t="shared" si="5"/>
        <v>0</v>
      </c>
      <c r="S177" s="255" t="s">
        <v>23</v>
      </c>
      <c r="T177" s="241"/>
    </row>
    <row r="178" spans="1:20" ht="22.2" hidden="1" thickBot="1" x14ac:dyDescent="0.35">
      <c r="A178" s="181">
        <v>35</v>
      </c>
      <c r="B178" s="71" t="s">
        <v>20</v>
      </c>
      <c r="C178" s="72" t="s">
        <v>267</v>
      </c>
      <c r="D178" s="73">
        <v>6150</v>
      </c>
      <c r="E178" s="73" t="s">
        <v>99</v>
      </c>
      <c r="F178" s="74" t="s">
        <v>145</v>
      </c>
      <c r="G178" s="71" t="s">
        <v>53</v>
      </c>
      <c r="H178" s="74" t="s">
        <v>505</v>
      </c>
      <c r="I178" s="75" t="s">
        <v>22</v>
      </c>
      <c r="J178" s="76">
        <v>0.7</v>
      </c>
      <c r="K178" s="75" t="s">
        <v>54</v>
      </c>
      <c r="L178" s="105" t="s">
        <v>55</v>
      </c>
      <c r="M178" s="75" t="s">
        <v>56</v>
      </c>
      <c r="N178" s="76">
        <v>0.95</v>
      </c>
      <c r="O178" s="76">
        <v>0.2</v>
      </c>
      <c r="P178" s="76"/>
      <c r="Q178" s="76">
        <f t="shared" si="6"/>
        <v>0</v>
      </c>
      <c r="R178" s="80">
        <f t="shared" si="5"/>
        <v>0</v>
      </c>
      <c r="S178" s="76" t="s">
        <v>23</v>
      </c>
      <c r="T178" s="189">
        <f>SUM(R178:R186)%</f>
        <v>0</v>
      </c>
    </row>
    <row r="179" spans="1:20" ht="22.2" hidden="1" thickBot="1" x14ac:dyDescent="0.35">
      <c r="A179" s="182">
        <v>36</v>
      </c>
      <c r="B179" s="42" t="s">
        <v>20</v>
      </c>
      <c r="C179" s="43" t="s">
        <v>267</v>
      </c>
      <c r="D179" s="44">
        <v>6150</v>
      </c>
      <c r="E179" s="44" t="s">
        <v>99</v>
      </c>
      <c r="F179" s="45" t="s">
        <v>145</v>
      </c>
      <c r="G179" s="42" t="s">
        <v>53</v>
      </c>
      <c r="H179" s="45" t="s">
        <v>505</v>
      </c>
      <c r="I179" s="7" t="s">
        <v>22</v>
      </c>
      <c r="J179" s="3">
        <v>0.7</v>
      </c>
      <c r="K179" s="7" t="s">
        <v>57</v>
      </c>
      <c r="L179" s="8" t="s">
        <v>58</v>
      </c>
      <c r="M179" s="7" t="s">
        <v>59</v>
      </c>
      <c r="N179" s="3">
        <v>0.95</v>
      </c>
      <c r="O179" s="3">
        <v>0.2</v>
      </c>
      <c r="P179" s="3"/>
      <c r="Q179" s="3">
        <f t="shared" si="6"/>
        <v>0</v>
      </c>
      <c r="R179" s="4">
        <f t="shared" si="5"/>
        <v>0</v>
      </c>
      <c r="S179" s="3" t="s">
        <v>23</v>
      </c>
      <c r="T179" s="190"/>
    </row>
    <row r="180" spans="1:20" ht="22.2" hidden="1" thickBot="1" x14ac:dyDescent="0.35">
      <c r="A180" s="182">
        <v>37</v>
      </c>
      <c r="B180" s="42" t="s">
        <v>20</v>
      </c>
      <c r="C180" s="43" t="s">
        <v>267</v>
      </c>
      <c r="D180" s="44">
        <v>6150</v>
      </c>
      <c r="E180" s="44" t="s">
        <v>99</v>
      </c>
      <c r="F180" s="45" t="s">
        <v>145</v>
      </c>
      <c r="G180" s="42" t="s">
        <v>53</v>
      </c>
      <c r="H180" s="45" t="s">
        <v>505</v>
      </c>
      <c r="I180" s="7" t="s">
        <v>22</v>
      </c>
      <c r="J180" s="3">
        <v>0.7</v>
      </c>
      <c r="K180" s="7" t="s">
        <v>79</v>
      </c>
      <c r="L180" s="8" t="s">
        <v>80</v>
      </c>
      <c r="M180" s="7" t="s">
        <v>81</v>
      </c>
      <c r="N180" s="10">
        <v>1</v>
      </c>
      <c r="O180" s="3">
        <v>0.2</v>
      </c>
      <c r="P180" s="3"/>
      <c r="Q180" s="3">
        <f t="shared" si="6"/>
        <v>0</v>
      </c>
      <c r="R180" s="4">
        <f t="shared" si="5"/>
        <v>0</v>
      </c>
      <c r="S180" s="3" t="s">
        <v>23</v>
      </c>
      <c r="T180" s="190"/>
    </row>
    <row r="181" spans="1:20" ht="22.2" hidden="1" thickBot="1" x14ac:dyDescent="0.35">
      <c r="A181" s="182">
        <v>38</v>
      </c>
      <c r="B181" s="42" t="s">
        <v>20</v>
      </c>
      <c r="C181" s="43" t="s">
        <v>267</v>
      </c>
      <c r="D181" s="44">
        <v>6150</v>
      </c>
      <c r="E181" s="44" t="s">
        <v>99</v>
      </c>
      <c r="F181" s="45" t="s">
        <v>145</v>
      </c>
      <c r="G181" s="42" t="s">
        <v>53</v>
      </c>
      <c r="H181" s="45" t="s">
        <v>505</v>
      </c>
      <c r="I181" s="47" t="s">
        <v>22</v>
      </c>
      <c r="J181" s="3">
        <v>0.7</v>
      </c>
      <c r="K181" s="7" t="s">
        <v>72</v>
      </c>
      <c r="L181" s="8" t="s">
        <v>73</v>
      </c>
      <c r="M181" s="7" t="s">
        <v>74</v>
      </c>
      <c r="N181" s="10">
        <v>0.9</v>
      </c>
      <c r="O181" s="3">
        <v>0.25</v>
      </c>
      <c r="P181" s="3"/>
      <c r="Q181" s="3">
        <f t="shared" si="6"/>
        <v>0</v>
      </c>
      <c r="R181" s="48">
        <f t="shared" si="5"/>
        <v>0</v>
      </c>
      <c r="S181" s="10" t="s">
        <v>23</v>
      </c>
      <c r="T181" s="191"/>
    </row>
    <row r="182" spans="1:20" ht="22.2" hidden="1" thickBot="1" x14ac:dyDescent="0.35">
      <c r="A182" s="182">
        <v>39</v>
      </c>
      <c r="B182" s="42" t="s">
        <v>20</v>
      </c>
      <c r="C182" s="43" t="s">
        <v>267</v>
      </c>
      <c r="D182" s="44">
        <v>6150</v>
      </c>
      <c r="E182" s="44" t="s">
        <v>99</v>
      </c>
      <c r="F182" s="45" t="s">
        <v>145</v>
      </c>
      <c r="G182" s="42" t="s">
        <v>53</v>
      </c>
      <c r="H182" s="45" t="s">
        <v>505</v>
      </c>
      <c r="I182" s="47" t="s">
        <v>22</v>
      </c>
      <c r="J182" s="3">
        <v>0.7</v>
      </c>
      <c r="K182" s="7" t="s">
        <v>63</v>
      </c>
      <c r="L182" s="8" t="s">
        <v>64</v>
      </c>
      <c r="M182" s="7" t="s">
        <v>65</v>
      </c>
      <c r="N182" s="3">
        <v>1</v>
      </c>
      <c r="O182" s="3">
        <v>0.15</v>
      </c>
      <c r="P182" s="3"/>
      <c r="Q182" s="3">
        <f t="shared" si="6"/>
        <v>0</v>
      </c>
      <c r="R182" s="48">
        <f t="shared" si="5"/>
        <v>0</v>
      </c>
      <c r="S182" s="10" t="s">
        <v>23</v>
      </c>
      <c r="T182" s="191"/>
    </row>
    <row r="183" spans="1:20" ht="22.2" hidden="1" thickBot="1" x14ac:dyDescent="0.35">
      <c r="A183" s="197">
        <v>40</v>
      </c>
      <c r="B183" s="33" t="s">
        <v>20</v>
      </c>
      <c r="C183" s="34" t="s">
        <v>267</v>
      </c>
      <c r="D183" s="35">
        <v>6150</v>
      </c>
      <c r="E183" s="35" t="s">
        <v>99</v>
      </c>
      <c r="F183" s="36" t="s">
        <v>145</v>
      </c>
      <c r="G183" s="33" t="s">
        <v>53</v>
      </c>
      <c r="H183" s="36" t="s">
        <v>505</v>
      </c>
      <c r="I183" s="37" t="s">
        <v>26</v>
      </c>
      <c r="J183" s="231">
        <v>0.3</v>
      </c>
      <c r="K183" s="199" t="s">
        <v>60</v>
      </c>
      <c r="L183" s="198" t="s">
        <v>61</v>
      </c>
      <c r="M183" s="199" t="s">
        <v>62</v>
      </c>
      <c r="N183" s="233">
        <v>1</v>
      </c>
      <c r="O183" s="231">
        <v>0.2</v>
      </c>
      <c r="P183" s="231"/>
      <c r="Q183" s="231">
        <f t="shared" si="6"/>
        <v>0</v>
      </c>
      <c r="R183" s="285">
        <f t="shared" si="5"/>
        <v>0</v>
      </c>
      <c r="S183" s="233" t="s">
        <v>23</v>
      </c>
      <c r="T183" s="252"/>
    </row>
    <row r="184" spans="1:20" ht="22.2" hidden="1" thickBot="1" x14ac:dyDescent="0.35">
      <c r="A184" s="219">
        <v>41</v>
      </c>
      <c r="B184" s="220" t="s">
        <v>20</v>
      </c>
      <c r="C184" s="221" t="s">
        <v>267</v>
      </c>
      <c r="D184" s="222">
        <v>6150</v>
      </c>
      <c r="E184" s="222" t="s">
        <v>99</v>
      </c>
      <c r="F184" s="223" t="s">
        <v>145</v>
      </c>
      <c r="G184" s="220" t="s">
        <v>53</v>
      </c>
      <c r="H184" s="223" t="s">
        <v>505</v>
      </c>
      <c r="I184" s="224" t="s">
        <v>26</v>
      </c>
      <c r="J184" s="225">
        <v>0.3</v>
      </c>
      <c r="K184" s="236" t="s">
        <v>66</v>
      </c>
      <c r="L184" s="235" t="s">
        <v>67</v>
      </c>
      <c r="M184" s="236" t="s">
        <v>68</v>
      </c>
      <c r="N184" s="229">
        <v>0.95</v>
      </c>
      <c r="O184" s="225">
        <v>0.2</v>
      </c>
      <c r="P184" s="225"/>
      <c r="Q184" s="225">
        <f t="shared" si="6"/>
        <v>0</v>
      </c>
      <c r="R184" s="286">
        <f t="shared" si="5"/>
        <v>0</v>
      </c>
      <c r="S184" s="229" t="s">
        <v>23</v>
      </c>
      <c r="T184" s="230"/>
    </row>
    <row r="185" spans="1:20" ht="22.2" hidden="1" thickBot="1" x14ac:dyDescent="0.35">
      <c r="A185" s="197">
        <v>42</v>
      </c>
      <c r="B185" s="33" t="s">
        <v>20</v>
      </c>
      <c r="C185" s="34" t="s">
        <v>267</v>
      </c>
      <c r="D185" s="35">
        <v>6150</v>
      </c>
      <c r="E185" s="35" t="s">
        <v>99</v>
      </c>
      <c r="F185" s="36" t="s">
        <v>145</v>
      </c>
      <c r="G185" s="33" t="s">
        <v>53</v>
      </c>
      <c r="H185" s="36" t="s">
        <v>505</v>
      </c>
      <c r="I185" s="37" t="s">
        <v>26</v>
      </c>
      <c r="J185" s="231">
        <v>0.3</v>
      </c>
      <c r="K185" s="199" t="s">
        <v>69</v>
      </c>
      <c r="L185" s="198" t="s">
        <v>25</v>
      </c>
      <c r="M185" s="199" t="s">
        <v>70</v>
      </c>
      <c r="N185" s="233">
        <v>1</v>
      </c>
      <c r="O185" s="231">
        <v>0.4</v>
      </c>
      <c r="P185" s="231"/>
      <c r="Q185" s="231">
        <f t="shared" si="6"/>
        <v>0</v>
      </c>
      <c r="R185" s="285">
        <f t="shared" si="5"/>
        <v>0</v>
      </c>
      <c r="S185" s="233" t="s">
        <v>23</v>
      </c>
      <c r="T185" s="252"/>
    </row>
    <row r="186" spans="1:20" ht="22.2" hidden="1" thickBot="1" x14ac:dyDescent="0.35">
      <c r="A186" s="267">
        <v>43</v>
      </c>
      <c r="B186" s="268" t="s">
        <v>20</v>
      </c>
      <c r="C186" s="269" t="s">
        <v>267</v>
      </c>
      <c r="D186" s="270">
        <v>6150</v>
      </c>
      <c r="E186" s="270" t="s">
        <v>99</v>
      </c>
      <c r="F186" s="271" t="s">
        <v>145</v>
      </c>
      <c r="G186" s="268" t="s">
        <v>53</v>
      </c>
      <c r="H186" s="271" t="s">
        <v>505</v>
      </c>
      <c r="I186" s="272" t="s">
        <v>26</v>
      </c>
      <c r="J186" s="273">
        <v>0.3</v>
      </c>
      <c r="K186" s="337" t="s">
        <v>47</v>
      </c>
      <c r="L186" s="338" t="s">
        <v>27</v>
      </c>
      <c r="M186" s="337" t="s">
        <v>71</v>
      </c>
      <c r="N186" s="276">
        <v>1</v>
      </c>
      <c r="O186" s="273">
        <v>0.2</v>
      </c>
      <c r="P186" s="273"/>
      <c r="Q186" s="273">
        <f t="shared" si="6"/>
        <v>0</v>
      </c>
      <c r="R186" s="287">
        <f t="shared" si="5"/>
        <v>0</v>
      </c>
      <c r="S186" s="276" t="s">
        <v>23</v>
      </c>
      <c r="T186" s="277"/>
    </row>
    <row r="187" spans="1:20" ht="22.2" hidden="1" thickBot="1" x14ac:dyDescent="0.35">
      <c r="A187" s="181">
        <v>44</v>
      </c>
      <c r="B187" s="71" t="s">
        <v>20</v>
      </c>
      <c r="C187" s="72" t="s">
        <v>267</v>
      </c>
      <c r="D187" s="73">
        <v>6246</v>
      </c>
      <c r="E187" s="73" t="s">
        <v>100</v>
      </c>
      <c r="F187" s="74" t="s">
        <v>145</v>
      </c>
      <c r="G187" s="71" t="s">
        <v>53</v>
      </c>
      <c r="H187" s="74" t="s">
        <v>505</v>
      </c>
      <c r="I187" s="75" t="s">
        <v>22</v>
      </c>
      <c r="J187" s="76">
        <v>0.7</v>
      </c>
      <c r="K187" s="75" t="s">
        <v>54</v>
      </c>
      <c r="L187" s="105" t="s">
        <v>55</v>
      </c>
      <c r="M187" s="75" t="s">
        <v>56</v>
      </c>
      <c r="N187" s="76">
        <v>0.95</v>
      </c>
      <c r="O187" s="76">
        <v>0.2</v>
      </c>
      <c r="P187" s="76"/>
      <c r="Q187" s="76">
        <f t="shared" si="6"/>
        <v>0</v>
      </c>
      <c r="R187" s="80">
        <f t="shared" si="5"/>
        <v>0</v>
      </c>
      <c r="S187" s="76" t="s">
        <v>23</v>
      </c>
      <c r="T187" s="189">
        <f>SUM(R187:R195)%</f>
        <v>0</v>
      </c>
    </row>
    <row r="188" spans="1:20" ht="22.2" hidden="1" thickBot="1" x14ac:dyDescent="0.35">
      <c r="A188" s="182">
        <v>45</v>
      </c>
      <c r="B188" s="42" t="s">
        <v>20</v>
      </c>
      <c r="C188" s="43" t="s">
        <v>267</v>
      </c>
      <c r="D188" s="44">
        <v>6246</v>
      </c>
      <c r="E188" s="44" t="s">
        <v>100</v>
      </c>
      <c r="F188" s="45" t="s">
        <v>145</v>
      </c>
      <c r="G188" s="42" t="s">
        <v>53</v>
      </c>
      <c r="H188" s="45" t="s">
        <v>505</v>
      </c>
      <c r="I188" s="7" t="s">
        <v>22</v>
      </c>
      <c r="J188" s="3">
        <v>0.7</v>
      </c>
      <c r="K188" s="7" t="s">
        <v>57</v>
      </c>
      <c r="L188" s="8" t="s">
        <v>58</v>
      </c>
      <c r="M188" s="7" t="s">
        <v>59</v>
      </c>
      <c r="N188" s="3">
        <v>0.95</v>
      </c>
      <c r="O188" s="3">
        <v>0.2</v>
      </c>
      <c r="P188" s="3"/>
      <c r="Q188" s="3">
        <f t="shared" si="6"/>
        <v>0</v>
      </c>
      <c r="R188" s="4">
        <f t="shared" si="5"/>
        <v>0</v>
      </c>
      <c r="S188" s="3" t="s">
        <v>23</v>
      </c>
      <c r="T188" s="190"/>
    </row>
    <row r="189" spans="1:20" ht="22.2" hidden="1" thickBot="1" x14ac:dyDescent="0.35">
      <c r="A189" s="182">
        <v>46</v>
      </c>
      <c r="B189" s="42" t="s">
        <v>20</v>
      </c>
      <c r="C189" s="43" t="s">
        <v>267</v>
      </c>
      <c r="D189" s="44">
        <v>6246</v>
      </c>
      <c r="E189" s="44" t="s">
        <v>100</v>
      </c>
      <c r="F189" s="45" t="s">
        <v>145</v>
      </c>
      <c r="G189" s="42" t="s">
        <v>53</v>
      </c>
      <c r="H189" s="45" t="s">
        <v>505</v>
      </c>
      <c r="I189" s="7" t="s">
        <v>22</v>
      </c>
      <c r="J189" s="3">
        <v>0.7</v>
      </c>
      <c r="K189" s="7" t="s">
        <v>79</v>
      </c>
      <c r="L189" s="8" t="s">
        <v>80</v>
      </c>
      <c r="M189" s="7" t="s">
        <v>81</v>
      </c>
      <c r="N189" s="10">
        <v>1</v>
      </c>
      <c r="O189" s="3">
        <v>0.2</v>
      </c>
      <c r="P189" s="3"/>
      <c r="Q189" s="3">
        <f t="shared" si="6"/>
        <v>0</v>
      </c>
      <c r="R189" s="4">
        <f t="shared" si="5"/>
        <v>0</v>
      </c>
      <c r="S189" s="3" t="s">
        <v>23</v>
      </c>
      <c r="T189" s="190"/>
    </row>
    <row r="190" spans="1:20" ht="22.2" hidden="1" thickBot="1" x14ac:dyDescent="0.35">
      <c r="A190" s="182">
        <v>47</v>
      </c>
      <c r="B190" s="42" t="s">
        <v>20</v>
      </c>
      <c r="C190" s="43" t="s">
        <v>267</v>
      </c>
      <c r="D190" s="44">
        <v>6246</v>
      </c>
      <c r="E190" s="44" t="s">
        <v>100</v>
      </c>
      <c r="F190" s="45" t="s">
        <v>145</v>
      </c>
      <c r="G190" s="42" t="s">
        <v>53</v>
      </c>
      <c r="H190" s="45" t="s">
        <v>505</v>
      </c>
      <c r="I190" s="47" t="s">
        <v>22</v>
      </c>
      <c r="J190" s="3">
        <v>0.7</v>
      </c>
      <c r="K190" s="7" t="s">
        <v>72</v>
      </c>
      <c r="L190" s="8" t="s">
        <v>73</v>
      </c>
      <c r="M190" s="7" t="s">
        <v>74</v>
      </c>
      <c r="N190" s="10">
        <v>0.9</v>
      </c>
      <c r="O190" s="3">
        <v>0.25</v>
      </c>
      <c r="P190" s="3"/>
      <c r="Q190" s="3">
        <f t="shared" si="6"/>
        <v>0</v>
      </c>
      <c r="R190" s="48">
        <f t="shared" si="5"/>
        <v>0</v>
      </c>
      <c r="S190" s="10" t="s">
        <v>23</v>
      </c>
      <c r="T190" s="191"/>
    </row>
    <row r="191" spans="1:20" ht="22.2" hidden="1" thickBot="1" x14ac:dyDescent="0.35">
      <c r="A191" s="182">
        <v>48</v>
      </c>
      <c r="B191" s="42" t="s">
        <v>20</v>
      </c>
      <c r="C191" s="43" t="s">
        <v>267</v>
      </c>
      <c r="D191" s="44">
        <v>6246</v>
      </c>
      <c r="E191" s="44" t="s">
        <v>100</v>
      </c>
      <c r="F191" s="45" t="s">
        <v>145</v>
      </c>
      <c r="G191" s="42" t="s">
        <v>53</v>
      </c>
      <c r="H191" s="45" t="s">
        <v>505</v>
      </c>
      <c r="I191" s="47" t="s">
        <v>22</v>
      </c>
      <c r="J191" s="3">
        <v>0.7</v>
      </c>
      <c r="K191" s="7" t="s">
        <v>63</v>
      </c>
      <c r="L191" s="8" t="s">
        <v>64</v>
      </c>
      <c r="M191" s="7" t="s">
        <v>65</v>
      </c>
      <c r="N191" s="3">
        <v>1</v>
      </c>
      <c r="O191" s="3">
        <v>0.15</v>
      </c>
      <c r="P191" s="3"/>
      <c r="Q191" s="3">
        <f t="shared" si="6"/>
        <v>0</v>
      </c>
      <c r="R191" s="48">
        <f t="shared" si="5"/>
        <v>0</v>
      </c>
      <c r="S191" s="10" t="s">
        <v>23</v>
      </c>
      <c r="T191" s="191"/>
    </row>
    <row r="192" spans="1:20" ht="22.2" hidden="1" thickBot="1" x14ac:dyDescent="0.35">
      <c r="A192" s="219">
        <v>49</v>
      </c>
      <c r="B192" s="220" t="s">
        <v>20</v>
      </c>
      <c r="C192" s="221" t="s">
        <v>267</v>
      </c>
      <c r="D192" s="222">
        <v>6246</v>
      </c>
      <c r="E192" s="222" t="s">
        <v>100</v>
      </c>
      <c r="F192" s="223" t="s">
        <v>145</v>
      </c>
      <c r="G192" s="220" t="s">
        <v>53</v>
      </c>
      <c r="H192" s="223" t="s">
        <v>505</v>
      </c>
      <c r="I192" s="224" t="s">
        <v>26</v>
      </c>
      <c r="J192" s="225">
        <v>0.3</v>
      </c>
      <c r="K192" s="236" t="s">
        <v>60</v>
      </c>
      <c r="L192" s="235" t="s">
        <v>61</v>
      </c>
      <c r="M192" s="236" t="s">
        <v>62</v>
      </c>
      <c r="N192" s="229">
        <v>1</v>
      </c>
      <c r="O192" s="225">
        <v>0.2</v>
      </c>
      <c r="P192" s="225"/>
      <c r="Q192" s="225">
        <f t="shared" si="6"/>
        <v>0</v>
      </c>
      <c r="R192" s="286">
        <f t="shared" si="5"/>
        <v>0</v>
      </c>
      <c r="S192" s="229" t="s">
        <v>23</v>
      </c>
      <c r="T192" s="230"/>
    </row>
    <row r="193" spans="1:20" ht="22.2" hidden="1" thickBot="1" x14ac:dyDescent="0.35">
      <c r="A193" s="197">
        <v>50</v>
      </c>
      <c r="B193" s="33" t="s">
        <v>20</v>
      </c>
      <c r="C193" s="34" t="s">
        <v>267</v>
      </c>
      <c r="D193" s="35">
        <v>6246</v>
      </c>
      <c r="E193" s="35" t="s">
        <v>100</v>
      </c>
      <c r="F193" s="36" t="s">
        <v>145</v>
      </c>
      <c r="G193" s="33" t="s">
        <v>53</v>
      </c>
      <c r="H193" s="36" t="s">
        <v>505</v>
      </c>
      <c r="I193" s="37" t="s">
        <v>26</v>
      </c>
      <c r="J193" s="231">
        <v>0.3</v>
      </c>
      <c r="K193" s="199" t="s">
        <v>66</v>
      </c>
      <c r="L193" s="198" t="s">
        <v>67</v>
      </c>
      <c r="M193" s="199" t="s">
        <v>68</v>
      </c>
      <c r="N193" s="233">
        <v>0.95</v>
      </c>
      <c r="O193" s="231">
        <v>0.2</v>
      </c>
      <c r="P193" s="231"/>
      <c r="Q193" s="231">
        <f t="shared" si="6"/>
        <v>0</v>
      </c>
      <c r="R193" s="285">
        <f t="shared" si="5"/>
        <v>0</v>
      </c>
      <c r="S193" s="233" t="s">
        <v>23</v>
      </c>
      <c r="T193" s="252"/>
    </row>
    <row r="194" spans="1:20" ht="22.2" hidden="1" thickBot="1" x14ac:dyDescent="0.35">
      <c r="A194" s="219">
        <v>51</v>
      </c>
      <c r="B194" s="220" t="s">
        <v>20</v>
      </c>
      <c r="C194" s="221" t="s">
        <v>267</v>
      </c>
      <c r="D194" s="222">
        <v>6246</v>
      </c>
      <c r="E194" s="222" t="s">
        <v>100</v>
      </c>
      <c r="F194" s="223" t="s">
        <v>145</v>
      </c>
      <c r="G194" s="220" t="s">
        <v>53</v>
      </c>
      <c r="H194" s="223" t="s">
        <v>505</v>
      </c>
      <c r="I194" s="224" t="s">
        <v>26</v>
      </c>
      <c r="J194" s="225">
        <v>0.3</v>
      </c>
      <c r="K194" s="236" t="s">
        <v>69</v>
      </c>
      <c r="L194" s="235" t="s">
        <v>25</v>
      </c>
      <c r="M194" s="236" t="s">
        <v>70</v>
      </c>
      <c r="N194" s="229">
        <v>1</v>
      </c>
      <c r="O194" s="225">
        <v>0.4</v>
      </c>
      <c r="P194" s="225"/>
      <c r="Q194" s="225">
        <f t="shared" si="6"/>
        <v>0</v>
      </c>
      <c r="R194" s="286">
        <f t="shared" si="5"/>
        <v>0</v>
      </c>
      <c r="S194" s="229" t="s">
        <v>23</v>
      </c>
      <c r="T194" s="230"/>
    </row>
    <row r="195" spans="1:20" ht="22.2" hidden="1" thickBot="1" x14ac:dyDescent="0.35">
      <c r="A195" s="200">
        <v>52</v>
      </c>
      <c r="B195" s="81" t="s">
        <v>20</v>
      </c>
      <c r="C195" s="82" t="s">
        <v>267</v>
      </c>
      <c r="D195" s="83">
        <v>6246</v>
      </c>
      <c r="E195" s="83" t="s">
        <v>100</v>
      </c>
      <c r="F195" s="84" t="s">
        <v>145</v>
      </c>
      <c r="G195" s="81" t="s">
        <v>53</v>
      </c>
      <c r="H195" s="84" t="s">
        <v>505</v>
      </c>
      <c r="I195" s="85" t="s">
        <v>26</v>
      </c>
      <c r="J195" s="238">
        <v>0.3</v>
      </c>
      <c r="K195" s="125" t="s">
        <v>47</v>
      </c>
      <c r="L195" s="126" t="s">
        <v>27</v>
      </c>
      <c r="M195" s="125" t="s">
        <v>71</v>
      </c>
      <c r="N195" s="255">
        <v>1</v>
      </c>
      <c r="O195" s="238">
        <v>0.2</v>
      </c>
      <c r="P195" s="238"/>
      <c r="Q195" s="238">
        <f t="shared" si="6"/>
        <v>0</v>
      </c>
      <c r="R195" s="240">
        <f t="shared" ref="R195:R258" si="7">IF(AND(Q195&gt;=60%,Q195&lt;100%),Q195*((O195*J195)),IF(Q195=100%,((O195*J195)*Q195)*100%,IF(Q195&gt;100%,((J195*O195)*100%)*100%,0)))*100</f>
        <v>0</v>
      </c>
      <c r="S195" s="255" t="s">
        <v>23</v>
      </c>
      <c r="T195" s="241"/>
    </row>
    <row r="196" spans="1:20" ht="22.2" hidden="1" thickBot="1" x14ac:dyDescent="0.35">
      <c r="A196" s="181">
        <v>53</v>
      </c>
      <c r="B196" s="71" t="s">
        <v>20</v>
      </c>
      <c r="C196" s="72" t="s">
        <v>267</v>
      </c>
      <c r="D196" s="73">
        <v>6329</v>
      </c>
      <c r="E196" s="73" t="s">
        <v>101</v>
      </c>
      <c r="F196" s="74" t="s">
        <v>145</v>
      </c>
      <c r="G196" s="71" t="s">
        <v>53</v>
      </c>
      <c r="H196" s="74" t="s">
        <v>505</v>
      </c>
      <c r="I196" s="75" t="s">
        <v>22</v>
      </c>
      <c r="J196" s="76">
        <v>0.7</v>
      </c>
      <c r="K196" s="75" t="s">
        <v>54</v>
      </c>
      <c r="L196" s="105" t="s">
        <v>55</v>
      </c>
      <c r="M196" s="75" t="s">
        <v>56</v>
      </c>
      <c r="N196" s="76">
        <v>0.95</v>
      </c>
      <c r="O196" s="76">
        <v>0.2</v>
      </c>
      <c r="P196" s="76"/>
      <c r="Q196" s="76">
        <f t="shared" si="6"/>
        <v>0</v>
      </c>
      <c r="R196" s="80">
        <f t="shared" si="7"/>
        <v>0</v>
      </c>
      <c r="S196" s="76" t="s">
        <v>23</v>
      </c>
      <c r="T196" s="189">
        <f>SUM(R196:R204)%</f>
        <v>0</v>
      </c>
    </row>
    <row r="197" spans="1:20" ht="22.2" hidden="1" thickBot="1" x14ac:dyDescent="0.35">
      <c r="A197" s="182">
        <v>54</v>
      </c>
      <c r="B197" s="42" t="s">
        <v>20</v>
      </c>
      <c r="C197" s="43" t="s">
        <v>267</v>
      </c>
      <c r="D197" s="44">
        <v>6329</v>
      </c>
      <c r="E197" s="44" t="s">
        <v>101</v>
      </c>
      <c r="F197" s="45" t="s">
        <v>145</v>
      </c>
      <c r="G197" s="42" t="s">
        <v>53</v>
      </c>
      <c r="H197" s="45" t="s">
        <v>505</v>
      </c>
      <c r="I197" s="7" t="s">
        <v>22</v>
      </c>
      <c r="J197" s="3">
        <v>0.7</v>
      </c>
      <c r="K197" s="7" t="s">
        <v>57</v>
      </c>
      <c r="L197" s="8" t="s">
        <v>58</v>
      </c>
      <c r="M197" s="7" t="s">
        <v>59</v>
      </c>
      <c r="N197" s="3">
        <v>0.95</v>
      </c>
      <c r="O197" s="3">
        <v>0.2</v>
      </c>
      <c r="P197" s="6"/>
      <c r="Q197" s="3">
        <f t="shared" si="6"/>
        <v>0</v>
      </c>
      <c r="R197" s="4">
        <f t="shared" si="7"/>
        <v>0</v>
      </c>
      <c r="S197" s="3" t="s">
        <v>23</v>
      </c>
      <c r="T197" s="190"/>
    </row>
    <row r="198" spans="1:20" ht="22.2" hidden="1" thickBot="1" x14ac:dyDescent="0.35">
      <c r="A198" s="182">
        <v>55</v>
      </c>
      <c r="B198" s="42" t="s">
        <v>20</v>
      </c>
      <c r="C198" s="43" t="s">
        <v>267</v>
      </c>
      <c r="D198" s="44">
        <v>6329</v>
      </c>
      <c r="E198" s="44" t="s">
        <v>101</v>
      </c>
      <c r="F198" s="45" t="s">
        <v>145</v>
      </c>
      <c r="G198" s="42" t="s">
        <v>53</v>
      </c>
      <c r="H198" s="45" t="s">
        <v>505</v>
      </c>
      <c r="I198" s="7" t="s">
        <v>22</v>
      </c>
      <c r="J198" s="3">
        <v>0.7</v>
      </c>
      <c r="K198" s="7" t="s">
        <v>79</v>
      </c>
      <c r="L198" s="8" t="s">
        <v>80</v>
      </c>
      <c r="M198" s="7" t="s">
        <v>81</v>
      </c>
      <c r="N198" s="10">
        <v>1</v>
      </c>
      <c r="O198" s="3">
        <v>0.2</v>
      </c>
      <c r="P198" s="3"/>
      <c r="Q198" s="3">
        <f t="shared" si="6"/>
        <v>0</v>
      </c>
      <c r="R198" s="4">
        <f t="shared" si="7"/>
        <v>0</v>
      </c>
      <c r="S198" s="3" t="s">
        <v>23</v>
      </c>
      <c r="T198" s="190"/>
    </row>
    <row r="199" spans="1:20" ht="22.2" hidden="1" thickBot="1" x14ac:dyDescent="0.35">
      <c r="A199" s="182">
        <v>56</v>
      </c>
      <c r="B199" s="42" t="s">
        <v>20</v>
      </c>
      <c r="C199" s="43" t="s">
        <v>267</v>
      </c>
      <c r="D199" s="44">
        <v>6329</v>
      </c>
      <c r="E199" s="44" t="s">
        <v>101</v>
      </c>
      <c r="F199" s="45" t="s">
        <v>145</v>
      </c>
      <c r="G199" s="42" t="s">
        <v>53</v>
      </c>
      <c r="H199" s="45" t="s">
        <v>505</v>
      </c>
      <c r="I199" s="47" t="s">
        <v>22</v>
      </c>
      <c r="J199" s="3">
        <v>0.7</v>
      </c>
      <c r="K199" s="7" t="s">
        <v>72</v>
      </c>
      <c r="L199" s="8" t="s">
        <v>73</v>
      </c>
      <c r="M199" s="7" t="s">
        <v>74</v>
      </c>
      <c r="N199" s="10">
        <v>0.9</v>
      </c>
      <c r="O199" s="3">
        <v>0.25</v>
      </c>
      <c r="P199" s="3"/>
      <c r="Q199" s="3">
        <f t="shared" si="6"/>
        <v>0</v>
      </c>
      <c r="R199" s="48">
        <f t="shared" si="7"/>
        <v>0</v>
      </c>
      <c r="S199" s="10" t="s">
        <v>23</v>
      </c>
      <c r="T199" s="191"/>
    </row>
    <row r="200" spans="1:20" ht="22.2" hidden="1" thickBot="1" x14ac:dyDescent="0.35">
      <c r="A200" s="182">
        <v>57</v>
      </c>
      <c r="B200" s="42" t="s">
        <v>20</v>
      </c>
      <c r="C200" s="43" t="s">
        <v>267</v>
      </c>
      <c r="D200" s="44">
        <v>6329</v>
      </c>
      <c r="E200" s="44" t="s">
        <v>101</v>
      </c>
      <c r="F200" s="45" t="s">
        <v>145</v>
      </c>
      <c r="G200" s="42" t="s">
        <v>53</v>
      </c>
      <c r="H200" s="45" t="s">
        <v>505</v>
      </c>
      <c r="I200" s="47" t="s">
        <v>22</v>
      </c>
      <c r="J200" s="3">
        <v>0.7</v>
      </c>
      <c r="K200" s="7" t="s">
        <v>63</v>
      </c>
      <c r="L200" s="8" t="s">
        <v>64</v>
      </c>
      <c r="M200" s="7" t="s">
        <v>65</v>
      </c>
      <c r="N200" s="3">
        <v>1</v>
      </c>
      <c r="O200" s="3">
        <v>0.15</v>
      </c>
      <c r="P200" s="3"/>
      <c r="Q200" s="3">
        <f t="shared" si="6"/>
        <v>0</v>
      </c>
      <c r="R200" s="48">
        <f t="shared" si="7"/>
        <v>0</v>
      </c>
      <c r="S200" s="10" t="s">
        <v>23</v>
      </c>
      <c r="T200" s="191"/>
    </row>
    <row r="201" spans="1:20" ht="22.2" hidden="1" thickBot="1" x14ac:dyDescent="0.35">
      <c r="A201" s="197">
        <v>58</v>
      </c>
      <c r="B201" s="33" t="s">
        <v>20</v>
      </c>
      <c r="C201" s="34" t="s">
        <v>267</v>
      </c>
      <c r="D201" s="35">
        <v>6329</v>
      </c>
      <c r="E201" s="35" t="s">
        <v>101</v>
      </c>
      <c r="F201" s="36" t="s">
        <v>145</v>
      </c>
      <c r="G201" s="33" t="s">
        <v>53</v>
      </c>
      <c r="H201" s="36" t="s">
        <v>505</v>
      </c>
      <c r="I201" s="37" t="s">
        <v>26</v>
      </c>
      <c r="J201" s="231">
        <v>0.3</v>
      </c>
      <c r="K201" s="199" t="s">
        <v>60</v>
      </c>
      <c r="L201" s="198" t="s">
        <v>61</v>
      </c>
      <c r="M201" s="199" t="s">
        <v>62</v>
      </c>
      <c r="N201" s="233">
        <v>1</v>
      </c>
      <c r="O201" s="231">
        <v>0.2</v>
      </c>
      <c r="P201" s="231"/>
      <c r="Q201" s="231">
        <f t="shared" si="6"/>
        <v>0</v>
      </c>
      <c r="R201" s="285">
        <f t="shared" si="7"/>
        <v>0</v>
      </c>
      <c r="S201" s="233" t="s">
        <v>23</v>
      </c>
      <c r="T201" s="252"/>
    </row>
    <row r="202" spans="1:20" ht="22.2" hidden="1" thickBot="1" x14ac:dyDescent="0.35">
      <c r="A202" s="219">
        <v>59</v>
      </c>
      <c r="B202" s="220" t="s">
        <v>20</v>
      </c>
      <c r="C202" s="221" t="s">
        <v>267</v>
      </c>
      <c r="D202" s="222">
        <v>6329</v>
      </c>
      <c r="E202" s="222" t="s">
        <v>101</v>
      </c>
      <c r="F202" s="223" t="s">
        <v>145</v>
      </c>
      <c r="G202" s="220" t="s">
        <v>53</v>
      </c>
      <c r="H202" s="223" t="s">
        <v>505</v>
      </c>
      <c r="I202" s="224" t="s">
        <v>26</v>
      </c>
      <c r="J202" s="225">
        <v>0.3</v>
      </c>
      <c r="K202" s="236" t="s">
        <v>66</v>
      </c>
      <c r="L202" s="235" t="s">
        <v>67</v>
      </c>
      <c r="M202" s="236" t="s">
        <v>68</v>
      </c>
      <c r="N202" s="229">
        <v>0.95</v>
      </c>
      <c r="O202" s="225">
        <v>0.2</v>
      </c>
      <c r="P202" s="225"/>
      <c r="Q202" s="225">
        <f t="shared" si="6"/>
        <v>0</v>
      </c>
      <c r="R202" s="286">
        <f t="shared" si="7"/>
        <v>0</v>
      </c>
      <c r="S202" s="229" t="s">
        <v>23</v>
      </c>
      <c r="T202" s="230"/>
    </row>
    <row r="203" spans="1:20" ht="22.2" hidden="1" thickBot="1" x14ac:dyDescent="0.35">
      <c r="A203" s="197">
        <v>60</v>
      </c>
      <c r="B203" s="33" t="s">
        <v>20</v>
      </c>
      <c r="C203" s="34" t="s">
        <v>267</v>
      </c>
      <c r="D203" s="35">
        <v>6329</v>
      </c>
      <c r="E203" s="35" t="s">
        <v>101</v>
      </c>
      <c r="F203" s="36" t="s">
        <v>145</v>
      </c>
      <c r="G203" s="33" t="s">
        <v>53</v>
      </c>
      <c r="H203" s="36" t="s">
        <v>505</v>
      </c>
      <c r="I203" s="37" t="s">
        <v>26</v>
      </c>
      <c r="J203" s="231">
        <v>0.3</v>
      </c>
      <c r="K203" s="199" t="s">
        <v>69</v>
      </c>
      <c r="L203" s="198" t="s">
        <v>25</v>
      </c>
      <c r="M203" s="199" t="s">
        <v>70</v>
      </c>
      <c r="N203" s="233">
        <v>1</v>
      </c>
      <c r="O203" s="231">
        <v>0.4</v>
      </c>
      <c r="P203" s="231"/>
      <c r="Q203" s="231">
        <f t="shared" si="6"/>
        <v>0</v>
      </c>
      <c r="R203" s="285">
        <f t="shared" si="7"/>
        <v>0</v>
      </c>
      <c r="S203" s="233" t="s">
        <v>23</v>
      </c>
      <c r="T203" s="252"/>
    </row>
    <row r="204" spans="1:20" ht="22.2" hidden="1" thickBot="1" x14ac:dyDescent="0.35">
      <c r="A204" s="267">
        <v>61</v>
      </c>
      <c r="B204" s="268" t="s">
        <v>20</v>
      </c>
      <c r="C204" s="269" t="s">
        <v>267</v>
      </c>
      <c r="D204" s="270">
        <v>6329</v>
      </c>
      <c r="E204" s="270" t="s">
        <v>101</v>
      </c>
      <c r="F204" s="271" t="s">
        <v>145</v>
      </c>
      <c r="G204" s="268" t="s">
        <v>53</v>
      </c>
      <c r="H204" s="271" t="s">
        <v>505</v>
      </c>
      <c r="I204" s="272" t="s">
        <v>26</v>
      </c>
      <c r="J204" s="273">
        <v>0.3</v>
      </c>
      <c r="K204" s="337" t="s">
        <v>47</v>
      </c>
      <c r="L204" s="338" t="s">
        <v>27</v>
      </c>
      <c r="M204" s="337" t="s">
        <v>71</v>
      </c>
      <c r="N204" s="276">
        <v>1</v>
      </c>
      <c r="O204" s="273">
        <v>0.2</v>
      </c>
      <c r="P204" s="273"/>
      <c r="Q204" s="273">
        <f t="shared" si="6"/>
        <v>0</v>
      </c>
      <c r="R204" s="287">
        <f t="shared" si="7"/>
        <v>0</v>
      </c>
      <c r="S204" s="276" t="s">
        <v>23</v>
      </c>
      <c r="T204" s="277"/>
    </row>
    <row r="205" spans="1:20" ht="22.2" hidden="1" thickBot="1" x14ac:dyDescent="0.35">
      <c r="A205" s="181">
        <v>62</v>
      </c>
      <c r="B205" s="71" t="s">
        <v>20</v>
      </c>
      <c r="C205" s="72" t="s">
        <v>267</v>
      </c>
      <c r="D205" s="73">
        <v>6331</v>
      </c>
      <c r="E205" s="73" t="s">
        <v>102</v>
      </c>
      <c r="F205" s="74" t="s">
        <v>145</v>
      </c>
      <c r="G205" s="71" t="s">
        <v>53</v>
      </c>
      <c r="H205" s="74" t="s">
        <v>505</v>
      </c>
      <c r="I205" s="75" t="s">
        <v>22</v>
      </c>
      <c r="J205" s="76">
        <v>0.7</v>
      </c>
      <c r="K205" s="75" t="s">
        <v>54</v>
      </c>
      <c r="L205" s="105" t="s">
        <v>55</v>
      </c>
      <c r="M205" s="75" t="s">
        <v>56</v>
      </c>
      <c r="N205" s="76">
        <v>0.95</v>
      </c>
      <c r="O205" s="76">
        <v>0.2</v>
      </c>
      <c r="P205" s="76"/>
      <c r="Q205" s="76">
        <f t="shared" si="6"/>
        <v>0</v>
      </c>
      <c r="R205" s="80">
        <f t="shared" si="7"/>
        <v>0</v>
      </c>
      <c r="S205" s="76" t="s">
        <v>23</v>
      </c>
      <c r="T205" s="189">
        <f>SUM(R205:R213)%</f>
        <v>0</v>
      </c>
    </row>
    <row r="206" spans="1:20" ht="22.2" hidden="1" thickBot="1" x14ac:dyDescent="0.35">
      <c r="A206" s="182">
        <v>63</v>
      </c>
      <c r="B206" s="42" t="s">
        <v>20</v>
      </c>
      <c r="C206" s="43" t="s">
        <v>267</v>
      </c>
      <c r="D206" s="44">
        <v>6331</v>
      </c>
      <c r="E206" s="44" t="s">
        <v>102</v>
      </c>
      <c r="F206" s="45" t="s">
        <v>145</v>
      </c>
      <c r="G206" s="42" t="s">
        <v>53</v>
      </c>
      <c r="H206" s="45" t="s">
        <v>505</v>
      </c>
      <c r="I206" s="7" t="s">
        <v>22</v>
      </c>
      <c r="J206" s="3">
        <v>0.7</v>
      </c>
      <c r="K206" s="7" t="s">
        <v>57</v>
      </c>
      <c r="L206" s="8" t="s">
        <v>58</v>
      </c>
      <c r="M206" s="7" t="s">
        <v>59</v>
      </c>
      <c r="N206" s="3">
        <v>0.95</v>
      </c>
      <c r="O206" s="3">
        <v>0.2</v>
      </c>
      <c r="P206" s="6"/>
      <c r="Q206" s="3">
        <f t="shared" si="6"/>
        <v>0</v>
      </c>
      <c r="R206" s="4">
        <f t="shared" si="7"/>
        <v>0</v>
      </c>
      <c r="S206" s="3" t="s">
        <v>23</v>
      </c>
      <c r="T206" s="190"/>
    </row>
    <row r="207" spans="1:20" ht="22.2" hidden="1" thickBot="1" x14ac:dyDescent="0.35">
      <c r="A207" s="182">
        <v>64</v>
      </c>
      <c r="B207" s="42" t="s">
        <v>20</v>
      </c>
      <c r="C207" s="43" t="s">
        <v>267</v>
      </c>
      <c r="D207" s="44">
        <v>6331</v>
      </c>
      <c r="E207" s="44" t="s">
        <v>102</v>
      </c>
      <c r="F207" s="45" t="s">
        <v>145</v>
      </c>
      <c r="G207" s="42" t="s">
        <v>53</v>
      </c>
      <c r="H207" s="45" t="s">
        <v>505</v>
      </c>
      <c r="I207" s="7" t="s">
        <v>22</v>
      </c>
      <c r="J207" s="3">
        <v>0.7</v>
      </c>
      <c r="K207" s="7" t="s">
        <v>79</v>
      </c>
      <c r="L207" s="8" t="s">
        <v>80</v>
      </c>
      <c r="M207" s="7" t="s">
        <v>81</v>
      </c>
      <c r="N207" s="10">
        <v>1</v>
      </c>
      <c r="O207" s="3">
        <v>0.2</v>
      </c>
      <c r="P207" s="6"/>
      <c r="Q207" s="3">
        <f t="shared" si="6"/>
        <v>0</v>
      </c>
      <c r="R207" s="4">
        <f t="shared" si="7"/>
        <v>0</v>
      </c>
      <c r="S207" s="3" t="s">
        <v>23</v>
      </c>
      <c r="T207" s="190"/>
    </row>
    <row r="208" spans="1:20" ht="22.2" hidden="1" thickBot="1" x14ac:dyDescent="0.35">
      <c r="A208" s="182">
        <v>65</v>
      </c>
      <c r="B208" s="42" t="s">
        <v>20</v>
      </c>
      <c r="C208" s="43" t="s">
        <v>267</v>
      </c>
      <c r="D208" s="44">
        <v>6331</v>
      </c>
      <c r="E208" s="44" t="s">
        <v>102</v>
      </c>
      <c r="F208" s="45" t="s">
        <v>145</v>
      </c>
      <c r="G208" s="42" t="s">
        <v>53</v>
      </c>
      <c r="H208" s="45" t="s">
        <v>505</v>
      </c>
      <c r="I208" s="47" t="s">
        <v>22</v>
      </c>
      <c r="J208" s="3">
        <v>0.7</v>
      </c>
      <c r="K208" s="7" t="s">
        <v>72</v>
      </c>
      <c r="L208" s="8" t="s">
        <v>73</v>
      </c>
      <c r="M208" s="7" t="s">
        <v>74</v>
      </c>
      <c r="N208" s="10">
        <v>0.9</v>
      </c>
      <c r="O208" s="3">
        <v>0.25</v>
      </c>
      <c r="P208" s="6"/>
      <c r="Q208" s="3">
        <f t="shared" si="6"/>
        <v>0</v>
      </c>
      <c r="R208" s="48">
        <f t="shared" si="7"/>
        <v>0</v>
      </c>
      <c r="S208" s="10" t="s">
        <v>23</v>
      </c>
      <c r="T208" s="191"/>
    </row>
    <row r="209" spans="1:20" ht="22.2" hidden="1" thickBot="1" x14ac:dyDescent="0.35">
      <c r="A209" s="182">
        <v>66</v>
      </c>
      <c r="B209" s="42" t="s">
        <v>20</v>
      </c>
      <c r="C209" s="43" t="s">
        <v>267</v>
      </c>
      <c r="D209" s="44">
        <v>6331</v>
      </c>
      <c r="E209" s="44" t="s">
        <v>102</v>
      </c>
      <c r="F209" s="45" t="s">
        <v>145</v>
      </c>
      <c r="G209" s="42" t="s">
        <v>53</v>
      </c>
      <c r="H209" s="45" t="s">
        <v>505</v>
      </c>
      <c r="I209" s="47" t="s">
        <v>22</v>
      </c>
      <c r="J209" s="3">
        <v>0.7</v>
      </c>
      <c r="K209" s="7" t="s">
        <v>63</v>
      </c>
      <c r="L209" s="8" t="s">
        <v>64</v>
      </c>
      <c r="M209" s="7" t="s">
        <v>65</v>
      </c>
      <c r="N209" s="3">
        <v>1</v>
      </c>
      <c r="O209" s="3">
        <v>0.15</v>
      </c>
      <c r="P209" s="6"/>
      <c r="Q209" s="3">
        <f t="shared" si="6"/>
        <v>0</v>
      </c>
      <c r="R209" s="48">
        <f t="shared" si="7"/>
        <v>0</v>
      </c>
      <c r="S209" s="10" t="s">
        <v>23</v>
      </c>
      <c r="T209" s="191"/>
    </row>
    <row r="210" spans="1:20" ht="22.2" hidden="1" thickBot="1" x14ac:dyDescent="0.35">
      <c r="A210" s="219">
        <v>67</v>
      </c>
      <c r="B210" s="220" t="s">
        <v>20</v>
      </c>
      <c r="C210" s="221" t="s">
        <v>267</v>
      </c>
      <c r="D210" s="222">
        <v>6331</v>
      </c>
      <c r="E210" s="222" t="s">
        <v>102</v>
      </c>
      <c r="F210" s="223" t="s">
        <v>145</v>
      </c>
      <c r="G210" s="220" t="s">
        <v>53</v>
      </c>
      <c r="H210" s="223" t="s">
        <v>505</v>
      </c>
      <c r="I210" s="224" t="s">
        <v>26</v>
      </c>
      <c r="J210" s="225">
        <v>0.3</v>
      </c>
      <c r="K210" s="236" t="s">
        <v>60</v>
      </c>
      <c r="L210" s="235" t="s">
        <v>61</v>
      </c>
      <c r="M210" s="236" t="s">
        <v>62</v>
      </c>
      <c r="N210" s="229">
        <v>1</v>
      </c>
      <c r="O210" s="225">
        <v>0.2</v>
      </c>
      <c r="P210" s="225"/>
      <c r="Q210" s="225">
        <f t="shared" si="6"/>
        <v>0</v>
      </c>
      <c r="R210" s="286">
        <f t="shared" si="7"/>
        <v>0</v>
      </c>
      <c r="S210" s="229" t="s">
        <v>23</v>
      </c>
      <c r="T210" s="230"/>
    </row>
    <row r="211" spans="1:20" ht="22.2" hidden="1" thickBot="1" x14ac:dyDescent="0.35">
      <c r="A211" s="197">
        <v>68</v>
      </c>
      <c r="B211" s="33" t="s">
        <v>20</v>
      </c>
      <c r="C211" s="34" t="s">
        <v>267</v>
      </c>
      <c r="D211" s="35">
        <v>6331</v>
      </c>
      <c r="E211" s="35" t="s">
        <v>102</v>
      </c>
      <c r="F211" s="36" t="s">
        <v>145</v>
      </c>
      <c r="G211" s="33" t="s">
        <v>53</v>
      </c>
      <c r="H211" s="36" t="s">
        <v>505</v>
      </c>
      <c r="I211" s="37" t="s">
        <v>26</v>
      </c>
      <c r="J211" s="231">
        <v>0.3</v>
      </c>
      <c r="K211" s="199" t="s">
        <v>66</v>
      </c>
      <c r="L211" s="198" t="s">
        <v>67</v>
      </c>
      <c r="M211" s="199" t="s">
        <v>68</v>
      </c>
      <c r="N211" s="233">
        <v>0.95</v>
      </c>
      <c r="O211" s="231">
        <v>0.2</v>
      </c>
      <c r="P211" s="231"/>
      <c r="Q211" s="231">
        <f t="shared" si="6"/>
        <v>0</v>
      </c>
      <c r="R211" s="285">
        <f t="shared" si="7"/>
        <v>0</v>
      </c>
      <c r="S211" s="233" t="s">
        <v>23</v>
      </c>
      <c r="T211" s="252"/>
    </row>
    <row r="212" spans="1:20" ht="22.2" hidden="1" thickBot="1" x14ac:dyDescent="0.35">
      <c r="A212" s="219">
        <v>69</v>
      </c>
      <c r="B212" s="220" t="s">
        <v>20</v>
      </c>
      <c r="C212" s="221" t="s">
        <v>267</v>
      </c>
      <c r="D212" s="222">
        <v>6331</v>
      </c>
      <c r="E212" s="222" t="s">
        <v>102</v>
      </c>
      <c r="F212" s="223" t="s">
        <v>145</v>
      </c>
      <c r="G212" s="220" t="s">
        <v>53</v>
      </c>
      <c r="H212" s="223" t="s">
        <v>505</v>
      </c>
      <c r="I212" s="224" t="s">
        <v>26</v>
      </c>
      <c r="J212" s="225">
        <v>0.3</v>
      </c>
      <c r="K212" s="236" t="s">
        <v>69</v>
      </c>
      <c r="L212" s="235" t="s">
        <v>25</v>
      </c>
      <c r="M212" s="236" t="s">
        <v>70</v>
      </c>
      <c r="N212" s="229">
        <v>1</v>
      </c>
      <c r="O212" s="225">
        <v>0.4</v>
      </c>
      <c r="P212" s="225"/>
      <c r="Q212" s="225">
        <f t="shared" si="6"/>
        <v>0</v>
      </c>
      <c r="R212" s="286">
        <f t="shared" si="7"/>
        <v>0</v>
      </c>
      <c r="S212" s="229" t="s">
        <v>23</v>
      </c>
      <c r="T212" s="230"/>
    </row>
    <row r="213" spans="1:20" ht="22.2" hidden="1" thickBot="1" x14ac:dyDescent="0.35">
      <c r="A213" s="200">
        <v>70</v>
      </c>
      <c r="B213" s="81" t="s">
        <v>20</v>
      </c>
      <c r="C213" s="82" t="s">
        <v>267</v>
      </c>
      <c r="D213" s="83">
        <v>6331</v>
      </c>
      <c r="E213" s="83" t="s">
        <v>102</v>
      </c>
      <c r="F213" s="84" t="s">
        <v>145</v>
      </c>
      <c r="G213" s="81" t="s">
        <v>53</v>
      </c>
      <c r="H213" s="84" t="s">
        <v>505</v>
      </c>
      <c r="I213" s="85" t="s">
        <v>26</v>
      </c>
      <c r="J213" s="238">
        <v>0.3</v>
      </c>
      <c r="K213" s="125" t="s">
        <v>47</v>
      </c>
      <c r="L213" s="126" t="s">
        <v>27</v>
      </c>
      <c r="M213" s="125" t="s">
        <v>71</v>
      </c>
      <c r="N213" s="255">
        <v>1</v>
      </c>
      <c r="O213" s="238">
        <v>0.2</v>
      </c>
      <c r="P213" s="238"/>
      <c r="Q213" s="238">
        <f t="shared" si="6"/>
        <v>0</v>
      </c>
      <c r="R213" s="240">
        <f t="shared" si="7"/>
        <v>0</v>
      </c>
      <c r="S213" s="255" t="s">
        <v>23</v>
      </c>
      <c r="T213" s="241"/>
    </row>
    <row r="214" spans="1:20" ht="22.2" hidden="1" thickBot="1" x14ac:dyDescent="0.35">
      <c r="A214" s="181">
        <v>71</v>
      </c>
      <c r="B214" s="71" t="s">
        <v>20</v>
      </c>
      <c r="C214" s="72" t="s">
        <v>267</v>
      </c>
      <c r="D214" s="73">
        <v>6364</v>
      </c>
      <c r="E214" s="73" t="s">
        <v>103</v>
      </c>
      <c r="F214" s="74" t="s">
        <v>145</v>
      </c>
      <c r="G214" s="71" t="s">
        <v>53</v>
      </c>
      <c r="H214" s="74" t="s">
        <v>505</v>
      </c>
      <c r="I214" s="75" t="s">
        <v>22</v>
      </c>
      <c r="J214" s="76">
        <v>0.7</v>
      </c>
      <c r="K214" s="75" t="s">
        <v>54</v>
      </c>
      <c r="L214" s="105" t="s">
        <v>55</v>
      </c>
      <c r="M214" s="75" t="s">
        <v>56</v>
      </c>
      <c r="N214" s="76">
        <v>0.95</v>
      </c>
      <c r="O214" s="76">
        <v>0.2</v>
      </c>
      <c r="P214" s="76"/>
      <c r="Q214" s="76">
        <f t="shared" si="6"/>
        <v>0</v>
      </c>
      <c r="R214" s="80">
        <f t="shared" si="7"/>
        <v>0</v>
      </c>
      <c r="S214" s="76" t="s">
        <v>23</v>
      </c>
      <c r="T214" s="189">
        <f>SUM(R214:R222)%</f>
        <v>0</v>
      </c>
    </row>
    <row r="215" spans="1:20" ht="22.2" hidden="1" thickBot="1" x14ac:dyDescent="0.35">
      <c r="A215" s="182">
        <v>72</v>
      </c>
      <c r="B215" s="42" t="s">
        <v>20</v>
      </c>
      <c r="C215" s="43" t="s">
        <v>267</v>
      </c>
      <c r="D215" s="44">
        <v>6364</v>
      </c>
      <c r="E215" s="44" t="s">
        <v>103</v>
      </c>
      <c r="F215" s="45" t="s">
        <v>145</v>
      </c>
      <c r="G215" s="42" t="s">
        <v>53</v>
      </c>
      <c r="H215" s="45" t="s">
        <v>505</v>
      </c>
      <c r="I215" s="7" t="s">
        <v>22</v>
      </c>
      <c r="J215" s="3">
        <v>0.7</v>
      </c>
      <c r="K215" s="7" t="s">
        <v>57</v>
      </c>
      <c r="L215" s="8" t="s">
        <v>58</v>
      </c>
      <c r="M215" s="7" t="s">
        <v>59</v>
      </c>
      <c r="N215" s="3">
        <v>0.95</v>
      </c>
      <c r="O215" s="3">
        <v>0.2</v>
      </c>
      <c r="P215" s="3"/>
      <c r="Q215" s="3">
        <f t="shared" si="6"/>
        <v>0</v>
      </c>
      <c r="R215" s="4">
        <f t="shared" si="7"/>
        <v>0</v>
      </c>
      <c r="S215" s="3" t="s">
        <v>23</v>
      </c>
      <c r="T215" s="190"/>
    </row>
    <row r="216" spans="1:20" ht="22.2" hidden="1" thickBot="1" x14ac:dyDescent="0.35">
      <c r="A216" s="182">
        <v>73</v>
      </c>
      <c r="B216" s="42" t="s">
        <v>20</v>
      </c>
      <c r="C216" s="43" t="s">
        <v>267</v>
      </c>
      <c r="D216" s="44">
        <v>6364</v>
      </c>
      <c r="E216" s="44" t="s">
        <v>103</v>
      </c>
      <c r="F216" s="45" t="s">
        <v>145</v>
      </c>
      <c r="G216" s="42" t="s">
        <v>53</v>
      </c>
      <c r="H216" s="45" t="s">
        <v>505</v>
      </c>
      <c r="I216" s="7" t="s">
        <v>22</v>
      </c>
      <c r="J216" s="3">
        <v>0.7</v>
      </c>
      <c r="K216" s="7" t="s">
        <v>79</v>
      </c>
      <c r="L216" s="8" t="s">
        <v>80</v>
      </c>
      <c r="M216" s="7" t="s">
        <v>81</v>
      </c>
      <c r="N216" s="10">
        <v>1</v>
      </c>
      <c r="O216" s="3">
        <v>0.2</v>
      </c>
      <c r="P216" s="3"/>
      <c r="Q216" s="3">
        <f t="shared" si="6"/>
        <v>0</v>
      </c>
      <c r="R216" s="4">
        <f t="shared" si="7"/>
        <v>0</v>
      </c>
      <c r="S216" s="3" t="s">
        <v>23</v>
      </c>
      <c r="T216" s="190"/>
    </row>
    <row r="217" spans="1:20" ht="22.2" hidden="1" thickBot="1" x14ac:dyDescent="0.35">
      <c r="A217" s="182">
        <v>74</v>
      </c>
      <c r="B217" s="42" t="s">
        <v>20</v>
      </c>
      <c r="C217" s="43" t="s">
        <v>267</v>
      </c>
      <c r="D217" s="44">
        <v>6364</v>
      </c>
      <c r="E217" s="44" t="s">
        <v>103</v>
      </c>
      <c r="F217" s="45" t="s">
        <v>145</v>
      </c>
      <c r="G217" s="42" t="s">
        <v>53</v>
      </c>
      <c r="H217" s="45" t="s">
        <v>505</v>
      </c>
      <c r="I217" s="47" t="s">
        <v>22</v>
      </c>
      <c r="J217" s="3">
        <v>0.7</v>
      </c>
      <c r="K217" s="7" t="s">
        <v>72</v>
      </c>
      <c r="L217" s="8" t="s">
        <v>73</v>
      </c>
      <c r="M217" s="7" t="s">
        <v>74</v>
      </c>
      <c r="N217" s="10">
        <v>0.9</v>
      </c>
      <c r="O217" s="3">
        <v>0.25</v>
      </c>
      <c r="P217" s="3"/>
      <c r="Q217" s="3">
        <f t="shared" si="6"/>
        <v>0</v>
      </c>
      <c r="R217" s="48">
        <f t="shared" si="7"/>
        <v>0</v>
      </c>
      <c r="S217" s="10" t="s">
        <v>23</v>
      </c>
      <c r="T217" s="191"/>
    </row>
    <row r="218" spans="1:20" ht="22.2" hidden="1" thickBot="1" x14ac:dyDescent="0.35">
      <c r="A218" s="182">
        <v>75</v>
      </c>
      <c r="B218" s="42" t="s">
        <v>20</v>
      </c>
      <c r="C218" s="43" t="s">
        <v>267</v>
      </c>
      <c r="D218" s="44">
        <v>6364</v>
      </c>
      <c r="E218" s="44" t="s">
        <v>103</v>
      </c>
      <c r="F218" s="45" t="s">
        <v>145</v>
      </c>
      <c r="G218" s="42" t="s">
        <v>53</v>
      </c>
      <c r="H218" s="45" t="s">
        <v>505</v>
      </c>
      <c r="I218" s="47" t="s">
        <v>22</v>
      </c>
      <c r="J218" s="3">
        <v>0.7</v>
      </c>
      <c r="K218" s="7" t="s">
        <v>63</v>
      </c>
      <c r="L218" s="8" t="s">
        <v>64</v>
      </c>
      <c r="M218" s="7" t="s">
        <v>65</v>
      </c>
      <c r="N218" s="3">
        <v>1</v>
      </c>
      <c r="O218" s="3">
        <v>0.15</v>
      </c>
      <c r="P218" s="3"/>
      <c r="Q218" s="3">
        <f t="shared" si="6"/>
        <v>0</v>
      </c>
      <c r="R218" s="48">
        <f t="shared" si="7"/>
        <v>0</v>
      </c>
      <c r="S218" s="10" t="s">
        <v>23</v>
      </c>
      <c r="T218" s="191"/>
    </row>
    <row r="219" spans="1:20" ht="22.2" hidden="1" thickBot="1" x14ac:dyDescent="0.35">
      <c r="A219" s="197">
        <v>76</v>
      </c>
      <c r="B219" s="33" t="s">
        <v>20</v>
      </c>
      <c r="C219" s="34" t="s">
        <v>267</v>
      </c>
      <c r="D219" s="35">
        <v>6364</v>
      </c>
      <c r="E219" s="35" t="s">
        <v>103</v>
      </c>
      <c r="F219" s="36" t="s">
        <v>145</v>
      </c>
      <c r="G219" s="33" t="s">
        <v>53</v>
      </c>
      <c r="H219" s="36" t="s">
        <v>505</v>
      </c>
      <c r="I219" s="37" t="s">
        <v>26</v>
      </c>
      <c r="J219" s="231">
        <v>0.3</v>
      </c>
      <c r="K219" s="199" t="s">
        <v>60</v>
      </c>
      <c r="L219" s="198" t="s">
        <v>61</v>
      </c>
      <c r="M219" s="199" t="s">
        <v>62</v>
      </c>
      <c r="N219" s="233">
        <v>1</v>
      </c>
      <c r="O219" s="231">
        <v>0.2</v>
      </c>
      <c r="P219" s="231"/>
      <c r="Q219" s="231">
        <f t="shared" si="6"/>
        <v>0</v>
      </c>
      <c r="R219" s="285">
        <f t="shared" si="7"/>
        <v>0</v>
      </c>
      <c r="S219" s="233" t="s">
        <v>23</v>
      </c>
      <c r="T219" s="252"/>
    </row>
    <row r="220" spans="1:20" ht="22.2" hidden="1" thickBot="1" x14ac:dyDescent="0.35">
      <c r="A220" s="219">
        <v>77</v>
      </c>
      <c r="B220" s="220" t="s">
        <v>20</v>
      </c>
      <c r="C220" s="221" t="s">
        <v>267</v>
      </c>
      <c r="D220" s="222">
        <v>6364</v>
      </c>
      <c r="E220" s="222" t="s">
        <v>103</v>
      </c>
      <c r="F220" s="223" t="s">
        <v>145</v>
      </c>
      <c r="G220" s="220" t="s">
        <v>53</v>
      </c>
      <c r="H220" s="223" t="s">
        <v>505</v>
      </c>
      <c r="I220" s="224" t="s">
        <v>26</v>
      </c>
      <c r="J220" s="225">
        <v>0.3</v>
      </c>
      <c r="K220" s="236" t="s">
        <v>66</v>
      </c>
      <c r="L220" s="235" t="s">
        <v>67</v>
      </c>
      <c r="M220" s="236" t="s">
        <v>68</v>
      </c>
      <c r="N220" s="229">
        <v>0.95</v>
      </c>
      <c r="O220" s="225">
        <v>0.2</v>
      </c>
      <c r="P220" s="225"/>
      <c r="Q220" s="225">
        <f t="shared" si="6"/>
        <v>0</v>
      </c>
      <c r="R220" s="286">
        <f t="shared" si="7"/>
        <v>0</v>
      </c>
      <c r="S220" s="229" t="s">
        <v>23</v>
      </c>
      <c r="T220" s="230"/>
    </row>
    <row r="221" spans="1:20" ht="22.2" hidden="1" thickBot="1" x14ac:dyDescent="0.35">
      <c r="A221" s="197">
        <v>78</v>
      </c>
      <c r="B221" s="33" t="s">
        <v>20</v>
      </c>
      <c r="C221" s="34" t="s">
        <v>267</v>
      </c>
      <c r="D221" s="35">
        <v>6364</v>
      </c>
      <c r="E221" s="35" t="s">
        <v>103</v>
      </c>
      <c r="F221" s="36" t="s">
        <v>145</v>
      </c>
      <c r="G221" s="33" t="s">
        <v>53</v>
      </c>
      <c r="H221" s="36" t="s">
        <v>505</v>
      </c>
      <c r="I221" s="37" t="s">
        <v>26</v>
      </c>
      <c r="J221" s="231">
        <v>0.3</v>
      </c>
      <c r="K221" s="199" t="s">
        <v>69</v>
      </c>
      <c r="L221" s="198" t="s">
        <v>25</v>
      </c>
      <c r="M221" s="199" t="s">
        <v>70</v>
      </c>
      <c r="N221" s="233">
        <v>1</v>
      </c>
      <c r="O221" s="231">
        <v>0.4</v>
      </c>
      <c r="P221" s="231"/>
      <c r="Q221" s="231">
        <f t="shared" si="6"/>
        <v>0</v>
      </c>
      <c r="R221" s="285">
        <f t="shared" si="7"/>
        <v>0</v>
      </c>
      <c r="S221" s="233" t="s">
        <v>23</v>
      </c>
      <c r="T221" s="252"/>
    </row>
    <row r="222" spans="1:20" ht="22.2" hidden="1" thickBot="1" x14ac:dyDescent="0.35">
      <c r="A222" s="267">
        <v>79</v>
      </c>
      <c r="B222" s="268" t="s">
        <v>20</v>
      </c>
      <c r="C222" s="269" t="s">
        <v>267</v>
      </c>
      <c r="D222" s="270">
        <v>6364</v>
      </c>
      <c r="E222" s="270" t="s">
        <v>103</v>
      </c>
      <c r="F222" s="271" t="s">
        <v>145</v>
      </c>
      <c r="G222" s="268" t="s">
        <v>53</v>
      </c>
      <c r="H222" s="271" t="s">
        <v>505</v>
      </c>
      <c r="I222" s="272" t="s">
        <v>26</v>
      </c>
      <c r="J222" s="273">
        <v>0.3</v>
      </c>
      <c r="K222" s="337" t="s">
        <v>47</v>
      </c>
      <c r="L222" s="338" t="s">
        <v>27</v>
      </c>
      <c r="M222" s="337" t="s">
        <v>71</v>
      </c>
      <c r="N222" s="276">
        <v>1</v>
      </c>
      <c r="O222" s="273">
        <v>0.2</v>
      </c>
      <c r="P222" s="273"/>
      <c r="Q222" s="273">
        <f t="shared" si="6"/>
        <v>0</v>
      </c>
      <c r="R222" s="287">
        <f t="shared" si="7"/>
        <v>0</v>
      </c>
      <c r="S222" s="276" t="s">
        <v>23</v>
      </c>
      <c r="T222" s="277"/>
    </row>
    <row r="223" spans="1:20" ht="21.6" x14ac:dyDescent="0.3">
      <c r="A223" s="181">
        <v>80</v>
      </c>
      <c r="B223" s="71" t="s">
        <v>20</v>
      </c>
      <c r="C223" s="72" t="s">
        <v>267</v>
      </c>
      <c r="D223" s="73">
        <v>6373</v>
      </c>
      <c r="E223" s="73" t="s">
        <v>104</v>
      </c>
      <c r="F223" s="74" t="s">
        <v>145</v>
      </c>
      <c r="G223" s="71" t="s">
        <v>53</v>
      </c>
      <c r="H223" s="74" t="s">
        <v>505</v>
      </c>
      <c r="I223" s="75" t="s">
        <v>22</v>
      </c>
      <c r="J223" s="76">
        <v>1</v>
      </c>
      <c r="K223" s="75" t="s">
        <v>105</v>
      </c>
      <c r="L223" s="105" t="s">
        <v>106</v>
      </c>
      <c r="M223" s="75" t="s">
        <v>107</v>
      </c>
      <c r="N223" s="76">
        <v>1</v>
      </c>
      <c r="O223" s="76">
        <v>0.2</v>
      </c>
      <c r="P223" s="76"/>
      <c r="Q223" s="76">
        <f t="shared" si="6"/>
        <v>0</v>
      </c>
      <c r="R223" s="80">
        <f t="shared" si="7"/>
        <v>0</v>
      </c>
      <c r="S223" s="76" t="s">
        <v>23</v>
      </c>
      <c r="T223" s="189">
        <f>SUM(R223:R228)%</f>
        <v>0</v>
      </c>
    </row>
    <row r="224" spans="1:20" ht="21.6" x14ac:dyDescent="0.3">
      <c r="A224" s="182">
        <v>81</v>
      </c>
      <c r="B224" s="42" t="s">
        <v>20</v>
      </c>
      <c r="C224" s="43" t="s">
        <v>267</v>
      </c>
      <c r="D224" s="44">
        <v>6373</v>
      </c>
      <c r="E224" s="44" t="s">
        <v>104</v>
      </c>
      <c r="F224" s="45" t="s">
        <v>145</v>
      </c>
      <c r="G224" s="42" t="s">
        <v>53</v>
      </c>
      <c r="H224" s="45" t="s">
        <v>505</v>
      </c>
      <c r="I224" s="7" t="s">
        <v>22</v>
      </c>
      <c r="J224" s="3">
        <v>1</v>
      </c>
      <c r="K224" s="7" t="s">
        <v>108</v>
      </c>
      <c r="L224" s="8" t="s">
        <v>109</v>
      </c>
      <c r="M224" s="7" t="s">
        <v>110</v>
      </c>
      <c r="N224" s="5">
        <v>12</v>
      </c>
      <c r="O224" s="3">
        <v>0.2</v>
      </c>
      <c r="P224" s="5"/>
      <c r="Q224" s="3">
        <f t="shared" si="6"/>
        <v>0</v>
      </c>
      <c r="R224" s="4">
        <f t="shared" si="7"/>
        <v>0</v>
      </c>
      <c r="S224" s="3" t="s">
        <v>24</v>
      </c>
      <c r="T224" s="190"/>
    </row>
    <row r="225" spans="1:20" ht="21.6" x14ac:dyDescent="0.3">
      <c r="A225" s="182">
        <v>82</v>
      </c>
      <c r="B225" s="42" t="s">
        <v>20</v>
      </c>
      <c r="C225" s="43" t="s">
        <v>267</v>
      </c>
      <c r="D225" s="44">
        <v>6373</v>
      </c>
      <c r="E225" s="44" t="s">
        <v>104</v>
      </c>
      <c r="F225" s="45" t="s">
        <v>145</v>
      </c>
      <c r="G225" s="42" t="s">
        <v>53</v>
      </c>
      <c r="H225" s="45" t="s">
        <v>505</v>
      </c>
      <c r="I225" s="7" t="s">
        <v>22</v>
      </c>
      <c r="J225" s="3">
        <v>1</v>
      </c>
      <c r="K225" s="7" t="s">
        <v>111</v>
      </c>
      <c r="L225" s="8" t="s">
        <v>112</v>
      </c>
      <c r="M225" s="7" t="s">
        <v>113</v>
      </c>
      <c r="N225" s="3">
        <v>0.95</v>
      </c>
      <c r="O225" s="3">
        <v>0.15</v>
      </c>
      <c r="P225" s="6"/>
      <c r="Q225" s="3">
        <f t="shared" si="6"/>
        <v>0</v>
      </c>
      <c r="R225" s="4">
        <f t="shared" si="7"/>
        <v>0</v>
      </c>
      <c r="S225" s="3" t="s">
        <v>23</v>
      </c>
      <c r="T225" s="190"/>
    </row>
    <row r="226" spans="1:20" ht="21.6" x14ac:dyDescent="0.3">
      <c r="A226" s="182">
        <v>83</v>
      </c>
      <c r="B226" s="42" t="s">
        <v>20</v>
      </c>
      <c r="C226" s="43" t="s">
        <v>267</v>
      </c>
      <c r="D226" s="44">
        <v>6373</v>
      </c>
      <c r="E226" s="44" t="s">
        <v>104</v>
      </c>
      <c r="F226" s="45" t="s">
        <v>145</v>
      </c>
      <c r="G226" s="42" t="s">
        <v>53</v>
      </c>
      <c r="H226" s="45" t="s">
        <v>505</v>
      </c>
      <c r="I226" s="7" t="s">
        <v>22</v>
      </c>
      <c r="J226" s="3">
        <v>1</v>
      </c>
      <c r="K226" s="7" t="s">
        <v>114</v>
      </c>
      <c r="L226" s="8" t="s">
        <v>115</v>
      </c>
      <c r="M226" s="7" t="s">
        <v>116</v>
      </c>
      <c r="N226" s="6">
        <v>0.95</v>
      </c>
      <c r="O226" s="3">
        <v>0.2</v>
      </c>
      <c r="P226" s="11"/>
      <c r="Q226" s="3">
        <f t="shared" si="6"/>
        <v>0</v>
      </c>
      <c r="R226" s="4">
        <f t="shared" si="7"/>
        <v>0</v>
      </c>
      <c r="S226" s="3" t="s">
        <v>23</v>
      </c>
      <c r="T226" s="190"/>
    </row>
    <row r="227" spans="1:20" ht="21.6" x14ac:dyDescent="0.3">
      <c r="A227" s="182">
        <v>84</v>
      </c>
      <c r="B227" s="42" t="s">
        <v>20</v>
      </c>
      <c r="C227" s="43" t="s">
        <v>267</v>
      </c>
      <c r="D227" s="44">
        <v>6373</v>
      </c>
      <c r="E227" s="44" t="s">
        <v>104</v>
      </c>
      <c r="F227" s="45" t="s">
        <v>145</v>
      </c>
      <c r="G227" s="42" t="s">
        <v>53</v>
      </c>
      <c r="H227" s="45" t="s">
        <v>505</v>
      </c>
      <c r="I227" s="7" t="s">
        <v>22</v>
      </c>
      <c r="J227" s="3">
        <v>1</v>
      </c>
      <c r="K227" s="7" t="s">
        <v>117</v>
      </c>
      <c r="L227" s="8" t="s">
        <v>80</v>
      </c>
      <c r="M227" s="7" t="s">
        <v>81</v>
      </c>
      <c r="N227" s="10">
        <v>0.9</v>
      </c>
      <c r="O227" s="3">
        <v>0.15</v>
      </c>
      <c r="P227" s="3"/>
      <c r="Q227" s="3">
        <f t="shared" si="6"/>
        <v>0</v>
      </c>
      <c r="R227" s="4">
        <f t="shared" si="7"/>
        <v>0</v>
      </c>
      <c r="S227" s="3" t="s">
        <v>23</v>
      </c>
      <c r="T227" s="190"/>
    </row>
    <row r="228" spans="1:20" ht="22.2" thickBot="1" x14ac:dyDescent="0.35">
      <c r="A228" s="288">
        <v>85</v>
      </c>
      <c r="B228" s="58" t="s">
        <v>20</v>
      </c>
      <c r="C228" s="59" t="s">
        <v>267</v>
      </c>
      <c r="D228" s="106">
        <v>6373</v>
      </c>
      <c r="E228" s="106" t="s">
        <v>104</v>
      </c>
      <c r="F228" s="61" t="s">
        <v>145</v>
      </c>
      <c r="G228" s="58" t="s">
        <v>53</v>
      </c>
      <c r="H228" s="61" t="s">
        <v>505</v>
      </c>
      <c r="I228" s="107" t="s">
        <v>22</v>
      </c>
      <c r="J228" s="62">
        <v>1</v>
      </c>
      <c r="K228" s="107" t="s">
        <v>118</v>
      </c>
      <c r="L228" s="108" t="s">
        <v>119</v>
      </c>
      <c r="M228" s="107" t="s">
        <v>120</v>
      </c>
      <c r="N228" s="62">
        <v>0.05</v>
      </c>
      <c r="O228" s="63">
        <v>0.1</v>
      </c>
      <c r="P228" s="62"/>
      <c r="Q228" s="62">
        <f t="shared" si="6"/>
        <v>0</v>
      </c>
      <c r="R228" s="110">
        <f t="shared" si="7"/>
        <v>0</v>
      </c>
      <c r="S228" s="63" t="s">
        <v>24</v>
      </c>
      <c r="T228" s="289"/>
    </row>
    <row r="229" spans="1:20" ht="21.6" hidden="1" x14ac:dyDescent="0.3">
      <c r="A229" s="181">
        <v>2070</v>
      </c>
      <c r="B229" s="71" t="s">
        <v>20</v>
      </c>
      <c r="C229" s="72" t="s">
        <v>267</v>
      </c>
      <c r="D229" s="112" t="s">
        <v>121</v>
      </c>
      <c r="E229" s="71" t="s">
        <v>122</v>
      </c>
      <c r="F229" s="74" t="s">
        <v>123</v>
      </c>
      <c r="G229" s="71" t="s">
        <v>28</v>
      </c>
      <c r="H229" s="74" t="s">
        <v>385</v>
      </c>
      <c r="I229" s="75" t="s">
        <v>22</v>
      </c>
      <c r="J229" s="76">
        <v>0.7</v>
      </c>
      <c r="K229" s="75" t="s">
        <v>513</v>
      </c>
      <c r="L229" s="105" t="s">
        <v>511</v>
      </c>
      <c r="M229" s="75" t="s">
        <v>411</v>
      </c>
      <c r="N229" s="76">
        <v>0.95</v>
      </c>
      <c r="O229" s="76">
        <v>0.15</v>
      </c>
      <c r="P229" s="76"/>
      <c r="Q229" s="76">
        <f t="shared" si="6"/>
        <v>0</v>
      </c>
      <c r="R229" s="80">
        <f t="shared" si="7"/>
        <v>0</v>
      </c>
      <c r="S229" s="76" t="s">
        <v>23</v>
      </c>
      <c r="T229" s="189">
        <f>SUM(R229:R236)%</f>
        <v>0</v>
      </c>
    </row>
    <row r="230" spans="1:20" ht="21.6" hidden="1" x14ac:dyDescent="0.3">
      <c r="A230" s="182">
        <v>2072</v>
      </c>
      <c r="B230" s="42" t="s">
        <v>20</v>
      </c>
      <c r="C230" s="43" t="s">
        <v>267</v>
      </c>
      <c r="D230" s="50" t="s">
        <v>121</v>
      </c>
      <c r="E230" s="42" t="s">
        <v>122</v>
      </c>
      <c r="F230" s="45" t="s">
        <v>123</v>
      </c>
      <c r="G230" s="42" t="s">
        <v>28</v>
      </c>
      <c r="H230" s="45" t="s">
        <v>385</v>
      </c>
      <c r="I230" s="7" t="s">
        <v>22</v>
      </c>
      <c r="J230" s="3">
        <v>0.7</v>
      </c>
      <c r="K230" s="7" t="s">
        <v>124</v>
      </c>
      <c r="L230" s="8" t="s">
        <v>125</v>
      </c>
      <c r="M230" s="7" t="s">
        <v>126</v>
      </c>
      <c r="N230" s="3">
        <v>0.95</v>
      </c>
      <c r="O230" s="3">
        <v>0.15</v>
      </c>
      <c r="P230" s="6"/>
      <c r="Q230" s="3">
        <f t="shared" si="6"/>
        <v>0</v>
      </c>
      <c r="R230" s="4">
        <f t="shared" si="7"/>
        <v>0</v>
      </c>
      <c r="S230" s="3" t="s">
        <v>23</v>
      </c>
      <c r="T230" s="190"/>
    </row>
    <row r="231" spans="1:20" ht="21.6" hidden="1" x14ac:dyDescent="0.3">
      <c r="A231" s="182">
        <v>2073</v>
      </c>
      <c r="B231" s="42" t="s">
        <v>20</v>
      </c>
      <c r="C231" s="43" t="s">
        <v>267</v>
      </c>
      <c r="D231" s="50" t="s">
        <v>121</v>
      </c>
      <c r="E231" s="42" t="s">
        <v>122</v>
      </c>
      <c r="F231" s="45" t="s">
        <v>123</v>
      </c>
      <c r="G231" s="42" t="s">
        <v>28</v>
      </c>
      <c r="H231" s="45" t="s">
        <v>385</v>
      </c>
      <c r="I231" s="7" t="s">
        <v>22</v>
      </c>
      <c r="J231" s="3">
        <v>0.7</v>
      </c>
      <c r="K231" s="7" t="s">
        <v>51</v>
      </c>
      <c r="L231" s="8" t="s">
        <v>127</v>
      </c>
      <c r="M231" s="7" t="s">
        <v>128</v>
      </c>
      <c r="N231" s="6">
        <v>0.05</v>
      </c>
      <c r="O231" s="3">
        <v>0.1</v>
      </c>
      <c r="P231" s="11"/>
      <c r="Q231" s="3">
        <f t="shared" si="6"/>
        <v>0</v>
      </c>
      <c r="R231" s="4">
        <f>IF(AND(Q231&gt;=60%,Q231&lt;100%),Q231*((O231*J231)),IF(Q231=100%,((O231*J231)*Q231)*100%,IF(Q231&gt;100%,((J231*O231)*100%)*100%,0)))*100</f>
        <v>0</v>
      </c>
      <c r="S231" s="3" t="s">
        <v>24</v>
      </c>
      <c r="T231" s="190"/>
    </row>
    <row r="232" spans="1:20" ht="21.6" hidden="1" x14ac:dyDescent="0.3">
      <c r="A232" s="182">
        <v>2074</v>
      </c>
      <c r="B232" s="42" t="s">
        <v>20</v>
      </c>
      <c r="C232" s="43" t="s">
        <v>267</v>
      </c>
      <c r="D232" s="50" t="s">
        <v>121</v>
      </c>
      <c r="E232" s="42" t="s">
        <v>122</v>
      </c>
      <c r="F232" s="45" t="s">
        <v>123</v>
      </c>
      <c r="G232" s="42" t="s">
        <v>28</v>
      </c>
      <c r="H232" s="45" t="s">
        <v>385</v>
      </c>
      <c r="I232" s="7" t="s">
        <v>22</v>
      </c>
      <c r="J232" s="3">
        <v>0.7</v>
      </c>
      <c r="K232" s="7" t="s">
        <v>305</v>
      </c>
      <c r="L232" s="8" t="s">
        <v>257</v>
      </c>
      <c r="M232" s="339" t="s">
        <v>306</v>
      </c>
      <c r="N232" s="3">
        <v>0.95</v>
      </c>
      <c r="O232" s="3">
        <v>0.1</v>
      </c>
      <c r="P232" s="3"/>
      <c r="Q232" s="3">
        <f t="shared" si="6"/>
        <v>0</v>
      </c>
      <c r="R232" s="4">
        <f t="shared" si="7"/>
        <v>0</v>
      </c>
      <c r="S232" s="3" t="s">
        <v>23</v>
      </c>
      <c r="T232" s="190"/>
    </row>
    <row r="233" spans="1:20" ht="21.6" hidden="1" x14ac:dyDescent="0.3">
      <c r="A233" s="182">
        <v>2075</v>
      </c>
      <c r="B233" s="42" t="s">
        <v>20</v>
      </c>
      <c r="C233" s="43" t="s">
        <v>267</v>
      </c>
      <c r="D233" s="50" t="s">
        <v>121</v>
      </c>
      <c r="E233" s="42" t="s">
        <v>122</v>
      </c>
      <c r="F233" s="45" t="s">
        <v>123</v>
      </c>
      <c r="G233" s="42" t="s">
        <v>28</v>
      </c>
      <c r="H233" s="45" t="s">
        <v>385</v>
      </c>
      <c r="I233" s="47" t="s">
        <v>22</v>
      </c>
      <c r="J233" s="3">
        <v>0.7</v>
      </c>
      <c r="K233" s="47" t="s">
        <v>129</v>
      </c>
      <c r="L233" s="30" t="s">
        <v>130</v>
      </c>
      <c r="M233" s="47" t="s">
        <v>131</v>
      </c>
      <c r="N233" s="3">
        <v>0.9</v>
      </c>
      <c r="O233" s="10">
        <v>0.2</v>
      </c>
      <c r="P233" s="3"/>
      <c r="Q233" s="3">
        <f t="shared" si="6"/>
        <v>0</v>
      </c>
      <c r="R233" s="48">
        <f t="shared" si="7"/>
        <v>0</v>
      </c>
      <c r="S233" s="10" t="s">
        <v>23</v>
      </c>
      <c r="T233" s="191"/>
    </row>
    <row r="234" spans="1:20" ht="21.6" hidden="1" x14ac:dyDescent="0.3">
      <c r="A234" s="182">
        <v>2076</v>
      </c>
      <c r="B234" s="42" t="s">
        <v>20</v>
      </c>
      <c r="C234" s="43" t="s">
        <v>267</v>
      </c>
      <c r="D234" s="50" t="s">
        <v>121</v>
      </c>
      <c r="E234" s="42" t="s">
        <v>122</v>
      </c>
      <c r="F234" s="45" t="s">
        <v>123</v>
      </c>
      <c r="G234" s="42" t="s">
        <v>28</v>
      </c>
      <c r="H234" s="45" t="s">
        <v>385</v>
      </c>
      <c r="I234" s="47" t="s">
        <v>22</v>
      </c>
      <c r="J234" s="3">
        <v>0.7</v>
      </c>
      <c r="K234" s="47" t="s">
        <v>132</v>
      </c>
      <c r="L234" s="30" t="s">
        <v>133</v>
      </c>
      <c r="M234" s="47" t="s">
        <v>134</v>
      </c>
      <c r="N234" s="3">
        <v>0</v>
      </c>
      <c r="O234" s="10">
        <v>0.1</v>
      </c>
      <c r="P234" s="3"/>
      <c r="Q234" s="3">
        <f t="shared" si="6"/>
        <v>0</v>
      </c>
      <c r="R234" s="48">
        <f t="shared" si="7"/>
        <v>0</v>
      </c>
      <c r="S234" s="10" t="s">
        <v>24</v>
      </c>
      <c r="T234" s="191"/>
    </row>
    <row r="235" spans="1:20" ht="21.6" hidden="1" x14ac:dyDescent="0.3">
      <c r="A235" s="182">
        <v>2077</v>
      </c>
      <c r="B235" s="42" t="s">
        <v>20</v>
      </c>
      <c r="C235" s="43" t="s">
        <v>267</v>
      </c>
      <c r="D235" s="50" t="s">
        <v>121</v>
      </c>
      <c r="E235" s="42" t="s">
        <v>122</v>
      </c>
      <c r="F235" s="45" t="s">
        <v>123</v>
      </c>
      <c r="G235" s="42" t="s">
        <v>28</v>
      </c>
      <c r="H235" s="45" t="s">
        <v>385</v>
      </c>
      <c r="I235" s="47" t="s">
        <v>22</v>
      </c>
      <c r="J235" s="3">
        <v>0.7</v>
      </c>
      <c r="K235" s="47" t="s">
        <v>135</v>
      </c>
      <c r="L235" s="30" t="s">
        <v>136</v>
      </c>
      <c r="M235" s="47" t="s">
        <v>137</v>
      </c>
      <c r="N235" s="3">
        <v>0.9</v>
      </c>
      <c r="O235" s="10">
        <v>0.2</v>
      </c>
      <c r="P235" s="51"/>
      <c r="Q235" s="3">
        <f t="shared" si="6"/>
        <v>0</v>
      </c>
      <c r="R235" s="48">
        <f t="shared" si="7"/>
        <v>0</v>
      </c>
      <c r="S235" s="10" t="s">
        <v>23</v>
      </c>
      <c r="T235" s="191"/>
    </row>
    <row r="236" spans="1:20" ht="22.2" hidden="1" thickBot="1" x14ac:dyDescent="0.35">
      <c r="A236" s="267">
        <v>2078</v>
      </c>
      <c r="B236" s="268" t="s">
        <v>20</v>
      </c>
      <c r="C236" s="269" t="s">
        <v>267</v>
      </c>
      <c r="D236" s="290" t="s">
        <v>121</v>
      </c>
      <c r="E236" s="268" t="s">
        <v>122</v>
      </c>
      <c r="F236" s="271" t="s">
        <v>123</v>
      </c>
      <c r="G236" s="268" t="s">
        <v>28</v>
      </c>
      <c r="H236" s="271" t="s">
        <v>385</v>
      </c>
      <c r="I236" s="272" t="s">
        <v>26</v>
      </c>
      <c r="J236" s="273">
        <v>0.3</v>
      </c>
      <c r="K236" s="272" t="s">
        <v>138</v>
      </c>
      <c r="L236" s="291" t="s">
        <v>139</v>
      </c>
      <c r="M236" s="272" t="s">
        <v>140</v>
      </c>
      <c r="N236" s="273">
        <v>1</v>
      </c>
      <c r="O236" s="276">
        <v>1</v>
      </c>
      <c r="P236" s="273"/>
      <c r="Q236" s="273">
        <f t="shared" si="6"/>
        <v>0</v>
      </c>
      <c r="R236" s="287">
        <f t="shared" si="7"/>
        <v>0</v>
      </c>
      <c r="S236" s="276" t="s">
        <v>23</v>
      </c>
      <c r="T236" s="277"/>
    </row>
    <row r="237" spans="1:20" ht="21.6" hidden="1" x14ac:dyDescent="0.3">
      <c r="A237" s="181">
        <v>2070</v>
      </c>
      <c r="B237" s="71" t="s">
        <v>20</v>
      </c>
      <c r="C237" s="72" t="s">
        <v>267</v>
      </c>
      <c r="D237" s="112">
        <v>3752</v>
      </c>
      <c r="E237" s="71" t="s">
        <v>141</v>
      </c>
      <c r="F237" s="74" t="s">
        <v>145</v>
      </c>
      <c r="G237" s="71" t="s">
        <v>28</v>
      </c>
      <c r="H237" s="74" t="s">
        <v>385</v>
      </c>
      <c r="I237" s="75" t="s">
        <v>22</v>
      </c>
      <c r="J237" s="76">
        <v>0.7</v>
      </c>
      <c r="K237" s="75" t="s">
        <v>513</v>
      </c>
      <c r="L237" s="105" t="s">
        <v>511</v>
      </c>
      <c r="M237" s="75" t="s">
        <v>411</v>
      </c>
      <c r="N237" s="76">
        <v>0.95</v>
      </c>
      <c r="O237" s="76">
        <v>0.15</v>
      </c>
      <c r="P237" s="76"/>
      <c r="Q237" s="76">
        <f t="shared" si="6"/>
        <v>0</v>
      </c>
      <c r="R237" s="80">
        <f t="shared" si="7"/>
        <v>0</v>
      </c>
      <c r="S237" s="76" t="s">
        <v>23</v>
      </c>
      <c r="T237" s="189">
        <f>SUM(R237:R244)%</f>
        <v>0</v>
      </c>
    </row>
    <row r="238" spans="1:20" ht="21.6" hidden="1" x14ac:dyDescent="0.3">
      <c r="A238" s="182">
        <v>2072</v>
      </c>
      <c r="B238" s="42" t="s">
        <v>20</v>
      </c>
      <c r="C238" s="43" t="s">
        <v>267</v>
      </c>
      <c r="D238" s="50">
        <v>3752</v>
      </c>
      <c r="E238" s="42" t="s">
        <v>141</v>
      </c>
      <c r="F238" s="45" t="s">
        <v>145</v>
      </c>
      <c r="G238" s="42" t="s">
        <v>28</v>
      </c>
      <c r="H238" s="45" t="s">
        <v>385</v>
      </c>
      <c r="I238" s="7" t="s">
        <v>22</v>
      </c>
      <c r="J238" s="3">
        <v>0.7</v>
      </c>
      <c r="K238" s="7" t="s">
        <v>124</v>
      </c>
      <c r="L238" s="8" t="s">
        <v>125</v>
      </c>
      <c r="M238" s="7" t="s">
        <v>126</v>
      </c>
      <c r="N238" s="3">
        <v>0.95</v>
      </c>
      <c r="O238" s="3">
        <v>0.15</v>
      </c>
      <c r="P238" s="6"/>
      <c r="Q238" s="3">
        <f t="shared" si="6"/>
        <v>0</v>
      </c>
      <c r="R238" s="4">
        <f t="shared" si="7"/>
        <v>0</v>
      </c>
      <c r="S238" s="3" t="s">
        <v>23</v>
      </c>
      <c r="T238" s="190"/>
    </row>
    <row r="239" spans="1:20" ht="21.6" hidden="1" x14ac:dyDescent="0.3">
      <c r="A239" s="182">
        <v>2073</v>
      </c>
      <c r="B239" s="42" t="s">
        <v>20</v>
      </c>
      <c r="C239" s="43" t="s">
        <v>267</v>
      </c>
      <c r="D239" s="50">
        <v>3752</v>
      </c>
      <c r="E239" s="42" t="s">
        <v>141</v>
      </c>
      <c r="F239" s="45" t="s">
        <v>145</v>
      </c>
      <c r="G239" s="42" t="s">
        <v>28</v>
      </c>
      <c r="H239" s="45" t="s">
        <v>385</v>
      </c>
      <c r="I239" s="7" t="s">
        <v>22</v>
      </c>
      <c r="J239" s="3">
        <v>0.7</v>
      </c>
      <c r="K239" s="7" t="s">
        <v>51</v>
      </c>
      <c r="L239" s="8" t="s">
        <v>127</v>
      </c>
      <c r="M239" s="7" t="s">
        <v>128</v>
      </c>
      <c r="N239" s="6">
        <v>0.05</v>
      </c>
      <c r="O239" s="3">
        <v>0.1</v>
      </c>
      <c r="P239" s="11"/>
      <c r="Q239" s="3">
        <f t="shared" si="6"/>
        <v>0</v>
      </c>
      <c r="R239" s="4">
        <f t="shared" si="7"/>
        <v>0</v>
      </c>
      <c r="S239" s="3" t="s">
        <v>24</v>
      </c>
      <c r="T239" s="190"/>
    </row>
    <row r="240" spans="1:20" ht="21.6" hidden="1" x14ac:dyDescent="0.3">
      <c r="A240" s="182">
        <v>2074</v>
      </c>
      <c r="B240" s="42" t="s">
        <v>20</v>
      </c>
      <c r="C240" s="43" t="s">
        <v>267</v>
      </c>
      <c r="D240" s="50">
        <v>3752</v>
      </c>
      <c r="E240" s="42" t="s">
        <v>141</v>
      </c>
      <c r="F240" s="45" t="s">
        <v>145</v>
      </c>
      <c r="G240" s="42" t="s">
        <v>28</v>
      </c>
      <c r="H240" s="45" t="s">
        <v>385</v>
      </c>
      <c r="I240" s="7" t="s">
        <v>22</v>
      </c>
      <c r="J240" s="3">
        <v>0.7</v>
      </c>
      <c r="K240" s="7" t="s">
        <v>305</v>
      </c>
      <c r="L240" s="8" t="s">
        <v>257</v>
      </c>
      <c r="M240" s="339" t="s">
        <v>306</v>
      </c>
      <c r="N240" s="3">
        <v>0.95</v>
      </c>
      <c r="O240" s="3">
        <v>0.1</v>
      </c>
      <c r="P240" s="3"/>
      <c r="Q240" s="3">
        <f t="shared" si="6"/>
        <v>0</v>
      </c>
      <c r="R240" s="4">
        <f t="shared" si="7"/>
        <v>0</v>
      </c>
      <c r="S240" s="3" t="s">
        <v>23</v>
      </c>
      <c r="T240" s="190"/>
    </row>
    <row r="241" spans="1:20" ht="21.6" hidden="1" x14ac:dyDescent="0.3">
      <c r="A241" s="182">
        <v>2075</v>
      </c>
      <c r="B241" s="42" t="s">
        <v>20</v>
      </c>
      <c r="C241" s="43" t="s">
        <v>267</v>
      </c>
      <c r="D241" s="50">
        <v>3752</v>
      </c>
      <c r="E241" s="42" t="s">
        <v>141</v>
      </c>
      <c r="F241" s="45" t="s">
        <v>145</v>
      </c>
      <c r="G241" s="42" t="s">
        <v>28</v>
      </c>
      <c r="H241" s="45" t="s">
        <v>385</v>
      </c>
      <c r="I241" s="47" t="s">
        <v>22</v>
      </c>
      <c r="J241" s="3">
        <v>0.7</v>
      </c>
      <c r="K241" s="47" t="s">
        <v>129</v>
      </c>
      <c r="L241" s="30" t="s">
        <v>130</v>
      </c>
      <c r="M241" s="47" t="s">
        <v>131</v>
      </c>
      <c r="N241" s="3">
        <v>0.9</v>
      </c>
      <c r="O241" s="10">
        <v>0.2</v>
      </c>
      <c r="P241" s="3"/>
      <c r="Q241" s="3">
        <f t="shared" ref="Q241:Q304" si="8">ROUND(IF(OR(N241="",P241=""),0,IF(AND(N241=0,P241=0),1,IF(S241="+",P241/N241,N241/P241))),2)</f>
        <v>0</v>
      </c>
      <c r="R241" s="48">
        <f t="shared" si="7"/>
        <v>0</v>
      </c>
      <c r="S241" s="10" t="s">
        <v>23</v>
      </c>
      <c r="T241" s="191"/>
    </row>
    <row r="242" spans="1:20" ht="21.6" hidden="1" x14ac:dyDescent="0.3">
      <c r="A242" s="182">
        <v>2076</v>
      </c>
      <c r="B242" s="42" t="s">
        <v>20</v>
      </c>
      <c r="C242" s="43" t="s">
        <v>267</v>
      </c>
      <c r="D242" s="50">
        <v>3752</v>
      </c>
      <c r="E242" s="42" t="s">
        <v>141</v>
      </c>
      <c r="F242" s="45" t="s">
        <v>145</v>
      </c>
      <c r="G242" s="42" t="s">
        <v>28</v>
      </c>
      <c r="H242" s="45" t="s">
        <v>385</v>
      </c>
      <c r="I242" s="47" t="s">
        <v>22</v>
      </c>
      <c r="J242" s="3">
        <v>0.7</v>
      </c>
      <c r="K242" s="47" t="s">
        <v>132</v>
      </c>
      <c r="L242" s="30" t="s">
        <v>133</v>
      </c>
      <c r="M242" s="47" t="s">
        <v>134</v>
      </c>
      <c r="N242" s="4">
        <v>0</v>
      </c>
      <c r="O242" s="10">
        <v>0.1</v>
      </c>
      <c r="P242" s="3"/>
      <c r="Q242" s="3">
        <f t="shared" si="8"/>
        <v>0</v>
      </c>
      <c r="R242" s="48">
        <f t="shared" si="7"/>
        <v>0</v>
      </c>
      <c r="S242" s="10" t="s">
        <v>24</v>
      </c>
      <c r="T242" s="191"/>
    </row>
    <row r="243" spans="1:20" ht="21.6" hidden="1" x14ac:dyDescent="0.3">
      <c r="A243" s="182">
        <v>2077</v>
      </c>
      <c r="B243" s="42" t="s">
        <v>20</v>
      </c>
      <c r="C243" s="43" t="s">
        <v>267</v>
      </c>
      <c r="D243" s="50">
        <v>3752</v>
      </c>
      <c r="E243" s="42" t="s">
        <v>141</v>
      </c>
      <c r="F243" s="45" t="s">
        <v>145</v>
      </c>
      <c r="G243" s="42" t="s">
        <v>28</v>
      </c>
      <c r="H243" s="45" t="s">
        <v>385</v>
      </c>
      <c r="I243" s="47" t="s">
        <v>22</v>
      </c>
      <c r="J243" s="3">
        <v>0.7</v>
      </c>
      <c r="K243" s="47" t="s">
        <v>135</v>
      </c>
      <c r="L243" s="30" t="s">
        <v>136</v>
      </c>
      <c r="M243" s="47" t="s">
        <v>137</v>
      </c>
      <c r="N243" s="3">
        <v>0.9</v>
      </c>
      <c r="O243" s="10">
        <v>0.2</v>
      </c>
      <c r="P243" s="51"/>
      <c r="Q243" s="3">
        <f t="shared" si="8"/>
        <v>0</v>
      </c>
      <c r="R243" s="48">
        <f t="shared" si="7"/>
        <v>0</v>
      </c>
      <c r="S243" s="10" t="s">
        <v>23</v>
      </c>
      <c r="T243" s="191"/>
    </row>
    <row r="244" spans="1:20" ht="22.2" hidden="1" thickBot="1" x14ac:dyDescent="0.35">
      <c r="A244" s="267">
        <v>2078</v>
      </c>
      <c r="B244" s="268" t="s">
        <v>20</v>
      </c>
      <c r="C244" s="269" t="s">
        <v>267</v>
      </c>
      <c r="D244" s="290">
        <v>3752</v>
      </c>
      <c r="E244" s="268" t="s">
        <v>141</v>
      </c>
      <c r="F244" s="271" t="s">
        <v>145</v>
      </c>
      <c r="G244" s="268" t="s">
        <v>28</v>
      </c>
      <c r="H244" s="271" t="s">
        <v>385</v>
      </c>
      <c r="I244" s="272" t="s">
        <v>26</v>
      </c>
      <c r="J244" s="273">
        <v>0.3</v>
      </c>
      <c r="K244" s="272" t="s">
        <v>138</v>
      </c>
      <c r="L244" s="291" t="s">
        <v>139</v>
      </c>
      <c r="M244" s="272" t="s">
        <v>140</v>
      </c>
      <c r="N244" s="273">
        <v>1</v>
      </c>
      <c r="O244" s="276">
        <v>1</v>
      </c>
      <c r="P244" s="273"/>
      <c r="Q244" s="273">
        <f t="shared" si="8"/>
        <v>0</v>
      </c>
      <c r="R244" s="287">
        <f t="shared" si="7"/>
        <v>0</v>
      </c>
      <c r="S244" s="276" t="s">
        <v>23</v>
      </c>
      <c r="T244" s="277"/>
    </row>
    <row r="245" spans="1:20" ht="21.6" hidden="1" x14ac:dyDescent="0.3">
      <c r="A245" s="181">
        <v>2070</v>
      </c>
      <c r="B245" s="71" t="s">
        <v>20</v>
      </c>
      <c r="C245" s="72" t="s">
        <v>267</v>
      </c>
      <c r="D245" s="112">
        <v>3838</v>
      </c>
      <c r="E245" s="71" t="s">
        <v>142</v>
      </c>
      <c r="F245" s="74" t="s">
        <v>143</v>
      </c>
      <c r="G245" s="71" t="s">
        <v>28</v>
      </c>
      <c r="H245" s="74" t="s">
        <v>385</v>
      </c>
      <c r="I245" s="75" t="s">
        <v>22</v>
      </c>
      <c r="J245" s="76">
        <v>0.7</v>
      </c>
      <c r="K245" s="75" t="s">
        <v>513</v>
      </c>
      <c r="L245" s="105" t="s">
        <v>511</v>
      </c>
      <c r="M245" s="75" t="s">
        <v>411</v>
      </c>
      <c r="N245" s="76">
        <v>0.95</v>
      </c>
      <c r="O245" s="76">
        <v>0.15</v>
      </c>
      <c r="P245" s="76"/>
      <c r="Q245" s="76">
        <f t="shared" si="8"/>
        <v>0</v>
      </c>
      <c r="R245" s="80">
        <f t="shared" si="7"/>
        <v>0</v>
      </c>
      <c r="S245" s="76" t="s">
        <v>23</v>
      </c>
      <c r="T245" s="189">
        <f>SUM(R245:R252)%</f>
        <v>0</v>
      </c>
    </row>
    <row r="246" spans="1:20" ht="21.6" hidden="1" x14ac:dyDescent="0.3">
      <c r="A246" s="182">
        <v>2072</v>
      </c>
      <c r="B246" s="42" t="s">
        <v>20</v>
      </c>
      <c r="C246" s="43" t="s">
        <v>267</v>
      </c>
      <c r="D246" s="50">
        <v>3838</v>
      </c>
      <c r="E246" s="42" t="s">
        <v>142</v>
      </c>
      <c r="F246" s="45" t="s">
        <v>143</v>
      </c>
      <c r="G246" s="42" t="s">
        <v>28</v>
      </c>
      <c r="H246" s="45" t="s">
        <v>385</v>
      </c>
      <c r="I246" s="7" t="s">
        <v>22</v>
      </c>
      <c r="J246" s="3">
        <v>0.7</v>
      </c>
      <c r="K246" s="7" t="s">
        <v>124</v>
      </c>
      <c r="L246" s="8" t="s">
        <v>125</v>
      </c>
      <c r="M246" s="7" t="s">
        <v>126</v>
      </c>
      <c r="N246" s="3">
        <v>0.95</v>
      </c>
      <c r="O246" s="3">
        <v>0.15</v>
      </c>
      <c r="P246" s="6"/>
      <c r="Q246" s="3">
        <f t="shared" si="8"/>
        <v>0</v>
      </c>
      <c r="R246" s="4">
        <f t="shared" si="7"/>
        <v>0</v>
      </c>
      <c r="S246" s="3" t="s">
        <v>23</v>
      </c>
      <c r="T246" s="190"/>
    </row>
    <row r="247" spans="1:20" ht="21.6" hidden="1" x14ac:dyDescent="0.3">
      <c r="A247" s="182">
        <v>2073</v>
      </c>
      <c r="B247" s="42" t="s">
        <v>20</v>
      </c>
      <c r="C247" s="43" t="s">
        <v>267</v>
      </c>
      <c r="D247" s="50">
        <v>3838</v>
      </c>
      <c r="E247" s="42" t="s">
        <v>142</v>
      </c>
      <c r="F247" s="45" t="s">
        <v>143</v>
      </c>
      <c r="G247" s="42" t="s">
        <v>28</v>
      </c>
      <c r="H247" s="45" t="s">
        <v>385</v>
      </c>
      <c r="I247" s="7" t="s">
        <v>22</v>
      </c>
      <c r="J247" s="3">
        <v>0.7</v>
      </c>
      <c r="K247" s="7" t="s">
        <v>51</v>
      </c>
      <c r="L247" s="8" t="s">
        <v>127</v>
      </c>
      <c r="M247" s="7" t="s">
        <v>128</v>
      </c>
      <c r="N247" s="6">
        <v>0.05</v>
      </c>
      <c r="O247" s="3">
        <v>0.1</v>
      </c>
      <c r="P247" s="11"/>
      <c r="Q247" s="3">
        <f t="shared" si="8"/>
        <v>0</v>
      </c>
      <c r="R247" s="4">
        <f t="shared" si="7"/>
        <v>0</v>
      </c>
      <c r="S247" s="3" t="s">
        <v>24</v>
      </c>
      <c r="T247" s="190"/>
    </row>
    <row r="248" spans="1:20" ht="21.6" hidden="1" x14ac:dyDescent="0.3">
      <c r="A248" s="182">
        <v>2074</v>
      </c>
      <c r="B248" s="42" t="s">
        <v>20</v>
      </c>
      <c r="C248" s="43" t="s">
        <v>267</v>
      </c>
      <c r="D248" s="50">
        <v>3838</v>
      </c>
      <c r="E248" s="42" t="s">
        <v>142</v>
      </c>
      <c r="F248" s="45" t="s">
        <v>143</v>
      </c>
      <c r="G248" s="42" t="s">
        <v>28</v>
      </c>
      <c r="H248" s="45" t="s">
        <v>385</v>
      </c>
      <c r="I248" s="7" t="s">
        <v>22</v>
      </c>
      <c r="J248" s="3">
        <v>0.7</v>
      </c>
      <c r="K248" s="7" t="s">
        <v>305</v>
      </c>
      <c r="L248" s="8" t="s">
        <v>257</v>
      </c>
      <c r="M248" s="339" t="s">
        <v>306</v>
      </c>
      <c r="N248" s="3">
        <v>0.95</v>
      </c>
      <c r="O248" s="3">
        <v>0.1</v>
      </c>
      <c r="P248" s="3"/>
      <c r="Q248" s="3">
        <f t="shared" si="8"/>
        <v>0</v>
      </c>
      <c r="R248" s="4">
        <f t="shared" si="7"/>
        <v>0</v>
      </c>
      <c r="S248" s="3" t="s">
        <v>23</v>
      </c>
      <c r="T248" s="190"/>
    </row>
    <row r="249" spans="1:20" ht="21.6" hidden="1" x14ac:dyDescent="0.3">
      <c r="A249" s="182">
        <v>2075</v>
      </c>
      <c r="B249" s="42" t="s">
        <v>20</v>
      </c>
      <c r="C249" s="43" t="s">
        <v>267</v>
      </c>
      <c r="D249" s="50">
        <v>3838</v>
      </c>
      <c r="E249" s="42" t="s">
        <v>142</v>
      </c>
      <c r="F249" s="45" t="s">
        <v>143</v>
      </c>
      <c r="G249" s="42" t="s">
        <v>28</v>
      </c>
      <c r="H249" s="45" t="s">
        <v>385</v>
      </c>
      <c r="I249" s="47" t="s">
        <v>22</v>
      </c>
      <c r="J249" s="3">
        <v>0.7</v>
      </c>
      <c r="K249" s="47" t="s">
        <v>129</v>
      </c>
      <c r="L249" s="30" t="s">
        <v>130</v>
      </c>
      <c r="M249" s="47" t="s">
        <v>131</v>
      </c>
      <c r="N249" s="3">
        <v>0.9</v>
      </c>
      <c r="O249" s="10">
        <v>0.2</v>
      </c>
      <c r="P249" s="3"/>
      <c r="Q249" s="3">
        <f t="shared" si="8"/>
        <v>0</v>
      </c>
      <c r="R249" s="48">
        <f t="shared" si="7"/>
        <v>0</v>
      </c>
      <c r="S249" s="10" t="s">
        <v>23</v>
      </c>
      <c r="T249" s="191"/>
    </row>
    <row r="250" spans="1:20" ht="21.6" hidden="1" x14ac:dyDescent="0.3">
      <c r="A250" s="182">
        <v>2076</v>
      </c>
      <c r="B250" s="42" t="s">
        <v>20</v>
      </c>
      <c r="C250" s="43" t="s">
        <v>267</v>
      </c>
      <c r="D250" s="50">
        <v>3838</v>
      </c>
      <c r="E250" s="42" t="s">
        <v>142</v>
      </c>
      <c r="F250" s="45" t="s">
        <v>143</v>
      </c>
      <c r="G250" s="42" t="s">
        <v>28</v>
      </c>
      <c r="H250" s="45" t="s">
        <v>385</v>
      </c>
      <c r="I250" s="47" t="s">
        <v>22</v>
      </c>
      <c r="J250" s="3">
        <v>0.7</v>
      </c>
      <c r="K250" s="47" t="s">
        <v>132</v>
      </c>
      <c r="L250" s="30" t="s">
        <v>133</v>
      </c>
      <c r="M250" s="47" t="s">
        <v>134</v>
      </c>
      <c r="N250" s="4">
        <v>0</v>
      </c>
      <c r="O250" s="10">
        <v>0.1</v>
      </c>
      <c r="P250" s="3"/>
      <c r="Q250" s="3">
        <f t="shared" si="8"/>
        <v>0</v>
      </c>
      <c r="R250" s="48">
        <f t="shared" si="7"/>
        <v>0</v>
      </c>
      <c r="S250" s="10" t="s">
        <v>24</v>
      </c>
      <c r="T250" s="191"/>
    </row>
    <row r="251" spans="1:20" ht="21.6" hidden="1" x14ac:dyDescent="0.3">
      <c r="A251" s="182">
        <v>2077</v>
      </c>
      <c r="B251" s="42" t="s">
        <v>20</v>
      </c>
      <c r="C251" s="43" t="s">
        <v>267</v>
      </c>
      <c r="D251" s="50">
        <v>3838</v>
      </c>
      <c r="E251" s="42" t="s">
        <v>142</v>
      </c>
      <c r="F251" s="45" t="s">
        <v>143</v>
      </c>
      <c r="G251" s="42" t="s">
        <v>28</v>
      </c>
      <c r="H251" s="45" t="s">
        <v>385</v>
      </c>
      <c r="I251" s="47" t="s">
        <v>22</v>
      </c>
      <c r="J251" s="3">
        <v>0.7</v>
      </c>
      <c r="K251" s="47" t="s">
        <v>135</v>
      </c>
      <c r="L251" s="30" t="s">
        <v>136</v>
      </c>
      <c r="M251" s="47" t="s">
        <v>137</v>
      </c>
      <c r="N251" s="3">
        <v>0.9</v>
      </c>
      <c r="O251" s="10">
        <v>0.2</v>
      </c>
      <c r="P251" s="51"/>
      <c r="Q251" s="3">
        <f t="shared" si="8"/>
        <v>0</v>
      </c>
      <c r="R251" s="48">
        <f t="shared" si="7"/>
        <v>0</v>
      </c>
      <c r="S251" s="10" t="s">
        <v>23</v>
      </c>
      <c r="T251" s="191"/>
    </row>
    <row r="252" spans="1:20" ht="22.2" hidden="1" thickBot="1" x14ac:dyDescent="0.35">
      <c r="A252" s="267">
        <v>2078</v>
      </c>
      <c r="B252" s="268" t="s">
        <v>20</v>
      </c>
      <c r="C252" s="269" t="s">
        <v>267</v>
      </c>
      <c r="D252" s="290">
        <v>3838</v>
      </c>
      <c r="E252" s="268" t="s">
        <v>142</v>
      </c>
      <c r="F252" s="271" t="s">
        <v>143</v>
      </c>
      <c r="G252" s="268" t="s">
        <v>28</v>
      </c>
      <c r="H252" s="271" t="s">
        <v>385</v>
      </c>
      <c r="I252" s="272" t="s">
        <v>26</v>
      </c>
      <c r="J252" s="273">
        <v>0.3</v>
      </c>
      <c r="K252" s="272" t="s">
        <v>138</v>
      </c>
      <c r="L252" s="291" t="s">
        <v>139</v>
      </c>
      <c r="M252" s="272" t="s">
        <v>140</v>
      </c>
      <c r="N252" s="273">
        <v>1</v>
      </c>
      <c r="O252" s="276">
        <v>1</v>
      </c>
      <c r="P252" s="273"/>
      <c r="Q252" s="273">
        <f t="shared" si="8"/>
        <v>0</v>
      </c>
      <c r="R252" s="287">
        <f t="shared" si="7"/>
        <v>0</v>
      </c>
      <c r="S252" s="276" t="s">
        <v>23</v>
      </c>
      <c r="T252" s="277"/>
    </row>
    <row r="253" spans="1:20" ht="21.6" hidden="1" x14ac:dyDescent="0.3">
      <c r="A253" s="181">
        <v>2070</v>
      </c>
      <c r="B253" s="71" t="s">
        <v>20</v>
      </c>
      <c r="C253" s="72" t="s">
        <v>267</v>
      </c>
      <c r="D253" s="112">
        <v>5318</v>
      </c>
      <c r="E253" s="71" t="s">
        <v>169</v>
      </c>
      <c r="F253" s="74" t="s">
        <v>145</v>
      </c>
      <c r="G253" s="71" t="s">
        <v>28</v>
      </c>
      <c r="H253" s="74" t="s">
        <v>385</v>
      </c>
      <c r="I253" s="75" t="s">
        <v>22</v>
      </c>
      <c r="J253" s="76">
        <v>0.7</v>
      </c>
      <c r="K253" s="75" t="s">
        <v>513</v>
      </c>
      <c r="L253" s="105" t="s">
        <v>511</v>
      </c>
      <c r="M253" s="75" t="s">
        <v>411</v>
      </c>
      <c r="N253" s="76">
        <v>0.95</v>
      </c>
      <c r="O253" s="76">
        <v>0.15</v>
      </c>
      <c r="P253" s="76"/>
      <c r="Q253" s="76">
        <f t="shared" si="8"/>
        <v>0</v>
      </c>
      <c r="R253" s="80">
        <f t="shared" si="7"/>
        <v>0</v>
      </c>
      <c r="S253" s="76" t="s">
        <v>23</v>
      </c>
      <c r="T253" s="189">
        <f>SUM(R253:R260)%</f>
        <v>0</v>
      </c>
    </row>
    <row r="254" spans="1:20" ht="21.6" hidden="1" x14ac:dyDescent="0.3">
      <c r="A254" s="182">
        <v>2072</v>
      </c>
      <c r="B254" s="42" t="s">
        <v>20</v>
      </c>
      <c r="C254" s="43" t="s">
        <v>267</v>
      </c>
      <c r="D254" s="50">
        <v>5318</v>
      </c>
      <c r="E254" s="42" t="s">
        <v>169</v>
      </c>
      <c r="F254" s="45" t="s">
        <v>145</v>
      </c>
      <c r="G254" s="42" t="s">
        <v>28</v>
      </c>
      <c r="H254" s="45" t="s">
        <v>385</v>
      </c>
      <c r="I254" s="7" t="s">
        <v>22</v>
      </c>
      <c r="J254" s="3">
        <v>0.7</v>
      </c>
      <c r="K254" s="7" t="s">
        <v>124</v>
      </c>
      <c r="L254" s="8" t="s">
        <v>125</v>
      </c>
      <c r="M254" s="7" t="s">
        <v>126</v>
      </c>
      <c r="N254" s="3">
        <v>0.95</v>
      </c>
      <c r="O254" s="3">
        <v>0.15</v>
      </c>
      <c r="P254" s="6"/>
      <c r="Q254" s="3">
        <f t="shared" si="8"/>
        <v>0</v>
      </c>
      <c r="R254" s="4">
        <f t="shared" si="7"/>
        <v>0</v>
      </c>
      <c r="S254" s="3" t="s">
        <v>23</v>
      </c>
      <c r="T254" s="190"/>
    </row>
    <row r="255" spans="1:20" ht="21.6" hidden="1" x14ac:dyDescent="0.3">
      <c r="A255" s="182">
        <v>2073</v>
      </c>
      <c r="B255" s="42" t="s">
        <v>20</v>
      </c>
      <c r="C255" s="43" t="s">
        <v>267</v>
      </c>
      <c r="D255" s="50">
        <v>5318</v>
      </c>
      <c r="E255" s="42" t="s">
        <v>169</v>
      </c>
      <c r="F255" s="45" t="s">
        <v>145</v>
      </c>
      <c r="G255" s="42" t="s">
        <v>28</v>
      </c>
      <c r="H255" s="45" t="s">
        <v>385</v>
      </c>
      <c r="I255" s="7" t="s">
        <v>22</v>
      </c>
      <c r="J255" s="3">
        <v>0.7</v>
      </c>
      <c r="K255" s="7" t="s">
        <v>51</v>
      </c>
      <c r="L255" s="8" t="s">
        <v>127</v>
      </c>
      <c r="M255" s="7" t="s">
        <v>128</v>
      </c>
      <c r="N255" s="6">
        <v>0.05</v>
      </c>
      <c r="O255" s="3">
        <v>0.1</v>
      </c>
      <c r="P255" s="11"/>
      <c r="Q255" s="3">
        <f t="shared" si="8"/>
        <v>0</v>
      </c>
      <c r="R255" s="4">
        <f t="shared" si="7"/>
        <v>0</v>
      </c>
      <c r="S255" s="3" t="s">
        <v>24</v>
      </c>
      <c r="T255" s="190"/>
    </row>
    <row r="256" spans="1:20" ht="21.6" hidden="1" x14ac:dyDescent="0.3">
      <c r="A256" s="182">
        <v>2074</v>
      </c>
      <c r="B256" s="42" t="s">
        <v>20</v>
      </c>
      <c r="C256" s="43" t="s">
        <v>267</v>
      </c>
      <c r="D256" s="50">
        <v>5318</v>
      </c>
      <c r="E256" s="42" t="s">
        <v>169</v>
      </c>
      <c r="F256" s="45" t="s">
        <v>145</v>
      </c>
      <c r="G256" s="42" t="s">
        <v>28</v>
      </c>
      <c r="H256" s="45" t="s">
        <v>385</v>
      </c>
      <c r="I256" s="7" t="s">
        <v>22</v>
      </c>
      <c r="J256" s="3">
        <v>0.7</v>
      </c>
      <c r="K256" s="7" t="s">
        <v>305</v>
      </c>
      <c r="L256" s="8" t="s">
        <v>257</v>
      </c>
      <c r="M256" s="339" t="s">
        <v>306</v>
      </c>
      <c r="N256" s="3">
        <v>0.95</v>
      </c>
      <c r="O256" s="3">
        <v>0.1</v>
      </c>
      <c r="P256" s="3"/>
      <c r="Q256" s="3">
        <f t="shared" si="8"/>
        <v>0</v>
      </c>
      <c r="R256" s="4">
        <f t="shared" si="7"/>
        <v>0</v>
      </c>
      <c r="S256" s="3" t="s">
        <v>23</v>
      </c>
      <c r="T256" s="190"/>
    </row>
    <row r="257" spans="1:20" ht="21.6" hidden="1" x14ac:dyDescent="0.3">
      <c r="A257" s="182">
        <v>2075</v>
      </c>
      <c r="B257" s="42" t="s">
        <v>20</v>
      </c>
      <c r="C257" s="43" t="s">
        <v>267</v>
      </c>
      <c r="D257" s="50">
        <v>5318</v>
      </c>
      <c r="E257" s="42" t="s">
        <v>169</v>
      </c>
      <c r="F257" s="45" t="s">
        <v>145</v>
      </c>
      <c r="G257" s="42" t="s">
        <v>28</v>
      </c>
      <c r="H257" s="45" t="s">
        <v>385</v>
      </c>
      <c r="I257" s="47" t="s">
        <v>22</v>
      </c>
      <c r="J257" s="3">
        <v>0.7</v>
      </c>
      <c r="K257" s="47" t="s">
        <v>129</v>
      </c>
      <c r="L257" s="30" t="s">
        <v>130</v>
      </c>
      <c r="M257" s="47" t="s">
        <v>131</v>
      </c>
      <c r="N257" s="3">
        <v>0.9</v>
      </c>
      <c r="O257" s="10">
        <v>0.2</v>
      </c>
      <c r="P257" s="3"/>
      <c r="Q257" s="3">
        <f t="shared" si="8"/>
        <v>0</v>
      </c>
      <c r="R257" s="48">
        <f t="shared" si="7"/>
        <v>0</v>
      </c>
      <c r="S257" s="10" t="s">
        <v>23</v>
      </c>
      <c r="T257" s="191"/>
    </row>
    <row r="258" spans="1:20" ht="21.6" hidden="1" x14ac:dyDescent="0.3">
      <c r="A258" s="182">
        <v>2076</v>
      </c>
      <c r="B258" s="42" t="s">
        <v>20</v>
      </c>
      <c r="C258" s="43" t="s">
        <v>267</v>
      </c>
      <c r="D258" s="50">
        <v>5318</v>
      </c>
      <c r="E258" s="42" t="s">
        <v>169</v>
      </c>
      <c r="F258" s="45" t="s">
        <v>145</v>
      </c>
      <c r="G258" s="42" t="s">
        <v>28</v>
      </c>
      <c r="H258" s="45" t="s">
        <v>385</v>
      </c>
      <c r="I258" s="47" t="s">
        <v>22</v>
      </c>
      <c r="J258" s="3">
        <v>0.7</v>
      </c>
      <c r="K258" s="47" t="s">
        <v>132</v>
      </c>
      <c r="L258" s="30" t="s">
        <v>133</v>
      </c>
      <c r="M258" s="47" t="s">
        <v>134</v>
      </c>
      <c r="N258" s="4">
        <v>0</v>
      </c>
      <c r="O258" s="10">
        <v>0.1</v>
      </c>
      <c r="P258" s="3"/>
      <c r="Q258" s="3">
        <f t="shared" si="8"/>
        <v>0</v>
      </c>
      <c r="R258" s="48">
        <f t="shared" si="7"/>
        <v>0</v>
      </c>
      <c r="S258" s="10" t="s">
        <v>24</v>
      </c>
      <c r="T258" s="191"/>
    </row>
    <row r="259" spans="1:20" ht="21.6" hidden="1" x14ac:dyDescent="0.3">
      <c r="A259" s="182">
        <v>2077</v>
      </c>
      <c r="B259" s="42" t="s">
        <v>20</v>
      </c>
      <c r="C259" s="43" t="s">
        <v>267</v>
      </c>
      <c r="D259" s="50">
        <v>5318</v>
      </c>
      <c r="E259" s="42" t="s">
        <v>169</v>
      </c>
      <c r="F259" s="45" t="s">
        <v>145</v>
      </c>
      <c r="G259" s="42" t="s">
        <v>28</v>
      </c>
      <c r="H259" s="45" t="s">
        <v>385</v>
      </c>
      <c r="I259" s="47" t="s">
        <v>22</v>
      </c>
      <c r="J259" s="3">
        <v>0.7</v>
      </c>
      <c r="K259" s="47" t="s">
        <v>135</v>
      </c>
      <c r="L259" s="30" t="s">
        <v>136</v>
      </c>
      <c r="M259" s="47" t="s">
        <v>137</v>
      </c>
      <c r="N259" s="3">
        <v>0.9</v>
      </c>
      <c r="O259" s="10">
        <v>0.2</v>
      </c>
      <c r="P259" s="51"/>
      <c r="Q259" s="3">
        <f t="shared" si="8"/>
        <v>0</v>
      </c>
      <c r="R259" s="48">
        <f t="shared" ref="R259:R322" si="9">IF(AND(Q259&gt;=60%,Q259&lt;100%),Q259*((O259*J259)),IF(Q259=100%,((O259*J259)*Q259)*100%,IF(Q259&gt;100%,((J259*O259)*100%)*100%,0)))*100</f>
        <v>0</v>
      </c>
      <c r="S259" s="10" t="s">
        <v>23</v>
      </c>
      <c r="T259" s="191"/>
    </row>
    <row r="260" spans="1:20" ht="22.2" hidden="1" thickBot="1" x14ac:dyDescent="0.35">
      <c r="A260" s="267">
        <v>2078</v>
      </c>
      <c r="B260" s="268" t="s">
        <v>20</v>
      </c>
      <c r="C260" s="269" t="s">
        <v>267</v>
      </c>
      <c r="D260" s="290">
        <v>5318</v>
      </c>
      <c r="E260" s="268" t="s">
        <v>169</v>
      </c>
      <c r="F260" s="271" t="s">
        <v>145</v>
      </c>
      <c r="G260" s="268" t="s">
        <v>28</v>
      </c>
      <c r="H260" s="271" t="s">
        <v>385</v>
      </c>
      <c r="I260" s="272" t="s">
        <v>26</v>
      </c>
      <c r="J260" s="273">
        <v>0.3</v>
      </c>
      <c r="K260" s="272" t="s">
        <v>138</v>
      </c>
      <c r="L260" s="291" t="s">
        <v>139</v>
      </c>
      <c r="M260" s="272" t="s">
        <v>140</v>
      </c>
      <c r="N260" s="273">
        <v>1</v>
      </c>
      <c r="O260" s="276">
        <v>1</v>
      </c>
      <c r="P260" s="273"/>
      <c r="Q260" s="273">
        <f t="shared" si="8"/>
        <v>0</v>
      </c>
      <c r="R260" s="287">
        <f t="shared" si="9"/>
        <v>0</v>
      </c>
      <c r="S260" s="276" t="s">
        <v>23</v>
      </c>
      <c r="T260" s="277"/>
    </row>
    <row r="261" spans="1:20" ht="21.6" hidden="1" x14ac:dyDescent="0.3">
      <c r="A261" s="181">
        <v>2070</v>
      </c>
      <c r="B261" s="71" t="s">
        <v>20</v>
      </c>
      <c r="C261" s="72" t="s">
        <v>267</v>
      </c>
      <c r="D261" s="112">
        <v>5569</v>
      </c>
      <c r="E261" s="71" t="s">
        <v>172</v>
      </c>
      <c r="F261" s="74" t="s">
        <v>143</v>
      </c>
      <c r="G261" s="71" t="s">
        <v>28</v>
      </c>
      <c r="H261" s="74" t="s">
        <v>385</v>
      </c>
      <c r="I261" s="75" t="s">
        <v>22</v>
      </c>
      <c r="J261" s="76">
        <v>0.7</v>
      </c>
      <c r="K261" s="75" t="s">
        <v>513</v>
      </c>
      <c r="L261" s="105" t="s">
        <v>511</v>
      </c>
      <c r="M261" s="75" t="s">
        <v>411</v>
      </c>
      <c r="N261" s="76">
        <v>0.95</v>
      </c>
      <c r="O261" s="76">
        <v>0.15</v>
      </c>
      <c r="P261" s="76"/>
      <c r="Q261" s="76">
        <f t="shared" si="8"/>
        <v>0</v>
      </c>
      <c r="R261" s="80">
        <f t="shared" si="9"/>
        <v>0</v>
      </c>
      <c r="S261" s="76" t="s">
        <v>23</v>
      </c>
      <c r="T261" s="189">
        <f>SUM(R261:R268)%</f>
        <v>0</v>
      </c>
    </row>
    <row r="262" spans="1:20" ht="21.6" hidden="1" x14ac:dyDescent="0.3">
      <c r="A262" s="182">
        <v>2072</v>
      </c>
      <c r="B262" s="42" t="s">
        <v>20</v>
      </c>
      <c r="C262" s="43" t="s">
        <v>267</v>
      </c>
      <c r="D262" s="50">
        <v>5569</v>
      </c>
      <c r="E262" s="42" t="s">
        <v>172</v>
      </c>
      <c r="F262" s="45" t="s">
        <v>143</v>
      </c>
      <c r="G262" s="42" t="s">
        <v>28</v>
      </c>
      <c r="H262" s="45" t="s">
        <v>385</v>
      </c>
      <c r="I262" s="7" t="s">
        <v>22</v>
      </c>
      <c r="J262" s="3">
        <v>0.7</v>
      </c>
      <c r="K262" s="7" t="s">
        <v>124</v>
      </c>
      <c r="L262" s="8" t="s">
        <v>125</v>
      </c>
      <c r="M262" s="7" t="s">
        <v>126</v>
      </c>
      <c r="N262" s="3">
        <v>0.95</v>
      </c>
      <c r="O262" s="3">
        <v>0.15</v>
      </c>
      <c r="P262" s="6"/>
      <c r="Q262" s="3">
        <f t="shared" si="8"/>
        <v>0</v>
      </c>
      <c r="R262" s="4">
        <f t="shared" si="9"/>
        <v>0</v>
      </c>
      <c r="S262" s="3" t="s">
        <v>23</v>
      </c>
      <c r="T262" s="190"/>
    </row>
    <row r="263" spans="1:20" ht="21.6" hidden="1" x14ac:dyDescent="0.3">
      <c r="A263" s="182">
        <v>2073</v>
      </c>
      <c r="B263" s="42" t="s">
        <v>20</v>
      </c>
      <c r="C263" s="43" t="s">
        <v>267</v>
      </c>
      <c r="D263" s="50">
        <v>5569</v>
      </c>
      <c r="E263" s="42" t="s">
        <v>172</v>
      </c>
      <c r="F263" s="45" t="s">
        <v>143</v>
      </c>
      <c r="G263" s="42" t="s">
        <v>28</v>
      </c>
      <c r="H263" s="45" t="s">
        <v>385</v>
      </c>
      <c r="I263" s="7" t="s">
        <v>22</v>
      </c>
      <c r="J263" s="3">
        <v>0.7</v>
      </c>
      <c r="K263" s="7" t="s">
        <v>51</v>
      </c>
      <c r="L263" s="8" t="s">
        <v>127</v>
      </c>
      <c r="M263" s="7" t="s">
        <v>128</v>
      </c>
      <c r="N263" s="6">
        <v>0.05</v>
      </c>
      <c r="O263" s="3">
        <v>0.1</v>
      </c>
      <c r="P263" s="11"/>
      <c r="Q263" s="3">
        <f t="shared" si="8"/>
        <v>0</v>
      </c>
      <c r="R263" s="4">
        <f t="shared" si="9"/>
        <v>0</v>
      </c>
      <c r="S263" s="3" t="s">
        <v>24</v>
      </c>
      <c r="T263" s="190"/>
    </row>
    <row r="264" spans="1:20" ht="21.6" hidden="1" x14ac:dyDescent="0.3">
      <c r="A264" s="182">
        <v>2074</v>
      </c>
      <c r="B264" s="42" t="s">
        <v>20</v>
      </c>
      <c r="C264" s="43" t="s">
        <v>267</v>
      </c>
      <c r="D264" s="50">
        <v>5569</v>
      </c>
      <c r="E264" s="42" t="s">
        <v>172</v>
      </c>
      <c r="F264" s="45" t="s">
        <v>143</v>
      </c>
      <c r="G264" s="42" t="s">
        <v>28</v>
      </c>
      <c r="H264" s="45" t="s">
        <v>385</v>
      </c>
      <c r="I264" s="7" t="s">
        <v>22</v>
      </c>
      <c r="J264" s="3">
        <v>0.7</v>
      </c>
      <c r="K264" s="7" t="s">
        <v>305</v>
      </c>
      <c r="L264" s="8" t="s">
        <v>257</v>
      </c>
      <c r="M264" s="339" t="s">
        <v>306</v>
      </c>
      <c r="N264" s="3">
        <v>0.95</v>
      </c>
      <c r="O264" s="3">
        <v>0.1</v>
      </c>
      <c r="P264" s="3"/>
      <c r="Q264" s="3">
        <f t="shared" si="8"/>
        <v>0</v>
      </c>
      <c r="R264" s="4">
        <f t="shared" si="9"/>
        <v>0</v>
      </c>
      <c r="S264" s="3" t="s">
        <v>23</v>
      </c>
      <c r="T264" s="190"/>
    </row>
    <row r="265" spans="1:20" ht="21.6" hidden="1" x14ac:dyDescent="0.3">
      <c r="A265" s="182">
        <v>2075</v>
      </c>
      <c r="B265" s="42" t="s">
        <v>20</v>
      </c>
      <c r="C265" s="43" t="s">
        <v>267</v>
      </c>
      <c r="D265" s="50">
        <v>5569</v>
      </c>
      <c r="E265" s="42" t="s">
        <v>172</v>
      </c>
      <c r="F265" s="45" t="s">
        <v>143</v>
      </c>
      <c r="G265" s="42" t="s">
        <v>28</v>
      </c>
      <c r="H265" s="45" t="s">
        <v>385</v>
      </c>
      <c r="I265" s="47" t="s">
        <v>22</v>
      </c>
      <c r="J265" s="3">
        <v>0.7</v>
      </c>
      <c r="K265" s="47" t="s">
        <v>129</v>
      </c>
      <c r="L265" s="30" t="s">
        <v>130</v>
      </c>
      <c r="M265" s="47" t="s">
        <v>131</v>
      </c>
      <c r="N265" s="3">
        <v>0.9</v>
      </c>
      <c r="O265" s="10">
        <v>0.2</v>
      </c>
      <c r="P265" s="3"/>
      <c r="Q265" s="3">
        <f t="shared" si="8"/>
        <v>0</v>
      </c>
      <c r="R265" s="48">
        <f t="shared" si="9"/>
        <v>0</v>
      </c>
      <c r="S265" s="10" t="s">
        <v>23</v>
      </c>
      <c r="T265" s="191"/>
    </row>
    <row r="266" spans="1:20" ht="21.6" hidden="1" x14ac:dyDescent="0.3">
      <c r="A266" s="182">
        <v>2076</v>
      </c>
      <c r="B266" s="42" t="s">
        <v>20</v>
      </c>
      <c r="C266" s="43" t="s">
        <v>267</v>
      </c>
      <c r="D266" s="50">
        <v>5569</v>
      </c>
      <c r="E266" s="42" t="s">
        <v>172</v>
      </c>
      <c r="F266" s="45" t="s">
        <v>143</v>
      </c>
      <c r="G266" s="42" t="s">
        <v>28</v>
      </c>
      <c r="H266" s="45" t="s">
        <v>385</v>
      </c>
      <c r="I266" s="47" t="s">
        <v>22</v>
      </c>
      <c r="J266" s="3">
        <v>0.7</v>
      </c>
      <c r="K266" s="47" t="s">
        <v>132</v>
      </c>
      <c r="L266" s="30" t="s">
        <v>133</v>
      </c>
      <c r="M266" s="47" t="s">
        <v>134</v>
      </c>
      <c r="N266" s="4">
        <v>0</v>
      </c>
      <c r="O266" s="10">
        <v>0.1</v>
      </c>
      <c r="P266" s="3"/>
      <c r="Q266" s="3">
        <f t="shared" si="8"/>
        <v>0</v>
      </c>
      <c r="R266" s="48">
        <f t="shared" si="9"/>
        <v>0</v>
      </c>
      <c r="S266" s="10" t="s">
        <v>24</v>
      </c>
      <c r="T266" s="191"/>
    </row>
    <row r="267" spans="1:20" ht="21.6" hidden="1" x14ac:dyDescent="0.3">
      <c r="A267" s="182">
        <v>2077</v>
      </c>
      <c r="B267" s="42" t="s">
        <v>20</v>
      </c>
      <c r="C267" s="43" t="s">
        <v>267</v>
      </c>
      <c r="D267" s="50">
        <v>5569</v>
      </c>
      <c r="E267" s="42" t="s">
        <v>172</v>
      </c>
      <c r="F267" s="45" t="s">
        <v>143</v>
      </c>
      <c r="G267" s="42" t="s">
        <v>28</v>
      </c>
      <c r="H267" s="45" t="s">
        <v>385</v>
      </c>
      <c r="I267" s="47" t="s">
        <v>22</v>
      </c>
      <c r="J267" s="3">
        <v>0.7</v>
      </c>
      <c r="K267" s="47" t="s">
        <v>135</v>
      </c>
      <c r="L267" s="30" t="s">
        <v>136</v>
      </c>
      <c r="M267" s="47" t="s">
        <v>137</v>
      </c>
      <c r="N267" s="3">
        <v>0.9</v>
      </c>
      <c r="O267" s="10">
        <v>0.2</v>
      </c>
      <c r="P267" s="51"/>
      <c r="Q267" s="3">
        <f t="shared" si="8"/>
        <v>0</v>
      </c>
      <c r="R267" s="48">
        <f t="shared" si="9"/>
        <v>0</v>
      </c>
      <c r="S267" s="10" t="s">
        <v>23</v>
      </c>
      <c r="T267" s="191"/>
    </row>
    <row r="268" spans="1:20" ht="22.2" hidden="1" thickBot="1" x14ac:dyDescent="0.35">
      <c r="A268" s="267">
        <v>2078</v>
      </c>
      <c r="B268" s="268" t="s">
        <v>20</v>
      </c>
      <c r="C268" s="269" t="s">
        <v>267</v>
      </c>
      <c r="D268" s="290">
        <v>5569</v>
      </c>
      <c r="E268" s="268" t="s">
        <v>172</v>
      </c>
      <c r="F268" s="271" t="s">
        <v>143</v>
      </c>
      <c r="G268" s="268" t="s">
        <v>28</v>
      </c>
      <c r="H268" s="271" t="s">
        <v>385</v>
      </c>
      <c r="I268" s="272" t="s">
        <v>26</v>
      </c>
      <c r="J268" s="273">
        <v>0.3</v>
      </c>
      <c r="K268" s="272" t="s">
        <v>138</v>
      </c>
      <c r="L268" s="291" t="s">
        <v>139</v>
      </c>
      <c r="M268" s="272" t="s">
        <v>140</v>
      </c>
      <c r="N268" s="273">
        <v>1</v>
      </c>
      <c r="O268" s="276">
        <v>1</v>
      </c>
      <c r="P268" s="273"/>
      <c r="Q268" s="273">
        <f t="shared" si="8"/>
        <v>0</v>
      </c>
      <c r="R268" s="287">
        <f t="shared" si="9"/>
        <v>0</v>
      </c>
      <c r="S268" s="276" t="s">
        <v>23</v>
      </c>
      <c r="T268" s="277"/>
    </row>
    <row r="269" spans="1:20" ht="21.6" hidden="1" x14ac:dyDescent="0.3">
      <c r="A269" s="181">
        <v>2070</v>
      </c>
      <c r="B269" s="71" t="s">
        <v>20</v>
      </c>
      <c r="C269" s="72" t="s">
        <v>267</v>
      </c>
      <c r="D269" s="112">
        <v>6019</v>
      </c>
      <c r="E269" s="71" t="s">
        <v>173</v>
      </c>
      <c r="F269" s="74" t="s">
        <v>143</v>
      </c>
      <c r="G269" s="71" t="s">
        <v>28</v>
      </c>
      <c r="H269" s="74" t="s">
        <v>385</v>
      </c>
      <c r="I269" s="75" t="s">
        <v>22</v>
      </c>
      <c r="J269" s="76">
        <v>0.7</v>
      </c>
      <c r="K269" s="75" t="s">
        <v>513</v>
      </c>
      <c r="L269" s="105" t="s">
        <v>511</v>
      </c>
      <c r="M269" s="75" t="s">
        <v>411</v>
      </c>
      <c r="N269" s="76">
        <v>0.95</v>
      </c>
      <c r="O269" s="76">
        <v>0.15</v>
      </c>
      <c r="P269" s="76"/>
      <c r="Q269" s="76">
        <f t="shared" si="8"/>
        <v>0</v>
      </c>
      <c r="R269" s="80">
        <f t="shared" si="9"/>
        <v>0</v>
      </c>
      <c r="S269" s="76" t="s">
        <v>23</v>
      </c>
      <c r="T269" s="189">
        <f>SUM(R269:R276)%</f>
        <v>0</v>
      </c>
    </row>
    <row r="270" spans="1:20" ht="21.6" hidden="1" x14ac:dyDescent="0.3">
      <c r="A270" s="182">
        <v>2072</v>
      </c>
      <c r="B270" s="42" t="s">
        <v>20</v>
      </c>
      <c r="C270" s="43" t="s">
        <v>267</v>
      </c>
      <c r="D270" s="50">
        <v>6019</v>
      </c>
      <c r="E270" s="42" t="s">
        <v>173</v>
      </c>
      <c r="F270" s="45" t="s">
        <v>143</v>
      </c>
      <c r="G270" s="42" t="s">
        <v>28</v>
      </c>
      <c r="H270" s="45" t="s">
        <v>385</v>
      </c>
      <c r="I270" s="7" t="s">
        <v>22</v>
      </c>
      <c r="J270" s="3">
        <v>0.7</v>
      </c>
      <c r="K270" s="7" t="s">
        <v>124</v>
      </c>
      <c r="L270" s="8" t="s">
        <v>125</v>
      </c>
      <c r="M270" s="7" t="s">
        <v>126</v>
      </c>
      <c r="N270" s="3">
        <v>0.95</v>
      </c>
      <c r="O270" s="3">
        <v>0.15</v>
      </c>
      <c r="P270" s="6"/>
      <c r="Q270" s="3">
        <f t="shared" si="8"/>
        <v>0</v>
      </c>
      <c r="R270" s="4">
        <f t="shared" si="9"/>
        <v>0</v>
      </c>
      <c r="S270" s="3" t="s">
        <v>23</v>
      </c>
      <c r="T270" s="190"/>
    </row>
    <row r="271" spans="1:20" ht="21.6" hidden="1" x14ac:dyDescent="0.3">
      <c r="A271" s="182">
        <v>2073</v>
      </c>
      <c r="B271" s="42" t="s">
        <v>20</v>
      </c>
      <c r="C271" s="43" t="s">
        <v>267</v>
      </c>
      <c r="D271" s="50">
        <v>6019</v>
      </c>
      <c r="E271" s="42" t="s">
        <v>173</v>
      </c>
      <c r="F271" s="45" t="s">
        <v>143</v>
      </c>
      <c r="G271" s="42" t="s">
        <v>28</v>
      </c>
      <c r="H271" s="45" t="s">
        <v>385</v>
      </c>
      <c r="I271" s="7" t="s">
        <v>22</v>
      </c>
      <c r="J271" s="3">
        <v>0.7</v>
      </c>
      <c r="K271" s="7" t="s">
        <v>51</v>
      </c>
      <c r="L271" s="8" t="s">
        <v>127</v>
      </c>
      <c r="M271" s="7" t="s">
        <v>128</v>
      </c>
      <c r="N271" s="6">
        <v>0.05</v>
      </c>
      <c r="O271" s="3">
        <v>0.1</v>
      </c>
      <c r="P271" s="11"/>
      <c r="Q271" s="3">
        <f t="shared" si="8"/>
        <v>0</v>
      </c>
      <c r="R271" s="4">
        <f t="shared" si="9"/>
        <v>0</v>
      </c>
      <c r="S271" s="3" t="s">
        <v>24</v>
      </c>
      <c r="T271" s="190"/>
    </row>
    <row r="272" spans="1:20" ht="21.6" hidden="1" x14ac:dyDescent="0.3">
      <c r="A272" s="182">
        <v>2074</v>
      </c>
      <c r="B272" s="42" t="s">
        <v>20</v>
      </c>
      <c r="C272" s="43" t="s">
        <v>267</v>
      </c>
      <c r="D272" s="50">
        <v>6019</v>
      </c>
      <c r="E272" s="42" t="s">
        <v>173</v>
      </c>
      <c r="F272" s="45" t="s">
        <v>143</v>
      </c>
      <c r="G272" s="42" t="s">
        <v>28</v>
      </c>
      <c r="H272" s="45" t="s">
        <v>385</v>
      </c>
      <c r="I272" s="7" t="s">
        <v>22</v>
      </c>
      <c r="J272" s="3">
        <v>0.7</v>
      </c>
      <c r="K272" s="7" t="s">
        <v>305</v>
      </c>
      <c r="L272" s="8" t="s">
        <v>257</v>
      </c>
      <c r="M272" s="339" t="s">
        <v>306</v>
      </c>
      <c r="N272" s="3">
        <v>0.95</v>
      </c>
      <c r="O272" s="3">
        <v>0.1</v>
      </c>
      <c r="P272" s="3"/>
      <c r="Q272" s="3">
        <f t="shared" si="8"/>
        <v>0</v>
      </c>
      <c r="R272" s="4">
        <f t="shared" si="9"/>
        <v>0</v>
      </c>
      <c r="S272" s="3" t="s">
        <v>23</v>
      </c>
      <c r="T272" s="190"/>
    </row>
    <row r="273" spans="1:20" ht="21.6" hidden="1" x14ac:dyDescent="0.3">
      <c r="A273" s="182">
        <v>2075</v>
      </c>
      <c r="B273" s="42" t="s">
        <v>20</v>
      </c>
      <c r="C273" s="43" t="s">
        <v>267</v>
      </c>
      <c r="D273" s="50">
        <v>6019</v>
      </c>
      <c r="E273" s="42" t="s">
        <v>173</v>
      </c>
      <c r="F273" s="45" t="s">
        <v>143</v>
      </c>
      <c r="G273" s="42" t="s">
        <v>28</v>
      </c>
      <c r="H273" s="45" t="s">
        <v>385</v>
      </c>
      <c r="I273" s="47" t="s">
        <v>22</v>
      </c>
      <c r="J273" s="3">
        <v>0.7</v>
      </c>
      <c r="K273" s="47" t="s">
        <v>129</v>
      </c>
      <c r="L273" s="30" t="s">
        <v>130</v>
      </c>
      <c r="M273" s="47" t="s">
        <v>131</v>
      </c>
      <c r="N273" s="3">
        <v>0.9</v>
      </c>
      <c r="O273" s="10">
        <v>0.2</v>
      </c>
      <c r="P273" s="3"/>
      <c r="Q273" s="3">
        <f t="shared" si="8"/>
        <v>0</v>
      </c>
      <c r="R273" s="48">
        <f t="shared" si="9"/>
        <v>0</v>
      </c>
      <c r="S273" s="10" t="s">
        <v>23</v>
      </c>
      <c r="T273" s="191"/>
    </row>
    <row r="274" spans="1:20" ht="21.6" hidden="1" x14ac:dyDescent="0.3">
      <c r="A274" s="182">
        <v>2076</v>
      </c>
      <c r="B274" s="42" t="s">
        <v>20</v>
      </c>
      <c r="C274" s="43" t="s">
        <v>267</v>
      </c>
      <c r="D274" s="50">
        <v>6019</v>
      </c>
      <c r="E274" s="42" t="s">
        <v>173</v>
      </c>
      <c r="F274" s="45" t="s">
        <v>143</v>
      </c>
      <c r="G274" s="42" t="s">
        <v>28</v>
      </c>
      <c r="H274" s="45" t="s">
        <v>385</v>
      </c>
      <c r="I274" s="47" t="s">
        <v>22</v>
      </c>
      <c r="J274" s="3">
        <v>0.7</v>
      </c>
      <c r="K274" s="47" t="s">
        <v>132</v>
      </c>
      <c r="L274" s="30" t="s">
        <v>133</v>
      </c>
      <c r="M274" s="47" t="s">
        <v>134</v>
      </c>
      <c r="N274" s="4">
        <v>0</v>
      </c>
      <c r="O274" s="10">
        <v>0.1</v>
      </c>
      <c r="P274" s="3"/>
      <c r="Q274" s="3">
        <f t="shared" si="8"/>
        <v>0</v>
      </c>
      <c r="R274" s="48">
        <f t="shared" si="9"/>
        <v>0</v>
      </c>
      <c r="S274" s="10" t="s">
        <v>24</v>
      </c>
      <c r="T274" s="191"/>
    </row>
    <row r="275" spans="1:20" ht="21.6" hidden="1" x14ac:dyDescent="0.3">
      <c r="A275" s="182">
        <v>2077</v>
      </c>
      <c r="B275" s="42" t="s">
        <v>20</v>
      </c>
      <c r="C275" s="43" t="s">
        <v>267</v>
      </c>
      <c r="D275" s="50">
        <v>6019</v>
      </c>
      <c r="E275" s="42" t="s">
        <v>173</v>
      </c>
      <c r="F275" s="45" t="s">
        <v>143</v>
      </c>
      <c r="G275" s="42" t="s">
        <v>28</v>
      </c>
      <c r="H275" s="45" t="s">
        <v>385</v>
      </c>
      <c r="I275" s="47" t="s">
        <v>22</v>
      </c>
      <c r="J275" s="3">
        <v>0.7</v>
      </c>
      <c r="K275" s="47" t="s">
        <v>135</v>
      </c>
      <c r="L275" s="30" t="s">
        <v>136</v>
      </c>
      <c r="M275" s="47" t="s">
        <v>137</v>
      </c>
      <c r="N275" s="3">
        <v>0.9</v>
      </c>
      <c r="O275" s="10">
        <v>0.2</v>
      </c>
      <c r="P275" s="51"/>
      <c r="Q275" s="3">
        <f t="shared" si="8"/>
        <v>0</v>
      </c>
      <c r="R275" s="48">
        <f t="shared" si="9"/>
        <v>0</v>
      </c>
      <c r="S275" s="10" t="s">
        <v>23</v>
      </c>
      <c r="T275" s="191"/>
    </row>
    <row r="276" spans="1:20" ht="22.2" hidden="1" thickBot="1" x14ac:dyDescent="0.35">
      <c r="A276" s="267">
        <v>2078</v>
      </c>
      <c r="B276" s="268" t="s">
        <v>20</v>
      </c>
      <c r="C276" s="269" t="s">
        <v>267</v>
      </c>
      <c r="D276" s="290">
        <v>6019</v>
      </c>
      <c r="E276" s="268" t="s">
        <v>173</v>
      </c>
      <c r="F276" s="271" t="s">
        <v>143</v>
      </c>
      <c r="G276" s="268" t="s">
        <v>28</v>
      </c>
      <c r="H276" s="271" t="s">
        <v>385</v>
      </c>
      <c r="I276" s="272" t="s">
        <v>26</v>
      </c>
      <c r="J276" s="273">
        <v>0.3</v>
      </c>
      <c r="K276" s="272" t="s">
        <v>138</v>
      </c>
      <c r="L276" s="291" t="s">
        <v>139</v>
      </c>
      <c r="M276" s="272" t="s">
        <v>140</v>
      </c>
      <c r="N276" s="273">
        <v>1</v>
      </c>
      <c r="O276" s="276">
        <v>1</v>
      </c>
      <c r="P276" s="273"/>
      <c r="Q276" s="273">
        <f t="shared" si="8"/>
        <v>0</v>
      </c>
      <c r="R276" s="287">
        <f t="shared" si="9"/>
        <v>0</v>
      </c>
      <c r="S276" s="276" t="s">
        <v>23</v>
      </c>
      <c r="T276" s="277"/>
    </row>
    <row r="277" spans="1:20" ht="21.6" hidden="1" x14ac:dyDescent="0.3">
      <c r="A277" s="181">
        <v>2070</v>
      </c>
      <c r="B277" s="71" t="s">
        <v>20</v>
      </c>
      <c r="C277" s="72" t="s">
        <v>267</v>
      </c>
      <c r="D277" s="112">
        <v>6149</v>
      </c>
      <c r="E277" s="71" t="s">
        <v>175</v>
      </c>
      <c r="F277" s="74" t="s">
        <v>123</v>
      </c>
      <c r="G277" s="71" t="s">
        <v>28</v>
      </c>
      <c r="H277" s="74" t="s">
        <v>385</v>
      </c>
      <c r="I277" s="75" t="s">
        <v>22</v>
      </c>
      <c r="J277" s="76">
        <v>0.7</v>
      </c>
      <c r="K277" s="75" t="s">
        <v>513</v>
      </c>
      <c r="L277" s="105" t="s">
        <v>511</v>
      </c>
      <c r="M277" s="75" t="s">
        <v>411</v>
      </c>
      <c r="N277" s="76">
        <v>0.95</v>
      </c>
      <c r="O277" s="76">
        <v>0.15</v>
      </c>
      <c r="P277" s="76"/>
      <c r="Q277" s="76">
        <f t="shared" si="8"/>
        <v>0</v>
      </c>
      <c r="R277" s="80">
        <f t="shared" si="9"/>
        <v>0</v>
      </c>
      <c r="S277" s="76" t="s">
        <v>23</v>
      </c>
      <c r="T277" s="189">
        <f>SUM(R277:R284)%</f>
        <v>0</v>
      </c>
    </row>
    <row r="278" spans="1:20" ht="21.6" hidden="1" x14ac:dyDescent="0.3">
      <c r="A278" s="182">
        <v>2072</v>
      </c>
      <c r="B278" s="42" t="s">
        <v>20</v>
      </c>
      <c r="C278" s="43" t="s">
        <v>267</v>
      </c>
      <c r="D278" s="50">
        <v>6149</v>
      </c>
      <c r="E278" s="42" t="s">
        <v>175</v>
      </c>
      <c r="F278" s="45" t="s">
        <v>123</v>
      </c>
      <c r="G278" s="42" t="s">
        <v>28</v>
      </c>
      <c r="H278" s="45" t="s">
        <v>385</v>
      </c>
      <c r="I278" s="7" t="s">
        <v>22</v>
      </c>
      <c r="J278" s="3">
        <v>0.7</v>
      </c>
      <c r="K278" s="7" t="s">
        <v>124</v>
      </c>
      <c r="L278" s="8" t="s">
        <v>125</v>
      </c>
      <c r="M278" s="7" t="s">
        <v>126</v>
      </c>
      <c r="N278" s="3">
        <v>0.95</v>
      </c>
      <c r="O278" s="3">
        <v>0.15</v>
      </c>
      <c r="P278" s="6"/>
      <c r="Q278" s="3">
        <f t="shared" si="8"/>
        <v>0</v>
      </c>
      <c r="R278" s="4">
        <f t="shared" si="9"/>
        <v>0</v>
      </c>
      <c r="S278" s="3" t="s">
        <v>23</v>
      </c>
      <c r="T278" s="190"/>
    </row>
    <row r="279" spans="1:20" ht="21.6" hidden="1" x14ac:dyDescent="0.3">
      <c r="A279" s="182">
        <v>2073</v>
      </c>
      <c r="B279" s="42" t="s">
        <v>20</v>
      </c>
      <c r="C279" s="43" t="s">
        <v>267</v>
      </c>
      <c r="D279" s="50">
        <v>6149</v>
      </c>
      <c r="E279" s="42" t="s">
        <v>175</v>
      </c>
      <c r="F279" s="45" t="s">
        <v>123</v>
      </c>
      <c r="G279" s="42" t="s">
        <v>28</v>
      </c>
      <c r="H279" s="45" t="s">
        <v>385</v>
      </c>
      <c r="I279" s="7" t="s">
        <v>22</v>
      </c>
      <c r="J279" s="3">
        <v>0.7</v>
      </c>
      <c r="K279" s="7" t="s">
        <v>51</v>
      </c>
      <c r="L279" s="8" t="s">
        <v>127</v>
      </c>
      <c r="M279" s="7" t="s">
        <v>128</v>
      </c>
      <c r="N279" s="6">
        <v>0.05</v>
      </c>
      <c r="O279" s="3">
        <v>0.1</v>
      </c>
      <c r="P279" s="11"/>
      <c r="Q279" s="3">
        <f t="shared" si="8"/>
        <v>0</v>
      </c>
      <c r="R279" s="4">
        <f t="shared" si="9"/>
        <v>0</v>
      </c>
      <c r="S279" s="3" t="s">
        <v>24</v>
      </c>
      <c r="T279" s="190"/>
    </row>
    <row r="280" spans="1:20" ht="21.6" hidden="1" x14ac:dyDescent="0.3">
      <c r="A280" s="182">
        <v>2074</v>
      </c>
      <c r="B280" s="42" t="s">
        <v>20</v>
      </c>
      <c r="C280" s="43" t="s">
        <v>267</v>
      </c>
      <c r="D280" s="50">
        <v>6149</v>
      </c>
      <c r="E280" s="42" t="s">
        <v>175</v>
      </c>
      <c r="F280" s="45" t="s">
        <v>123</v>
      </c>
      <c r="G280" s="42" t="s">
        <v>28</v>
      </c>
      <c r="H280" s="45" t="s">
        <v>385</v>
      </c>
      <c r="I280" s="7" t="s">
        <v>22</v>
      </c>
      <c r="J280" s="3">
        <v>0.7</v>
      </c>
      <c r="K280" s="7" t="s">
        <v>305</v>
      </c>
      <c r="L280" s="8" t="s">
        <v>257</v>
      </c>
      <c r="M280" s="339" t="s">
        <v>306</v>
      </c>
      <c r="N280" s="3">
        <v>0.95</v>
      </c>
      <c r="O280" s="3">
        <v>0.1</v>
      </c>
      <c r="P280" s="3"/>
      <c r="Q280" s="3">
        <f t="shared" si="8"/>
        <v>0</v>
      </c>
      <c r="R280" s="4">
        <f t="shared" si="9"/>
        <v>0</v>
      </c>
      <c r="S280" s="3" t="s">
        <v>23</v>
      </c>
      <c r="T280" s="190"/>
    </row>
    <row r="281" spans="1:20" ht="21.6" hidden="1" x14ac:dyDescent="0.3">
      <c r="A281" s="182">
        <v>2075</v>
      </c>
      <c r="B281" s="42" t="s">
        <v>20</v>
      </c>
      <c r="C281" s="43" t="s">
        <v>267</v>
      </c>
      <c r="D281" s="50">
        <v>6149</v>
      </c>
      <c r="E281" s="42" t="s">
        <v>175</v>
      </c>
      <c r="F281" s="45" t="s">
        <v>123</v>
      </c>
      <c r="G281" s="42" t="s">
        <v>28</v>
      </c>
      <c r="H281" s="45" t="s">
        <v>385</v>
      </c>
      <c r="I281" s="47" t="s">
        <v>22</v>
      </c>
      <c r="J281" s="3">
        <v>0.7</v>
      </c>
      <c r="K281" s="47" t="s">
        <v>129</v>
      </c>
      <c r="L281" s="30" t="s">
        <v>130</v>
      </c>
      <c r="M281" s="47" t="s">
        <v>131</v>
      </c>
      <c r="N281" s="3">
        <v>0.9</v>
      </c>
      <c r="O281" s="10">
        <v>0.2</v>
      </c>
      <c r="P281" s="3"/>
      <c r="Q281" s="3">
        <f t="shared" si="8"/>
        <v>0</v>
      </c>
      <c r="R281" s="48">
        <f t="shared" si="9"/>
        <v>0</v>
      </c>
      <c r="S281" s="10" t="s">
        <v>23</v>
      </c>
      <c r="T281" s="191"/>
    </row>
    <row r="282" spans="1:20" ht="21.6" hidden="1" x14ac:dyDescent="0.3">
      <c r="A282" s="182">
        <v>2076</v>
      </c>
      <c r="B282" s="42" t="s">
        <v>20</v>
      </c>
      <c r="C282" s="43" t="s">
        <v>267</v>
      </c>
      <c r="D282" s="50">
        <v>6149</v>
      </c>
      <c r="E282" s="42" t="s">
        <v>175</v>
      </c>
      <c r="F282" s="45" t="s">
        <v>123</v>
      </c>
      <c r="G282" s="42" t="s">
        <v>28</v>
      </c>
      <c r="H282" s="45" t="s">
        <v>385</v>
      </c>
      <c r="I282" s="47" t="s">
        <v>22</v>
      </c>
      <c r="J282" s="3">
        <v>0.7</v>
      </c>
      <c r="K282" s="47" t="s">
        <v>132</v>
      </c>
      <c r="L282" s="30" t="s">
        <v>133</v>
      </c>
      <c r="M282" s="47" t="s">
        <v>134</v>
      </c>
      <c r="N282" s="4">
        <v>0</v>
      </c>
      <c r="O282" s="10">
        <v>0.1</v>
      </c>
      <c r="P282" s="3"/>
      <c r="Q282" s="3">
        <f t="shared" si="8"/>
        <v>0</v>
      </c>
      <c r="R282" s="48">
        <f t="shared" si="9"/>
        <v>0</v>
      </c>
      <c r="S282" s="10" t="s">
        <v>24</v>
      </c>
      <c r="T282" s="191"/>
    </row>
    <row r="283" spans="1:20" ht="21.6" hidden="1" x14ac:dyDescent="0.3">
      <c r="A283" s="182">
        <v>2077</v>
      </c>
      <c r="B283" s="42" t="s">
        <v>20</v>
      </c>
      <c r="C283" s="43" t="s">
        <v>267</v>
      </c>
      <c r="D283" s="50">
        <v>6149</v>
      </c>
      <c r="E283" s="42" t="s">
        <v>175</v>
      </c>
      <c r="F283" s="45" t="s">
        <v>123</v>
      </c>
      <c r="G283" s="42" t="s">
        <v>28</v>
      </c>
      <c r="H283" s="45" t="s">
        <v>385</v>
      </c>
      <c r="I283" s="47" t="s">
        <v>22</v>
      </c>
      <c r="J283" s="3">
        <v>0.7</v>
      </c>
      <c r="K283" s="47" t="s">
        <v>135</v>
      </c>
      <c r="L283" s="30" t="s">
        <v>136</v>
      </c>
      <c r="M283" s="47" t="s">
        <v>137</v>
      </c>
      <c r="N283" s="3">
        <v>0.9</v>
      </c>
      <c r="O283" s="10">
        <v>0.2</v>
      </c>
      <c r="P283" s="51"/>
      <c r="Q283" s="3">
        <f t="shared" si="8"/>
        <v>0</v>
      </c>
      <c r="R283" s="48">
        <f t="shared" si="9"/>
        <v>0</v>
      </c>
      <c r="S283" s="10" t="s">
        <v>23</v>
      </c>
      <c r="T283" s="191"/>
    </row>
    <row r="284" spans="1:20" ht="22.2" hidden="1" thickBot="1" x14ac:dyDescent="0.35">
      <c r="A284" s="267">
        <v>2078</v>
      </c>
      <c r="B284" s="268" t="s">
        <v>20</v>
      </c>
      <c r="C284" s="269" t="s">
        <v>267</v>
      </c>
      <c r="D284" s="290">
        <v>6149</v>
      </c>
      <c r="E284" s="268" t="s">
        <v>175</v>
      </c>
      <c r="F284" s="271" t="s">
        <v>123</v>
      </c>
      <c r="G284" s="268" t="s">
        <v>28</v>
      </c>
      <c r="H284" s="271" t="s">
        <v>385</v>
      </c>
      <c r="I284" s="272" t="s">
        <v>26</v>
      </c>
      <c r="J284" s="273">
        <v>0.3</v>
      </c>
      <c r="K284" s="272" t="s">
        <v>138</v>
      </c>
      <c r="L284" s="291" t="s">
        <v>139</v>
      </c>
      <c r="M284" s="272" t="s">
        <v>140</v>
      </c>
      <c r="N284" s="273">
        <v>1</v>
      </c>
      <c r="O284" s="276">
        <v>1</v>
      </c>
      <c r="P284" s="273"/>
      <c r="Q284" s="273">
        <f t="shared" si="8"/>
        <v>0</v>
      </c>
      <c r="R284" s="287">
        <f t="shared" si="9"/>
        <v>0</v>
      </c>
      <c r="S284" s="276" t="s">
        <v>23</v>
      </c>
      <c r="T284" s="277"/>
    </row>
    <row r="285" spans="1:20" ht="21.6" hidden="1" x14ac:dyDescent="0.3">
      <c r="A285" s="181">
        <v>2070</v>
      </c>
      <c r="B285" s="71" t="s">
        <v>20</v>
      </c>
      <c r="C285" s="72" t="s">
        <v>267</v>
      </c>
      <c r="D285" s="112">
        <v>6234</v>
      </c>
      <c r="E285" s="71" t="s">
        <v>176</v>
      </c>
      <c r="F285" s="74" t="s">
        <v>145</v>
      </c>
      <c r="G285" s="71" t="s">
        <v>28</v>
      </c>
      <c r="H285" s="74" t="s">
        <v>385</v>
      </c>
      <c r="I285" s="75" t="s">
        <v>22</v>
      </c>
      <c r="J285" s="76">
        <v>0.7</v>
      </c>
      <c r="K285" s="75" t="s">
        <v>513</v>
      </c>
      <c r="L285" s="105" t="s">
        <v>511</v>
      </c>
      <c r="M285" s="75" t="s">
        <v>411</v>
      </c>
      <c r="N285" s="76">
        <v>0.95</v>
      </c>
      <c r="O285" s="76">
        <v>0.15</v>
      </c>
      <c r="P285" s="76"/>
      <c r="Q285" s="76">
        <f t="shared" si="8"/>
        <v>0</v>
      </c>
      <c r="R285" s="80">
        <f t="shared" si="9"/>
        <v>0</v>
      </c>
      <c r="S285" s="76" t="s">
        <v>23</v>
      </c>
      <c r="T285" s="189">
        <f>SUM(R285:R292)%</f>
        <v>0</v>
      </c>
    </row>
    <row r="286" spans="1:20" ht="21.6" hidden="1" x14ac:dyDescent="0.3">
      <c r="A286" s="182">
        <v>2072</v>
      </c>
      <c r="B286" s="42" t="s">
        <v>20</v>
      </c>
      <c r="C286" s="43" t="s">
        <v>267</v>
      </c>
      <c r="D286" s="50">
        <v>6234</v>
      </c>
      <c r="E286" s="42" t="s">
        <v>176</v>
      </c>
      <c r="F286" s="45" t="s">
        <v>145</v>
      </c>
      <c r="G286" s="42" t="s">
        <v>28</v>
      </c>
      <c r="H286" s="45" t="s">
        <v>385</v>
      </c>
      <c r="I286" s="7" t="s">
        <v>22</v>
      </c>
      <c r="J286" s="3">
        <v>0.7</v>
      </c>
      <c r="K286" s="7" t="s">
        <v>124</v>
      </c>
      <c r="L286" s="8" t="s">
        <v>125</v>
      </c>
      <c r="M286" s="7" t="s">
        <v>126</v>
      </c>
      <c r="N286" s="3">
        <v>0.95</v>
      </c>
      <c r="O286" s="3">
        <v>0.15</v>
      </c>
      <c r="P286" s="6"/>
      <c r="Q286" s="3">
        <f t="shared" si="8"/>
        <v>0</v>
      </c>
      <c r="R286" s="4">
        <f t="shared" si="9"/>
        <v>0</v>
      </c>
      <c r="S286" s="3" t="s">
        <v>23</v>
      </c>
      <c r="T286" s="190"/>
    </row>
    <row r="287" spans="1:20" ht="21.6" hidden="1" x14ac:dyDescent="0.3">
      <c r="A287" s="182">
        <v>2073</v>
      </c>
      <c r="B287" s="42" t="s">
        <v>20</v>
      </c>
      <c r="C287" s="43" t="s">
        <v>267</v>
      </c>
      <c r="D287" s="50">
        <v>6234</v>
      </c>
      <c r="E287" s="42" t="s">
        <v>176</v>
      </c>
      <c r="F287" s="45" t="s">
        <v>145</v>
      </c>
      <c r="G287" s="42" t="s">
        <v>28</v>
      </c>
      <c r="H287" s="45" t="s">
        <v>385</v>
      </c>
      <c r="I287" s="7" t="s">
        <v>22</v>
      </c>
      <c r="J287" s="3">
        <v>0.7</v>
      </c>
      <c r="K287" s="7" t="s">
        <v>51</v>
      </c>
      <c r="L287" s="8" t="s">
        <v>127</v>
      </c>
      <c r="M287" s="7" t="s">
        <v>128</v>
      </c>
      <c r="N287" s="6">
        <v>0.05</v>
      </c>
      <c r="O287" s="3">
        <v>0.1</v>
      </c>
      <c r="P287" s="11"/>
      <c r="Q287" s="3">
        <f t="shared" si="8"/>
        <v>0</v>
      </c>
      <c r="R287" s="4">
        <f t="shared" si="9"/>
        <v>0</v>
      </c>
      <c r="S287" s="3" t="s">
        <v>24</v>
      </c>
      <c r="T287" s="190"/>
    </row>
    <row r="288" spans="1:20" ht="21.6" hidden="1" x14ac:dyDescent="0.3">
      <c r="A288" s="182">
        <v>2074</v>
      </c>
      <c r="B288" s="42" t="s">
        <v>20</v>
      </c>
      <c r="C288" s="43" t="s">
        <v>267</v>
      </c>
      <c r="D288" s="50">
        <v>6234</v>
      </c>
      <c r="E288" s="42" t="s">
        <v>176</v>
      </c>
      <c r="F288" s="45" t="s">
        <v>145</v>
      </c>
      <c r="G288" s="42" t="s">
        <v>28</v>
      </c>
      <c r="H288" s="45" t="s">
        <v>385</v>
      </c>
      <c r="I288" s="7" t="s">
        <v>22</v>
      </c>
      <c r="J288" s="3">
        <v>0.7</v>
      </c>
      <c r="K288" s="7" t="s">
        <v>305</v>
      </c>
      <c r="L288" s="8" t="s">
        <v>257</v>
      </c>
      <c r="M288" s="339" t="s">
        <v>306</v>
      </c>
      <c r="N288" s="3">
        <v>0.95</v>
      </c>
      <c r="O288" s="3">
        <v>0.1</v>
      </c>
      <c r="P288" s="3"/>
      <c r="Q288" s="3">
        <f t="shared" si="8"/>
        <v>0</v>
      </c>
      <c r="R288" s="4">
        <f t="shared" si="9"/>
        <v>0</v>
      </c>
      <c r="S288" s="3" t="s">
        <v>23</v>
      </c>
      <c r="T288" s="190"/>
    </row>
    <row r="289" spans="1:20" ht="21.6" hidden="1" x14ac:dyDescent="0.3">
      <c r="A289" s="182">
        <v>2075</v>
      </c>
      <c r="B289" s="42" t="s">
        <v>20</v>
      </c>
      <c r="C289" s="43" t="s">
        <v>267</v>
      </c>
      <c r="D289" s="50">
        <v>6234</v>
      </c>
      <c r="E289" s="42" t="s">
        <v>176</v>
      </c>
      <c r="F289" s="45" t="s">
        <v>145</v>
      </c>
      <c r="G289" s="42" t="s">
        <v>28</v>
      </c>
      <c r="H289" s="45" t="s">
        <v>385</v>
      </c>
      <c r="I289" s="47" t="s">
        <v>22</v>
      </c>
      <c r="J289" s="3">
        <v>0.7</v>
      </c>
      <c r="K289" s="47" t="s">
        <v>129</v>
      </c>
      <c r="L289" s="30" t="s">
        <v>130</v>
      </c>
      <c r="M289" s="47" t="s">
        <v>131</v>
      </c>
      <c r="N289" s="3">
        <v>0.9</v>
      </c>
      <c r="O289" s="10">
        <v>0.2</v>
      </c>
      <c r="P289" s="3"/>
      <c r="Q289" s="3">
        <f t="shared" si="8"/>
        <v>0</v>
      </c>
      <c r="R289" s="48">
        <f t="shared" si="9"/>
        <v>0</v>
      </c>
      <c r="S289" s="10" t="s">
        <v>23</v>
      </c>
      <c r="T289" s="191"/>
    </row>
    <row r="290" spans="1:20" ht="21.6" hidden="1" x14ac:dyDescent="0.3">
      <c r="A290" s="182">
        <v>2076</v>
      </c>
      <c r="B290" s="42" t="s">
        <v>20</v>
      </c>
      <c r="C290" s="43" t="s">
        <v>267</v>
      </c>
      <c r="D290" s="50">
        <v>6234</v>
      </c>
      <c r="E290" s="42" t="s">
        <v>176</v>
      </c>
      <c r="F290" s="45" t="s">
        <v>145</v>
      </c>
      <c r="G290" s="42" t="s">
        <v>28</v>
      </c>
      <c r="H290" s="45" t="s">
        <v>385</v>
      </c>
      <c r="I290" s="47" t="s">
        <v>22</v>
      </c>
      <c r="J290" s="3">
        <v>0.7</v>
      </c>
      <c r="K290" s="47" t="s">
        <v>132</v>
      </c>
      <c r="L290" s="30" t="s">
        <v>133</v>
      </c>
      <c r="M290" s="47" t="s">
        <v>134</v>
      </c>
      <c r="N290" s="4">
        <v>0</v>
      </c>
      <c r="O290" s="10">
        <v>0.1</v>
      </c>
      <c r="P290" s="3"/>
      <c r="Q290" s="3">
        <f t="shared" si="8"/>
        <v>0</v>
      </c>
      <c r="R290" s="48">
        <f t="shared" si="9"/>
        <v>0</v>
      </c>
      <c r="S290" s="10" t="s">
        <v>24</v>
      </c>
      <c r="T290" s="191"/>
    </row>
    <row r="291" spans="1:20" ht="21.6" hidden="1" x14ac:dyDescent="0.3">
      <c r="A291" s="182">
        <v>2077</v>
      </c>
      <c r="B291" s="42" t="s">
        <v>20</v>
      </c>
      <c r="C291" s="43" t="s">
        <v>267</v>
      </c>
      <c r="D291" s="50">
        <v>6234</v>
      </c>
      <c r="E291" s="42" t="s">
        <v>176</v>
      </c>
      <c r="F291" s="45" t="s">
        <v>145</v>
      </c>
      <c r="G291" s="42" t="s">
        <v>28</v>
      </c>
      <c r="H291" s="45" t="s">
        <v>385</v>
      </c>
      <c r="I291" s="47" t="s">
        <v>22</v>
      </c>
      <c r="J291" s="3">
        <v>0.7</v>
      </c>
      <c r="K291" s="47" t="s">
        <v>135</v>
      </c>
      <c r="L291" s="30" t="s">
        <v>136</v>
      </c>
      <c r="M291" s="47" t="s">
        <v>137</v>
      </c>
      <c r="N291" s="3">
        <v>0.9</v>
      </c>
      <c r="O291" s="10">
        <v>0.2</v>
      </c>
      <c r="P291" s="51"/>
      <c r="Q291" s="3">
        <f t="shared" si="8"/>
        <v>0</v>
      </c>
      <c r="R291" s="48">
        <f t="shared" si="9"/>
        <v>0</v>
      </c>
      <c r="S291" s="10" t="s">
        <v>23</v>
      </c>
      <c r="T291" s="191"/>
    </row>
    <row r="292" spans="1:20" ht="22.2" hidden="1" thickBot="1" x14ac:dyDescent="0.35">
      <c r="A292" s="267">
        <v>2078</v>
      </c>
      <c r="B292" s="268" t="s">
        <v>20</v>
      </c>
      <c r="C292" s="269" t="s">
        <v>267</v>
      </c>
      <c r="D292" s="290">
        <v>6234</v>
      </c>
      <c r="E292" s="268" t="s">
        <v>176</v>
      </c>
      <c r="F292" s="271" t="s">
        <v>145</v>
      </c>
      <c r="G292" s="268" t="s">
        <v>28</v>
      </c>
      <c r="H292" s="271" t="s">
        <v>385</v>
      </c>
      <c r="I292" s="272" t="s">
        <v>26</v>
      </c>
      <c r="J292" s="273">
        <v>0.3</v>
      </c>
      <c r="K292" s="272" t="s">
        <v>138</v>
      </c>
      <c r="L292" s="291" t="s">
        <v>139</v>
      </c>
      <c r="M292" s="272" t="s">
        <v>140</v>
      </c>
      <c r="N292" s="273">
        <v>1</v>
      </c>
      <c r="O292" s="276">
        <v>1</v>
      </c>
      <c r="P292" s="273"/>
      <c r="Q292" s="273">
        <f t="shared" si="8"/>
        <v>0</v>
      </c>
      <c r="R292" s="287">
        <f t="shared" si="9"/>
        <v>0</v>
      </c>
      <c r="S292" s="276" t="s">
        <v>23</v>
      </c>
      <c r="T292" s="277"/>
    </row>
    <row r="293" spans="1:20" ht="21.6" hidden="1" x14ac:dyDescent="0.3">
      <c r="A293" s="181">
        <v>2070</v>
      </c>
      <c r="B293" s="71" t="s">
        <v>20</v>
      </c>
      <c r="C293" s="72" t="s">
        <v>267</v>
      </c>
      <c r="D293" s="112">
        <v>6273</v>
      </c>
      <c r="E293" s="71" t="s">
        <v>177</v>
      </c>
      <c r="F293" s="74" t="s">
        <v>123</v>
      </c>
      <c r="G293" s="71" t="s">
        <v>28</v>
      </c>
      <c r="H293" s="74" t="s">
        <v>385</v>
      </c>
      <c r="I293" s="75" t="s">
        <v>22</v>
      </c>
      <c r="J293" s="76">
        <v>0.7</v>
      </c>
      <c r="K293" s="75" t="s">
        <v>513</v>
      </c>
      <c r="L293" s="105" t="s">
        <v>511</v>
      </c>
      <c r="M293" s="75" t="s">
        <v>411</v>
      </c>
      <c r="N293" s="76">
        <v>0.95</v>
      </c>
      <c r="O293" s="76">
        <v>0.15</v>
      </c>
      <c r="P293" s="76"/>
      <c r="Q293" s="76">
        <f t="shared" si="8"/>
        <v>0</v>
      </c>
      <c r="R293" s="80">
        <f t="shared" si="9"/>
        <v>0</v>
      </c>
      <c r="S293" s="76" t="s">
        <v>23</v>
      </c>
      <c r="T293" s="189">
        <f>SUM(R293:R300)%</f>
        <v>0</v>
      </c>
    </row>
    <row r="294" spans="1:20" ht="21.6" hidden="1" x14ac:dyDescent="0.3">
      <c r="A294" s="182">
        <v>2072</v>
      </c>
      <c r="B294" s="42" t="s">
        <v>20</v>
      </c>
      <c r="C294" s="43" t="s">
        <v>267</v>
      </c>
      <c r="D294" s="50">
        <v>6273</v>
      </c>
      <c r="E294" s="42" t="s">
        <v>177</v>
      </c>
      <c r="F294" s="45" t="s">
        <v>123</v>
      </c>
      <c r="G294" s="42" t="s">
        <v>28</v>
      </c>
      <c r="H294" s="45" t="s">
        <v>385</v>
      </c>
      <c r="I294" s="7" t="s">
        <v>22</v>
      </c>
      <c r="J294" s="3">
        <v>0.7</v>
      </c>
      <c r="K294" s="7" t="s">
        <v>124</v>
      </c>
      <c r="L294" s="8" t="s">
        <v>125</v>
      </c>
      <c r="M294" s="7" t="s">
        <v>126</v>
      </c>
      <c r="N294" s="3">
        <v>0.95</v>
      </c>
      <c r="O294" s="3">
        <v>0.15</v>
      </c>
      <c r="P294" s="6"/>
      <c r="Q294" s="3">
        <f t="shared" si="8"/>
        <v>0</v>
      </c>
      <c r="R294" s="4">
        <f t="shared" si="9"/>
        <v>0</v>
      </c>
      <c r="S294" s="3" t="s">
        <v>23</v>
      </c>
      <c r="T294" s="190"/>
    </row>
    <row r="295" spans="1:20" ht="21.6" hidden="1" x14ac:dyDescent="0.3">
      <c r="A295" s="182">
        <v>2073</v>
      </c>
      <c r="B295" s="42" t="s">
        <v>20</v>
      </c>
      <c r="C295" s="43" t="s">
        <v>267</v>
      </c>
      <c r="D295" s="50">
        <v>6273</v>
      </c>
      <c r="E295" s="42" t="s">
        <v>177</v>
      </c>
      <c r="F295" s="45" t="s">
        <v>123</v>
      </c>
      <c r="G295" s="42" t="s">
        <v>28</v>
      </c>
      <c r="H295" s="45" t="s">
        <v>385</v>
      </c>
      <c r="I295" s="7" t="s">
        <v>22</v>
      </c>
      <c r="J295" s="3">
        <v>0.7</v>
      </c>
      <c r="K295" s="7" t="s">
        <v>51</v>
      </c>
      <c r="L295" s="8" t="s">
        <v>127</v>
      </c>
      <c r="M295" s="7" t="s">
        <v>128</v>
      </c>
      <c r="N295" s="6">
        <v>0.05</v>
      </c>
      <c r="O295" s="3">
        <v>0.1</v>
      </c>
      <c r="P295" s="11"/>
      <c r="Q295" s="3">
        <f t="shared" si="8"/>
        <v>0</v>
      </c>
      <c r="R295" s="4">
        <f t="shared" si="9"/>
        <v>0</v>
      </c>
      <c r="S295" s="3" t="s">
        <v>24</v>
      </c>
      <c r="T295" s="190"/>
    </row>
    <row r="296" spans="1:20" ht="21.6" hidden="1" x14ac:dyDescent="0.3">
      <c r="A296" s="182">
        <v>2074</v>
      </c>
      <c r="B296" s="42" t="s">
        <v>20</v>
      </c>
      <c r="C296" s="43" t="s">
        <v>267</v>
      </c>
      <c r="D296" s="50">
        <v>6273</v>
      </c>
      <c r="E296" s="42" t="s">
        <v>177</v>
      </c>
      <c r="F296" s="45" t="s">
        <v>123</v>
      </c>
      <c r="G296" s="42" t="s">
        <v>28</v>
      </c>
      <c r="H296" s="45" t="s">
        <v>385</v>
      </c>
      <c r="I296" s="7" t="s">
        <v>22</v>
      </c>
      <c r="J296" s="3">
        <v>0.7</v>
      </c>
      <c r="K296" s="7" t="s">
        <v>305</v>
      </c>
      <c r="L296" s="8" t="s">
        <v>257</v>
      </c>
      <c r="M296" s="339" t="s">
        <v>306</v>
      </c>
      <c r="N296" s="3">
        <v>0.95</v>
      </c>
      <c r="O296" s="3">
        <v>0.1</v>
      </c>
      <c r="P296" s="3"/>
      <c r="Q296" s="3">
        <f t="shared" si="8"/>
        <v>0</v>
      </c>
      <c r="R296" s="4">
        <f t="shared" si="9"/>
        <v>0</v>
      </c>
      <c r="S296" s="3" t="s">
        <v>23</v>
      </c>
      <c r="T296" s="190"/>
    </row>
    <row r="297" spans="1:20" ht="21.6" hidden="1" x14ac:dyDescent="0.3">
      <c r="A297" s="182">
        <v>2075</v>
      </c>
      <c r="B297" s="42" t="s">
        <v>20</v>
      </c>
      <c r="C297" s="43" t="s">
        <v>267</v>
      </c>
      <c r="D297" s="50">
        <v>6273</v>
      </c>
      <c r="E297" s="42" t="s">
        <v>177</v>
      </c>
      <c r="F297" s="45" t="s">
        <v>123</v>
      </c>
      <c r="G297" s="42" t="s">
        <v>28</v>
      </c>
      <c r="H297" s="45" t="s">
        <v>385</v>
      </c>
      <c r="I297" s="47" t="s">
        <v>22</v>
      </c>
      <c r="J297" s="3">
        <v>0.7</v>
      </c>
      <c r="K297" s="47" t="s">
        <v>129</v>
      </c>
      <c r="L297" s="30" t="s">
        <v>130</v>
      </c>
      <c r="M297" s="47" t="s">
        <v>131</v>
      </c>
      <c r="N297" s="3">
        <v>0.9</v>
      </c>
      <c r="O297" s="10">
        <v>0.2</v>
      </c>
      <c r="P297" s="3"/>
      <c r="Q297" s="3">
        <f t="shared" si="8"/>
        <v>0</v>
      </c>
      <c r="R297" s="48">
        <f t="shared" si="9"/>
        <v>0</v>
      </c>
      <c r="S297" s="10" t="s">
        <v>23</v>
      </c>
      <c r="T297" s="191"/>
    </row>
    <row r="298" spans="1:20" ht="21.6" hidden="1" x14ac:dyDescent="0.3">
      <c r="A298" s="182">
        <v>2076</v>
      </c>
      <c r="B298" s="42" t="s">
        <v>20</v>
      </c>
      <c r="C298" s="43" t="s">
        <v>267</v>
      </c>
      <c r="D298" s="50">
        <v>6273</v>
      </c>
      <c r="E298" s="42" t="s">
        <v>177</v>
      </c>
      <c r="F298" s="45" t="s">
        <v>123</v>
      </c>
      <c r="G298" s="42" t="s">
        <v>28</v>
      </c>
      <c r="H298" s="45" t="s">
        <v>385</v>
      </c>
      <c r="I298" s="47" t="s">
        <v>22</v>
      </c>
      <c r="J298" s="3">
        <v>0.7</v>
      </c>
      <c r="K298" s="47" t="s">
        <v>132</v>
      </c>
      <c r="L298" s="30" t="s">
        <v>133</v>
      </c>
      <c r="M298" s="47" t="s">
        <v>134</v>
      </c>
      <c r="N298" s="4">
        <v>0</v>
      </c>
      <c r="O298" s="10">
        <v>0.1</v>
      </c>
      <c r="P298" s="3"/>
      <c r="Q298" s="3">
        <f t="shared" si="8"/>
        <v>0</v>
      </c>
      <c r="R298" s="48">
        <f t="shared" si="9"/>
        <v>0</v>
      </c>
      <c r="S298" s="10" t="s">
        <v>24</v>
      </c>
      <c r="T298" s="191"/>
    </row>
    <row r="299" spans="1:20" ht="21.6" hidden="1" x14ac:dyDescent="0.3">
      <c r="A299" s="182">
        <v>2077</v>
      </c>
      <c r="B299" s="42" t="s">
        <v>20</v>
      </c>
      <c r="C299" s="43" t="s">
        <v>267</v>
      </c>
      <c r="D299" s="50">
        <v>6273</v>
      </c>
      <c r="E299" s="42" t="s">
        <v>177</v>
      </c>
      <c r="F299" s="45" t="s">
        <v>123</v>
      </c>
      <c r="G299" s="42" t="s">
        <v>28</v>
      </c>
      <c r="H299" s="45" t="s">
        <v>385</v>
      </c>
      <c r="I299" s="47" t="s">
        <v>22</v>
      </c>
      <c r="J299" s="3">
        <v>0.7</v>
      </c>
      <c r="K299" s="47" t="s">
        <v>135</v>
      </c>
      <c r="L299" s="30" t="s">
        <v>136</v>
      </c>
      <c r="M299" s="47" t="s">
        <v>137</v>
      </c>
      <c r="N299" s="3">
        <v>0.9</v>
      </c>
      <c r="O299" s="10">
        <v>0.2</v>
      </c>
      <c r="P299" s="51"/>
      <c r="Q299" s="3">
        <f t="shared" si="8"/>
        <v>0</v>
      </c>
      <c r="R299" s="48">
        <f t="shared" si="9"/>
        <v>0</v>
      </c>
      <c r="S299" s="10" t="s">
        <v>23</v>
      </c>
      <c r="T299" s="191"/>
    </row>
    <row r="300" spans="1:20" ht="22.2" hidden="1" thickBot="1" x14ac:dyDescent="0.35">
      <c r="A300" s="267">
        <v>2078</v>
      </c>
      <c r="B300" s="268" t="s">
        <v>20</v>
      </c>
      <c r="C300" s="269" t="s">
        <v>267</v>
      </c>
      <c r="D300" s="290">
        <v>6273</v>
      </c>
      <c r="E300" s="268" t="s">
        <v>177</v>
      </c>
      <c r="F300" s="271" t="s">
        <v>123</v>
      </c>
      <c r="G300" s="268" t="s">
        <v>28</v>
      </c>
      <c r="H300" s="271" t="s">
        <v>385</v>
      </c>
      <c r="I300" s="272" t="s">
        <v>26</v>
      </c>
      <c r="J300" s="273">
        <v>0.3</v>
      </c>
      <c r="K300" s="272" t="s">
        <v>138</v>
      </c>
      <c r="L300" s="291" t="s">
        <v>139</v>
      </c>
      <c r="M300" s="272" t="s">
        <v>140</v>
      </c>
      <c r="N300" s="273">
        <v>1</v>
      </c>
      <c r="O300" s="276">
        <v>1</v>
      </c>
      <c r="P300" s="273"/>
      <c r="Q300" s="273">
        <f t="shared" si="8"/>
        <v>0</v>
      </c>
      <c r="R300" s="287">
        <f t="shared" si="9"/>
        <v>0</v>
      </c>
      <c r="S300" s="276" t="s">
        <v>23</v>
      </c>
      <c r="T300" s="277"/>
    </row>
    <row r="301" spans="1:20" ht="21.6" hidden="1" x14ac:dyDescent="0.3">
      <c r="A301" s="181">
        <v>2070</v>
      </c>
      <c r="B301" s="71" t="s">
        <v>20</v>
      </c>
      <c r="C301" s="72" t="s">
        <v>267</v>
      </c>
      <c r="D301" s="112">
        <v>6424</v>
      </c>
      <c r="E301" s="71" t="s">
        <v>178</v>
      </c>
      <c r="F301" s="74" t="s">
        <v>123</v>
      </c>
      <c r="G301" s="71" t="s">
        <v>28</v>
      </c>
      <c r="H301" s="74" t="s">
        <v>385</v>
      </c>
      <c r="I301" s="75" t="s">
        <v>22</v>
      </c>
      <c r="J301" s="76">
        <v>0.7</v>
      </c>
      <c r="K301" s="75" t="s">
        <v>513</v>
      </c>
      <c r="L301" s="105" t="s">
        <v>511</v>
      </c>
      <c r="M301" s="75" t="s">
        <v>411</v>
      </c>
      <c r="N301" s="76">
        <v>0.95</v>
      </c>
      <c r="O301" s="76">
        <v>0.15</v>
      </c>
      <c r="P301" s="76"/>
      <c r="Q301" s="76">
        <f t="shared" si="8"/>
        <v>0</v>
      </c>
      <c r="R301" s="80">
        <f t="shared" si="9"/>
        <v>0</v>
      </c>
      <c r="S301" s="76" t="s">
        <v>23</v>
      </c>
      <c r="T301" s="189">
        <f>SUM(R301:R308)%</f>
        <v>0</v>
      </c>
    </row>
    <row r="302" spans="1:20" ht="21.6" hidden="1" x14ac:dyDescent="0.3">
      <c r="A302" s="182">
        <v>2072</v>
      </c>
      <c r="B302" s="42" t="s">
        <v>20</v>
      </c>
      <c r="C302" s="43" t="s">
        <v>267</v>
      </c>
      <c r="D302" s="50">
        <v>6426</v>
      </c>
      <c r="E302" s="42" t="s">
        <v>178</v>
      </c>
      <c r="F302" s="45" t="s">
        <v>123</v>
      </c>
      <c r="G302" s="42" t="s">
        <v>28</v>
      </c>
      <c r="H302" s="45" t="s">
        <v>385</v>
      </c>
      <c r="I302" s="7" t="s">
        <v>22</v>
      </c>
      <c r="J302" s="3">
        <v>0.7</v>
      </c>
      <c r="K302" s="7" t="s">
        <v>124</v>
      </c>
      <c r="L302" s="8" t="s">
        <v>125</v>
      </c>
      <c r="M302" s="7" t="s">
        <v>126</v>
      </c>
      <c r="N302" s="3">
        <v>0.95</v>
      </c>
      <c r="O302" s="3">
        <v>0.15</v>
      </c>
      <c r="P302" s="6"/>
      <c r="Q302" s="3">
        <f t="shared" si="8"/>
        <v>0</v>
      </c>
      <c r="R302" s="4">
        <f t="shared" si="9"/>
        <v>0</v>
      </c>
      <c r="S302" s="3" t="s">
        <v>23</v>
      </c>
      <c r="T302" s="190"/>
    </row>
    <row r="303" spans="1:20" ht="21.6" hidden="1" x14ac:dyDescent="0.3">
      <c r="A303" s="182">
        <v>2073</v>
      </c>
      <c r="B303" s="42" t="s">
        <v>20</v>
      </c>
      <c r="C303" s="43" t="s">
        <v>267</v>
      </c>
      <c r="D303" s="50">
        <v>6427</v>
      </c>
      <c r="E303" s="42" t="s">
        <v>178</v>
      </c>
      <c r="F303" s="45" t="s">
        <v>123</v>
      </c>
      <c r="G303" s="42" t="s">
        <v>28</v>
      </c>
      <c r="H303" s="45" t="s">
        <v>385</v>
      </c>
      <c r="I303" s="7" t="s">
        <v>22</v>
      </c>
      <c r="J303" s="3">
        <v>0.7</v>
      </c>
      <c r="K303" s="7" t="s">
        <v>51</v>
      </c>
      <c r="L303" s="8" t="s">
        <v>127</v>
      </c>
      <c r="M303" s="7" t="s">
        <v>128</v>
      </c>
      <c r="N303" s="6">
        <v>0.05</v>
      </c>
      <c r="O303" s="3">
        <v>0.1</v>
      </c>
      <c r="P303" s="11"/>
      <c r="Q303" s="3">
        <f t="shared" si="8"/>
        <v>0</v>
      </c>
      <c r="R303" s="4">
        <f t="shared" si="9"/>
        <v>0</v>
      </c>
      <c r="S303" s="3" t="s">
        <v>24</v>
      </c>
      <c r="T303" s="190"/>
    </row>
    <row r="304" spans="1:20" ht="21.6" hidden="1" x14ac:dyDescent="0.3">
      <c r="A304" s="182">
        <v>2074</v>
      </c>
      <c r="B304" s="42" t="s">
        <v>20</v>
      </c>
      <c r="C304" s="43" t="s">
        <v>267</v>
      </c>
      <c r="D304" s="50">
        <v>6428</v>
      </c>
      <c r="E304" s="42" t="s">
        <v>178</v>
      </c>
      <c r="F304" s="45" t="s">
        <v>123</v>
      </c>
      <c r="G304" s="42" t="s">
        <v>28</v>
      </c>
      <c r="H304" s="45" t="s">
        <v>385</v>
      </c>
      <c r="I304" s="7" t="s">
        <v>22</v>
      </c>
      <c r="J304" s="3">
        <v>0.7</v>
      </c>
      <c r="K304" s="7" t="s">
        <v>305</v>
      </c>
      <c r="L304" s="8" t="s">
        <v>257</v>
      </c>
      <c r="M304" s="339" t="s">
        <v>306</v>
      </c>
      <c r="N304" s="3">
        <v>0.95</v>
      </c>
      <c r="O304" s="3">
        <v>0.1</v>
      </c>
      <c r="P304" s="3"/>
      <c r="Q304" s="3">
        <f t="shared" si="8"/>
        <v>0</v>
      </c>
      <c r="R304" s="4">
        <f t="shared" si="9"/>
        <v>0</v>
      </c>
      <c r="S304" s="3" t="s">
        <v>23</v>
      </c>
      <c r="T304" s="190"/>
    </row>
    <row r="305" spans="1:20" ht="21.6" hidden="1" x14ac:dyDescent="0.3">
      <c r="A305" s="182">
        <v>2075</v>
      </c>
      <c r="B305" s="42" t="s">
        <v>20</v>
      </c>
      <c r="C305" s="43" t="s">
        <v>267</v>
      </c>
      <c r="D305" s="50">
        <v>6429</v>
      </c>
      <c r="E305" s="42" t="s">
        <v>178</v>
      </c>
      <c r="F305" s="45" t="s">
        <v>123</v>
      </c>
      <c r="G305" s="42" t="s">
        <v>28</v>
      </c>
      <c r="H305" s="45" t="s">
        <v>385</v>
      </c>
      <c r="I305" s="47" t="s">
        <v>22</v>
      </c>
      <c r="J305" s="3">
        <v>0.7</v>
      </c>
      <c r="K305" s="47" t="s">
        <v>129</v>
      </c>
      <c r="L305" s="30" t="s">
        <v>130</v>
      </c>
      <c r="M305" s="47" t="s">
        <v>131</v>
      </c>
      <c r="N305" s="3">
        <v>0.9</v>
      </c>
      <c r="O305" s="10">
        <v>0.2</v>
      </c>
      <c r="P305" s="3"/>
      <c r="Q305" s="3">
        <f t="shared" ref="Q305:Q368" si="10">ROUND(IF(OR(N305="",P305=""),0,IF(AND(N305=0,P305=0),1,IF(S305="+",P305/N305,N305/P305))),2)</f>
        <v>0</v>
      </c>
      <c r="R305" s="48">
        <f t="shared" si="9"/>
        <v>0</v>
      </c>
      <c r="S305" s="10" t="s">
        <v>23</v>
      </c>
      <c r="T305" s="191"/>
    </row>
    <row r="306" spans="1:20" ht="21.6" hidden="1" x14ac:dyDescent="0.3">
      <c r="A306" s="182">
        <v>2076</v>
      </c>
      <c r="B306" s="42" t="s">
        <v>20</v>
      </c>
      <c r="C306" s="43" t="s">
        <v>267</v>
      </c>
      <c r="D306" s="50">
        <v>6430</v>
      </c>
      <c r="E306" s="42" t="s">
        <v>178</v>
      </c>
      <c r="F306" s="45" t="s">
        <v>123</v>
      </c>
      <c r="G306" s="42" t="s">
        <v>28</v>
      </c>
      <c r="H306" s="45" t="s">
        <v>385</v>
      </c>
      <c r="I306" s="47" t="s">
        <v>22</v>
      </c>
      <c r="J306" s="3">
        <v>0.7</v>
      </c>
      <c r="K306" s="47" t="s">
        <v>132</v>
      </c>
      <c r="L306" s="30" t="s">
        <v>133</v>
      </c>
      <c r="M306" s="47" t="s">
        <v>134</v>
      </c>
      <c r="N306" s="4">
        <v>0</v>
      </c>
      <c r="O306" s="10">
        <v>0.1</v>
      </c>
      <c r="P306" s="3"/>
      <c r="Q306" s="3">
        <f t="shared" si="10"/>
        <v>0</v>
      </c>
      <c r="R306" s="48">
        <f t="shared" si="9"/>
        <v>0</v>
      </c>
      <c r="S306" s="10" t="s">
        <v>24</v>
      </c>
      <c r="T306" s="191"/>
    </row>
    <row r="307" spans="1:20" ht="21.6" hidden="1" x14ac:dyDescent="0.3">
      <c r="A307" s="182">
        <v>2077</v>
      </c>
      <c r="B307" s="42" t="s">
        <v>20</v>
      </c>
      <c r="C307" s="43" t="s">
        <v>267</v>
      </c>
      <c r="D307" s="50">
        <v>6431</v>
      </c>
      <c r="E307" s="42" t="s">
        <v>178</v>
      </c>
      <c r="F307" s="45" t="s">
        <v>123</v>
      </c>
      <c r="G307" s="42" t="s">
        <v>28</v>
      </c>
      <c r="H307" s="45" t="s">
        <v>385</v>
      </c>
      <c r="I307" s="47" t="s">
        <v>22</v>
      </c>
      <c r="J307" s="3">
        <v>0.7</v>
      </c>
      <c r="K307" s="47" t="s">
        <v>135</v>
      </c>
      <c r="L307" s="30" t="s">
        <v>136</v>
      </c>
      <c r="M307" s="47" t="s">
        <v>137</v>
      </c>
      <c r="N307" s="3">
        <v>0.9</v>
      </c>
      <c r="O307" s="10">
        <v>0.2</v>
      </c>
      <c r="P307" s="51"/>
      <c r="Q307" s="3">
        <f t="shared" si="10"/>
        <v>0</v>
      </c>
      <c r="R307" s="48">
        <f t="shared" si="9"/>
        <v>0</v>
      </c>
      <c r="S307" s="10" t="s">
        <v>23</v>
      </c>
      <c r="T307" s="191"/>
    </row>
    <row r="308" spans="1:20" ht="22.2" hidden="1" thickBot="1" x14ac:dyDescent="0.35">
      <c r="A308" s="267">
        <v>2078</v>
      </c>
      <c r="B308" s="268" t="s">
        <v>20</v>
      </c>
      <c r="C308" s="269" t="s">
        <v>267</v>
      </c>
      <c r="D308" s="290">
        <v>6432</v>
      </c>
      <c r="E308" s="268" t="s">
        <v>178</v>
      </c>
      <c r="F308" s="271" t="s">
        <v>123</v>
      </c>
      <c r="G308" s="268" t="s">
        <v>28</v>
      </c>
      <c r="H308" s="271" t="s">
        <v>385</v>
      </c>
      <c r="I308" s="272" t="s">
        <v>26</v>
      </c>
      <c r="J308" s="273">
        <v>0.3</v>
      </c>
      <c r="K308" s="272" t="s">
        <v>138</v>
      </c>
      <c r="L308" s="291" t="s">
        <v>139</v>
      </c>
      <c r="M308" s="272" t="s">
        <v>140</v>
      </c>
      <c r="N308" s="273">
        <v>1</v>
      </c>
      <c r="O308" s="276">
        <v>1</v>
      </c>
      <c r="P308" s="273"/>
      <c r="Q308" s="273">
        <f t="shared" si="10"/>
        <v>0</v>
      </c>
      <c r="R308" s="287">
        <f t="shared" si="9"/>
        <v>0</v>
      </c>
      <c r="S308" s="276" t="s">
        <v>23</v>
      </c>
      <c r="T308" s="277"/>
    </row>
    <row r="309" spans="1:20" ht="21.6" hidden="1" x14ac:dyDescent="0.3">
      <c r="A309" s="181">
        <v>2070</v>
      </c>
      <c r="B309" s="71" t="s">
        <v>20</v>
      </c>
      <c r="C309" s="72" t="s">
        <v>267</v>
      </c>
      <c r="D309" s="112">
        <v>6523</v>
      </c>
      <c r="E309" s="71" t="s">
        <v>183</v>
      </c>
      <c r="F309" s="74" t="s">
        <v>145</v>
      </c>
      <c r="G309" s="71" t="s">
        <v>28</v>
      </c>
      <c r="H309" s="74" t="s">
        <v>385</v>
      </c>
      <c r="I309" s="75" t="s">
        <v>22</v>
      </c>
      <c r="J309" s="76">
        <v>0.7</v>
      </c>
      <c r="K309" s="75" t="s">
        <v>513</v>
      </c>
      <c r="L309" s="105" t="s">
        <v>511</v>
      </c>
      <c r="M309" s="75" t="s">
        <v>411</v>
      </c>
      <c r="N309" s="76">
        <v>0.95</v>
      </c>
      <c r="O309" s="76">
        <v>0.15</v>
      </c>
      <c r="P309" s="76"/>
      <c r="Q309" s="76">
        <f t="shared" si="10"/>
        <v>0</v>
      </c>
      <c r="R309" s="80">
        <f t="shared" si="9"/>
        <v>0</v>
      </c>
      <c r="S309" s="76" t="s">
        <v>23</v>
      </c>
      <c r="T309" s="189">
        <f>SUM(R309:R316)%</f>
        <v>0</v>
      </c>
    </row>
    <row r="310" spans="1:20" ht="21.6" hidden="1" x14ac:dyDescent="0.3">
      <c r="A310" s="182">
        <v>2072</v>
      </c>
      <c r="B310" s="42" t="s">
        <v>20</v>
      </c>
      <c r="C310" s="43" t="s">
        <v>267</v>
      </c>
      <c r="D310" s="50">
        <v>6523</v>
      </c>
      <c r="E310" s="42" t="s">
        <v>183</v>
      </c>
      <c r="F310" s="45" t="s">
        <v>145</v>
      </c>
      <c r="G310" s="42" t="s">
        <v>28</v>
      </c>
      <c r="H310" s="45" t="s">
        <v>385</v>
      </c>
      <c r="I310" s="7" t="s">
        <v>22</v>
      </c>
      <c r="J310" s="3">
        <v>0.7</v>
      </c>
      <c r="K310" s="7" t="s">
        <v>124</v>
      </c>
      <c r="L310" s="8" t="s">
        <v>125</v>
      </c>
      <c r="M310" s="7" t="s">
        <v>126</v>
      </c>
      <c r="N310" s="3">
        <v>0.95</v>
      </c>
      <c r="O310" s="3">
        <v>0.15</v>
      </c>
      <c r="P310" s="6"/>
      <c r="Q310" s="3">
        <f t="shared" si="10"/>
        <v>0</v>
      </c>
      <c r="R310" s="4">
        <f t="shared" si="9"/>
        <v>0</v>
      </c>
      <c r="S310" s="3" t="s">
        <v>23</v>
      </c>
      <c r="T310" s="190"/>
    </row>
    <row r="311" spans="1:20" ht="21.6" hidden="1" x14ac:dyDescent="0.3">
      <c r="A311" s="182">
        <v>2073</v>
      </c>
      <c r="B311" s="42" t="s">
        <v>20</v>
      </c>
      <c r="C311" s="43" t="s">
        <v>267</v>
      </c>
      <c r="D311" s="50">
        <v>6523</v>
      </c>
      <c r="E311" s="42" t="s">
        <v>183</v>
      </c>
      <c r="F311" s="45" t="s">
        <v>145</v>
      </c>
      <c r="G311" s="42" t="s">
        <v>28</v>
      </c>
      <c r="H311" s="45" t="s">
        <v>385</v>
      </c>
      <c r="I311" s="7" t="s">
        <v>22</v>
      </c>
      <c r="J311" s="3">
        <v>0.7</v>
      </c>
      <c r="K311" s="7" t="s">
        <v>51</v>
      </c>
      <c r="L311" s="8" t="s">
        <v>127</v>
      </c>
      <c r="M311" s="7" t="s">
        <v>128</v>
      </c>
      <c r="N311" s="6">
        <v>0.05</v>
      </c>
      <c r="O311" s="3">
        <v>0.1</v>
      </c>
      <c r="P311" s="11"/>
      <c r="Q311" s="3">
        <f t="shared" si="10"/>
        <v>0</v>
      </c>
      <c r="R311" s="4">
        <f t="shared" si="9"/>
        <v>0</v>
      </c>
      <c r="S311" s="3" t="s">
        <v>24</v>
      </c>
      <c r="T311" s="190"/>
    </row>
    <row r="312" spans="1:20" ht="21.6" hidden="1" x14ac:dyDescent="0.3">
      <c r="A312" s="182">
        <v>2074</v>
      </c>
      <c r="B312" s="42" t="s">
        <v>20</v>
      </c>
      <c r="C312" s="43" t="s">
        <v>267</v>
      </c>
      <c r="D312" s="50">
        <v>6523</v>
      </c>
      <c r="E312" s="42" t="s">
        <v>183</v>
      </c>
      <c r="F312" s="45" t="s">
        <v>145</v>
      </c>
      <c r="G312" s="42" t="s">
        <v>28</v>
      </c>
      <c r="H312" s="45" t="s">
        <v>385</v>
      </c>
      <c r="I312" s="7" t="s">
        <v>22</v>
      </c>
      <c r="J312" s="3">
        <v>0.7</v>
      </c>
      <c r="K312" s="7" t="s">
        <v>305</v>
      </c>
      <c r="L312" s="8" t="s">
        <v>257</v>
      </c>
      <c r="M312" s="339" t="s">
        <v>306</v>
      </c>
      <c r="N312" s="3">
        <v>0.95</v>
      </c>
      <c r="O312" s="3">
        <v>0.1</v>
      </c>
      <c r="P312" s="3"/>
      <c r="Q312" s="3">
        <f t="shared" si="10"/>
        <v>0</v>
      </c>
      <c r="R312" s="4">
        <f t="shared" si="9"/>
        <v>0</v>
      </c>
      <c r="S312" s="3" t="s">
        <v>23</v>
      </c>
      <c r="T312" s="190"/>
    </row>
    <row r="313" spans="1:20" ht="21.6" hidden="1" x14ac:dyDescent="0.3">
      <c r="A313" s="182">
        <v>2075</v>
      </c>
      <c r="B313" s="42" t="s">
        <v>20</v>
      </c>
      <c r="C313" s="43" t="s">
        <v>267</v>
      </c>
      <c r="D313" s="50">
        <v>6523</v>
      </c>
      <c r="E313" s="42" t="s">
        <v>183</v>
      </c>
      <c r="F313" s="45" t="s">
        <v>145</v>
      </c>
      <c r="G313" s="42" t="s">
        <v>28</v>
      </c>
      <c r="H313" s="45" t="s">
        <v>385</v>
      </c>
      <c r="I313" s="47" t="s">
        <v>22</v>
      </c>
      <c r="J313" s="3">
        <v>0.7</v>
      </c>
      <c r="K313" s="47" t="s">
        <v>129</v>
      </c>
      <c r="L313" s="30" t="s">
        <v>130</v>
      </c>
      <c r="M313" s="47" t="s">
        <v>131</v>
      </c>
      <c r="N313" s="3">
        <v>0.9</v>
      </c>
      <c r="O313" s="10">
        <v>0.2</v>
      </c>
      <c r="P313" s="3"/>
      <c r="Q313" s="3">
        <f t="shared" si="10"/>
        <v>0</v>
      </c>
      <c r="R313" s="48">
        <f t="shared" si="9"/>
        <v>0</v>
      </c>
      <c r="S313" s="10" t="s">
        <v>23</v>
      </c>
      <c r="T313" s="191"/>
    </row>
    <row r="314" spans="1:20" ht="21.6" hidden="1" x14ac:dyDescent="0.3">
      <c r="A314" s="182">
        <v>2076</v>
      </c>
      <c r="B314" s="42" t="s">
        <v>20</v>
      </c>
      <c r="C314" s="43" t="s">
        <v>267</v>
      </c>
      <c r="D314" s="50">
        <v>6523</v>
      </c>
      <c r="E314" s="42" t="s">
        <v>183</v>
      </c>
      <c r="F314" s="45" t="s">
        <v>145</v>
      </c>
      <c r="G314" s="42" t="s">
        <v>28</v>
      </c>
      <c r="H314" s="45" t="s">
        <v>385</v>
      </c>
      <c r="I314" s="47" t="s">
        <v>22</v>
      </c>
      <c r="J314" s="3">
        <v>0.7</v>
      </c>
      <c r="K314" s="47" t="s">
        <v>132</v>
      </c>
      <c r="L314" s="30" t="s">
        <v>133</v>
      </c>
      <c r="M314" s="47" t="s">
        <v>134</v>
      </c>
      <c r="N314" s="4">
        <v>0</v>
      </c>
      <c r="O314" s="10">
        <v>0.1</v>
      </c>
      <c r="P314" s="3"/>
      <c r="Q314" s="3">
        <f t="shared" si="10"/>
        <v>0</v>
      </c>
      <c r="R314" s="48">
        <f t="shared" si="9"/>
        <v>0</v>
      </c>
      <c r="S314" s="10" t="s">
        <v>24</v>
      </c>
      <c r="T314" s="191"/>
    </row>
    <row r="315" spans="1:20" ht="21.6" hidden="1" x14ac:dyDescent="0.3">
      <c r="A315" s="182">
        <v>2077</v>
      </c>
      <c r="B315" s="42" t="s">
        <v>20</v>
      </c>
      <c r="C315" s="43" t="s">
        <v>267</v>
      </c>
      <c r="D315" s="50">
        <v>6523</v>
      </c>
      <c r="E315" s="42" t="s">
        <v>183</v>
      </c>
      <c r="F315" s="45" t="s">
        <v>145</v>
      </c>
      <c r="G315" s="42" t="s">
        <v>28</v>
      </c>
      <c r="H315" s="45" t="s">
        <v>385</v>
      </c>
      <c r="I315" s="47" t="s">
        <v>22</v>
      </c>
      <c r="J315" s="3">
        <v>0.7</v>
      </c>
      <c r="K315" s="47" t="s">
        <v>135</v>
      </c>
      <c r="L315" s="30" t="s">
        <v>136</v>
      </c>
      <c r="M315" s="47" t="s">
        <v>137</v>
      </c>
      <c r="N315" s="3">
        <v>0.9</v>
      </c>
      <c r="O315" s="10">
        <v>0.2</v>
      </c>
      <c r="P315" s="51"/>
      <c r="Q315" s="3">
        <f t="shared" si="10"/>
        <v>0</v>
      </c>
      <c r="R315" s="48">
        <f t="shared" si="9"/>
        <v>0</v>
      </c>
      <c r="S315" s="10" t="s">
        <v>23</v>
      </c>
      <c r="T315" s="191"/>
    </row>
    <row r="316" spans="1:20" ht="22.2" hidden="1" thickBot="1" x14ac:dyDescent="0.35">
      <c r="A316" s="267">
        <v>2078</v>
      </c>
      <c r="B316" s="268" t="s">
        <v>20</v>
      </c>
      <c r="C316" s="269" t="s">
        <v>267</v>
      </c>
      <c r="D316" s="290">
        <v>6523</v>
      </c>
      <c r="E316" s="268" t="s">
        <v>183</v>
      </c>
      <c r="F316" s="271" t="s">
        <v>145</v>
      </c>
      <c r="G316" s="268" t="s">
        <v>28</v>
      </c>
      <c r="H316" s="271" t="s">
        <v>385</v>
      </c>
      <c r="I316" s="272" t="s">
        <v>26</v>
      </c>
      <c r="J316" s="273">
        <v>0.3</v>
      </c>
      <c r="K316" s="272" t="s">
        <v>138</v>
      </c>
      <c r="L316" s="291" t="s">
        <v>139</v>
      </c>
      <c r="M316" s="272" t="s">
        <v>140</v>
      </c>
      <c r="N316" s="273">
        <v>1</v>
      </c>
      <c r="O316" s="276">
        <v>1</v>
      </c>
      <c r="P316" s="273"/>
      <c r="Q316" s="273">
        <f t="shared" si="10"/>
        <v>0</v>
      </c>
      <c r="R316" s="287">
        <f t="shared" si="9"/>
        <v>0</v>
      </c>
      <c r="S316" s="276" t="s">
        <v>23</v>
      </c>
      <c r="T316" s="277"/>
    </row>
    <row r="317" spans="1:20" ht="21.6" hidden="1" x14ac:dyDescent="0.3">
      <c r="A317" s="181">
        <v>2070</v>
      </c>
      <c r="B317" s="71" t="s">
        <v>20</v>
      </c>
      <c r="C317" s="72" t="s">
        <v>267</v>
      </c>
      <c r="D317" s="112">
        <v>6544</v>
      </c>
      <c r="E317" s="71" t="s">
        <v>258</v>
      </c>
      <c r="F317" s="74" t="s">
        <v>123</v>
      </c>
      <c r="G317" s="71" t="s">
        <v>28</v>
      </c>
      <c r="H317" s="74" t="s">
        <v>385</v>
      </c>
      <c r="I317" s="75" t="s">
        <v>22</v>
      </c>
      <c r="J317" s="76">
        <v>0.7</v>
      </c>
      <c r="K317" s="75" t="s">
        <v>513</v>
      </c>
      <c r="L317" s="105" t="s">
        <v>511</v>
      </c>
      <c r="M317" s="75" t="s">
        <v>411</v>
      </c>
      <c r="N317" s="76">
        <v>0.95</v>
      </c>
      <c r="O317" s="76">
        <v>0.15</v>
      </c>
      <c r="P317" s="76"/>
      <c r="Q317" s="76">
        <f t="shared" si="10"/>
        <v>0</v>
      </c>
      <c r="R317" s="80">
        <f t="shared" si="9"/>
        <v>0</v>
      </c>
      <c r="S317" s="76" t="s">
        <v>23</v>
      </c>
      <c r="T317" s="189">
        <f>SUM(R317:R324)%</f>
        <v>0</v>
      </c>
    </row>
    <row r="318" spans="1:20" ht="21.6" hidden="1" x14ac:dyDescent="0.3">
      <c r="A318" s="182">
        <v>2072</v>
      </c>
      <c r="B318" s="42" t="s">
        <v>20</v>
      </c>
      <c r="C318" s="43" t="s">
        <v>267</v>
      </c>
      <c r="D318" s="50">
        <v>6544</v>
      </c>
      <c r="E318" s="42" t="s">
        <v>258</v>
      </c>
      <c r="F318" s="45" t="s">
        <v>123</v>
      </c>
      <c r="G318" s="42" t="s">
        <v>28</v>
      </c>
      <c r="H318" s="45" t="s">
        <v>385</v>
      </c>
      <c r="I318" s="7" t="s">
        <v>22</v>
      </c>
      <c r="J318" s="3">
        <v>0.7</v>
      </c>
      <c r="K318" s="7" t="s">
        <v>124</v>
      </c>
      <c r="L318" s="8" t="s">
        <v>125</v>
      </c>
      <c r="M318" s="7" t="s">
        <v>126</v>
      </c>
      <c r="N318" s="3">
        <v>0.95</v>
      </c>
      <c r="O318" s="3">
        <v>0.15</v>
      </c>
      <c r="P318" s="6"/>
      <c r="Q318" s="3">
        <f t="shared" si="10"/>
        <v>0</v>
      </c>
      <c r="R318" s="4">
        <f t="shared" si="9"/>
        <v>0</v>
      </c>
      <c r="S318" s="3" t="s">
        <v>23</v>
      </c>
      <c r="T318" s="190"/>
    </row>
    <row r="319" spans="1:20" ht="21.6" hidden="1" x14ac:dyDescent="0.3">
      <c r="A319" s="182">
        <v>2073</v>
      </c>
      <c r="B319" s="42" t="s">
        <v>20</v>
      </c>
      <c r="C319" s="43" t="s">
        <v>267</v>
      </c>
      <c r="D319" s="50">
        <v>6544</v>
      </c>
      <c r="E319" s="42" t="s">
        <v>258</v>
      </c>
      <c r="F319" s="45" t="s">
        <v>123</v>
      </c>
      <c r="G319" s="42" t="s">
        <v>28</v>
      </c>
      <c r="H319" s="45" t="s">
        <v>385</v>
      </c>
      <c r="I319" s="7" t="s">
        <v>22</v>
      </c>
      <c r="J319" s="3">
        <v>0.7</v>
      </c>
      <c r="K319" s="7" t="s">
        <v>51</v>
      </c>
      <c r="L319" s="8" t="s">
        <v>127</v>
      </c>
      <c r="M319" s="7" t="s">
        <v>128</v>
      </c>
      <c r="N319" s="6">
        <v>0.05</v>
      </c>
      <c r="O319" s="3">
        <v>0.1</v>
      </c>
      <c r="P319" s="11"/>
      <c r="Q319" s="3">
        <f t="shared" si="10"/>
        <v>0</v>
      </c>
      <c r="R319" s="4">
        <f t="shared" si="9"/>
        <v>0</v>
      </c>
      <c r="S319" s="3" t="s">
        <v>24</v>
      </c>
      <c r="T319" s="190"/>
    </row>
    <row r="320" spans="1:20" ht="21.6" hidden="1" x14ac:dyDescent="0.3">
      <c r="A320" s="182">
        <v>2074</v>
      </c>
      <c r="B320" s="42" t="s">
        <v>20</v>
      </c>
      <c r="C320" s="43" t="s">
        <v>267</v>
      </c>
      <c r="D320" s="50">
        <v>6544</v>
      </c>
      <c r="E320" s="42" t="s">
        <v>258</v>
      </c>
      <c r="F320" s="45" t="s">
        <v>123</v>
      </c>
      <c r="G320" s="42" t="s">
        <v>28</v>
      </c>
      <c r="H320" s="45" t="s">
        <v>385</v>
      </c>
      <c r="I320" s="7" t="s">
        <v>22</v>
      </c>
      <c r="J320" s="3">
        <v>0.7</v>
      </c>
      <c r="K320" s="7" t="s">
        <v>305</v>
      </c>
      <c r="L320" s="8" t="s">
        <v>257</v>
      </c>
      <c r="M320" s="339" t="s">
        <v>306</v>
      </c>
      <c r="N320" s="3">
        <v>0.95</v>
      </c>
      <c r="O320" s="3">
        <v>0.1</v>
      </c>
      <c r="P320" s="3"/>
      <c r="Q320" s="3">
        <f t="shared" si="10"/>
        <v>0</v>
      </c>
      <c r="R320" s="4">
        <f t="shared" si="9"/>
        <v>0</v>
      </c>
      <c r="S320" s="3" t="s">
        <v>23</v>
      </c>
      <c r="T320" s="190"/>
    </row>
    <row r="321" spans="1:20" ht="21.6" hidden="1" x14ac:dyDescent="0.3">
      <c r="A321" s="182">
        <v>2075</v>
      </c>
      <c r="B321" s="42" t="s">
        <v>20</v>
      </c>
      <c r="C321" s="43" t="s">
        <v>267</v>
      </c>
      <c r="D321" s="50">
        <v>6544</v>
      </c>
      <c r="E321" s="42" t="s">
        <v>258</v>
      </c>
      <c r="F321" s="45" t="s">
        <v>123</v>
      </c>
      <c r="G321" s="42" t="s">
        <v>28</v>
      </c>
      <c r="H321" s="45" t="s">
        <v>385</v>
      </c>
      <c r="I321" s="47" t="s">
        <v>22</v>
      </c>
      <c r="J321" s="3">
        <v>0.7</v>
      </c>
      <c r="K321" s="47" t="s">
        <v>129</v>
      </c>
      <c r="L321" s="30" t="s">
        <v>130</v>
      </c>
      <c r="M321" s="47" t="s">
        <v>131</v>
      </c>
      <c r="N321" s="3">
        <v>0.9</v>
      </c>
      <c r="O321" s="10">
        <v>0.2</v>
      </c>
      <c r="P321" s="3"/>
      <c r="Q321" s="3">
        <f t="shared" si="10"/>
        <v>0</v>
      </c>
      <c r="R321" s="48">
        <f t="shared" si="9"/>
        <v>0</v>
      </c>
      <c r="S321" s="10" t="s">
        <v>23</v>
      </c>
      <c r="T321" s="191"/>
    </row>
    <row r="322" spans="1:20" ht="21.6" hidden="1" x14ac:dyDescent="0.3">
      <c r="A322" s="182">
        <v>2076</v>
      </c>
      <c r="B322" s="42" t="s">
        <v>20</v>
      </c>
      <c r="C322" s="43" t="s">
        <v>267</v>
      </c>
      <c r="D322" s="50">
        <v>6544</v>
      </c>
      <c r="E322" s="42" t="s">
        <v>258</v>
      </c>
      <c r="F322" s="45" t="s">
        <v>123</v>
      </c>
      <c r="G322" s="42" t="s">
        <v>28</v>
      </c>
      <c r="H322" s="45" t="s">
        <v>385</v>
      </c>
      <c r="I322" s="47" t="s">
        <v>22</v>
      </c>
      <c r="J322" s="3">
        <v>0.7</v>
      </c>
      <c r="K322" s="47" t="s">
        <v>132</v>
      </c>
      <c r="L322" s="30" t="s">
        <v>133</v>
      </c>
      <c r="M322" s="47" t="s">
        <v>134</v>
      </c>
      <c r="N322" s="4">
        <v>0</v>
      </c>
      <c r="O322" s="10">
        <v>0.1</v>
      </c>
      <c r="P322" s="3"/>
      <c r="Q322" s="3">
        <f t="shared" si="10"/>
        <v>0</v>
      </c>
      <c r="R322" s="48">
        <f t="shared" si="9"/>
        <v>0</v>
      </c>
      <c r="S322" s="10" t="s">
        <v>24</v>
      </c>
      <c r="T322" s="191"/>
    </row>
    <row r="323" spans="1:20" ht="21.6" hidden="1" x14ac:dyDescent="0.3">
      <c r="A323" s="182">
        <v>2077</v>
      </c>
      <c r="B323" s="42" t="s">
        <v>20</v>
      </c>
      <c r="C323" s="43" t="s">
        <v>267</v>
      </c>
      <c r="D323" s="50">
        <v>6544</v>
      </c>
      <c r="E323" s="42" t="s">
        <v>258</v>
      </c>
      <c r="F323" s="45" t="s">
        <v>123</v>
      </c>
      <c r="G323" s="42" t="s">
        <v>28</v>
      </c>
      <c r="H323" s="45" t="s">
        <v>385</v>
      </c>
      <c r="I323" s="47" t="s">
        <v>22</v>
      </c>
      <c r="J323" s="3">
        <v>0.7</v>
      </c>
      <c r="K323" s="47" t="s">
        <v>135</v>
      </c>
      <c r="L323" s="30" t="s">
        <v>136</v>
      </c>
      <c r="M323" s="47" t="s">
        <v>137</v>
      </c>
      <c r="N323" s="3">
        <v>0.9</v>
      </c>
      <c r="O323" s="10">
        <v>0.2</v>
      </c>
      <c r="P323" s="51"/>
      <c r="Q323" s="3">
        <f t="shared" si="10"/>
        <v>0</v>
      </c>
      <c r="R323" s="48">
        <f t="shared" ref="R323:R386" si="11">IF(AND(Q323&gt;=60%,Q323&lt;100%),Q323*((O323*J323)),IF(Q323=100%,((O323*J323)*Q323)*100%,IF(Q323&gt;100%,((J323*O323)*100%)*100%,0)))*100</f>
        <v>0</v>
      </c>
      <c r="S323" s="10" t="s">
        <v>23</v>
      </c>
      <c r="T323" s="191"/>
    </row>
    <row r="324" spans="1:20" ht="22.2" hidden="1" thickBot="1" x14ac:dyDescent="0.35">
      <c r="A324" s="267">
        <v>2078</v>
      </c>
      <c r="B324" s="268" t="s">
        <v>20</v>
      </c>
      <c r="C324" s="269" t="s">
        <v>267</v>
      </c>
      <c r="D324" s="290">
        <v>6544</v>
      </c>
      <c r="E324" s="268" t="s">
        <v>258</v>
      </c>
      <c r="F324" s="271" t="s">
        <v>123</v>
      </c>
      <c r="G324" s="268" t="s">
        <v>28</v>
      </c>
      <c r="H324" s="271" t="s">
        <v>385</v>
      </c>
      <c r="I324" s="272" t="s">
        <v>26</v>
      </c>
      <c r="J324" s="273">
        <v>0.3</v>
      </c>
      <c r="K324" s="272" t="s">
        <v>138</v>
      </c>
      <c r="L324" s="291" t="s">
        <v>139</v>
      </c>
      <c r="M324" s="272" t="s">
        <v>140</v>
      </c>
      <c r="N324" s="273">
        <v>1</v>
      </c>
      <c r="O324" s="276">
        <v>1</v>
      </c>
      <c r="P324" s="273"/>
      <c r="Q324" s="273">
        <f t="shared" si="10"/>
        <v>0</v>
      </c>
      <c r="R324" s="287">
        <f t="shared" si="11"/>
        <v>0</v>
      </c>
      <c r="S324" s="276" t="s">
        <v>23</v>
      </c>
      <c r="T324" s="277"/>
    </row>
    <row r="325" spans="1:20" ht="21.6" hidden="1" x14ac:dyDescent="0.3">
      <c r="A325" s="181">
        <v>2070</v>
      </c>
      <c r="B325" s="71" t="s">
        <v>20</v>
      </c>
      <c r="C325" s="72" t="s">
        <v>267</v>
      </c>
      <c r="D325" s="112">
        <v>6546</v>
      </c>
      <c r="E325" s="71" t="s">
        <v>259</v>
      </c>
      <c r="F325" s="74" t="s">
        <v>123</v>
      </c>
      <c r="G325" s="71" t="s">
        <v>28</v>
      </c>
      <c r="H325" s="74" t="s">
        <v>385</v>
      </c>
      <c r="I325" s="75" t="s">
        <v>22</v>
      </c>
      <c r="J325" s="76">
        <v>0.7</v>
      </c>
      <c r="K325" s="75" t="s">
        <v>513</v>
      </c>
      <c r="L325" s="105" t="s">
        <v>511</v>
      </c>
      <c r="M325" s="75" t="s">
        <v>411</v>
      </c>
      <c r="N325" s="76">
        <v>0.95</v>
      </c>
      <c r="O325" s="76">
        <v>0.15</v>
      </c>
      <c r="P325" s="76"/>
      <c r="Q325" s="76">
        <f t="shared" si="10"/>
        <v>0</v>
      </c>
      <c r="R325" s="80">
        <f t="shared" si="11"/>
        <v>0</v>
      </c>
      <c r="S325" s="76" t="s">
        <v>23</v>
      </c>
      <c r="T325" s="189">
        <f>SUM(R325:R332)%</f>
        <v>0</v>
      </c>
    </row>
    <row r="326" spans="1:20" ht="21.6" hidden="1" x14ac:dyDescent="0.3">
      <c r="A326" s="182">
        <v>2072</v>
      </c>
      <c r="B326" s="42" t="s">
        <v>20</v>
      </c>
      <c r="C326" s="43" t="s">
        <v>267</v>
      </c>
      <c r="D326" s="50">
        <v>6546</v>
      </c>
      <c r="E326" s="42" t="s">
        <v>259</v>
      </c>
      <c r="F326" s="45" t="s">
        <v>123</v>
      </c>
      <c r="G326" s="42" t="s">
        <v>28</v>
      </c>
      <c r="H326" s="45" t="s">
        <v>385</v>
      </c>
      <c r="I326" s="7" t="s">
        <v>22</v>
      </c>
      <c r="J326" s="3">
        <v>0.7</v>
      </c>
      <c r="K326" s="7" t="s">
        <v>124</v>
      </c>
      <c r="L326" s="8" t="s">
        <v>125</v>
      </c>
      <c r="M326" s="7" t="s">
        <v>126</v>
      </c>
      <c r="N326" s="3">
        <v>0.95</v>
      </c>
      <c r="O326" s="3">
        <v>0.15</v>
      </c>
      <c r="P326" s="6"/>
      <c r="Q326" s="3">
        <f t="shared" si="10"/>
        <v>0</v>
      </c>
      <c r="R326" s="4">
        <f t="shared" si="11"/>
        <v>0</v>
      </c>
      <c r="S326" s="3" t="s">
        <v>23</v>
      </c>
      <c r="T326" s="190"/>
    </row>
    <row r="327" spans="1:20" ht="21.6" hidden="1" x14ac:dyDescent="0.3">
      <c r="A327" s="182">
        <v>2073</v>
      </c>
      <c r="B327" s="42" t="s">
        <v>20</v>
      </c>
      <c r="C327" s="43" t="s">
        <v>267</v>
      </c>
      <c r="D327" s="50">
        <v>6546</v>
      </c>
      <c r="E327" s="42" t="s">
        <v>259</v>
      </c>
      <c r="F327" s="45" t="s">
        <v>123</v>
      </c>
      <c r="G327" s="42" t="s">
        <v>28</v>
      </c>
      <c r="H327" s="45" t="s">
        <v>385</v>
      </c>
      <c r="I327" s="7" t="s">
        <v>22</v>
      </c>
      <c r="J327" s="3">
        <v>0.7</v>
      </c>
      <c r="K327" s="7" t="s">
        <v>51</v>
      </c>
      <c r="L327" s="8" t="s">
        <v>127</v>
      </c>
      <c r="M327" s="7" t="s">
        <v>128</v>
      </c>
      <c r="N327" s="6">
        <v>0.05</v>
      </c>
      <c r="O327" s="3">
        <v>0.1</v>
      </c>
      <c r="P327" s="11"/>
      <c r="Q327" s="3">
        <f t="shared" si="10"/>
        <v>0</v>
      </c>
      <c r="R327" s="4">
        <f t="shared" si="11"/>
        <v>0</v>
      </c>
      <c r="S327" s="3" t="s">
        <v>24</v>
      </c>
      <c r="T327" s="190"/>
    </row>
    <row r="328" spans="1:20" ht="21.6" hidden="1" x14ac:dyDescent="0.3">
      <c r="A328" s="182">
        <v>2074</v>
      </c>
      <c r="B328" s="42" t="s">
        <v>20</v>
      </c>
      <c r="C328" s="43" t="s">
        <v>267</v>
      </c>
      <c r="D328" s="50">
        <v>6546</v>
      </c>
      <c r="E328" s="42" t="s">
        <v>259</v>
      </c>
      <c r="F328" s="45" t="s">
        <v>123</v>
      </c>
      <c r="G328" s="42" t="s">
        <v>28</v>
      </c>
      <c r="H328" s="45" t="s">
        <v>385</v>
      </c>
      <c r="I328" s="7" t="s">
        <v>22</v>
      </c>
      <c r="J328" s="3">
        <v>0.7</v>
      </c>
      <c r="K328" s="7" t="s">
        <v>305</v>
      </c>
      <c r="L328" s="8" t="s">
        <v>257</v>
      </c>
      <c r="M328" s="339" t="s">
        <v>306</v>
      </c>
      <c r="N328" s="3">
        <v>0.95</v>
      </c>
      <c r="O328" s="3">
        <v>0.1</v>
      </c>
      <c r="P328" s="3"/>
      <c r="Q328" s="3">
        <f t="shared" si="10"/>
        <v>0</v>
      </c>
      <c r="R328" s="4">
        <f t="shared" si="11"/>
        <v>0</v>
      </c>
      <c r="S328" s="3" t="s">
        <v>23</v>
      </c>
      <c r="T328" s="190"/>
    </row>
    <row r="329" spans="1:20" ht="21.6" hidden="1" x14ac:dyDescent="0.3">
      <c r="A329" s="182">
        <v>2075</v>
      </c>
      <c r="B329" s="42" t="s">
        <v>20</v>
      </c>
      <c r="C329" s="43" t="s">
        <v>267</v>
      </c>
      <c r="D329" s="50">
        <v>6546</v>
      </c>
      <c r="E329" s="42" t="s">
        <v>259</v>
      </c>
      <c r="F329" s="45" t="s">
        <v>123</v>
      </c>
      <c r="G329" s="42" t="s">
        <v>28</v>
      </c>
      <c r="H329" s="45" t="s">
        <v>385</v>
      </c>
      <c r="I329" s="47" t="s">
        <v>22</v>
      </c>
      <c r="J329" s="3">
        <v>0.7</v>
      </c>
      <c r="K329" s="47" t="s">
        <v>129</v>
      </c>
      <c r="L329" s="30" t="s">
        <v>130</v>
      </c>
      <c r="M329" s="47" t="s">
        <v>131</v>
      </c>
      <c r="N329" s="3">
        <v>0.9</v>
      </c>
      <c r="O329" s="10">
        <v>0.2</v>
      </c>
      <c r="P329" s="3"/>
      <c r="Q329" s="3">
        <f t="shared" si="10"/>
        <v>0</v>
      </c>
      <c r="R329" s="48">
        <f t="shared" si="11"/>
        <v>0</v>
      </c>
      <c r="S329" s="10" t="s">
        <v>23</v>
      </c>
      <c r="T329" s="191"/>
    </row>
    <row r="330" spans="1:20" ht="21.6" hidden="1" x14ac:dyDescent="0.3">
      <c r="A330" s="182">
        <v>2076</v>
      </c>
      <c r="B330" s="42" t="s">
        <v>20</v>
      </c>
      <c r="C330" s="43" t="s">
        <v>267</v>
      </c>
      <c r="D330" s="50">
        <v>6546</v>
      </c>
      <c r="E330" s="42" t="s">
        <v>259</v>
      </c>
      <c r="F330" s="45" t="s">
        <v>123</v>
      </c>
      <c r="G330" s="42" t="s">
        <v>28</v>
      </c>
      <c r="H330" s="45" t="s">
        <v>385</v>
      </c>
      <c r="I330" s="47" t="s">
        <v>22</v>
      </c>
      <c r="J330" s="3">
        <v>0.7</v>
      </c>
      <c r="K330" s="47" t="s">
        <v>132</v>
      </c>
      <c r="L330" s="30" t="s">
        <v>133</v>
      </c>
      <c r="M330" s="47" t="s">
        <v>134</v>
      </c>
      <c r="N330" s="4">
        <v>0</v>
      </c>
      <c r="O330" s="10">
        <v>0.1</v>
      </c>
      <c r="P330" s="3"/>
      <c r="Q330" s="3">
        <f t="shared" si="10"/>
        <v>0</v>
      </c>
      <c r="R330" s="48">
        <f t="shared" si="11"/>
        <v>0</v>
      </c>
      <c r="S330" s="10" t="s">
        <v>24</v>
      </c>
      <c r="T330" s="191"/>
    </row>
    <row r="331" spans="1:20" ht="21.6" hidden="1" x14ac:dyDescent="0.3">
      <c r="A331" s="182">
        <v>2077</v>
      </c>
      <c r="B331" s="42" t="s">
        <v>20</v>
      </c>
      <c r="C331" s="43" t="s">
        <v>267</v>
      </c>
      <c r="D331" s="50">
        <v>6546</v>
      </c>
      <c r="E331" s="42" t="s">
        <v>259</v>
      </c>
      <c r="F331" s="45" t="s">
        <v>123</v>
      </c>
      <c r="G331" s="42" t="s">
        <v>28</v>
      </c>
      <c r="H331" s="45" t="s">
        <v>385</v>
      </c>
      <c r="I331" s="47" t="s">
        <v>22</v>
      </c>
      <c r="J331" s="3">
        <v>0.7</v>
      </c>
      <c r="K331" s="47" t="s">
        <v>135</v>
      </c>
      <c r="L331" s="30" t="s">
        <v>136</v>
      </c>
      <c r="M331" s="47" t="s">
        <v>137</v>
      </c>
      <c r="N331" s="3">
        <v>0.9</v>
      </c>
      <c r="O331" s="10">
        <v>0.2</v>
      </c>
      <c r="P331" s="51"/>
      <c r="Q331" s="3">
        <f t="shared" si="10"/>
        <v>0</v>
      </c>
      <c r="R331" s="48">
        <f t="shared" si="11"/>
        <v>0</v>
      </c>
      <c r="S331" s="10" t="s">
        <v>23</v>
      </c>
      <c r="T331" s="191"/>
    </row>
    <row r="332" spans="1:20" ht="22.2" hidden="1" thickBot="1" x14ac:dyDescent="0.35">
      <c r="A332" s="267">
        <v>2078</v>
      </c>
      <c r="B332" s="268" t="s">
        <v>20</v>
      </c>
      <c r="C332" s="269" t="s">
        <v>267</v>
      </c>
      <c r="D332" s="290">
        <v>6546</v>
      </c>
      <c r="E332" s="268" t="s">
        <v>259</v>
      </c>
      <c r="F332" s="271" t="s">
        <v>123</v>
      </c>
      <c r="G332" s="268" t="s">
        <v>28</v>
      </c>
      <c r="H332" s="271" t="s">
        <v>385</v>
      </c>
      <c r="I332" s="272" t="s">
        <v>26</v>
      </c>
      <c r="J332" s="273">
        <v>0.3</v>
      </c>
      <c r="K332" s="272" t="s">
        <v>138</v>
      </c>
      <c r="L332" s="291" t="s">
        <v>139</v>
      </c>
      <c r="M332" s="272" t="s">
        <v>140</v>
      </c>
      <c r="N332" s="273">
        <v>1</v>
      </c>
      <c r="O332" s="276">
        <v>1</v>
      </c>
      <c r="P332" s="273"/>
      <c r="Q332" s="273">
        <f t="shared" si="10"/>
        <v>0</v>
      </c>
      <c r="R332" s="287">
        <f t="shared" si="11"/>
        <v>0</v>
      </c>
      <c r="S332" s="276" t="s">
        <v>23</v>
      </c>
      <c r="T332" s="277"/>
    </row>
    <row r="333" spans="1:20" ht="21.6" hidden="1" x14ac:dyDescent="0.3">
      <c r="A333" s="181">
        <v>2070</v>
      </c>
      <c r="B333" s="71" t="s">
        <v>20</v>
      </c>
      <c r="C333" s="72" t="s">
        <v>267</v>
      </c>
      <c r="D333" s="112">
        <v>6567</v>
      </c>
      <c r="E333" s="71" t="s">
        <v>506</v>
      </c>
      <c r="F333" s="74" t="s">
        <v>123</v>
      </c>
      <c r="G333" s="71" t="s">
        <v>28</v>
      </c>
      <c r="H333" s="74" t="s">
        <v>385</v>
      </c>
      <c r="I333" s="75" t="s">
        <v>22</v>
      </c>
      <c r="J333" s="76">
        <v>0.7</v>
      </c>
      <c r="K333" s="75" t="s">
        <v>513</v>
      </c>
      <c r="L333" s="105" t="s">
        <v>511</v>
      </c>
      <c r="M333" s="75" t="s">
        <v>411</v>
      </c>
      <c r="N333" s="76">
        <v>0.95</v>
      </c>
      <c r="O333" s="76">
        <v>0.15</v>
      </c>
      <c r="P333" s="76"/>
      <c r="Q333" s="76">
        <f t="shared" si="10"/>
        <v>0</v>
      </c>
      <c r="R333" s="80">
        <f t="shared" si="11"/>
        <v>0</v>
      </c>
      <c r="S333" s="76" t="s">
        <v>23</v>
      </c>
      <c r="T333" s="189">
        <f>SUM(R333:R340)%</f>
        <v>0</v>
      </c>
    </row>
    <row r="334" spans="1:20" ht="21.6" hidden="1" x14ac:dyDescent="0.3">
      <c r="A334" s="182">
        <v>2072</v>
      </c>
      <c r="B334" s="42" t="s">
        <v>20</v>
      </c>
      <c r="C334" s="43" t="s">
        <v>267</v>
      </c>
      <c r="D334" s="50">
        <v>6567</v>
      </c>
      <c r="E334" s="42" t="s">
        <v>506</v>
      </c>
      <c r="F334" s="45" t="s">
        <v>123</v>
      </c>
      <c r="G334" s="42" t="s">
        <v>28</v>
      </c>
      <c r="H334" s="45" t="s">
        <v>385</v>
      </c>
      <c r="I334" s="7" t="s">
        <v>22</v>
      </c>
      <c r="J334" s="3">
        <v>0.7</v>
      </c>
      <c r="K334" s="7" t="s">
        <v>124</v>
      </c>
      <c r="L334" s="8" t="s">
        <v>125</v>
      </c>
      <c r="M334" s="7" t="s">
        <v>126</v>
      </c>
      <c r="N334" s="3">
        <v>0.95</v>
      </c>
      <c r="O334" s="3">
        <v>0.15</v>
      </c>
      <c r="P334" s="6"/>
      <c r="Q334" s="3">
        <f t="shared" si="10"/>
        <v>0</v>
      </c>
      <c r="R334" s="4">
        <f t="shared" si="11"/>
        <v>0</v>
      </c>
      <c r="S334" s="3" t="s">
        <v>23</v>
      </c>
      <c r="T334" s="190"/>
    </row>
    <row r="335" spans="1:20" ht="21.6" hidden="1" x14ac:dyDescent="0.3">
      <c r="A335" s="182">
        <v>2073</v>
      </c>
      <c r="B335" s="42" t="s">
        <v>20</v>
      </c>
      <c r="C335" s="43" t="s">
        <v>267</v>
      </c>
      <c r="D335" s="50">
        <v>6567</v>
      </c>
      <c r="E335" s="42" t="s">
        <v>506</v>
      </c>
      <c r="F335" s="45" t="s">
        <v>123</v>
      </c>
      <c r="G335" s="42" t="s">
        <v>28</v>
      </c>
      <c r="H335" s="45" t="s">
        <v>385</v>
      </c>
      <c r="I335" s="7" t="s">
        <v>22</v>
      </c>
      <c r="J335" s="3">
        <v>0.7</v>
      </c>
      <c r="K335" s="7" t="s">
        <v>51</v>
      </c>
      <c r="L335" s="8" t="s">
        <v>127</v>
      </c>
      <c r="M335" s="7" t="s">
        <v>128</v>
      </c>
      <c r="N335" s="6">
        <v>0.05</v>
      </c>
      <c r="O335" s="3">
        <v>0.1</v>
      </c>
      <c r="P335" s="11"/>
      <c r="Q335" s="3">
        <f t="shared" si="10"/>
        <v>0</v>
      </c>
      <c r="R335" s="4">
        <f t="shared" si="11"/>
        <v>0</v>
      </c>
      <c r="S335" s="3" t="s">
        <v>24</v>
      </c>
      <c r="T335" s="190"/>
    </row>
    <row r="336" spans="1:20" ht="21.6" hidden="1" x14ac:dyDescent="0.3">
      <c r="A336" s="182">
        <v>2074</v>
      </c>
      <c r="B336" s="42" t="s">
        <v>20</v>
      </c>
      <c r="C336" s="43" t="s">
        <v>267</v>
      </c>
      <c r="D336" s="50">
        <v>6567</v>
      </c>
      <c r="E336" s="42" t="s">
        <v>506</v>
      </c>
      <c r="F336" s="45" t="s">
        <v>123</v>
      </c>
      <c r="G336" s="42" t="s">
        <v>28</v>
      </c>
      <c r="H336" s="45" t="s">
        <v>385</v>
      </c>
      <c r="I336" s="7" t="s">
        <v>22</v>
      </c>
      <c r="J336" s="3">
        <v>0.7</v>
      </c>
      <c r="K336" s="7" t="s">
        <v>305</v>
      </c>
      <c r="L336" s="8" t="s">
        <v>257</v>
      </c>
      <c r="M336" s="339" t="s">
        <v>306</v>
      </c>
      <c r="N336" s="3">
        <v>0.95</v>
      </c>
      <c r="O336" s="3">
        <v>0.1</v>
      </c>
      <c r="P336" s="3"/>
      <c r="Q336" s="3">
        <f t="shared" si="10"/>
        <v>0</v>
      </c>
      <c r="R336" s="4">
        <f t="shared" si="11"/>
        <v>0</v>
      </c>
      <c r="S336" s="3" t="s">
        <v>23</v>
      </c>
      <c r="T336" s="190"/>
    </row>
    <row r="337" spans="1:20" ht="21.6" hidden="1" x14ac:dyDescent="0.3">
      <c r="A337" s="182">
        <v>2075</v>
      </c>
      <c r="B337" s="42" t="s">
        <v>20</v>
      </c>
      <c r="C337" s="43" t="s">
        <v>267</v>
      </c>
      <c r="D337" s="50">
        <v>6567</v>
      </c>
      <c r="E337" s="42" t="s">
        <v>506</v>
      </c>
      <c r="F337" s="45" t="s">
        <v>123</v>
      </c>
      <c r="G337" s="42" t="s">
        <v>28</v>
      </c>
      <c r="H337" s="45" t="s">
        <v>385</v>
      </c>
      <c r="I337" s="47" t="s">
        <v>22</v>
      </c>
      <c r="J337" s="3">
        <v>0.7</v>
      </c>
      <c r="K337" s="47" t="s">
        <v>129</v>
      </c>
      <c r="L337" s="30" t="s">
        <v>130</v>
      </c>
      <c r="M337" s="47" t="s">
        <v>131</v>
      </c>
      <c r="N337" s="3">
        <v>0.9</v>
      </c>
      <c r="O337" s="10">
        <v>0.2</v>
      </c>
      <c r="P337" s="3"/>
      <c r="Q337" s="3">
        <f t="shared" si="10"/>
        <v>0</v>
      </c>
      <c r="R337" s="48">
        <f t="shared" si="11"/>
        <v>0</v>
      </c>
      <c r="S337" s="10" t="s">
        <v>23</v>
      </c>
      <c r="T337" s="191"/>
    </row>
    <row r="338" spans="1:20" ht="21.6" hidden="1" x14ac:dyDescent="0.3">
      <c r="A338" s="182">
        <v>2076</v>
      </c>
      <c r="B338" s="42" t="s">
        <v>20</v>
      </c>
      <c r="C338" s="43" t="s">
        <v>267</v>
      </c>
      <c r="D338" s="50">
        <v>6567</v>
      </c>
      <c r="E338" s="42" t="s">
        <v>506</v>
      </c>
      <c r="F338" s="45" t="s">
        <v>123</v>
      </c>
      <c r="G338" s="42" t="s">
        <v>28</v>
      </c>
      <c r="H338" s="45" t="s">
        <v>385</v>
      </c>
      <c r="I338" s="47" t="s">
        <v>22</v>
      </c>
      <c r="J338" s="3">
        <v>0.7</v>
      </c>
      <c r="K338" s="47" t="s">
        <v>132</v>
      </c>
      <c r="L338" s="30" t="s">
        <v>133</v>
      </c>
      <c r="M338" s="47" t="s">
        <v>134</v>
      </c>
      <c r="N338" s="4">
        <v>0</v>
      </c>
      <c r="O338" s="10">
        <v>0.1</v>
      </c>
      <c r="P338" s="3"/>
      <c r="Q338" s="3">
        <f t="shared" si="10"/>
        <v>0</v>
      </c>
      <c r="R338" s="48">
        <f t="shared" si="11"/>
        <v>0</v>
      </c>
      <c r="S338" s="10" t="s">
        <v>24</v>
      </c>
      <c r="T338" s="191"/>
    </row>
    <row r="339" spans="1:20" ht="21.6" hidden="1" x14ac:dyDescent="0.3">
      <c r="A339" s="182">
        <v>2077</v>
      </c>
      <c r="B339" s="42" t="s">
        <v>20</v>
      </c>
      <c r="C339" s="43" t="s">
        <v>267</v>
      </c>
      <c r="D339" s="50">
        <v>6567</v>
      </c>
      <c r="E339" s="42" t="s">
        <v>506</v>
      </c>
      <c r="F339" s="45" t="s">
        <v>123</v>
      </c>
      <c r="G339" s="42" t="s">
        <v>28</v>
      </c>
      <c r="H339" s="45" t="s">
        <v>385</v>
      </c>
      <c r="I339" s="47" t="s">
        <v>22</v>
      </c>
      <c r="J339" s="3">
        <v>0.7</v>
      </c>
      <c r="K339" s="47" t="s">
        <v>135</v>
      </c>
      <c r="L339" s="30" t="s">
        <v>136</v>
      </c>
      <c r="M339" s="47" t="s">
        <v>137</v>
      </c>
      <c r="N339" s="3">
        <v>0.9</v>
      </c>
      <c r="O339" s="10">
        <v>0.2</v>
      </c>
      <c r="P339" s="51"/>
      <c r="Q339" s="3">
        <f t="shared" si="10"/>
        <v>0</v>
      </c>
      <c r="R339" s="48">
        <f t="shared" si="11"/>
        <v>0</v>
      </c>
      <c r="S339" s="10" t="s">
        <v>23</v>
      </c>
      <c r="T339" s="191"/>
    </row>
    <row r="340" spans="1:20" ht="22.2" hidden="1" thickBot="1" x14ac:dyDescent="0.35">
      <c r="A340" s="267">
        <v>2078</v>
      </c>
      <c r="B340" s="268" t="s">
        <v>20</v>
      </c>
      <c r="C340" s="269" t="s">
        <v>267</v>
      </c>
      <c r="D340" s="290">
        <v>6567</v>
      </c>
      <c r="E340" s="268" t="s">
        <v>506</v>
      </c>
      <c r="F340" s="271" t="s">
        <v>123</v>
      </c>
      <c r="G340" s="268" t="s">
        <v>28</v>
      </c>
      <c r="H340" s="271" t="s">
        <v>385</v>
      </c>
      <c r="I340" s="272" t="s">
        <v>26</v>
      </c>
      <c r="J340" s="273">
        <v>0.3</v>
      </c>
      <c r="K340" s="272" t="s">
        <v>138</v>
      </c>
      <c r="L340" s="291" t="s">
        <v>139</v>
      </c>
      <c r="M340" s="272" t="s">
        <v>140</v>
      </c>
      <c r="N340" s="273">
        <v>1</v>
      </c>
      <c r="O340" s="276">
        <v>1</v>
      </c>
      <c r="P340" s="273"/>
      <c r="Q340" s="273">
        <f t="shared" si="10"/>
        <v>0</v>
      </c>
      <c r="R340" s="287">
        <f t="shared" si="11"/>
        <v>0</v>
      </c>
      <c r="S340" s="276" t="s">
        <v>23</v>
      </c>
      <c r="T340" s="277"/>
    </row>
    <row r="341" spans="1:20" ht="21.6" hidden="1" x14ac:dyDescent="0.3">
      <c r="A341" s="181">
        <v>2070</v>
      </c>
      <c r="B341" s="71" t="s">
        <v>20</v>
      </c>
      <c r="C341" s="72" t="s">
        <v>267</v>
      </c>
      <c r="D341" s="112">
        <v>6105</v>
      </c>
      <c r="E341" s="71" t="s">
        <v>325</v>
      </c>
      <c r="F341" s="74" t="s">
        <v>123</v>
      </c>
      <c r="G341" s="71" t="s">
        <v>311</v>
      </c>
      <c r="H341" s="74" t="s">
        <v>386</v>
      </c>
      <c r="I341" s="75" t="s">
        <v>22</v>
      </c>
      <c r="J341" s="76">
        <v>0.7</v>
      </c>
      <c r="K341" s="75" t="s">
        <v>513</v>
      </c>
      <c r="L341" s="105" t="s">
        <v>511</v>
      </c>
      <c r="M341" s="75" t="s">
        <v>411</v>
      </c>
      <c r="N341" s="76">
        <v>0.95</v>
      </c>
      <c r="O341" s="76">
        <v>0.15</v>
      </c>
      <c r="P341" s="76"/>
      <c r="Q341" s="76">
        <f t="shared" si="10"/>
        <v>0</v>
      </c>
      <c r="R341" s="80">
        <f t="shared" si="11"/>
        <v>0</v>
      </c>
      <c r="S341" s="76" t="s">
        <v>23</v>
      </c>
      <c r="T341" s="189">
        <f>SUM(R341:R348)%</f>
        <v>0</v>
      </c>
    </row>
    <row r="342" spans="1:20" ht="21.6" hidden="1" x14ac:dyDescent="0.3">
      <c r="A342" s="182">
        <v>2072</v>
      </c>
      <c r="B342" s="42" t="s">
        <v>20</v>
      </c>
      <c r="C342" s="43" t="s">
        <v>267</v>
      </c>
      <c r="D342" s="50">
        <v>6105</v>
      </c>
      <c r="E342" s="42" t="s">
        <v>325</v>
      </c>
      <c r="F342" s="45" t="s">
        <v>123</v>
      </c>
      <c r="G342" s="42" t="s">
        <v>311</v>
      </c>
      <c r="H342" s="45" t="s">
        <v>386</v>
      </c>
      <c r="I342" s="7" t="s">
        <v>22</v>
      </c>
      <c r="J342" s="3">
        <v>0.7</v>
      </c>
      <c r="K342" s="7" t="s">
        <v>124</v>
      </c>
      <c r="L342" s="8" t="s">
        <v>125</v>
      </c>
      <c r="M342" s="7" t="s">
        <v>126</v>
      </c>
      <c r="N342" s="3">
        <v>0.95</v>
      </c>
      <c r="O342" s="3">
        <v>0.15</v>
      </c>
      <c r="P342" s="6"/>
      <c r="Q342" s="3">
        <f t="shared" si="10"/>
        <v>0</v>
      </c>
      <c r="R342" s="4">
        <f t="shared" si="11"/>
        <v>0</v>
      </c>
      <c r="S342" s="3" t="s">
        <v>23</v>
      </c>
      <c r="T342" s="190"/>
    </row>
    <row r="343" spans="1:20" ht="21.6" hidden="1" x14ac:dyDescent="0.3">
      <c r="A343" s="182">
        <v>2073</v>
      </c>
      <c r="B343" s="42" t="s">
        <v>20</v>
      </c>
      <c r="C343" s="43" t="s">
        <v>267</v>
      </c>
      <c r="D343" s="50">
        <v>6105</v>
      </c>
      <c r="E343" s="42" t="s">
        <v>325</v>
      </c>
      <c r="F343" s="45" t="s">
        <v>123</v>
      </c>
      <c r="G343" s="42" t="s">
        <v>311</v>
      </c>
      <c r="H343" s="45" t="s">
        <v>386</v>
      </c>
      <c r="I343" s="7" t="s">
        <v>22</v>
      </c>
      <c r="J343" s="3">
        <v>0.7</v>
      </c>
      <c r="K343" s="7" t="s">
        <v>51</v>
      </c>
      <c r="L343" s="8" t="s">
        <v>127</v>
      </c>
      <c r="M343" s="7" t="s">
        <v>128</v>
      </c>
      <c r="N343" s="6">
        <v>0.05</v>
      </c>
      <c r="O343" s="3">
        <v>0.1</v>
      </c>
      <c r="P343" s="11"/>
      <c r="Q343" s="3">
        <f t="shared" si="10"/>
        <v>0</v>
      </c>
      <c r="R343" s="4">
        <f>IF(AND(Q343&gt;=60%,Q343&lt;100%),Q343*((O343*J343)),IF(Q343=100%,((O343*J343)*Q343)*100%,IF(Q343&gt;100%,((J343*O343)*100%)*100%,0)))*100</f>
        <v>0</v>
      </c>
      <c r="S343" s="3" t="s">
        <v>24</v>
      </c>
      <c r="T343" s="190"/>
    </row>
    <row r="344" spans="1:20" ht="21.6" hidden="1" x14ac:dyDescent="0.3">
      <c r="A344" s="182">
        <v>2074</v>
      </c>
      <c r="B344" s="42" t="s">
        <v>20</v>
      </c>
      <c r="C344" s="43" t="s">
        <v>267</v>
      </c>
      <c r="D344" s="50">
        <v>6105</v>
      </c>
      <c r="E344" s="42" t="s">
        <v>325</v>
      </c>
      <c r="F344" s="45" t="s">
        <v>123</v>
      </c>
      <c r="G344" s="42" t="s">
        <v>311</v>
      </c>
      <c r="H344" s="45" t="s">
        <v>386</v>
      </c>
      <c r="I344" s="7" t="s">
        <v>22</v>
      </c>
      <c r="J344" s="3">
        <v>0.7</v>
      </c>
      <c r="K344" s="7" t="s">
        <v>305</v>
      </c>
      <c r="L344" s="8" t="s">
        <v>257</v>
      </c>
      <c r="M344" s="339" t="s">
        <v>306</v>
      </c>
      <c r="N344" s="3">
        <v>0.95</v>
      </c>
      <c r="O344" s="3">
        <v>0.1</v>
      </c>
      <c r="P344" s="3"/>
      <c r="Q344" s="3">
        <f t="shared" si="10"/>
        <v>0</v>
      </c>
      <c r="R344" s="4">
        <f t="shared" si="11"/>
        <v>0</v>
      </c>
      <c r="S344" s="3" t="s">
        <v>23</v>
      </c>
      <c r="T344" s="190"/>
    </row>
    <row r="345" spans="1:20" ht="21.6" hidden="1" x14ac:dyDescent="0.3">
      <c r="A345" s="182">
        <v>2075</v>
      </c>
      <c r="B345" s="42" t="s">
        <v>20</v>
      </c>
      <c r="C345" s="43" t="s">
        <v>267</v>
      </c>
      <c r="D345" s="50">
        <v>6105</v>
      </c>
      <c r="E345" s="42" t="s">
        <v>325</v>
      </c>
      <c r="F345" s="45" t="s">
        <v>123</v>
      </c>
      <c r="G345" s="42" t="s">
        <v>311</v>
      </c>
      <c r="H345" s="45" t="s">
        <v>386</v>
      </c>
      <c r="I345" s="47" t="s">
        <v>22</v>
      </c>
      <c r="J345" s="3">
        <v>0.7</v>
      </c>
      <c r="K345" s="47" t="s">
        <v>129</v>
      </c>
      <c r="L345" s="30" t="s">
        <v>130</v>
      </c>
      <c r="M345" s="47" t="s">
        <v>131</v>
      </c>
      <c r="N345" s="3">
        <v>0.9</v>
      </c>
      <c r="O345" s="10">
        <v>0.2</v>
      </c>
      <c r="P345" s="3"/>
      <c r="Q345" s="3">
        <f t="shared" si="10"/>
        <v>0</v>
      </c>
      <c r="R345" s="48">
        <f t="shared" si="11"/>
        <v>0</v>
      </c>
      <c r="S345" s="10" t="s">
        <v>23</v>
      </c>
      <c r="T345" s="191"/>
    </row>
    <row r="346" spans="1:20" ht="21.6" hidden="1" x14ac:dyDescent="0.3">
      <c r="A346" s="182">
        <v>2076</v>
      </c>
      <c r="B346" s="42" t="s">
        <v>20</v>
      </c>
      <c r="C346" s="43" t="s">
        <v>267</v>
      </c>
      <c r="D346" s="50">
        <v>6105</v>
      </c>
      <c r="E346" s="42" t="s">
        <v>325</v>
      </c>
      <c r="F346" s="45" t="s">
        <v>123</v>
      </c>
      <c r="G346" s="42" t="s">
        <v>311</v>
      </c>
      <c r="H346" s="45" t="s">
        <v>386</v>
      </c>
      <c r="I346" s="47" t="s">
        <v>22</v>
      </c>
      <c r="J346" s="3">
        <v>0.7</v>
      </c>
      <c r="K346" s="47" t="s">
        <v>132</v>
      </c>
      <c r="L346" s="30" t="s">
        <v>133</v>
      </c>
      <c r="M346" s="47" t="s">
        <v>134</v>
      </c>
      <c r="N346" s="4">
        <v>0</v>
      </c>
      <c r="O346" s="10">
        <v>0.1</v>
      </c>
      <c r="P346" s="3"/>
      <c r="Q346" s="3">
        <f t="shared" si="10"/>
        <v>0</v>
      </c>
      <c r="R346" s="48">
        <f t="shared" si="11"/>
        <v>0</v>
      </c>
      <c r="S346" s="10" t="s">
        <v>24</v>
      </c>
      <c r="T346" s="191"/>
    </row>
    <row r="347" spans="1:20" ht="21.6" hidden="1" x14ac:dyDescent="0.3">
      <c r="A347" s="182">
        <v>2077</v>
      </c>
      <c r="B347" s="42" t="s">
        <v>20</v>
      </c>
      <c r="C347" s="43" t="s">
        <v>267</v>
      </c>
      <c r="D347" s="50">
        <v>6105</v>
      </c>
      <c r="E347" s="42" t="s">
        <v>325</v>
      </c>
      <c r="F347" s="45" t="s">
        <v>123</v>
      </c>
      <c r="G347" s="42" t="s">
        <v>311</v>
      </c>
      <c r="H347" s="45" t="s">
        <v>386</v>
      </c>
      <c r="I347" s="47" t="s">
        <v>22</v>
      </c>
      <c r="J347" s="3">
        <v>0.7</v>
      </c>
      <c r="K347" s="47" t="s">
        <v>135</v>
      </c>
      <c r="L347" s="30" t="s">
        <v>136</v>
      </c>
      <c r="M347" s="47" t="s">
        <v>137</v>
      </c>
      <c r="N347" s="3">
        <v>0.9</v>
      </c>
      <c r="O347" s="10">
        <v>0.2</v>
      </c>
      <c r="P347" s="51"/>
      <c r="Q347" s="3">
        <f t="shared" si="10"/>
        <v>0</v>
      </c>
      <c r="R347" s="48">
        <f t="shared" si="11"/>
        <v>0</v>
      </c>
      <c r="S347" s="10" t="s">
        <v>23</v>
      </c>
      <c r="T347" s="191"/>
    </row>
    <row r="348" spans="1:20" ht="22.2" hidden="1" thickBot="1" x14ac:dyDescent="0.35">
      <c r="A348" s="267">
        <v>2078</v>
      </c>
      <c r="B348" s="268" t="s">
        <v>20</v>
      </c>
      <c r="C348" s="269" t="s">
        <v>267</v>
      </c>
      <c r="D348" s="290">
        <v>6105</v>
      </c>
      <c r="E348" s="268" t="s">
        <v>325</v>
      </c>
      <c r="F348" s="271" t="s">
        <v>123</v>
      </c>
      <c r="G348" s="268" t="s">
        <v>311</v>
      </c>
      <c r="H348" s="271" t="s">
        <v>386</v>
      </c>
      <c r="I348" s="272" t="s">
        <v>26</v>
      </c>
      <c r="J348" s="273">
        <v>0.3</v>
      </c>
      <c r="K348" s="272" t="s">
        <v>138</v>
      </c>
      <c r="L348" s="291" t="s">
        <v>139</v>
      </c>
      <c r="M348" s="272" t="s">
        <v>140</v>
      </c>
      <c r="N348" s="273">
        <v>1</v>
      </c>
      <c r="O348" s="276">
        <v>1</v>
      </c>
      <c r="P348" s="273"/>
      <c r="Q348" s="273">
        <f t="shared" si="10"/>
        <v>0</v>
      </c>
      <c r="R348" s="287">
        <f t="shared" si="11"/>
        <v>0</v>
      </c>
      <c r="S348" s="276" t="s">
        <v>23</v>
      </c>
      <c r="T348" s="277"/>
    </row>
    <row r="349" spans="1:20" ht="21.6" hidden="1" x14ac:dyDescent="0.3">
      <c r="A349" s="181">
        <v>2070</v>
      </c>
      <c r="B349" s="71" t="s">
        <v>20</v>
      </c>
      <c r="C349" s="72" t="s">
        <v>267</v>
      </c>
      <c r="D349" s="112">
        <v>5501</v>
      </c>
      <c r="E349" s="71" t="s">
        <v>315</v>
      </c>
      <c r="F349" s="74" t="s">
        <v>145</v>
      </c>
      <c r="G349" s="71" t="s">
        <v>311</v>
      </c>
      <c r="H349" s="74" t="s">
        <v>386</v>
      </c>
      <c r="I349" s="75" t="s">
        <v>22</v>
      </c>
      <c r="J349" s="76">
        <v>0.7</v>
      </c>
      <c r="K349" s="75" t="s">
        <v>513</v>
      </c>
      <c r="L349" s="105" t="s">
        <v>511</v>
      </c>
      <c r="M349" s="75" t="s">
        <v>411</v>
      </c>
      <c r="N349" s="76">
        <v>0.95</v>
      </c>
      <c r="O349" s="76">
        <v>0.15</v>
      </c>
      <c r="P349" s="76"/>
      <c r="Q349" s="76">
        <f t="shared" si="10"/>
        <v>0</v>
      </c>
      <c r="R349" s="80">
        <f t="shared" si="11"/>
        <v>0</v>
      </c>
      <c r="S349" s="76" t="s">
        <v>23</v>
      </c>
      <c r="T349" s="189">
        <f>SUM(R349:R356)%</f>
        <v>0</v>
      </c>
    </row>
    <row r="350" spans="1:20" ht="21.6" hidden="1" x14ac:dyDescent="0.3">
      <c r="A350" s="182">
        <v>2072</v>
      </c>
      <c r="B350" s="42" t="s">
        <v>20</v>
      </c>
      <c r="C350" s="43" t="s">
        <v>267</v>
      </c>
      <c r="D350" s="50">
        <v>5501</v>
      </c>
      <c r="E350" s="42" t="s">
        <v>315</v>
      </c>
      <c r="F350" s="45" t="s">
        <v>145</v>
      </c>
      <c r="G350" s="42" t="s">
        <v>311</v>
      </c>
      <c r="H350" s="45" t="s">
        <v>386</v>
      </c>
      <c r="I350" s="7" t="s">
        <v>22</v>
      </c>
      <c r="J350" s="3">
        <v>0.7</v>
      </c>
      <c r="K350" s="7" t="s">
        <v>124</v>
      </c>
      <c r="L350" s="8" t="s">
        <v>125</v>
      </c>
      <c r="M350" s="7" t="s">
        <v>126</v>
      </c>
      <c r="N350" s="3">
        <v>0.95</v>
      </c>
      <c r="O350" s="3">
        <v>0.15</v>
      </c>
      <c r="P350" s="6"/>
      <c r="Q350" s="3">
        <f t="shared" si="10"/>
        <v>0</v>
      </c>
      <c r="R350" s="4">
        <f t="shared" si="11"/>
        <v>0</v>
      </c>
      <c r="S350" s="3" t="s">
        <v>23</v>
      </c>
      <c r="T350" s="190"/>
    </row>
    <row r="351" spans="1:20" ht="21.6" hidden="1" x14ac:dyDescent="0.3">
      <c r="A351" s="182">
        <v>2073</v>
      </c>
      <c r="B351" s="42" t="s">
        <v>20</v>
      </c>
      <c r="C351" s="43" t="s">
        <v>267</v>
      </c>
      <c r="D351" s="50">
        <v>5501</v>
      </c>
      <c r="E351" s="42" t="s">
        <v>315</v>
      </c>
      <c r="F351" s="45" t="s">
        <v>145</v>
      </c>
      <c r="G351" s="42" t="s">
        <v>311</v>
      </c>
      <c r="H351" s="45" t="s">
        <v>386</v>
      </c>
      <c r="I351" s="7" t="s">
        <v>22</v>
      </c>
      <c r="J351" s="3">
        <v>0.7</v>
      </c>
      <c r="K351" s="7" t="s">
        <v>51</v>
      </c>
      <c r="L351" s="8" t="s">
        <v>127</v>
      </c>
      <c r="M351" s="7" t="s">
        <v>128</v>
      </c>
      <c r="N351" s="6">
        <v>0.05</v>
      </c>
      <c r="O351" s="3">
        <v>0.1</v>
      </c>
      <c r="P351" s="11"/>
      <c r="Q351" s="3">
        <f t="shared" si="10"/>
        <v>0</v>
      </c>
      <c r="R351" s="4">
        <f t="shared" si="11"/>
        <v>0</v>
      </c>
      <c r="S351" s="3" t="s">
        <v>24</v>
      </c>
      <c r="T351" s="190"/>
    </row>
    <row r="352" spans="1:20" ht="21.6" hidden="1" x14ac:dyDescent="0.3">
      <c r="A352" s="182">
        <v>2074</v>
      </c>
      <c r="B352" s="42" t="s">
        <v>20</v>
      </c>
      <c r="C352" s="43" t="s">
        <v>267</v>
      </c>
      <c r="D352" s="50">
        <v>5501</v>
      </c>
      <c r="E352" s="42" t="s">
        <v>315</v>
      </c>
      <c r="F352" s="45" t="s">
        <v>145</v>
      </c>
      <c r="G352" s="42" t="s">
        <v>311</v>
      </c>
      <c r="H352" s="45" t="s">
        <v>386</v>
      </c>
      <c r="I352" s="7" t="s">
        <v>22</v>
      </c>
      <c r="J352" s="3">
        <v>0.7</v>
      </c>
      <c r="K352" s="7" t="s">
        <v>305</v>
      </c>
      <c r="L352" s="8" t="s">
        <v>257</v>
      </c>
      <c r="M352" s="339" t="s">
        <v>306</v>
      </c>
      <c r="N352" s="3">
        <v>0.95</v>
      </c>
      <c r="O352" s="3">
        <v>0.1</v>
      </c>
      <c r="P352" s="3"/>
      <c r="Q352" s="3">
        <f t="shared" si="10"/>
        <v>0</v>
      </c>
      <c r="R352" s="4">
        <f t="shared" si="11"/>
        <v>0</v>
      </c>
      <c r="S352" s="3" t="s">
        <v>23</v>
      </c>
      <c r="T352" s="190"/>
    </row>
    <row r="353" spans="1:20" ht="21.6" hidden="1" x14ac:dyDescent="0.3">
      <c r="A353" s="182">
        <v>2075</v>
      </c>
      <c r="B353" s="42" t="s">
        <v>20</v>
      </c>
      <c r="C353" s="43" t="s">
        <v>267</v>
      </c>
      <c r="D353" s="50">
        <v>5501</v>
      </c>
      <c r="E353" s="42" t="s">
        <v>315</v>
      </c>
      <c r="F353" s="45" t="s">
        <v>145</v>
      </c>
      <c r="G353" s="42" t="s">
        <v>311</v>
      </c>
      <c r="H353" s="45" t="s">
        <v>386</v>
      </c>
      <c r="I353" s="47" t="s">
        <v>22</v>
      </c>
      <c r="J353" s="3">
        <v>0.7</v>
      </c>
      <c r="K353" s="47" t="s">
        <v>129</v>
      </c>
      <c r="L353" s="30" t="s">
        <v>130</v>
      </c>
      <c r="M353" s="47" t="s">
        <v>131</v>
      </c>
      <c r="N353" s="3">
        <v>0.9</v>
      </c>
      <c r="O353" s="10">
        <v>0.2</v>
      </c>
      <c r="P353" s="3"/>
      <c r="Q353" s="3">
        <f t="shared" si="10"/>
        <v>0</v>
      </c>
      <c r="R353" s="48">
        <f t="shared" si="11"/>
        <v>0</v>
      </c>
      <c r="S353" s="10" t="s">
        <v>23</v>
      </c>
      <c r="T353" s="191"/>
    </row>
    <row r="354" spans="1:20" ht="21.6" hidden="1" x14ac:dyDescent="0.3">
      <c r="A354" s="182">
        <v>2076</v>
      </c>
      <c r="B354" s="42" t="s">
        <v>20</v>
      </c>
      <c r="C354" s="43" t="s">
        <v>267</v>
      </c>
      <c r="D354" s="50">
        <v>5501</v>
      </c>
      <c r="E354" s="42" t="s">
        <v>315</v>
      </c>
      <c r="F354" s="45" t="s">
        <v>145</v>
      </c>
      <c r="G354" s="42" t="s">
        <v>311</v>
      </c>
      <c r="H354" s="45" t="s">
        <v>386</v>
      </c>
      <c r="I354" s="47" t="s">
        <v>22</v>
      </c>
      <c r="J354" s="3">
        <v>0.7</v>
      </c>
      <c r="K354" s="47" t="s">
        <v>132</v>
      </c>
      <c r="L354" s="30" t="s">
        <v>133</v>
      </c>
      <c r="M354" s="47" t="s">
        <v>134</v>
      </c>
      <c r="N354" s="4">
        <v>0</v>
      </c>
      <c r="O354" s="10">
        <v>0.1</v>
      </c>
      <c r="P354" s="3"/>
      <c r="Q354" s="3">
        <f t="shared" si="10"/>
        <v>0</v>
      </c>
      <c r="R354" s="48">
        <f t="shared" si="11"/>
        <v>0</v>
      </c>
      <c r="S354" s="10" t="s">
        <v>24</v>
      </c>
      <c r="T354" s="191"/>
    </row>
    <row r="355" spans="1:20" ht="21.6" hidden="1" x14ac:dyDescent="0.3">
      <c r="A355" s="182">
        <v>2077</v>
      </c>
      <c r="B355" s="42" t="s">
        <v>20</v>
      </c>
      <c r="C355" s="43" t="s">
        <v>267</v>
      </c>
      <c r="D355" s="50">
        <v>5501</v>
      </c>
      <c r="E355" s="42" t="s">
        <v>315</v>
      </c>
      <c r="F355" s="45" t="s">
        <v>145</v>
      </c>
      <c r="G355" s="42" t="s">
        <v>311</v>
      </c>
      <c r="H355" s="45" t="s">
        <v>386</v>
      </c>
      <c r="I355" s="47" t="s">
        <v>22</v>
      </c>
      <c r="J355" s="3">
        <v>0.7</v>
      </c>
      <c r="K355" s="47" t="s">
        <v>135</v>
      </c>
      <c r="L355" s="30" t="s">
        <v>136</v>
      </c>
      <c r="M355" s="47" t="s">
        <v>137</v>
      </c>
      <c r="N355" s="3">
        <v>0.9</v>
      </c>
      <c r="O355" s="10">
        <v>0.2</v>
      </c>
      <c r="P355" s="51"/>
      <c r="Q355" s="3">
        <f t="shared" si="10"/>
        <v>0</v>
      </c>
      <c r="R355" s="48">
        <f t="shared" si="11"/>
        <v>0</v>
      </c>
      <c r="S355" s="10" t="s">
        <v>23</v>
      </c>
      <c r="T355" s="191"/>
    </row>
    <row r="356" spans="1:20" ht="22.2" hidden="1" thickBot="1" x14ac:dyDescent="0.35">
      <c r="A356" s="267">
        <v>2078</v>
      </c>
      <c r="B356" s="268" t="s">
        <v>20</v>
      </c>
      <c r="C356" s="269" t="s">
        <v>267</v>
      </c>
      <c r="D356" s="290">
        <v>5501</v>
      </c>
      <c r="E356" s="268" t="s">
        <v>315</v>
      </c>
      <c r="F356" s="271" t="s">
        <v>145</v>
      </c>
      <c r="G356" s="268" t="s">
        <v>311</v>
      </c>
      <c r="H356" s="271" t="s">
        <v>386</v>
      </c>
      <c r="I356" s="272" t="s">
        <v>26</v>
      </c>
      <c r="J356" s="273">
        <v>0.3</v>
      </c>
      <c r="K356" s="272" t="s">
        <v>138</v>
      </c>
      <c r="L356" s="291" t="s">
        <v>139</v>
      </c>
      <c r="M356" s="272" t="s">
        <v>140</v>
      </c>
      <c r="N356" s="273">
        <v>1</v>
      </c>
      <c r="O356" s="276">
        <v>1</v>
      </c>
      <c r="P356" s="273"/>
      <c r="Q356" s="273">
        <f t="shared" si="10"/>
        <v>0</v>
      </c>
      <c r="R356" s="287">
        <f t="shared" si="11"/>
        <v>0</v>
      </c>
      <c r="S356" s="276" t="s">
        <v>23</v>
      </c>
      <c r="T356" s="277"/>
    </row>
    <row r="357" spans="1:20" ht="21.6" hidden="1" x14ac:dyDescent="0.3">
      <c r="A357" s="181">
        <v>2070</v>
      </c>
      <c r="B357" s="71" t="s">
        <v>20</v>
      </c>
      <c r="C357" s="72" t="s">
        <v>267</v>
      </c>
      <c r="D357" s="112">
        <v>3065</v>
      </c>
      <c r="E357" s="71" t="s">
        <v>312</v>
      </c>
      <c r="F357" s="74" t="s">
        <v>143</v>
      </c>
      <c r="G357" s="71" t="s">
        <v>311</v>
      </c>
      <c r="H357" s="74" t="s">
        <v>386</v>
      </c>
      <c r="I357" s="75" t="s">
        <v>22</v>
      </c>
      <c r="J357" s="76">
        <v>0.7</v>
      </c>
      <c r="K357" s="75" t="s">
        <v>513</v>
      </c>
      <c r="L357" s="105" t="s">
        <v>511</v>
      </c>
      <c r="M357" s="75" t="s">
        <v>411</v>
      </c>
      <c r="N357" s="76">
        <v>0.95</v>
      </c>
      <c r="O357" s="76">
        <v>0.15</v>
      </c>
      <c r="P357" s="76"/>
      <c r="Q357" s="76">
        <f t="shared" si="10"/>
        <v>0</v>
      </c>
      <c r="R357" s="80">
        <f t="shared" si="11"/>
        <v>0</v>
      </c>
      <c r="S357" s="76" t="s">
        <v>23</v>
      </c>
      <c r="T357" s="189">
        <f>SUM(R357:R364)%</f>
        <v>0</v>
      </c>
    </row>
    <row r="358" spans="1:20" ht="21.6" hidden="1" x14ac:dyDescent="0.3">
      <c r="A358" s="182">
        <v>2072</v>
      </c>
      <c r="B358" s="42" t="s">
        <v>20</v>
      </c>
      <c r="C358" s="43" t="s">
        <v>267</v>
      </c>
      <c r="D358" s="50">
        <v>3065</v>
      </c>
      <c r="E358" s="42" t="s">
        <v>312</v>
      </c>
      <c r="F358" s="45" t="s">
        <v>143</v>
      </c>
      <c r="G358" s="42" t="s">
        <v>311</v>
      </c>
      <c r="H358" s="45" t="s">
        <v>386</v>
      </c>
      <c r="I358" s="7" t="s">
        <v>22</v>
      </c>
      <c r="J358" s="3">
        <v>0.7</v>
      </c>
      <c r="K358" s="7" t="s">
        <v>124</v>
      </c>
      <c r="L358" s="8" t="s">
        <v>125</v>
      </c>
      <c r="M358" s="7" t="s">
        <v>126</v>
      </c>
      <c r="N358" s="3">
        <v>0.95</v>
      </c>
      <c r="O358" s="3">
        <v>0.15</v>
      </c>
      <c r="P358" s="6"/>
      <c r="Q358" s="3">
        <f t="shared" si="10"/>
        <v>0</v>
      </c>
      <c r="R358" s="4">
        <f t="shared" si="11"/>
        <v>0</v>
      </c>
      <c r="S358" s="3" t="s">
        <v>23</v>
      </c>
      <c r="T358" s="190"/>
    </row>
    <row r="359" spans="1:20" ht="21.6" hidden="1" x14ac:dyDescent="0.3">
      <c r="A359" s="182">
        <v>2073</v>
      </c>
      <c r="B359" s="42" t="s">
        <v>20</v>
      </c>
      <c r="C359" s="43" t="s">
        <v>267</v>
      </c>
      <c r="D359" s="50">
        <v>3065</v>
      </c>
      <c r="E359" s="42" t="s">
        <v>312</v>
      </c>
      <c r="F359" s="45" t="s">
        <v>143</v>
      </c>
      <c r="G359" s="42" t="s">
        <v>311</v>
      </c>
      <c r="H359" s="45" t="s">
        <v>386</v>
      </c>
      <c r="I359" s="7" t="s">
        <v>22</v>
      </c>
      <c r="J359" s="3">
        <v>0.7</v>
      </c>
      <c r="K359" s="7" t="s">
        <v>51</v>
      </c>
      <c r="L359" s="8" t="s">
        <v>127</v>
      </c>
      <c r="M359" s="7" t="s">
        <v>128</v>
      </c>
      <c r="N359" s="6">
        <v>0.05</v>
      </c>
      <c r="O359" s="3">
        <v>0.1</v>
      </c>
      <c r="P359" s="11"/>
      <c r="Q359" s="3">
        <f t="shared" si="10"/>
        <v>0</v>
      </c>
      <c r="R359" s="4">
        <f t="shared" si="11"/>
        <v>0</v>
      </c>
      <c r="S359" s="3" t="s">
        <v>24</v>
      </c>
      <c r="T359" s="190"/>
    </row>
    <row r="360" spans="1:20" ht="21.6" hidden="1" x14ac:dyDescent="0.3">
      <c r="A360" s="182">
        <v>2074</v>
      </c>
      <c r="B360" s="42" t="s">
        <v>20</v>
      </c>
      <c r="C360" s="43" t="s">
        <v>267</v>
      </c>
      <c r="D360" s="50">
        <v>3065</v>
      </c>
      <c r="E360" s="42" t="s">
        <v>312</v>
      </c>
      <c r="F360" s="45" t="s">
        <v>143</v>
      </c>
      <c r="G360" s="42" t="s">
        <v>311</v>
      </c>
      <c r="H360" s="45" t="s">
        <v>386</v>
      </c>
      <c r="I360" s="7" t="s">
        <v>22</v>
      </c>
      <c r="J360" s="3">
        <v>0.7</v>
      </c>
      <c r="K360" s="7" t="s">
        <v>305</v>
      </c>
      <c r="L360" s="8" t="s">
        <v>257</v>
      </c>
      <c r="M360" s="339" t="s">
        <v>306</v>
      </c>
      <c r="N360" s="3">
        <v>0.95</v>
      </c>
      <c r="O360" s="3">
        <v>0.1</v>
      </c>
      <c r="P360" s="3"/>
      <c r="Q360" s="3">
        <f t="shared" si="10"/>
        <v>0</v>
      </c>
      <c r="R360" s="4">
        <f t="shared" si="11"/>
        <v>0</v>
      </c>
      <c r="S360" s="3" t="s">
        <v>23</v>
      </c>
      <c r="T360" s="190"/>
    </row>
    <row r="361" spans="1:20" ht="21.6" hidden="1" x14ac:dyDescent="0.3">
      <c r="A361" s="182">
        <v>2075</v>
      </c>
      <c r="B361" s="42" t="s">
        <v>20</v>
      </c>
      <c r="C361" s="43" t="s">
        <v>267</v>
      </c>
      <c r="D361" s="50">
        <v>3065</v>
      </c>
      <c r="E361" s="42" t="s">
        <v>312</v>
      </c>
      <c r="F361" s="45" t="s">
        <v>143</v>
      </c>
      <c r="G361" s="42" t="s">
        <v>311</v>
      </c>
      <c r="H361" s="45" t="s">
        <v>386</v>
      </c>
      <c r="I361" s="47" t="s">
        <v>22</v>
      </c>
      <c r="J361" s="3">
        <v>0.7</v>
      </c>
      <c r="K361" s="47" t="s">
        <v>129</v>
      </c>
      <c r="L361" s="30" t="s">
        <v>130</v>
      </c>
      <c r="M361" s="47" t="s">
        <v>131</v>
      </c>
      <c r="N361" s="3">
        <v>0.9</v>
      </c>
      <c r="O361" s="10">
        <v>0.2</v>
      </c>
      <c r="P361" s="3"/>
      <c r="Q361" s="3">
        <f t="shared" si="10"/>
        <v>0</v>
      </c>
      <c r="R361" s="48">
        <f t="shared" si="11"/>
        <v>0</v>
      </c>
      <c r="S361" s="10" t="s">
        <v>23</v>
      </c>
      <c r="T361" s="191"/>
    </row>
    <row r="362" spans="1:20" ht="21.6" hidden="1" x14ac:dyDescent="0.3">
      <c r="A362" s="182">
        <v>2076</v>
      </c>
      <c r="B362" s="42" t="s">
        <v>20</v>
      </c>
      <c r="C362" s="43" t="s">
        <v>267</v>
      </c>
      <c r="D362" s="50">
        <v>3065</v>
      </c>
      <c r="E362" s="42" t="s">
        <v>312</v>
      </c>
      <c r="F362" s="45" t="s">
        <v>143</v>
      </c>
      <c r="G362" s="42" t="s">
        <v>311</v>
      </c>
      <c r="H362" s="45" t="s">
        <v>386</v>
      </c>
      <c r="I362" s="47" t="s">
        <v>22</v>
      </c>
      <c r="J362" s="3">
        <v>0.7</v>
      </c>
      <c r="K362" s="47" t="s">
        <v>132</v>
      </c>
      <c r="L362" s="30" t="s">
        <v>133</v>
      </c>
      <c r="M362" s="47" t="s">
        <v>134</v>
      </c>
      <c r="N362" s="4">
        <v>0</v>
      </c>
      <c r="O362" s="10">
        <v>0.1</v>
      </c>
      <c r="P362" s="3"/>
      <c r="Q362" s="3">
        <f t="shared" si="10"/>
        <v>0</v>
      </c>
      <c r="R362" s="48">
        <f t="shared" si="11"/>
        <v>0</v>
      </c>
      <c r="S362" s="10" t="s">
        <v>24</v>
      </c>
      <c r="T362" s="191"/>
    </row>
    <row r="363" spans="1:20" ht="21.6" hidden="1" x14ac:dyDescent="0.3">
      <c r="A363" s="182">
        <v>2077</v>
      </c>
      <c r="B363" s="42" t="s">
        <v>20</v>
      </c>
      <c r="C363" s="43" t="s">
        <v>267</v>
      </c>
      <c r="D363" s="50">
        <v>3065</v>
      </c>
      <c r="E363" s="42" t="s">
        <v>312</v>
      </c>
      <c r="F363" s="45" t="s">
        <v>143</v>
      </c>
      <c r="G363" s="42" t="s">
        <v>311</v>
      </c>
      <c r="H363" s="45" t="s">
        <v>386</v>
      </c>
      <c r="I363" s="47" t="s">
        <v>22</v>
      </c>
      <c r="J363" s="3">
        <v>0.7</v>
      </c>
      <c r="K363" s="47" t="s">
        <v>135</v>
      </c>
      <c r="L363" s="30" t="s">
        <v>136</v>
      </c>
      <c r="M363" s="47" t="s">
        <v>137</v>
      </c>
      <c r="N363" s="3">
        <v>0.9</v>
      </c>
      <c r="O363" s="10">
        <v>0.2</v>
      </c>
      <c r="P363" s="51"/>
      <c r="Q363" s="3">
        <f t="shared" si="10"/>
        <v>0</v>
      </c>
      <c r="R363" s="48">
        <f t="shared" si="11"/>
        <v>0</v>
      </c>
      <c r="S363" s="10" t="s">
        <v>23</v>
      </c>
      <c r="T363" s="191"/>
    </row>
    <row r="364" spans="1:20" ht="22.2" hidden="1" thickBot="1" x14ac:dyDescent="0.35">
      <c r="A364" s="267">
        <v>2078</v>
      </c>
      <c r="B364" s="268" t="s">
        <v>20</v>
      </c>
      <c r="C364" s="269" t="s">
        <v>267</v>
      </c>
      <c r="D364" s="290">
        <v>3065</v>
      </c>
      <c r="E364" s="268" t="s">
        <v>312</v>
      </c>
      <c r="F364" s="271" t="s">
        <v>143</v>
      </c>
      <c r="G364" s="268" t="s">
        <v>311</v>
      </c>
      <c r="H364" s="271" t="s">
        <v>386</v>
      </c>
      <c r="I364" s="272" t="s">
        <v>26</v>
      </c>
      <c r="J364" s="273">
        <v>0.3</v>
      </c>
      <c r="K364" s="272" t="s">
        <v>138</v>
      </c>
      <c r="L364" s="291" t="s">
        <v>139</v>
      </c>
      <c r="M364" s="272" t="s">
        <v>140</v>
      </c>
      <c r="N364" s="273">
        <v>1</v>
      </c>
      <c r="O364" s="276">
        <v>1</v>
      </c>
      <c r="P364" s="273"/>
      <c r="Q364" s="273">
        <f t="shared" si="10"/>
        <v>0</v>
      </c>
      <c r="R364" s="287">
        <f t="shared" si="11"/>
        <v>0</v>
      </c>
      <c r="S364" s="276" t="s">
        <v>23</v>
      </c>
      <c r="T364" s="277"/>
    </row>
    <row r="365" spans="1:20" ht="21.6" hidden="1" x14ac:dyDescent="0.3">
      <c r="A365" s="181">
        <v>2070</v>
      </c>
      <c r="B365" s="71" t="s">
        <v>20</v>
      </c>
      <c r="C365" s="72" t="s">
        <v>267</v>
      </c>
      <c r="D365" s="112">
        <v>5637</v>
      </c>
      <c r="E365" s="71" t="s">
        <v>316</v>
      </c>
      <c r="F365" s="74" t="s">
        <v>145</v>
      </c>
      <c r="G365" s="71" t="s">
        <v>311</v>
      </c>
      <c r="H365" s="74" t="s">
        <v>386</v>
      </c>
      <c r="I365" s="75" t="s">
        <v>22</v>
      </c>
      <c r="J365" s="76">
        <v>0.7</v>
      </c>
      <c r="K365" s="75" t="s">
        <v>513</v>
      </c>
      <c r="L365" s="105" t="s">
        <v>511</v>
      </c>
      <c r="M365" s="75" t="s">
        <v>411</v>
      </c>
      <c r="N365" s="76">
        <v>0.95</v>
      </c>
      <c r="O365" s="76">
        <v>0.15</v>
      </c>
      <c r="P365" s="76"/>
      <c r="Q365" s="76">
        <f t="shared" si="10"/>
        <v>0</v>
      </c>
      <c r="R365" s="80">
        <f t="shared" si="11"/>
        <v>0</v>
      </c>
      <c r="S365" s="76" t="s">
        <v>23</v>
      </c>
      <c r="T365" s="189">
        <f>SUM(R365:R372)%</f>
        <v>0</v>
      </c>
    </row>
    <row r="366" spans="1:20" ht="21.6" hidden="1" x14ac:dyDescent="0.3">
      <c r="A366" s="182">
        <v>2072</v>
      </c>
      <c r="B366" s="42" t="s">
        <v>20</v>
      </c>
      <c r="C366" s="43" t="s">
        <v>267</v>
      </c>
      <c r="D366" s="50">
        <v>5637</v>
      </c>
      <c r="E366" s="42" t="s">
        <v>316</v>
      </c>
      <c r="F366" s="45" t="s">
        <v>145</v>
      </c>
      <c r="G366" s="42" t="s">
        <v>311</v>
      </c>
      <c r="H366" s="45" t="s">
        <v>386</v>
      </c>
      <c r="I366" s="7" t="s">
        <v>22</v>
      </c>
      <c r="J366" s="3">
        <v>0.7</v>
      </c>
      <c r="K366" s="7" t="s">
        <v>124</v>
      </c>
      <c r="L366" s="8" t="s">
        <v>125</v>
      </c>
      <c r="M366" s="7" t="s">
        <v>126</v>
      </c>
      <c r="N366" s="3">
        <v>0.95</v>
      </c>
      <c r="O366" s="3">
        <v>0.15</v>
      </c>
      <c r="P366" s="6"/>
      <c r="Q366" s="3">
        <f t="shared" si="10"/>
        <v>0</v>
      </c>
      <c r="R366" s="4">
        <f t="shared" si="11"/>
        <v>0</v>
      </c>
      <c r="S366" s="3" t="s">
        <v>23</v>
      </c>
      <c r="T366" s="190"/>
    </row>
    <row r="367" spans="1:20" ht="21.6" hidden="1" x14ac:dyDescent="0.3">
      <c r="A367" s="182">
        <v>2073</v>
      </c>
      <c r="B367" s="42" t="s">
        <v>20</v>
      </c>
      <c r="C367" s="43" t="s">
        <v>267</v>
      </c>
      <c r="D367" s="50">
        <v>5637</v>
      </c>
      <c r="E367" s="42" t="s">
        <v>316</v>
      </c>
      <c r="F367" s="45" t="s">
        <v>145</v>
      </c>
      <c r="G367" s="42" t="s">
        <v>311</v>
      </c>
      <c r="H367" s="45" t="s">
        <v>386</v>
      </c>
      <c r="I367" s="7" t="s">
        <v>22</v>
      </c>
      <c r="J367" s="3">
        <v>0.7</v>
      </c>
      <c r="K367" s="7" t="s">
        <v>51</v>
      </c>
      <c r="L367" s="8" t="s">
        <v>127</v>
      </c>
      <c r="M367" s="7" t="s">
        <v>128</v>
      </c>
      <c r="N367" s="6">
        <v>0.05</v>
      </c>
      <c r="O367" s="3">
        <v>0.1</v>
      </c>
      <c r="P367" s="11"/>
      <c r="Q367" s="3">
        <f t="shared" si="10"/>
        <v>0</v>
      </c>
      <c r="R367" s="4">
        <f t="shared" si="11"/>
        <v>0</v>
      </c>
      <c r="S367" s="3" t="s">
        <v>24</v>
      </c>
      <c r="T367" s="190"/>
    </row>
    <row r="368" spans="1:20" ht="21.6" hidden="1" x14ac:dyDescent="0.3">
      <c r="A368" s="182">
        <v>2074</v>
      </c>
      <c r="B368" s="42" t="s">
        <v>20</v>
      </c>
      <c r="C368" s="43" t="s">
        <v>267</v>
      </c>
      <c r="D368" s="50">
        <v>5637</v>
      </c>
      <c r="E368" s="42" t="s">
        <v>316</v>
      </c>
      <c r="F368" s="45" t="s">
        <v>145</v>
      </c>
      <c r="G368" s="42" t="s">
        <v>311</v>
      </c>
      <c r="H368" s="45" t="s">
        <v>386</v>
      </c>
      <c r="I368" s="7" t="s">
        <v>22</v>
      </c>
      <c r="J368" s="3">
        <v>0.7</v>
      </c>
      <c r="K368" s="7" t="s">
        <v>305</v>
      </c>
      <c r="L368" s="8" t="s">
        <v>257</v>
      </c>
      <c r="M368" s="339" t="s">
        <v>306</v>
      </c>
      <c r="N368" s="3">
        <v>0.95</v>
      </c>
      <c r="O368" s="3">
        <v>0.1</v>
      </c>
      <c r="P368" s="3"/>
      <c r="Q368" s="3">
        <f t="shared" si="10"/>
        <v>0</v>
      </c>
      <c r="R368" s="4">
        <f t="shared" si="11"/>
        <v>0</v>
      </c>
      <c r="S368" s="3" t="s">
        <v>23</v>
      </c>
      <c r="T368" s="190"/>
    </row>
    <row r="369" spans="1:20" ht="21.6" hidden="1" x14ac:dyDescent="0.3">
      <c r="A369" s="182">
        <v>2075</v>
      </c>
      <c r="B369" s="42" t="s">
        <v>20</v>
      </c>
      <c r="C369" s="43" t="s">
        <v>267</v>
      </c>
      <c r="D369" s="50">
        <v>5637</v>
      </c>
      <c r="E369" s="42" t="s">
        <v>316</v>
      </c>
      <c r="F369" s="45" t="s">
        <v>145</v>
      </c>
      <c r="G369" s="42" t="s">
        <v>311</v>
      </c>
      <c r="H369" s="45" t="s">
        <v>386</v>
      </c>
      <c r="I369" s="47" t="s">
        <v>22</v>
      </c>
      <c r="J369" s="3">
        <v>0.7</v>
      </c>
      <c r="K369" s="47" t="s">
        <v>129</v>
      </c>
      <c r="L369" s="30" t="s">
        <v>130</v>
      </c>
      <c r="M369" s="47" t="s">
        <v>131</v>
      </c>
      <c r="N369" s="3">
        <v>0.9</v>
      </c>
      <c r="O369" s="10">
        <v>0.2</v>
      </c>
      <c r="P369" s="3"/>
      <c r="Q369" s="3">
        <f t="shared" ref="Q369:Q440" si="12">ROUND(IF(OR(N369="",P369=""),0,IF(AND(N369=0,P369=0),1,IF(S369="+",P369/N369,N369/P369))),2)</f>
        <v>0</v>
      </c>
      <c r="R369" s="48">
        <f t="shared" si="11"/>
        <v>0</v>
      </c>
      <c r="S369" s="10" t="s">
        <v>23</v>
      </c>
      <c r="T369" s="191"/>
    </row>
    <row r="370" spans="1:20" ht="21.6" hidden="1" x14ac:dyDescent="0.3">
      <c r="A370" s="182">
        <v>2076</v>
      </c>
      <c r="B370" s="42" t="s">
        <v>20</v>
      </c>
      <c r="C370" s="43" t="s">
        <v>267</v>
      </c>
      <c r="D370" s="50">
        <v>5637</v>
      </c>
      <c r="E370" s="42" t="s">
        <v>316</v>
      </c>
      <c r="F370" s="45" t="s">
        <v>145</v>
      </c>
      <c r="G370" s="42" t="s">
        <v>311</v>
      </c>
      <c r="H370" s="45" t="s">
        <v>386</v>
      </c>
      <c r="I370" s="47" t="s">
        <v>22</v>
      </c>
      <c r="J370" s="3">
        <v>0.7</v>
      </c>
      <c r="K370" s="47" t="s">
        <v>132</v>
      </c>
      <c r="L370" s="30" t="s">
        <v>133</v>
      </c>
      <c r="M370" s="47" t="s">
        <v>134</v>
      </c>
      <c r="N370" s="4">
        <v>0</v>
      </c>
      <c r="O370" s="10">
        <v>0.1</v>
      </c>
      <c r="P370" s="3"/>
      <c r="Q370" s="3">
        <f t="shared" si="12"/>
        <v>0</v>
      </c>
      <c r="R370" s="48">
        <f t="shared" si="11"/>
        <v>0</v>
      </c>
      <c r="S370" s="10" t="s">
        <v>24</v>
      </c>
      <c r="T370" s="191"/>
    </row>
    <row r="371" spans="1:20" ht="21.6" hidden="1" x14ac:dyDescent="0.3">
      <c r="A371" s="182">
        <v>2077</v>
      </c>
      <c r="B371" s="42" t="s">
        <v>20</v>
      </c>
      <c r="C371" s="43" t="s">
        <v>267</v>
      </c>
      <c r="D371" s="50">
        <v>5637</v>
      </c>
      <c r="E371" s="42" t="s">
        <v>316</v>
      </c>
      <c r="F371" s="45" t="s">
        <v>145</v>
      </c>
      <c r="G371" s="42" t="s">
        <v>311</v>
      </c>
      <c r="H371" s="45" t="s">
        <v>386</v>
      </c>
      <c r="I371" s="47" t="s">
        <v>22</v>
      </c>
      <c r="J371" s="3">
        <v>0.7</v>
      </c>
      <c r="K371" s="47" t="s">
        <v>135</v>
      </c>
      <c r="L371" s="30" t="s">
        <v>136</v>
      </c>
      <c r="M371" s="47" t="s">
        <v>137</v>
      </c>
      <c r="N371" s="3">
        <v>0.9</v>
      </c>
      <c r="O371" s="10">
        <v>0.2</v>
      </c>
      <c r="P371" s="51"/>
      <c r="Q371" s="3">
        <f t="shared" si="12"/>
        <v>0</v>
      </c>
      <c r="R371" s="48">
        <f t="shared" si="11"/>
        <v>0</v>
      </c>
      <c r="S371" s="10" t="s">
        <v>23</v>
      </c>
      <c r="T371" s="191"/>
    </row>
    <row r="372" spans="1:20" ht="22.2" hidden="1" thickBot="1" x14ac:dyDescent="0.35">
      <c r="A372" s="267">
        <v>2078</v>
      </c>
      <c r="B372" s="268" t="s">
        <v>20</v>
      </c>
      <c r="C372" s="269" t="s">
        <v>267</v>
      </c>
      <c r="D372" s="290">
        <v>5637</v>
      </c>
      <c r="E372" s="268" t="s">
        <v>316</v>
      </c>
      <c r="F372" s="271" t="s">
        <v>145</v>
      </c>
      <c r="G372" s="268" t="s">
        <v>311</v>
      </c>
      <c r="H372" s="271" t="s">
        <v>386</v>
      </c>
      <c r="I372" s="272" t="s">
        <v>26</v>
      </c>
      <c r="J372" s="273">
        <v>0.3</v>
      </c>
      <c r="K372" s="272" t="s">
        <v>138</v>
      </c>
      <c r="L372" s="291" t="s">
        <v>139</v>
      </c>
      <c r="M372" s="272" t="s">
        <v>140</v>
      </c>
      <c r="N372" s="273">
        <v>1</v>
      </c>
      <c r="O372" s="276">
        <v>1</v>
      </c>
      <c r="P372" s="273"/>
      <c r="Q372" s="273">
        <f t="shared" si="12"/>
        <v>0</v>
      </c>
      <c r="R372" s="287">
        <f t="shared" si="11"/>
        <v>0</v>
      </c>
      <c r="S372" s="276" t="s">
        <v>23</v>
      </c>
      <c r="T372" s="277"/>
    </row>
    <row r="373" spans="1:20" ht="21.6" hidden="1" x14ac:dyDescent="0.3">
      <c r="A373" s="181">
        <v>2070</v>
      </c>
      <c r="B373" s="71" t="s">
        <v>20</v>
      </c>
      <c r="C373" s="72" t="s">
        <v>267</v>
      </c>
      <c r="D373" s="112">
        <v>3667</v>
      </c>
      <c r="E373" s="71" t="s">
        <v>313</v>
      </c>
      <c r="F373" s="74" t="s">
        <v>143</v>
      </c>
      <c r="G373" s="71" t="s">
        <v>311</v>
      </c>
      <c r="H373" s="74" t="s">
        <v>386</v>
      </c>
      <c r="I373" s="75" t="s">
        <v>22</v>
      </c>
      <c r="J373" s="76">
        <v>0.7</v>
      </c>
      <c r="K373" s="75" t="s">
        <v>513</v>
      </c>
      <c r="L373" s="105" t="s">
        <v>511</v>
      </c>
      <c r="M373" s="75" t="s">
        <v>411</v>
      </c>
      <c r="N373" s="76">
        <v>0.95</v>
      </c>
      <c r="O373" s="76">
        <v>0.15</v>
      </c>
      <c r="P373" s="76"/>
      <c r="Q373" s="76">
        <f t="shared" si="12"/>
        <v>0</v>
      </c>
      <c r="R373" s="80">
        <f t="shared" si="11"/>
        <v>0</v>
      </c>
      <c r="S373" s="76" t="s">
        <v>23</v>
      </c>
      <c r="T373" s="189">
        <f>SUM(R373:R380)%</f>
        <v>0</v>
      </c>
    </row>
    <row r="374" spans="1:20" ht="21.6" hidden="1" x14ac:dyDescent="0.3">
      <c r="A374" s="182">
        <v>2072</v>
      </c>
      <c r="B374" s="42" t="s">
        <v>20</v>
      </c>
      <c r="C374" s="43" t="s">
        <v>267</v>
      </c>
      <c r="D374" s="50">
        <v>3667</v>
      </c>
      <c r="E374" s="42" t="s">
        <v>313</v>
      </c>
      <c r="F374" s="45" t="s">
        <v>143</v>
      </c>
      <c r="G374" s="42" t="s">
        <v>311</v>
      </c>
      <c r="H374" s="45" t="s">
        <v>386</v>
      </c>
      <c r="I374" s="7" t="s">
        <v>22</v>
      </c>
      <c r="J374" s="3">
        <v>0.7</v>
      </c>
      <c r="K374" s="7" t="s">
        <v>124</v>
      </c>
      <c r="L374" s="8" t="s">
        <v>125</v>
      </c>
      <c r="M374" s="7" t="s">
        <v>126</v>
      </c>
      <c r="N374" s="3">
        <v>0.95</v>
      </c>
      <c r="O374" s="3">
        <v>0.15</v>
      </c>
      <c r="P374" s="6"/>
      <c r="Q374" s="3">
        <f t="shared" si="12"/>
        <v>0</v>
      </c>
      <c r="R374" s="4">
        <f t="shared" si="11"/>
        <v>0</v>
      </c>
      <c r="S374" s="3" t="s">
        <v>23</v>
      </c>
      <c r="T374" s="190"/>
    </row>
    <row r="375" spans="1:20" ht="21.6" hidden="1" x14ac:dyDescent="0.3">
      <c r="A375" s="182">
        <v>2073</v>
      </c>
      <c r="B375" s="42" t="s">
        <v>20</v>
      </c>
      <c r="C375" s="43" t="s">
        <v>267</v>
      </c>
      <c r="D375" s="50">
        <v>3667</v>
      </c>
      <c r="E375" s="42" t="s">
        <v>313</v>
      </c>
      <c r="F375" s="45" t="s">
        <v>143</v>
      </c>
      <c r="G375" s="42" t="s">
        <v>311</v>
      </c>
      <c r="H375" s="45" t="s">
        <v>386</v>
      </c>
      <c r="I375" s="7" t="s">
        <v>22</v>
      </c>
      <c r="J375" s="3">
        <v>0.7</v>
      </c>
      <c r="K375" s="7" t="s">
        <v>51</v>
      </c>
      <c r="L375" s="8" t="s">
        <v>127</v>
      </c>
      <c r="M375" s="7" t="s">
        <v>128</v>
      </c>
      <c r="N375" s="6">
        <v>0.05</v>
      </c>
      <c r="O375" s="3">
        <v>0.1</v>
      </c>
      <c r="P375" s="11"/>
      <c r="Q375" s="3">
        <f t="shared" si="12"/>
        <v>0</v>
      </c>
      <c r="R375" s="4">
        <f t="shared" si="11"/>
        <v>0</v>
      </c>
      <c r="S375" s="3" t="s">
        <v>24</v>
      </c>
      <c r="T375" s="190"/>
    </row>
    <row r="376" spans="1:20" ht="21.6" hidden="1" x14ac:dyDescent="0.3">
      <c r="A376" s="182">
        <v>2074</v>
      </c>
      <c r="B376" s="42" t="s">
        <v>20</v>
      </c>
      <c r="C376" s="43" t="s">
        <v>267</v>
      </c>
      <c r="D376" s="50">
        <v>3667</v>
      </c>
      <c r="E376" s="42" t="s">
        <v>313</v>
      </c>
      <c r="F376" s="45" t="s">
        <v>143</v>
      </c>
      <c r="G376" s="42" t="s">
        <v>311</v>
      </c>
      <c r="H376" s="45" t="s">
        <v>386</v>
      </c>
      <c r="I376" s="7" t="s">
        <v>22</v>
      </c>
      <c r="J376" s="3">
        <v>0.7</v>
      </c>
      <c r="K376" s="7" t="s">
        <v>305</v>
      </c>
      <c r="L376" s="8" t="s">
        <v>257</v>
      </c>
      <c r="M376" s="339" t="s">
        <v>306</v>
      </c>
      <c r="N376" s="3">
        <v>0.95</v>
      </c>
      <c r="O376" s="3">
        <v>0.1</v>
      </c>
      <c r="P376" s="3"/>
      <c r="Q376" s="3">
        <f t="shared" si="12"/>
        <v>0</v>
      </c>
      <c r="R376" s="4">
        <f t="shared" si="11"/>
        <v>0</v>
      </c>
      <c r="S376" s="3" t="s">
        <v>23</v>
      </c>
      <c r="T376" s="190"/>
    </row>
    <row r="377" spans="1:20" ht="21.6" hidden="1" x14ac:dyDescent="0.3">
      <c r="A377" s="182">
        <v>2075</v>
      </c>
      <c r="B377" s="42" t="s">
        <v>20</v>
      </c>
      <c r="C377" s="43" t="s">
        <v>267</v>
      </c>
      <c r="D377" s="50">
        <v>3667</v>
      </c>
      <c r="E377" s="42" t="s">
        <v>313</v>
      </c>
      <c r="F377" s="45" t="s">
        <v>143</v>
      </c>
      <c r="G377" s="42" t="s">
        <v>311</v>
      </c>
      <c r="H377" s="45" t="s">
        <v>386</v>
      </c>
      <c r="I377" s="47" t="s">
        <v>22</v>
      </c>
      <c r="J377" s="3">
        <v>0.7</v>
      </c>
      <c r="K377" s="47" t="s">
        <v>129</v>
      </c>
      <c r="L377" s="30" t="s">
        <v>130</v>
      </c>
      <c r="M377" s="47" t="s">
        <v>131</v>
      </c>
      <c r="N377" s="3">
        <v>0.9</v>
      </c>
      <c r="O377" s="10">
        <v>0.2</v>
      </c>
      <c r="P377" s="3"/>
      <c r="Q377" s="3">
        <f t="shared" si="12"/>
        <v>0</v>
      </c>
      <c r="R377" s="48">
        <f t="shared" si="11"/>
        <v>0</v>
      </c>
      <c r="S377" s="10" t="s">
        <v>23</v>
      </c>
      <c r="T377" s="191"/>
    </row>
    <row r="378" spans="1:20" ht="21.6" hidden="1" x14ac:dyDescent="0.3">
      <c r="A378" s="182">
        <v>2076</v>
      </c>
      <c r="B378" s="42" t="s">
        <v>20</v>
      </c>
      <c r="C378" s="43" t="s">
        <v>267</v>
      </c>
      <c r="D378" s="50">
        <v>3667</v>
      </c>
      <c r="E378" s="42" t="s">
        <v>313</v>
      </c>
      <c r="F378" s="45" t="s">
        <v>143</v>
      </c>
      <c r="G378" s="42" t="s">
        <v>311</v>
      </c>
      <c r="H378" s="45" t="s">
        <v>386</v>
      </c>
      <c r="I378" s="47" t="s">
        <v>22</v>
      </c>
      <c r="J378" s="3">
        <v>0.7</v>
      </c>
      <c r="K378" s="47" t="s">
        <v>132</v>
      </c>
      <c r="L378" s="30" t="s">
        <v>133</v>
      </c>
      <c r="M378" s="47" t="s">
        <v>134</v>
      </c>
      <c r="N378" s="4">
        <v>0</v>
      </c>
      <c r="O378" s="10">
        <v>0.1</v>
      </c>
      <c r="P378" s="3"/>
      <c r="Q378" s="3">
        <f t="shared" si="12"/>
        <v>0</v>
      </c>
      <c r="R378" s="48">
        <f t="shared" si="11"/>
        <v>0</v>
      </c>
      <c r="S378" s="10" t="s">
        <v>24</v>
      </c>
      <c r="T378" s="191"/>
    </row>
    <row r="379" spans="1:20" ht="21.6" hidden="1" x14ac:dyDescent="0.3">
      <c r="A379" s="182">
        <v>2077</v>
      </c>
      <c r="B379" s="42" t="s">
        <v>20</v>
      </c>
      <c r="C379" s="43" t="s">
        <v>267</v>
      </c>
      <c r="D379" s="50">
        <v>3667</v>
      </c>
      <c r="E379" s="42" t="s">
        <v>313</v>
      </c>
      <c r="F379" s="45" t="s">
        <v>143</v>
      </c>
      <c r="G379" s="42" t="s">
        <v>311</v>
      </c>
      <c r="H379" s="45" t="s">
        <v>386</v>
      </c>
      <c r="I379" s="47" t="s">
        <v>22</v>
      </c>
      <c r="J379" s="3">
        <v>0.7</v>
      </c>
      <c r="K379" s="47" t="s">
        <v>135</v>
      </c>
      <c r="L379" s="30" t="s">
        <v>136</v>
      </c>
      <c r="M379" s="47" t="s">
        <v>137</v>
      </c>
      <c r="N379" s="3">
        <v>0.9</v>
      </c>
      <c r="O379" s="10">
        <v>0.2</v>
      </c>
      <c r="P379" s="51"/>
      <c r="Q379" s="3">
        <f t="shared" si="12"/>
        <v>0</v>
      </c>
      <c r="R379" s="48">
        <f t="shared" si="11"/>
        <v>0</v>
      </c>
      <c r="S379" s="10" t="s">
        <v>23</v>
      </c>
      <c r="T379" s="191"/>
    </row>
    <row r="380" spans="1:20" ht="22.2" hidden="1" thickBot="1" x14ac:dyDescent="0.35">
      <c r="A380" s="267">
        <v>2078</v>
      </c>
      <c r="B380" s="268" t="s">
        <v>20</v>
      </c>
      <c r="C380" s="269" t="s">
        <v>267</v>
      </c>
      <c r="D380" s="290">
        <v>3667</v>
      </c>
      <c r="E380" s="268" t="s">
        <v>313</v>
      </c>
      <c r="F380" s="271" t="s">
        <v>143</v>
      </c>
      <c r="G380" s="268" t="s">
        <v>311</v>
      </c>
      <c r="H380" s="271" t="s">
        <v>386</v>
      </c>
      <c r="I380" s="272" t="s">
        <v>26</v>
      </c>
      <c r="J380" s="273">
        <v>0.3</v>
      </c>
      <c r="K380" s="272" t="s">
        <v>138</v>
      </c>
      <c r="L380" s="291" t="s">
        <v>139</v>
      </c>
      <c r="M380" s="272" t="s">
        <v>140</v>
      </c>
      <c r="N380" s="273">
        <v>1</v>
      </c>
      <c r="O380" s="276">
        <v>1</v>
      </c>
      <c r="P380" s="273"/>
      <c r="Q380" s="273">
        <f t="shared" si="12"/>
        <v>0</v>
      </c>
      <c r="R380" s="287">
        <f t="shared" si="11"/>
        <v>0</v>
      </c>
      <c r="S380" s="276" t="s">
        <v>23</v>
      </c>
      <c r="T380" s="277"/>
    </row>
    <row r="381" spans="1:20" ht="21.6" hidden="1" x14ac:dyDescent="0.3">
      <c r="A381" s="181">
        <v>2070</v>
      </c>
      <c r="B381" s="71" t="s">
        <v>20</v>
      </c>
      <c r="C381" s="72" t="s">
        <v>267</v>
      </c>
      <c r="D381" s="112">
        <v>3667</v>
      </c>
      <c r="E381" s="71" t="s">
        <v>314</v>
      </c>
      <c r="F381" s="74" t="s">
        <v>143</v>
      </c>
      <c r="G381" s="71" t="s">
        <v>311</v>
      </c>
      <c r="H381" s="74" t="s">
        <v>386</v>
      </c>
      <c r="I381" s="75" t="s">
        <v>22</v>
      </c>
      <c r="J381" s="76">
        <v>0.7</v>
      </c>
      <c r="K381" s="75" t="s">
        <v>513</v>
      </c>
      <c r="L381" s="105" t="s">
        <v>511</v>
      </c>
      <c r="M381" s="75" t="s">
        <v>411</v>
      </c>
      <c r="N381" s="76">
        <v>0.95</v>
      </c>
      <c r="O381" s="76">
        <v>0.15</v>
      </c>
      <c r="P381" s="76"/>
      <c r="Q381" s="76">
        <f t="shared" si="12"/>
        <v>0</v>
      </c>
      <c r="R381" s="80">
        <f t="shared" si="11"/>
        <v>0</v>
      </c>
      <c r="S381" s="76" t="s">
        <v>23</v>
      </c>
      <c r="T381" s="189">
        <f>SUM(R381:R388)%</f>
        <v>0</v>
      </c>
    </row>
    <row r="382" spans="1:20" ht="21.6" hidden="1" x14ac:dyDescent="0.3">
      <c r="A382" s="182">
        <v>2072</v>
      </c>
      <c r="B382" s="42" t="s">
        <v>20</v>
      </c>
      <c r="C382" s="43" t="s">
        <v>267</v>
      </c>
      <c r="D382" s="50">
        <v>3667</v>
      </c>
      <c r="E382" s="42" t="s">
        <v>314</v>
      </c>
      <c r="F382" s="45" t="s">
        <v>143</v>
      </c>
      <c r="G382" s="42" t="s">
        <v>311</v>
      </c>
      <c r="H382" s="45" t="s">
        <v>386</v>
      </c>
      <c r="I382" s="7" t="s">
        <v>22</v>
      </c>
      <c r="J382" s="3">
        <v>0.7</v>
      </c>
      <c r="K382" s="7" t="s">
        <v>124</v>
      </c>
      <c r="L382" s="8" t="s">
        <v>125</v>
      </c>
      <c r="M382" s="7" t="s">
        <v>126</v>
      </c>
      <c r="N382" s="3">
        <v>0.95</v>
      </c>
      <c r="O382" s="3">
        <v>0.15</v>
      </c>
      <c r="P382" s="6"/>
      <c r="Q382" s="3">
        <f t="shared" si="12"/>
        <v>0</v>
      </c>
      <c r="R382" s="4">
        <f t="shared" si="11"/>
        <v>0</v>
      </c>
      <c r="S382" s="3" t="s">
        <v>23</v>
      </c>
      <c r="T382" s="190"/>
    </row>
    <row r="383" spans="1:20" ht="21.6" hidden="1" x14ac:dyDescent="0.3">
      <c r="A383" s="182">
        <v>2073</v>
      </c>
      <c r="B383" s="42" t="s">
        <v>20</v>
      </c>
      <c r="C383" s="43" t="s">
        <v>267</v>
      </c>
      <c r="D383" s="50">
        <v>3667</v>
      </c>
      <c r="E383" s="42" t="s">
        <v>314</v>
      </c>
      <c r="F383" s="45" t="s">
        <v>143</v>
      </c>
      <c r="G383" s="42" t="s">
        <v>311</v>
      </c>
      <c r="H383" s="45" t="s">
        <v>386</v>
      </c>
      <c r="I383" s="7" t="s">
        <v>22</v>
      </c>
      <c r="J383" s="3">
        <v>0.7</v>
      </c>
      <c r="K383" s="7" t="s">
        <v>51</v>
      </c>
      <c r="L383" s="8" t="s">
        <v>127</v>
      </c>
      <c r="M383" s="7" t="s">
        <v>128</v>
      </c>
      <c r="N383" s="6">
        <v>0.05</v>
      </c>
      <c r="O383" s="3">
        <v>0.1</v>
      </c>
      <c r="P383" s="11"/>
      <c r="Q383" s="3">
        <f t="shared" si="12"/>
        <v>0</v>
      </c>
      <c r="R383" s="4">
        <f t="shared" si="11"/>
        <v>0</v>
      </c>
      <c r="S383" s="3" t="s">
        <v>24</v>
      </c>
      <c r="T383" s="190"/>
    </row>
    <row r="384" spans="1:20" ht="21.6" hidden="1" x14ac:dyDescent="0.3">
      <c r="A384" s="182">
        <v>2074</v>
      </c>
      <c r="B384" s="42" t="s">
        <v>20</v>
      </c>
      <c r="C384" s="43" t="s">
        <v>267</v>
      </c>
      <c r="D384" s="50">
        <v>3667</v>
      </c>
      <c r="E384" s="42" t="s">
        <v>314</v>
      </c>
      <c r="F384" s="45" t="s">
        <v>143</v>
      </c>
      <c r="G384" s="42" t="s">
        <v>311</v>
      </c>
      <c r="H384" s="45" t="s">
        <v>386</v>
      </c>
      <c r="I384" s="7" t="s">
        <v>22</v>
      </c>
      <c r="J384" s="3">
        <v>0.7</v>
      </c>
      <c r="K384" s="7" t="s">
        <v>305</v>
      </c>
      <c r="L384" s="8" t="s">
        <v>257</v>
      </c>
      <c r="M384" s="339" t="s">
        <v>306</v>
      </c>
      <c r="N384" s="3">
        <v>0.95</v>
      </c>
      <c r="O384" s="3">
        <v>0.1</v>
      </c>
      <c r="P384" s="3"/>
      <c r="Q384" s="3">
        <f t="shared" si="12"/>
        <v>0</v>
      </c>
      <c r="R384" s="4">
        <f t="shared" si="11"/>
        <v>0</v>
      </c>
      <c r="S384" s="3" t="s">
        <v>23</v>
      </c>
      <c r="T384" s="190"/>
    </row>
    <row r="385" spans="1:20" ht="21.6" hidden="1" x14ac:dyDescent="0.3">
      <c r="A385" s="182">
        <v>2075</v>
      </c>
      <c r="B385" s="42" t="s">
        <v>20</v>
      </c>
      <c r="C385" s="43" t="s">
        <v>267</v>
      </c>
      <c r="D385" s="50">
        <v>3667</v>
      </c>
      <c r="E385" s="42" t="s">
        <v>314</v>
      </c>
      <c r="F385" s="45" t="s">
        <v>143</v>
      </c>
      <c r="G385" s="42" t="s">
        <v>311</v>
      </c>
      <c r="H385" s="45" t="s">
        <v>386</v>
      </c>
      <c r="I385" s="47" t="s">
        <v>22</v>
      </c>
      <c r="J385" s="3">
        <v>0.7</v>
      </c>
      <c r="K385" s="47" t="s">
        <v>129</v>
      </c>
      <c r="L385" s="30" t="s">
        <v>130</v>
      </c>
      <c r="M385" s="47" t="s">
        <v>131</v>
      </c>
      <c r="N385" s="3">
        <v>0.9</v>
      </c>
      <c r="O385" s="10">
        <v>0.2</v>
      </c>
      <c r="P385" s="3"/>
      <c r="Q385" s="3">
        <f t="shared" si="12"/>
        <v>0</v>
      </c>
      <c r="R385" s="48">
        <f t="shared" si="11"/>
        <v>0</v>
      </c>
      <c r="S385" s="10" t="s">
        <v>23</v>
      </c>
      <c r="T385" s="191"/>
    </row>
    <row r="386" spans="1:20" ht="21.6" hidden="1" x14ac:dyDescent="0.3">
      <c r="A386" s="182">
        <v>2076</v>
      </c>
      <c r="B386" s="42" t="s">
        <v>20</v>
      </c>
      <c r="C386" s="43" t="s">
        <v>267</v>
      </c>
      <c r="D386" s="50">
        <v>3667</v>
      </c>
      <c r="E386" s="42" t="s">
        <v>314</v>
      </c>
      <c r="F386" s="45" t="s">
        <v>143</v>
      </c>
      <c r="G386" s="42" t="s">
        <v>311</v>
      </c>
      <c r="H386" s="45" t="s">
        <v>386</v>
      </c>
      <c r="I386" s="47" t="s">
        <v>22</v>
      </c>
      <c r="J386" s="3">
        <v>0.7</v>
      </c>
      <c r="K386" s="47" t="s">
        <v>132</v>
      </c>
      <c r="L386" s="30" t="s">
        <v>133</v>
      </c>
      <c r="M386" s="47" t="s">
        <v>134</v>
      </c>
      <c r="N386" s="4">
        <v>0</v>
      </c>
      <c r="O386" s="10">
        <v>0.1</v>
      </c>
      <c r="P386" s="3"/>
      <c r="Q386" s="3">
        <f t="shared" si="12"/>
        <v>0</v>
      </c>
      <c r="R386" s="48">
        <f t="shared" si="11"/>
        <v>0</v>
      </c>
      <c r="S386" s="10" t="s">
        <v>24</v>
      </c>
      <c r="T386" s="191"/>
    </row>
    <row r="387" spans="1:20" ht="21.6" hidden="1" x14ac:dyDescent="0.3">
      <c r="A387" s="182">
        <v>2077</v>
      </c>
      <c r="B387" s="42" t="s">
        <v>20</v>
      </c>
      <c r="C387" s="43" t="s">
        <v>267</v>
      </c>
      <c r="D387" s="50">
        <v>3667</v>
      </c>
      <c r="E387" s="42" t="s">
        <v>314</v>
      </c>
      <c r="F387" s="45" t="s">
        <v>143</v>
      </c>
      <c r="G387" s="42" t="s">
        <v>311</v>
      </c>
      <c r="H387" s="45" t="s">
        <v>386</v>
      </c>
      <c r="I387" s="47" t="s">
        <v>22</v>
      </c>
      <c r="J387" s="3">
        <v>0.7</v>
      </c>
      <c r="K387" s="47" t="s">
        <v>135</v>
      </c>
      <c r="L387" s="30" t="s">
        <v>136</v>
      </c>
      <c r="M387" s="47" t="s">
        <v>137</v>
      </c>
      <c r="N387" s="3">
        <v>0.9</v>
      </c>
      <c r="O387" s="10">
        <v>0.2</v>
      </c>
      <c r="P387" s="51"/>
      <c r="Q387" s="3">
        <f t="shared" si="12"/>
        <v>0</v>
      </c>
      <c r="R387" s="48">
        <f t="shared" ref="R387:R458" si="13">IF(AND(Q387&gt;=60%,Q387&lt;100%),Q387*((O387*J387)),IF(Q387=100%,((O387*J387)*Q387)*100%,IF(Q387&gt;100%,((J387*O387)*100%)*100%,0)))*100</f>
        <v>0</v>
      </c>
      <c r="S387" s="10" t="s">
        <v>23</v>
      </c>
      <c r="T387" s="191"/>
    </row>
    <row r="388" spans="1:20" ht="22.2" hidden="1" thickBot="1" x14ac:dyDescent="0.35">
      <c r="A388" s="267">
        <v>2078</v>
      </c>
      <c r="B388" s="268" t="s">
        <v>20</v>
      </c>
      <c r="C388" s="269" t="s">
        <v>267</v>
      </c>
      <c r="D388" s="290">
        <v>3667</v>
      </c>
      <c r="E388" s="268" t="s">
        <v>314</v>
      </c>
      <c r="F388" s="271" t="s">
        <v>143</v>
      </c>
      <c r="G388" s="268" t="s">
        <v>311</v>
      </c>
      <c r="H388" s="271" t="s">
        <v>386</v>
      </c>
      <c r="I388" s="272" t="s">
        <v>26</v>
      </c>
      <c r="J388" s="273">
        <v>0.3</v>
      </c>
      <c r="K388" s="272" t="s">
        <v>138</v>
      </c>
      <c r="L388" s="291" t="s">
        <v>139</v>
      </c>
      <c r="M388" s="272" t="s">
        <v>140</v>
      </c>
      <c r="N388" s="273">
        <v>1</v>
      </c>
      <c r="O388" s="276">
        <v>1</v>
      </c>
      <c r="P388" s="273"/>
      <c r="Q388" s="273">
        <f t="shared" si="12"/>
        <v>0</v>
      </c>
      <c r="R388" s="287">
        <f t="shared" si="13"/>
        <v>0</v>
      </c>
      <c r="S388" s="276" t="s">
        <v>23</v>
      </c>
      <c r="T388" s="277"/>
    </row>
    <row r="389" spans="1:20" ht="21.6" hidden="1" x14ac:dyDescent="0.3">
      <c r="A389" s="181">
        <v>2070</v>
      </c>
      <c r="B389" s="71" t="s">
        <v>20</v>
      </c>
      <c r="C389" s="72" t="s">
        <v>267</v>
      </c>
      <c r="D389" s="112">
        <v>5488</v>
      </c>
      <c r="E389" s="71" t="s">
        <v>507</v>
      </c>
      <c r="F389" s="74" t="s">
        <v>143</v>
      </c>
      <c r="G389" s="71" t="s">
        <v>311</v>
      </c>
      <c r="H389" s="74" t="s">
        <v>386</v>
      </c>
      <c r="I389" s="75" t="s">
        <v>22</v>
      </c>
      <c r="J389" s="76">
        <v>0.7</v>
      </c>
      <c r="K389" s="75" t="s">
        <v>513</v>
      </c>
      <c r="L389" s="105" t="s">
        <v>511</v>
      </c>
      <c r="M389" s="75" t="s">
        <v>411</v>
      </c>
      <c r="N389" s="76">
        <v>0.95</v>
      </c>
      <c r="O389" s="76">
        <v>0.15</v>
      </c>
      <c r="P389" s="76"/>
      <c r="Q389" s="76">
        <f t="shared" si="12"/>
        <v>0</v>
      </c>
      <c r="R389" s="80">
        <f t="shared" si="13"/>
        <v>0</v>
      </c>
      <c r="S389" s="76" t="s">
        <v>23</v>
      </c>
      <c r="T389" s="189">
        <f>SUM(R389:R396)%</f>
        <v>0</v>
      </c>
    </row>
    <row r="390" spans="1:20" ht="21.6" hidden="1" x14ac:dyDescent="0.3">
      <c r="A390" s="182">
        <v>2072</v>
      </c>
      <c r="B390" s="42" t="s">
        <v>20</v>
      </c>
      <c r="C390" s="43" t="s">
        <v>267</v>
      </c>
      <c r="D390" s="50">
        <v>5488</v>
      </c>
      <c r="E390" s="42" t="s">
        <v>507</v>
      </c>
      <c r="F390" s="45" t="s">
        <v>143</v>
      </c>
      <c r="G390" s="42" t="s">
        <v>311</v>
      </c>
      <c r="H390" s="45" t="s">
        <v>386</v>
      </c>
      <c r="I390" s="7" t="s">
        <v>22</v>
      </c>
      <c r="J390" s="3">
        <v>0.7</v>
      </c>
      <c r="K390" s="7" t="s">
        <v>124</v>
      </c>
      <c r="L390" s="8" t="s">
        <v>125</v>
      </c>
      <c r="M390" s="7" t="s">
        <v>126</v>
      </c>
      <c r="N390" s="3">
        <v>0.95</v>
      </c>
      <c r="O390" s="3">
        <v>0.15</v>
      </c>
      <c r="P390" s="6"/>
      <c r="Q390" s="3">
        <f t="shared" si="12"/>
        <v>0</v>
      </c>
      <c r="R390" s="4">
        <f t="shared" si="13"/>
        <v>0</v>
      </c>
      <c r="S390" s="3" t="s">
        <v>23</v>
      </c>
      <c r="T390" s="190"/>
    </row>
    <row r="391" spans="1:20" ht="21.6" hidden="1" x14ac:dyDescent="0.3">
      <c r="A391" s="182">
        <v>2073</v>
      </c>
      <c r="B391" s="42" t="s">
        <v>20</v>
      </c>
      <c r="C391" s="43" t="s">
        <v>267</v>
      </c>
      <c r="D391" s="50">
        <v>5488</v>
      </c>
      <c r="E391" s="42" t="s">
        <v>507</v>
      </c>
      <c r="F391" s="45" t="s">
        <v>143</v>
      </c>
      <c r="G391" s="42" t="s">
        <v>311</v>
      </c>
      <c r="H391" s="45" t="s">
        <v>386</v>
      </c>
      <c r="I391" s="7" t="s">
        <v>22</v>
      </c>
      <c r="J391" s="3">
        <v>0.7</v>
      </c>
      <c r="K391" s="7" t="s">
        <v>51</v>
      </c>
      <c r="L391" s="8" t="s">
        <v>127</v>
      </c>
      <c r="M391" s="7" t="s">
        <v>128</v>
      </c>
      <c r="N391" s="6">
        <v>0.05</v>
      </c>
      <c r="O391" s="3">
        <v>0.1</v>
      </c>
      <c r="P391" s="11"/>
      <c r="Q391" s="3">
        <f t="shared" si="12"/>
        <v>0</v>
      </c>
      <c r="R391" s="4">
        <f t="shared" si="13"/>
        <v>0</v>
      </c>
      <c r="S391" s="3" t="s">
        <v>24</v>
      </c>
      <c r="T391" s="190"/>
    </row>
    <row r="392" spans="1:20" ht="21.6" hidden="1" x14ac:dyDescent="0.3">
      <c r="A392" s="182">
        <v>2074</v>
      </c>
      <c r="B392" s="42" t="s">
        <v>20</v>
      </c>
      <c r="C392" s="43" t="s">
        <v>267</v>
      </c>
      <c r="D392" s="50">
        <v>5488</v>
      </c>
      <c r="E392" s="42" t="s">
        <v>507</v>
      </c>
      <c r="F392" s="45" t="s">
        <v>143</v>
      </c>
      <c r="G392" s="42" t="s">
        <v>311</v>
      </c>
      <c r="H392" s="45" t="s">
        <v>386</v>
      </c>
      <c r="I392" s="7" t="s">
        <v>22</v>
      </c>
      <c r="J392" s="3">
        <v>0.7</v>
      </c>
      <c r="K392" s="7" t="s">
        <v>305</v>
      </c>
      <c r="L392" s="8" t="s">
        <v>257</v>
      </c>
      <c r="M392" s="339" t="s">
        <v>306</v>
      </c>
      <c r="N392" s="3">
        <v>0.95</v>
      </c>
      <c r="O392" s="3">
        <v>0.1</v>
      </c>
      <c r="P392" s="3"/>
      <c r="Q392" s="3">
        <f t="shared" si="12"/>
        <v>0</v>
      </c>
      <c r="R392" s="4">
        <f t="shared" si="13"/>
        <v>0</v>
      </c>
      <c r="S392" s="3" t="s">
        <v>23</v>
      </c>
      <c r="T392" s="190"/>
    </row>
    <row r="393" spans="1:20" ht="21.6" hidden="1" x14ac:dyDescent="0.3">
      <c r="A393" s="182">
        <v>2075</v>
      </c>
      <c r="B393" s="42" t="s">
        <v>20</v>
      </c>
      <c r="C393" s="43" t="s">
        <v>267</v>
      </c>
      <c r="D393" s="50">
        <v>5488</v>
      </c>
      <c r="E393" s="42" t="s">
        <v>507</v>
      </c>
      <c r="F393" s="45" t="s">
        <v>143</v>
      </c>
      <c r="G393" s="42" t="s">
        <v>311</v>
      </c>
      <c r="H393" s="45" t="s">
        <v>386</v>
      </c>
      <c r="I393" s="47" t="s">
        <v>22</v>
      </c>
      <c r="J393" s="3">
        <v>0.7</v>
      </c>
      <c r="K393" s="47" t="s">
        <v>129</v>
      </c>
      <c r="L393" s="30" t="s">
        <v>130</v>
      </c>
      <c r="M393" s="47" t="s">
        <v>131</v>
      </c>
      <c r="N393" s="3">
        <v>0.9</v>
      </c>
      <c r="O393" s="10">
        <v>0.2</v>
      </c>
      <c r="P393" s="3"/>
      <c r="Q393" s="3">
        <f t="shared" si="12"/>
        <v>0</v>
      </c>
      <c r="R393" s="48">
        <f t="shared" si="13"/>
        <v>0</v>
      </c>
      <c r="S393" s="10" t="s">
        <v>23</v>
      </c>
      <c r="T393" s="191"/>
    </row>
    <row r="394" spans="1:20" ht="21.6" hidden="1" x14ac:dyDescent="0.3">
      <c r="A394" s="182">
        <v>2076</v>
      </c>
      <c r="B394" s="42" t="s">
        <v>20</v>
      </c>
      <c r="C394" s="43" t="s">
        <v>267</v>
      </c>
      <c r="D394" s="50">
        <v>5488</v>
      </c>
      <c r="E394" s="42" t="s">
        <v>507</v>
      </c>
      <c r="F394" s="45" t="s">
        <v>143</v>
      </c>
      <c r="G394" s="42" t="s">
        <v>311</v>
      </c>
      <c r="H394" s="45" t="s">
        <v>386</v>
      </c>
      <c r="I394" s="47" t="s">
        <v>22</v>
      </c>
      <c r="J394" s="3">
        <v>0.7</v>
      </c>
      <c r="K394" s="47" t="s">
        <v>132</v>
      </c>
      <c r="L394" s="30" t="s">
        <v>133</v>
      </c>
      <c r="M394" s="47" t="s">
        <v>134</v>
      </c>
      <c r="N394" s="4">
        <v>0</v>
      </c>
      <c r="O394" s="10">
        <v>0.1</v>
      </c>
      <c r="P394" s="3"/>
      <c r="Q394" s="3">
        <f t="shared" si="12"/>
        <v>0</v>
      </c>
      <c r="R394" s="48">
        <f t="shared" si="13"/>
        <v>0</v>
      </c>
      <c r="S394" s="10" t="s">
        <v>24</v>
      </c>
      <c r="T394" s="191"/>
    </row>
    <row r="395" spans="1:20" ht="21.6" hidden="1" x14ac:dyDescent="0.3">
      <c r="A395" s="182">
        <v>2077</v>
      </c>
      <c r="B395" s="42" t="s">
        <v>20</v>
      </c>
      <c r="C395" s="43" t="s">
        <v>267</v>
      </c>
      <c r="D395" s="50">
        <v>5488</v>
      </c>
      <c r="E395" s="42" t="s">
        <v>507</v>
      </c>
      <c r="F395" s="45" t="s">
        <v>143</v>
      </c>
      <c r="G395" s="42" t="s">
        <v>311</v>
      </c>
      <c r="H395" s="45" t="s">
        <v>386</v>
      </c>
      <c r="I395" s="47" t="s">
        <v>22</v>
      </c>
      <c r="J395" s="3">
        <v>0.7</v>
      </c>
      <c r="K395" s="47" t="s">
        <v>135</v>
      </c>
      <c r="L395" s="30" t="s">
        <v>136</v>
      </c>
      <c r="M395" s="47" t="s">
        <v>137</v>
      </c>
      <c r="N395" s="3">
        <v>0.9</v>
      </c>
      <c r="O395" s="10">
        <v>0.2</v>
      </c>
      <c r="P395" s="51"/>
      <c r="Q395" s="3">
        <f t="shared" si="12"/>
        <v>0</v>
      </c>
      <c r="R395" s="48">
        <f t="shared" si="13"/>
        <v>0</v>
      </c>
      <c r="S395" s="10" t="s">
        <v>23</v>
      </c>
      <c r="T395" s="191"/>
    </row>
    <row r="396" spans="1:20" ht="22.2" hidden="1" thickBot="1" x14ac:dyDescent="0.35">
      <c r="A396" s="267">
        <v>2078</v>
      </c>
      <c r="B396" s="268" t="s">
        <v>20</v>
      </c>
      <c r="C396" s="269" t="s">
        <v>267</v>
      </c>
      <c r="D396" s="290">
        <v>5488</v>
      </c>
      <c r="E396" s="268" t="s">
        <v>507</v>
      </c>
      <c r="F396" s="271" t="s">
        <v>143</v>
      </c>
      <c r="G396" s="268" t="s">
        <v>311</v>
      </c>
      <c r="H396" s="271" t="s">
        <v>386</v>
      </c>
      <c r="I396" s="272" t="s">
        <v>26</v>
      </c>
      <c r="J396" s="273">
        <v>0.3</v>
      </c>
      <c r="K396" s="272" t="s">
        <v>138</v>
      </c>
      <c r="L396" s="291" t="s">
        <v>139</v>
      </c>
      <c r="M396" s="272" t="s">
        <v>140</v>
      </c>
      <c r="N396" s="273">
        <v>1</v>
      </c>
      <c r="O396" s="276">
        <v>1</v>
      </c>
      <c r="P396" s="273"/>
      <c r="Q396" s="273">
        <f t="shared" si="12"/>
        <v>0</v>
      </c>
      <c r="R396" s="287">
        <f t="shared" si="13"/>
        <v>0</v>
      </c>
      <c r="S396" s="276" t="s">
        <v>23</v>
      </c>
      <c r="T396" s="277"/>
    </row>
    <row r="397" spans="1:20" ht="21.6" hidden="1" x14ac:dyDescent="0.3">
      <c r="A397" s="181">
        <v>2070</v>
      </c>
      <c r="B397" s="71" t="s">
        <v>20</v>
      </c>
      <c r="C397" s="72" t="s">
        <v>267</v>
      </c>
      <c r="D397" s="112">
        <v>6299</v>
      </c>
      <c r="E397" s="71" t="s">
        <v>326</v>
      </c>
      <c r="F397" s="74" t="s">
        <v>123</v>
      </c>
      <c r="G397" s="71" t="s">
        <v>311</v>
      </c>
      <c r="H397" s="74" t="s">
        <v>386</v>
      </c>
      <c r="I397" s="75" t="s">
        <v>22</v>
      </c>
      <c r="J397" s="76">
        <v>0.7</v>
      </c>
      <c r="K397" s="75" t="s">
        <v>513</v>
      </c>
      <c r="L397" s="105" t="s">
        <v>511</v>
      </c>
      <c r="M397" s="75" t="s">
        <v>411</v>
      </c>
      <c r="N397" s="76">
        <v>0.95</v>
      </c>
      <c r="O397" s="76">
        <v>0.15</v>
      </c>
      <c r="P397" s="76"/>
      <c r="Q397" s="76">
        <f t="shared" si="12"/>
        <v>0</v>
      </c>
      <c r="R397" s="80">
        <f t="shared" si="13"/>
        <v>0</v>
      </c>
      <c r="S397" s="76" t="s">
        <v>23</v>
      </c>
      <c r="T397" s="189">
        <f>SUM(R397:R404)%</f>
        <v>0</v>
      </c>
    </row>
    <row r="398" spans="1:20" ht="21.6" hidden="1" x14ac:dyDescent="0.3">
      <c r="A398" s="182">
        <v>2072</v>
      </c>
      <c r="B398" s="42" t="s">
        <v>20</v>
      </c>
      <c r="C398" s="43" t="s">
        <v>267</v>
      </c>
      <c r="D398" s="50">
        <v>6299</v>
      </c>
      <c r="E398" s="42" t="s">
        <v>326</v>
      </c>
      <c r="F398" s="45" t="s">
        <v>123</v>
      </c>
      <c r="G398" s="42" t="s">
        <v>311</v>
      </c>
      <c r="H398" s="45" t="s">
        <v>386</v>
      </c>
      <c r="I398" s="7" t="s">
        <v>22</v>
      </c>
      <c r="J398" s="3">
        <v>0.7</v>
      </c>
      <c r="K398" s="7" t="s">
        <v>124</v>
      </c>
      <c r="L398" s="8" t="s">
        <v>125</v>
      </c>
      <c r="M398" s="7" t="s">
        <v>126</v>
      </c>
      <c r="N398" s="3">
        <v>0.95</v>
      </c>
      <c r="O398" s="3">
        <v>0.15</v>
      </c>
      <c r="P398" s="6"/>
      <c r="Q398" s="3">
        <f t="shared" si="12"/>
        <v>0</v>
      </c>
      <c r="R398" s="4">
        <f t="shared" si="13"/>
        <v>0</v>
      </c>
      <c r="S398" s="3" t="s">
        <v>23</v>
      </c>
      <c r="T398" s="190"/>
    </row>
    <row r="399" spans="1:20" ht="21.6" hidden="1" x14ac:dyDescent="0.3">
      <c r="A399" s="182">
        <v>2073</v>
      </c>
      <c r="B399" s="42" t="s">
        <v>20</v>
      </c>
      <c r="C399" s="43" t="s">
        <v>267</v>
      </c>
      <c r="D399" s="50">
        <v>6299</v>
      </c>
      <c r="E399" s="42" t="s">
        <v>326</v>
      </c>
      <c r="F399" s="45" t="s">
        <v>123</v>
      </c>
      <c r="G399" s="42" t="s">
        <v>311</v>
      </c>
      <c r="H399" s="45" t="s">
        <v>386</v>
      </c>
      <c r="I399" s="7" t="s">
        <v>22</v>
      </c>
      <c r="J399" s="3">
        <v>0.7</v>
      </c>
      <c r="K399" s="7" t="s">
        <v>51</v>
      </c>
      <c r="L399" s="8" t="s">
        <v>127</v>
      </c>
      <c r="M399" s="7" t="s">
        <v>128</v>
      </c>
      <c r="N399" s="6">
        <v>0.05</v>
      </c>
      <c r="O399" s="3">
        <v>0.1</v>
      </c>
      <c r="P399" s="11"/>
      <c r="Q399" s="3">
        <f t="shared" si="12"/>
        <v>0</v>
      </c>
      <c r="R399" s="4">
        <f t="shared" si="13"/>
        <v>0</v>
      </c>
      <c r="S399" s="3" t="s">
        <v>24</v>
      </c>
      <c r="T399" s="190"/>
    </row>
    <row r="400" spans="1:20" ht="21.6" hidden="1" x14ac:dyDescent="0.3">
      <c r="A400" s="182">
        <v>2074</v>
      </c>
      <c r="B400" s="42" t="s">
        <v>20</v>
      </c>
      <c r="C400" s="43" t="s">
        <v>267</v>
      </c>
      <c r="D400" s="50">
        <v>6299</v>
      </c>
      <c r="E400" s="42" t="s">
        <v>326</v>
      </c>
      <c r="F400" s="45" t="s">
        <v>123</v>
      </c>
      <c r="G400" s="42" t="s">
        <v>311</v>
      </c>
      <c r="H400" s="45" t="s">
        <v>386</v>
      </c>
      <c r="I400" s="7" t="s">
        <v>22</v>
      </c>
      <c r="J400" s="3">
        <v>0.7</v>
      </c>
      <c r="K400" s="7" t="s">
        <v>305</v>
      </c>
      <c r="L400" s="8" t="s">
        <v>257</v>
      </c>
      <c r="M400" s="339" t="s">
        <v>306</v>
      </c>
      <c r="N400" s="3">
        <v>0.95</v>
      </c>
      <c r="O400" s="3">
        <v>0.1</v>
      </c>
      <c r="P400" s="3"/>
      <c r="Q400" s="3">
        <f t="shared" si="12"/>
        <v>0</v>
      </c>
      <c r="R400" s="4">
        <f t="shared" si="13"/>
        <v>0</v>
      </c>
      <c r="S400" s="3" t="s">
        <v>23</v>
      </c>
      <c r="T400" s="190"/>
    </row>
    <row r="401" spans="1:20" ht="21.6" hidden="1" x14ac:dyDescent="0.3">
      <c r="A401" s="182">
        <v>2075</v>
      </c>
      <c r="B401" s="42" t="s">
        <v>20</v>
      </c>
      <c r="C401" s="43" t="s">
        <v>267</v>
      </c>
      <c r="D401" s="50">
        <v>6299</v>
      </c>
      <c r="E401" s="42" t="s">
        <v>326</v>
      </c>
      <c r="F401" s="45" t="s">
        <v>123</v>
      </c>
      <c r="G401" s="42" t="s">
        <v>311</v>
      </c>
      <c r="H401" s="45" t="s">
        <v>386</v>
      </c>
      <c r="I401" s="47" t="s">
        <v>22</v>
      </c>
      <c r="J401" s="3">
        <v>0.7</v>
      </c>
      <c r="K401" s="47" t="s">
        <v>129</v>
      </c>
      <c r="L401" s="30" t="s">
        <v>130</v>
      </c>
      <c r="M401" s="47" t="s">
        <v>131</v>
      </c>
      <c r="N401" s="3">
        <v>0.9</v>
      </c>
      <c r="O401" s="10">
        <v>0.2</v>
      </c>
      <c r="P401" s="3"/>
      <c r="Q401" s="3">
        <f t="shared" si="12"/>
        <v>0</v>
      </c>
      <c r="R401" s="48">
        <f t="shared" si="13"/>
        <v>0</v>
      </c>
      <c r="S401" s="10" t="s">
        <v>23</v>
      </c>
      <c r="T401" s="191"/>
    </row>
    <row r="402" spans="1:20" ht="21.6" hidden="1" x14ac:dyDescent="0.3">
      <c r="A402" s="182">
        <v>2076</v>
      </c>
      <c r="B402" s="42" t="s">
        <v>20</v>
      </c>
      <c r="C402" s="43" t="s">
        <v>267</v>
      </c>
      <c r="D402" s="50">
        <v>6299</v>
      </c>
      <c r="E402" s="42" t="s">
        <v>326</v>
      </c>
      <c r="F402" s="45" t="s">
        <v>123</v>
      </c>
      <c r="G402" s="42" t="s">
        <v>311</v>
      </c>
      <c r="H402" s="45" t="s">
        <v>386</v>
      </c>
      <c r="I402" s="47" t="s">
        <v>22</v>
      </c>
      <c r="J402" s="3">
        <v>0.7</v>
      </c>
      <c r="K402" s="47" t="s">
        <v>132</v>
      </c>
      <c r="L402" s="30" t="s">
        <v>133</v>
      </c>
      <c r="M402" s="47" t="s">
        <v>134</v>
      </c>
      <c r="N402" s="4">
        <v>0</v>
      </c>
      <c r="O402" s="10">
        <v>0.1</v>
      </c>
      <c r="P402" s="3"/>
      <c r="Q402" s="3">
        <f t="shared" si="12"/>
        <v>0</v>
      </c>
      <c r="R402" s="48">
        <f t="shared" si="13"/>
        <v>0</v>
      </c>
      <c r="S402" s="10" t="s">
        <v>24</v>
      </c>
      <c r="T402" s="191"/>
    </row>
    <row r="403" spans="1:20" ht="21.6" hidden="1" x14ac:dyDescent="0.3">
      <c r="A403" s="182">
        <v>2077</v>
      </c>
      <c r="B403" s="42" t="s">
        <v>20</v>
      </c>
      <c r="C403" s="43" t="s">
        <v>267</v>
      </c>
      <c r="D403" s="50">
        <v>6299</v>
      </c>
      <c r="E403" s="42" t="s">
        <v>326</v>
      </c>
      <c r="F403" s="45" t="s">
        <v>123</v>
      </c>
      <c r="G403" s="42" t="s">
        <v>311</v>
      </c>
      <c r="H403" s="45" t="s">
        <v>386</v>
      </c>
      <c r="I403" s="47" t="s">
        <v>22</v>
      </c>
      <c r="J403" s="3">
        <v>0.7</v>
      </c>
      <c r="K403" s="47" t="s">
        <v>135</v>
      </c>
      <c r="L403" s="30" t="s">
        <v>136</v>
      </c>
      <c r="M403" s="47" t="s">
        <v>137</v>
      </c>
      <c r="N403" s="3">
        <v>0.9</v>
      </c>
      <c r="O403" s="10">
        <v>0.2</v>
      </c>
      <c r="P403" s="51"/>
      <c r="Q403" s="3">
        <f t="shared" si="12"/>
        <v>0</v>
      </c>
      <c r="R403" s="48">
        <f t="shared" si="13"/>
        <v>0</v>
      </c>
      <c r="S403" s="10" t="s">
        <v>23</v>
      </c>
      <c r="T403" s="191"/>
    </row>
    <row r="404" spans="1:20" ht="22.2" hidden="1" thickBot="1" x14ac:dyDescent="0.35">
      <c r="A404" s="267">
        <v>2078</v>
      </c>
      <c r="B404" s="268" t="s">
        <v>20</v>
      </c>
      <c r="C404" s="269" t="s">
        <v>267</v>
      </c>
      <c r="D404" s="290">
        <v>6299</v>
      </c>
      <c r="E404" s="268" t="s">
        <v>326</v>
      </c>
      <c r="F404" s="271" t="s">
        <v>123</v>
      </c>
      <c r="G404" s="268" t="s">
        <v>311</v>
      </c>
      <c r="H404" s="271" t="s">
        <v>386</v>
      </c>
      <c r="I404" s="272" t="s">
        <v>26</v>
      </c>
      <c r="J404" s="273">
        <v>0.3</v>
      </c>
      <c r="K404" s="272" t="s">
        <v>138</v>
      </c>
      <c r="L404" s="291" t="s">
        <v>139</v>
      </c>
      <c r="M404" s="272" t="s">
        <v>140</v>
      </c>
      <c r="N404" s="273">
        <v>1</v>
      </c>
      <c r="O404" s="276">
        <v>1</v>
      </c>
      <c r="P404" s="273"/>
      <c r="Q404" s="273">
        <f t="shared" si="12"/>
        <v>0</v>
      </c>
      <c r="R404" s="287">
        <f t="shared" si="13"/>
        <v>0</v>
      </c>
      <c r="S404" s="276" t="s">
        <v>23</v>
      </c>
      <c r="T404" s="277"/>
    </row>
    <row r="405" spans="1:20" ht="21.6" hidden="1" x14ac:dyDescent="0.3">
      <c r="A405" s="181">
        <v>2070</v>
      </c>
      <c r="B405" s="71" t="s">
        <v>20</v>
      </c>
      <c r="C405" s="72" t="s">
        <v>267</v>
      </c>
      <c r="D405" s="112"/>
      <c r="E405" s="135" t="s">
        <v>509</v>
      </c>
      <c r="F405" s="74" t="s">
        <v>145</v>
      </c>
      <c r="G405" s="71" t="s">
        <v>311</v>
      </c>
      <c r="H405" s="74" t="s">
        <v>386</v>
      </c>
      <c r="I405" s="75" t="s">
        <v>22</v>
      </c>
      <c r="J405" s="76">
        <v>0.7</v>
      </c>
      <c r="K405" s="75" t="s">
        <v>513</v>
      </c>
      <c r="L405" s="105" t="s">
        <v>511</v>
      </c>
      <c r="M405" s="75" t="s">
        <v>411</v>
      </c>
      <c r="N405" s="76">
        <v>0.95</v>
      </c>
      <c r="O405" s="76">
        <v>0.15</v>
      </c>
      <c r="P405" s="76"/>
      <c r="Q405" s="76">
        <f t="shared" si="12"/>
        <v>0</v>
      </c>
      <c r="R405" s="80">
        <f t="shared" si="13"/>
        <v>0</v>
      </c>
      <c r="S405" s="76" t="s">
        <v>23</v>
      </c>
      <c r="T405" s="189">
        <f>SUM(R405:R412)%</f>
        <v>0</v>
      </c>
    </row>
    <row r="406" spans="1:20" ht="21.6" hidden="1" x14ac:dyDescent="0.3">
      <c r="A406" s="182">
        <v>2072</v>
      </c>
      <c r="B406" s="42" t="s">
        <v>20</v>
      </c>
      <c r="C406" s="43" t="s">
        <v>267</v>
      </c>
      <c r="D406" s="50"/>
      <c r="E406" s="136" t="s">
        <v>509</v>
      </c>
      <c r="F406" s="45" t="s">
        <v>145</v>
      </c>
      <c r="G406" s="42" t="s">
        <v>311</v>
      </c>
      <c r="H406" s="45" t="s">
        <v>386</v>
      </c>
      <c r="I406" s="7" t="s">
        <v>22</v>
      </c>
      <c r="J406" s="3">
        <v>0.7</v>
      </c>
      <c r="K406" s="7" t="s">
        <v>124</v>
      </c>
      <c r="L406" s="8" t="s">
        <v>125</v>
      </c>
      <c r="M406" s="7" t="s">
        <v>126</v>
      </c>
      <c r="N406" s="3">
        <v>0.95</v>
      </c>
      <c r="O406" s="3">
        <v>0.15</v>
      </c>
      <c r="P406" s="6"/>
      <c r="Q406" s="3">
        <f t="shared" si="12"/>
        <v>0</v>
      </c>
      <c r="R406" s="4">
        <f t="shared" si="13"/>
        <v>0</v>
      </c>
      <c r="S406" s="3" t="s">
        <v>23</v>
      </c>
      <c r="T406" s="190"/>
    </row>
    <row r="407" spans="1:20" ht="21.6" hidden="1" x14ac:dyDescent="0.3">
      <c r="A407" s="182">
        <v>2073</v>
      </c>
      <c r="B407" s="42" t="s">
        <v>20</v>
      </c>
      <c r="C407" s="43" t="s">
        <v>267</v>
      </c>
      <c r="D407" s="50"/>
      <c r="E407" s="136" t="s">
        <v>509</v>
      </c>
      <c r="F407" s="45" t="s">
        <v>145</v>
      </c>
      <c r="G407" s="42" t="s">
        <v>311</v>
      </c>
      <c r="H407" s="45" t="s">
        <v>386</v>
      </c>
      <c r="I407" s="7" t="s">
        <v>22</v>
      </c>
      <c r="J407" s="3">
        <v>0.7</v>
      </c>
      <c r="K407" s="7" t="s">
        <v>51</v>
      </c>
      <c r="L407" s="8" t="s">
        <v>127</v>
      </c>
      <c r="M407" s="7" t="s">
        <v>128</v>
      </c>
      <c r="N407" s="6">
        <v>0.05</v>
      </c>
      <c r="O407" s="3">
        <v>0.1</v>
      </c>
      <c r="P407" s="11"/>
      <c r="Q407" s="3">
        <f t="shared" si="12"/>
        <v>0</v>
      </c>
      <c r="R407" s="4">
        <f t="shared" si="13"/>
        <v>0</v>
      </c>
      <c r="S407" s="3" t="s">
        <v>24</v>
      </c>
      <c r="T407" s="190"/>
    </row>
    <row r="408" spans="1:20" ht="21.6" hidden="1" x14ac:dyDescent="0.3">
      <c r="A408" s="182">
        <v>2074</v>
      </c>
      <c r="B408" s="42" t="s">
        <v>20</v>
      </c>
      <c r="C408" s="43" t="s">
        <v>267</v>
      </c>
      <c r="D408" s="50"/>
      <c r="E408" s="136" t="s">
        <v>509</v>
      </c>
      <c r="F408" s="45" t="s">
        <v>145</v>
      </c>
      <c r="G408" s="42" t="s">
        <v>311</v>
      </c>
      <c r="H408" s="45" t="s">
        <v>386</v>
      </c>
      <c r="I408" s="7" t="s">
        <v>22</v>
      </c>
      <c r="J408" s="3">
        <v>0.7</v>
      </c>
      <c r="K408" s="7" t="s">
        <v>305</v>
      </c>
      <c r="L408" s="8" t="s">
        <v>257</v>
      </c>
      <c r="M408" s="339" t="s">
        <v>306</v>
      </c>
      <c r="N408" s="3">
        <v>0.95</v>
      </c>
      <c r="O408" s="3">
        <v>0.1</v>
      </c>
      <c r="P408" s="3"/>
      <c r="Q408" s="3">
        <f t="shared" si="12"/>
        <v>0</v>
      </c>
      <c r="R408" s="4">
        <f t="shared" si="13"/>
        <v>0</v>
      </c>
      <c r="S408" s="3" t="s">
        <v>23</v>
      </c>
      <c r="T408" s="190"/>
    </row>
    <row r="409" spans="1:20" ht="21.6" hidden="1" x14ac:dyDescent="0.3">
      <c r="A409" s="182">
        <v>2075</v>
      </c>
      <c r="B409" s="42" t="s">
        <v>20</v>
      </c>
      <c r="C409" s="43" t="s">
        <v>267</v>
      </c>
      <c r="D409" s="50"/>
      <c r="E409" s="136" t="s">
        <v>509</v>
      </c>
      <c r="F409" s="45" t="s">
        <v>145</v>
      </c>
      <c r="G409" s="42" t="s">
        <v>311</v>
      </c>
      <c r="H409" s="45" t="s">
        <v>386</v>
      </c>
      <c r="I409" s="47" t="s">
        <v>22</v>
      </c>
      <c r="J409" s="3">
        <v>0.7</v>
      </c>
      <c r="K409" s="47" t="s">
        <v>129</v>
      </c>
      <c r="L409" s="30" t="s">
        <v>130</v>
      </c>
      <c r="M409" s="47" t="s">
        <v>131</v>
      </c>
      <c r="N409" s="3">
        <v>0.9</v>
      </c>
      <c r="O409" s="10">
        <v>0.2</v>
      </c>
      <c r="P409" s="3"/>
      <c r="Q409" s="3">
        <f t="shared" si="12"/>
        <v>0</v>
      </c>
      <c r="R409" s="48">
        <f t="shared" si="13"/>
        <v>0</v>
      </c>
      <c r="S409" s="10" t="s">
        <v>23</v>
      </c>
      <c r="T409" s="191"/>
    </row>
    <row r="410" spans="1:20" ht="21.6" hidden="1" x14ac:dyDescent="0.3">
      <c r="A410" s="182">
        <v>2076</v>
      </c>
      <c r="B410" s="42" t="s">
        <v>20</v>
      </c>
      <c r="C410" s="43" t="s">
        <v>267</v>
      </c>
      <c r="D410" s="50"/>
      <c r="E410" s="136" t="s">
        <v>509</v>
      </c>
      <c r="F410" s="45" t="s">
        <v>145</v>
      </c>
      <c r="G410" s="42" t="s">
        <v>311</v>
      </c>
      <c r="H410" s="45" t="s">
        <v>386</v>
      </c>
      <c r="I410" s="47" t="s">
        <v>22</v>
      </c>
      <c r="J410" s="3">
        <v>0.7</v>
      </c>
      <c r="K410" s="47" t="s">
        <v>132</v>
      </c>
      <c r="L410" s="30" t="s">
        <v>133</v>
      </c>
      <c r="M410" s="47" t="s">
        <v>134</v>
      </c>
      <c r="N410" s="4">
        <v>0</v>
      </c>
      <c r="O410" s="10">
        <v>0.1</v>
      </c>
      <c r="P410" s="3"/>
      <c r="Q410" s="3">
        <f t="shared" si="12"/>
        <v>0</v>
      </c>
      <c r="R410" s="48">
        <f t="shared" si="13"/>
        <v>0</v>
      </c>
      <c r="S410" s="10" t="s">
        <v>24</v>
      </c>
      <c r="T410" s="191"/>
    </row>
    <row r="411" spans="1:20" ht="21.6" hidden="1" x14ac:dyDescent="0.3">
      <c r="A411" s="182">
        <v>2077</v>
      </c>
      <c r="B411" s="42" t="s">
        <v>20</v>
      </c>
      <c r="C411" s="43" t="s">
        <v>267</v>
      </c>
      <c r="D411" s="50"/>
      <c r="E411" s="136" t="s">
        <v>509</v>
      </c>
      <c r="F411" s="45" t="s">
        <v>145</v>
      </c>
      <c r="G411" s="42" t="s">
        <v>311</v>
      </c>
      <c r="H411" s="45" t="s">
        <v>386</v>
      </c>
      <c r="I411" s="47" t="s">
        <v>22</v>
      </c>
      <c r="J411" s="3">
        <v>0.7</v>
      </c>
      <c r="K411" s="47" t="s">
        <v>135</v>
      </c>
      <c r="L411" s="30" t="s">
        <v>136</v>
      </c>
      <c r="M411" s="47" t="s">
        <v>137</v>
      </c>
      <c r="N411" s="3">
        <v>0.9</v>
      </c>
      <c r="O411" s="10">
        <v>0.2</v>
      </c>
      <c r="P411" s="51"/>
      <c r="Q411" s="3">
        <f t="shared" si="12"/>
        <v>0</v>
      </c>
      <c r="R411" s="48">
        <f t="shared" si="13"/>
        <v>0</v>
      </c>
      <c r="S411" s="10" t="s">
        <v>23</v>
      </c>
      <c r="T411" s="191"/>
    </row>
    <row r="412" spans="1:20" ht="22.2" hidden="1" thickBot="1" x14ac:dyDescent="0.35">
      <c r="A412" s="267">
        <v>2078</v>
      </c>
      <c r="B412" s="268" t="s">
        <v>20</v>
      </c>
      <c r="C412" s="269" t="s">
        <v>267</v>
      </c>
      <c r="D412" s="290"/>
      <c r="E412" s="292" t="s">
        <v>509</v>
      </c>
      <c r="F412" s="271" t="s">
        <v>145</v>
      </c>
      <c r="G412" s="268" t="s">
        <v>311</v>
      </c>
      <c r="H412" s="271" t="s">
        <v>386</v>
      </c>
      <c r="I412" s="272" t="s">
        <v>26</v>
      </c>
      <c r="J412" s="273">
        <v>0.3</v>
      </c>
      <c r="K412" s="272" t="s">
        <v>138</v>
      </c>
      <c r="L412" s="291" t="s">
        <v>139</v>
      </c>
      <c r="M412" s="272" t="s">
        <v>140</v>
      </c>
      <c r="N412" s="273">
        <v>1</v>
      </c>
      <c r="O412" s="276">
        <v>1</v>
      </c>
      <c r="P412" s="273"/>
      <c r="Q412" s="273">
        <f t="shared" si="12"/>
        <v>0</v>
      </c>
      <c r="R412" s="287">
        <f t="shared" si="13"/>
        <v>0</v>
      </c>
      <c r="S412" s="276" t="s">
        <v>23</v>
      </c>
      <c r="T412" s="277"/>
    </row>
    <row r="413" spans="1:20" ht="21.6" hidden="1" x14ac:dyDescent="0.3">
      <c r="A413" s="181">
        <v>2070</v>
      </c>
      <c r="B413" s="71" t="s">
        <v>20</v>
      </c>
      <c r="C413" s="72" t="s">
        <v>267</v>
      </c>
      <c r="D413" s="112">
        <v>5942</v>
      </c>
      <c r="E413" s="71" t="s">
        <v>317</v>
      </c>
      <c r="F413" s="74" t="s">
        <v>145</v>
      </c>
      <c r="G413" s="71" t="s">
        <v>311</v>
      </c>
      <c r="H413" s="74" t="s">
        <v>386</v>
      </c>
      <c r="I413" s="75" t="s">
        <v>22</v>
      </c>
      <c r="J413" s="76">
        <v>0.7</v>
      </c>
      <c r="K413" s="75" t="s">
        <v>513</v>
      </c>
      <c r="L413" s="105" t="s">
        <v>511</v>
      </c>
      <c r="M413" s="75" t="s">
        <v>411</v>
      </c>
      <c r="N413" s="76">
        <v>0.95</v>
      </c>
      <c r="O413" s="76">
        <v>0.15</v>
      </c>
      <c r="P413" s="76"/>
      <c r="Q413" s="76">
        <f t="shared" si="12"/>
        <v>0</v>
      </c>
      <c r="R413" s="80">
        <f t="shared" si="13"/>
        <v>0</v>
      </c>
      <c r="S413" s="76" t="s">
        <v>23</v>
      </c>
      <c r="T413" s="189">
        <f>SUM(R413:R420)%</f>
        <v>0</v>
      </c>
    </row>
    <row r="414" spans="1:20" ht="21.6" hidden="1" x14ac:dyDescent="0.3">
      <c r="A414" s="182">
        <v>2072</v>
      </c>
      <c r="B414" s="42" t="s">
        <v>20</v>
      </c>
      <c r="C414" s="43" t="s">
        <v>267</v>
      </c>
      <c r="D414" s="50">
        <v>5942</v>
      </c>
      <c r="E414" s="42" t="s">
        <v>317</v>
      </c>
      <c r="F414" s="45" t="s">
        <v>145</v>
      </c>
      <c r="G414" s="42" t="s">
        <v>311</v>
      </c>
      <c r="H414" s="45" t="s">
        <v>386</v>
      </c>
      <c r="I414" s="7" t="s">
        <v>22</v>
      </c>
      <c r="J414" s="3">
        <v>0.7</v>
      </c>
      <c r="K414" s="7" t="s">
        <v>124</v>
      </c>
      <c r="L414" s="8" t="s">
        <v>125</v>
      </c>
      <c r="M414" s="7" t="s">
        <v>126</v>
      </c>
      <c r="N414" s="3">
        <v>0.95</v>
      </c>
      <c r="O414" s="3">
        <v>0.15</v>
      </c>
      <c r="P414" s="6"/>
      <c r="Q414" s="3">
        <f t="shared" si="12"/>
        <v>0</v>
      </c>
      <c r="R414" s="4">
        <f t="shared" si="13"/>
        <v>0</v>
      </c>
      <c r="S414" s="3" t="s">
        <v>23</v>
      </c>
      <c r="T414" s="190"/>
    </row>
    <row r="415" spans="1:20" ht="21.6" hidden="1" x14ac:dyDescent="0.3">
      <c r="A415" s="182">
        <v>2073</v>
      </c>
      <c r="B415" s="42" t="s">
        <v>20</v>
      </c>
      <c r="C415" s="43" t="s">
        <v>267</v>
      </c>
      <c r="D415" s="50">
        <v>5942</v>
      </c>
      <c r="E415" s="42" t="s">
        <v>317</v>
      </c>
      <c r="F415" s="45" t="s">
        <v>145</v>
      </c>
      <c r="G415" s="42" t="s">
        <v>311</v>
      </c>
      <c r="H415" s="45" t="s">
        <v>386</v>
      </c>
      <c r="I415" s="7" t="s">
        <v>22</v>
      </c>
      <c r="J415" s="3">
        <v>0.7</v>
      </c>
      <c r="K415" s="7" t="s">
        <v>51</v>
      </c>
      <c r="L415" s="8" t="s">
        <v>127</v>
      </c>
      <c r="M415" s="7" t="s">
        <v>128</v>
      </c>
      <c r="N415" s="6">
        <v>0.05</v>
      </c>
      <c r="O415" s="3">
        <v>0.1</v>
      </c>
      <c r="P415" s="11"/>
      <c r="Q415" s="3">
        <f t="shared" si="12"/>
        <v>0</v>
      </c>
      <c r="R415" s="4">
        <f t="shared" si="13"/>
        <v>0</v>
      </c>
      <c r="S415" s="3" t="s">
        <v>24</v>
      </c>
      <c r="T415" s="190"/>
    </row>
    <row r="416" spans="1:20" ht="21.6" hidden="1" x14ac:dyDescent="0.3">
      <c r="A416" s="182">
        <v>2074</v>
      </c>
      <c r="B416" s="42" t="s">
        <v>20</v>
      </c>
      <c r="C416" s="43" t="s">
        <v>267</v>
      </c>
      <c r="D416" s="50">
        <v>5942</v>
      </c>
      <c r="E416" s="42" t="s">
        <v>317</v>
      </c>
      <c r="F416" s="45" t="s">
        <v>145</v>
      </c>
      <c r="G416" s="42" t="s">
        <v>311</v>
      </c>
      <c r="H416" s="45" t="s">
        <v>386</v>
      </c>
      <c r="I416" s="7" t="s">
        <v>22</v>
      </c>
      <c r="J416" s="3">
        <v>0.7</v>
      </c>
      <c r="K416" s="7" t="s">
        <v>305</v>
      </c>
      <c r="L416" s="8" t="s">
        <v>257</v>
      </c>
      <c r="M416" s="339" t="s">
        <v>306</v>
      </c>
      <c r="N416" s="3">
        <v>0.95</v>
      </c>
      <c r="O416" s="3">
        <v>0.1</v>
      </c>
      <c r="P416" s="3"/>
      <c r="Q416" s="3">
        <f t="shared" si="12"/>
        <v>0</v>
      </c>
      <c r="R416" s="4">
        <f t="shared" si="13"/>
        <v>0</v>
      </c>
      <c r="S416" s="3" t="s">
        <v>23</v>
      </c>
      <c r="T416" s="190"/>
    </row>
    <row r="417" spans="1:20" ht="21.6" hidden="1" x14ac:dyDescent="0.3">
      <c r="A417" s="182">
        <v>2075</v>
      </c>
      <c r="B417" s="42" t="s">
        <v>20</v>
      </c>
      <c r="C417" s="43" t="s">
        <v>267</v>
      </c>
      <c r="D417" s="50">
        <v>5942</v>
      </c>
      <c r="E417" s="42" t="s">
        <v>317</v>
      </c>
      <c r="F417" s="45" t="s">
        <v>145</v>
      </c>
      <c r="G417" s="42" t="s">
        <v>311</v>
      </c>
      <c r="H417" s="45" t="s">
        <v>386</v>
      </c>
      <c r="I417" s="47" t="s">
        <v>22</v>
      </c>
      <c r="J417" s="3">
        <v>0.7</v>
      </c>
      <c r="K417" s="47" t="s">
        <v>129</v>
      </c>
      <c r="L417" s="30" t="s">
        <v>130</v>
      </c>
      <c r="M417" s="47" t="s">
        <v>131</v>
      </c>
      <c r="N417" s="3">
        <v>0.9</v>
      </c>
      <c r="O417" s="10">
        <v>0.2</v>
      </c>
      <c r="P417" s="3"/>
      <c r="Q417" s="3">
        <f t="shared" si="12"/>
        <v>0</v>
      </c>
      <c r="R417" s="48">
        <f t="shared" si="13"/>
        <v>0</v>
      </c>
      <c r="S417" s="10" t="s">
        <v>23</v>
      </c>
      <c r="T417" s="191"/>
    </row>
    <row r="418" spans="1:20" ht="21.6" hidden="1" x14ac:dyDescent="0.3">
      <c r="A418" s="182">
        <v>2076</v>
      </c>
      <c r="B418" s="42" t="s">
        <v>20</v>
      </c>
      <c r="C418" s="43" t="s">
        <v>267</v>
      </c>
      <c r="D418" s="50">
        <v>5942</v>
      </c>
      <c r="E418" s="42" t="s">
        <v>317</v>
      </c>
      <c r="F418" s="45" t="s">
        <v>145</v>
      </c>
      <c r="G418" s="42" t="s">
        <v>311</v>
      </c>
      <c r="H418" s="45" t="s">
        <v>386</v>
      </c>
      <c r="I418" s="47" t="s">
        <v>22</v>
      </c>
      <c r="J418" s="3">
        <v>0.7</v>
      </c>
      <c r="K418" s="47" t="s">
        <v>132</v>
      </c>
      <c r="L418" s="30" t="s">
        <v>133</v>
      </c>
      <c r="M418" s="47" t="s">
        <v>134</v>
      </c>
      <c r="N418" s="4">
        <v>0</v>
      </c>
      <c r="O418" s="10">
        <v>0.1</v>
      </c>
      <c r="P418" s="3"/>
      <c r="Q418" s="3">
        <f t="shared" si="12"/>
        <v>0</v>
      </c>
      <c r="R418" s="48">
        <f t="shared" si="13"/>
        <v>0</v>
      </c>
      <c r="S418" s="10" t="s">
        <v>24</v>
      </c>
      <c r="T418" s="191"/>
    </row>
    <row r="419" spans="1:20" ht="21.6" hidden="1" x14ac:dyDescent="0.3">
      <c r="A419" s="182">
        <v>2077</v>
      </c>
      <c r="B419" s="42" t="s">
        <v>20</v>
      </c>
      <c r="C419" s="43" t="s">
        <v>267</v>
      </c>
      <c r="D419" s="50">
        <v>5942</v>
      </c>
      <c r="E419" s="42" t="s">
        <v>317</v>
      </c>
      <c r="F419" s="45" t="s">
        <v>145</v>
      </c>
      <c r="G419" s="42" t="s">
        <v>311</v>
      </c>
      <c r="H419" s="45" t="s">
        <v>386</v>
      </c>
      <c r="I419" s="47" t="s">
        <v>22</v>
      </c>
      <c r="J419" s="3">
        <v>0.7</v>
      </c>
      <c r="K419" s="47" t="s">
        <v>135</v>
      </c>
      <c r="L419" s="30" t="s">
        <v>136</v>
      </c>
      <c r="M419" s="47" t="s">
        <v>137</v>
      </c>
      <c r="N419" s="3">
        <v>0.9</v>
      </c>
      <c r="O419" s="10">
        <v>0.2</v>
      </c>
      <c r="P419" s="51"/>
      <c r="Q419" s="3">
        <f t="shared" si="12"/>
        <v>0</v>
      </c>
      <c r="R419" s="48">
        <f t="shared" si="13"/>
        <v>0</v>
      </c>
      <c r="S419" s="10" t="s">
        <v>23</v>
      </c>
      <c r="T419" s="191"/>
    </row>
    <row r="420" spans="1:20" ht="22.2" hidden="1" thickBot="1" x14ac:dyDescent="0.35">
      <c r="A420" s="267">
        <v>2078</v>
      </c>
      <c r="B420" s="268" t="s">
        <v>20</v>
      </c>
      <c r="C420" s="269" t="s">
        <v>267</v>
      </c>
      <c r="D420" s="290">
        <v>5942</v>
      </c>
      <c r="E420" s="268" t="s">
        <v>317</v>
      </c>
      <c r="F420" s="271" t="s">
        <v>145</v>
      </c>
      <c r="G420" s="268" t="s">
        <v>311</v>
      </c>
      <c r="H420" s="271" t="s">
        <v>386</v>
      </c>
      <c r="I420" s="272" t="s">
        <v>26</v>
      </c>
      <c r="J420" s="273">
        <v>0.3</v>
      </c>
      <c r="K420" s="272" t="s">
        <v>138</v>
      </c>
      <c r="L420" s="291" t="s">
        <v>139</v>
      </c>
      <c r="M420" s="272" t="s">
        <v>140</v>
      </c>
      <c r="N420" s="273">
        <v>1</v>
      </c>
      <c r="O420" s="276">
        <v>1</v>
      </c>
      <c r="P420" s="273"/>
      <c r="Q420" s="273">
        <f t="shared" si="12"/>
        <v>0</v>
      </c>
      <c r="R420" s="287">
        <f t="shared" si="13"/>
        <v>0</v>
      </c>
      <c r="S420" s="276" t="s">
        <v>23</v>
      </c>
      <c r="T420" s="277"/>
    </row>
    <row r="421" spans="1:20" ht="21.6" hidden="1" x14ac:dyDescent="0.3">
      <c r="A421" s="181">
        <v>2070</v>
      </c>
      <c r="B421" s="71" t="s">
        <v>20</v>
      </c>
      <c r="C421" s="72" t="s">
        <v>267</v>
      </c>
      <c r="D421" s="112">
        <v>6425</v>
      </c>
      <c r="E421" s="71" t="s">
        <v>327</v>
      </c>
      <c r="F421" s="74" t="s">
        <v>123</v>
      </c>
      <c r="G421" s="71" t="s">
        <v>311</v>
      </c>
      <c r="H421" s="74" t="s">
        <v>386</v>
      </c>
      <c r="I421" s="75" t="s">
        <v>22</v>
      </c>
      <c r="J421" s="76">
        <v>0.7</v>
      </c>
      <c r="K421" s="75" t="s">
        <v>513</v>
      </c>
      <c r="L421" s="105" t="s">
        <v>511</v>
      </c>
      <c r="M421" s="75" t="s">
        <v>411</v>
      </c>
      <c r="N421" s="76">
        <v>0.95</v>
      </c>
      <c r="O421" s="76">
        <v>0.15</v>
      </c>
      <c r="P421" s="76"/>
      <c r="Q421" s="76">
        <f t="shared" si="12"/>
        <v>0</v>
      </c>
      <c r="R421" s="80">
        <f t="shared" si="13"/>
        <v>0</v>
      </c>
      <c r="S421" s="76" t="s">
        <v>23</v>
      </c>
      <c r="T421" s="189">
        <f>SUM(R421:R428)%</f>
        <v>0</v>
      </c>
    </row>
    <row r="422" spans="1:20" ht="21.6" hidden="1" x14ac:dyDescent="0.3">
      <c r="A422" s="182">
        <v>2072</v>
      </c>
      <c r="B422" s="42" t="s">
        <v>20</v>
      </c>
      <c r="C422" s="43" t="s">
        <v>267</v>
      </c>
      <c r="D422" s="50">
        <v>6425</v>
      </c>
      <c r="E422" s="42" t="s">
        <v>327</v>
      </c>
      <c r="F422" s="45" t="s">
        <v>123</v>
      </c>
      <c r="G422" s="42" t="s">
        <v>311</v>
      </c>
      <c r="H422" s="45" t="s">
        <v>386</v>
      </c>
      <c r="I422" s="7" t="s">
        <v>22</v>
      </c>
      <c r="J422" s="3">
        <v>0.7</v>
      </c>
      <c r="K422" s="7" t="s">
        <v>124</v>
      </c>
      <c r="L422" s="8" t="s">
        <v>125</v>
      </c>
      <c r="M422" s="7" t="s">
        <v>126</v>
      </c>
      <c r="N422" s="3">
        <v>0.95</v>
      </c>
      <c r="O422" s="3">
        <v>0.15</v>
      </c>
      <c r="P422" s="6"/>
      <c r="Q422" s="3">
        <f t="shared" si="12"/>
        <v>0</v>
      </c>
      <c r="R422" s="4">
        <f t="shared" si="13"/>
        <v>0</v>
      </c>
      <c r="S422" s="3" t="s">
        <v>23</v>
      </c>
      <c r="T422" s="190"/>
    </row>
    <row r="423" spans="1:20" ht="21.6" hidden="1" x14ac:dyDescent="0.3">
      <c r="A423" s="182">
        <v>2073</v>
      </c>
      <c r="B423" s="42" t="s">
        <v>20</v>
      </c>
      <c r="C423" s="43" t="s">
        <v>267</v>
      </c>
      <c r="D423" s="50">
        <v>6425</v>
      </c>
      <c r="E423" s="42" t="s">
        <v>327</v>
      </c>
      <c r="F423" s="45" t="s">
        <v>123</v>
      </c>
      <c r="G423" s="42" t="s">
        <v>311</v>
      </c>
      <c r="H423" s="45" t="s">
        <v>386</v>
      </c>
      <c r="I423" s="7" t="s">
        <v>22</v>
      </c>
      <c r="J423" s="3">
        <v>0.7</v>
      </c>
      <c r="K423" s="7" t="s">
        <v>51</v>
      </c>
      <c r="L423" s="8" t="s">
        <v>127</v>
      </c>
      <c r="M423" s="7" t="s">
        <v>128</v>
      </c>
      <c r="N423" s="6">
        <v>0.05</v>
      </c>
      <c r="O423" s="3">
        <v>0.1</v>
      </c>
      <c r="P423" s="11"/>
      <c r="Q423" s="3">
        <f t="shared" si="12"/>
        <v>0</v>
      </c>
      <c r="R423" s="4">
        <f t="shared" si="13"/>
        <v>0</v>
      </c>
      <c r="S423" s="3" t="s">
        <v>24</v>
      </c>
      <c r="T423" s="190"/>
    </row>
    <row r="424" spans="1:20" ht="21.6" hidden="1" x14ac:dyDescent="0.3">
      <c r="A424" s="182">
        <v>2074</v>
      </c>
      <c r="B424" s="42" t="s">
        <v>20</v>
      </c>
      <c r="C424" s="43" t="s">
        <v>267</v>
      </c>
      <c r="D424" s="50">
        <v>6425</v>
      </c>
      <c r="E424" s="42" t="s">
        <v>327</v>
      </c>
      <c r="F424" s="45" t="s">
        <v>123</v>
      </c>
      <c r="G424" s="42" t="s">
        <v>311</v>
      </c>
      <c r="H424" s="45" t="s">
        <v>386</v>
      </c>
      <c r="I424" s="7" t="s">
        <v>22</v>
      </c>
      <c r="J424" s="3">
        <v>0.7</v>
      </c>
      <c r="K424" s="7" t="s">
        <v>305</v>
      </c>
      <c r="L424" s="8" t="s">
        <v>257</v>
      </c>
      <c r="M424" s="339" t="s">
        <v>306</v>
      </c>
      <c r="N424" s="3">
        <v>0.95</v>
      </c>
      <c r="O424" s="3">
        <v>0.1</v>
      </c>
      <c r="P424" s="3"/>
      <c r="Q424" s="3">
        <f t="shared" si="12"/>
        <v>0</v>
      </c>
      <c r="R424" s="4">
        <f t="shared" si="13"/>
        <v>0</v>
      </c>
      <c r="S424" s="3" t="s">
        <v>23</v>
      </c>
      <c r="T424" s="190"/>
    </row>
    <row r="425" spans="1:20" ht="21.6" hidden="1" x14ac:dyDescent="0.3">
      <c r="A425" s="182">
        <v>2075</v>
      </c>
      <c r="B425" s="42" t="s">
        <v>20</v>
      </c>
      <c r="C425" s="43" t="s">
        <v>267</v>
      </c>
      <c r="D425" s="50">
        <v>6425</v>
      </c>
      <c r="E425" s="42" t="s">
        <v>327</v>
      </c>
      <c r="F425" s="45" t="s">
        <v>123</v>
      </c>
      <c r="G425" s="42" t="s">
        <v>311</v>
      </c>
      <c r="H425" s="45" t="s">
        <v>386</v>
      </c>
      <c r="I425" s="47" t="s">
        <v>22</v>
      </c>
      <c r="J425" s="3">
        <v>0.7</v>
      </c>
      <c r="K425" s="47" t="s">
        <v>129</v>
      </c>
      <c r="L425" s="30" t="s">
        <v>130</v>
      </c>
      <c r="M425" s="47" t="s">
        <v>131</v>
      </c>
      <c r="N425" s="3">
        <v>0.9</v>
      </c>
      <c r="O425" s="10">
        <v>0.2</v>
      </c>
      <c r="P425" s="3"/>
      <c r="Q425" s="3">
        <f t="shared" si="12"/>
        <v>0</v>
      </c>
      <c r="R425" s="48">
        <f t="shared" si="13"/>
        <v>0</v>
      </c>
      <c r="S425" s="10" t="s">
        <v>23</v>
      </c>
      <c r="T425" s="191"/>
    </row>
    <row r="426" spans="1:20" ht="21.6" hidden="1" x14ac:dyDescent="0.3">
      <c r="A426" s="182">
        <v>2076</v>
      </c>
      <c r="B426" s="42" t="s">
        <v>20</v>
      </c>
      <c r="C426" s="43" t="s">
        <v>267</v>
      </c>
      <c r="D426" s="50">
        <v>6425</v>
      </c>
      <c r="E426" s="42" t="s">
        <v>327</v>
      </c>
      <c r="F426" s="45" t="s">
        <v>123</v>
      </c>
      <c r="G426" s="42" t="s">
        <v>311</v>
      </c>
      <c r="H426" s="45" t="s">
        <v>386</v>
      </c>
      <c r="I426" s="47" t="s">
        <v>22</v>
      </c>
      <c r="J426" s="3">
        <v>0.7</v>
      </c>
      <c r="K426" s="47" t="s">
        <v>132</v>
      </c>
      <c r="L426" s="30" t="s">
        <v>133</v>
      </c>
      <c r="M426" s="47" t="s">
        <v>134</v>
      </c>
      <c r="N426" s="4">
        <v>0</v>
      </c>
      <c r="O426" s="10">
        <v>0.1</v>
      </c>
      <c r="P426" s="3"/>
      <c r="Q426" s="3">
        <f t="shared" si="12"/>
        <v>0</v>
      </c>
      <c r="R426" s="48">
        <f t="shared" si="13"/>
        <v>0</v>
      </c>
      <c r="S426" s="10" t="s">
        <v>24</v>
      </c>
      <c r="T426" s="191"/>
    </row>
    <row r="427" spans="1:20" ht="21.6" hidden="1" x14ac:dyDescent="0.3">
      <c r="A427" s="182">
        <v>2077</v>
      </c>
      <c r="B427" s="42" t="s">
        <v>20</v>
      </c>
      <c r="C427" s="43" t="s">
        <v>267</v>
      </c>
      <c r="D427" s="50">
        <v>6425</v>
      </c>
      <c r="E427" s="42" t="s">
        <v>327</v>
      </c>
      <c r="F427" s="45" t="s">
        <v>123</v>
      </c>
      <c r="G427" s="42" t="s">
        <v>311</v>
      </c>
      <c r="H427" s="45" t="s">
        <v>386</v>
      </c>
      <c r="I427" s="47" t="s">
        <v>22</v>
      </c>
      <c r="J427" s="3">
        <v>0.7</v>
      </c>
      <c r="K427" s="47" t="s">
        <v>135</v>
      </c>
      <c r="L427" s="30" t="s">
        <v>136</v>
      </c>
      <c r="M427" s="47" t="s">
        <v>137</v>
      </c>
      <c r="N427" s="3">
        <v>0.9</v>
      </c>
      <c r="O427" s="10">
        <v>0.2</v>
      </c>
      <c r="P427" s="51"/>
      <c r="Q427" s="3">
        <f t="shared" si="12"/>
        <v>0</v>
      </c>
      <c r="R427" s="48">
        <f t="shared" si="13"/>
        <v>0</v>
      </c>
      <c r="S427" s="10" t="s">
        <v>23</v>
      </c>
      <c r="T427" s="191"/>
    </row>
    <row r="428" spans="1:20" ht="22.2" hidden="1" thickBot="1" x14ac:dyDescent="0.35">
      <c r="A428" s="267">
        <v>2078</v>
      </c>
      <c r="B428" s="268" t="s">
        <v>20</v>
      </c>
      <c r="C428" s="269" t="s">
        <v>267</v>
      </c>
      <c r="D428" s="290">
        <v>6425</v>
      </c>
      <c r="E428" s="268" t="s">
        <v>327</v>
      </c>
      <c r="F428" s="271" t="s">
        <v>123</v>
      </c>
      <c r="G428" s="268" t="s">
        <v>311</v>
      </c>
      <c r="H428" s="271" t="s">
        <v>386</v>
      </c>
      <c r="I428" s="272" t="s">
        <v>26</v>
      </c>
      <c r="J428" s="273">
        <v>0.3</v>
      </c>
      <c r="K428" s="272" t="s">
        <v>138</v>
      </c>
      <c r="L428" s="291" t="s">
        <v>139</v>
      </c>
      <c r="M428" s="272" t="s">
        <v>140</v>
      </c>
      <c r="N428" s="273">
        <v>1</v>
      </c>
      <c r="O428" s="276">
        <v>1</v>
      </c>
      <c r="P428" s="273"/>
      <c r="Q428" s="273">
        <f t="shared" si="12"/>
        <v>0</v>
      </c>
      <c r="R428" s="287">
        <f t="shared" si="13"/>
        <v>0</v>
      </c>
      <c r="S428" s="276" t="s">
        <v>23</v>
      </c>
      <c r="T428" s="277"/>
    </row>
    <row r="429" spans="1:20" ht="21.6" hidden="1" x14ac:dyDescent="0.3">
      <c r="A429" s="181">
        <v>2070</v>
      </c>
      <c r="B429" s="71" t="s">
        <v>20</v>
      </c>
      <c r="C429" s="72" t="s">
        <v>267</v>
      </c>
      <c r="D429" s="112">
        <v>6520</v>
      </c>
      <c r="E429" s="71" t="s">
        <v>328</v>
      </c>
      <c r="F429" s="74" t="s">
        <v>123</v>
      </c>
      <c r="G429" s="71" t="s">
        <v>311</v>
      </c>
      <c r="H429" s="74" t="s">
        <v>386</v>
      </c>
      <c r="I429" s="75" t="s">
        <v>22</v>
      </c>
      <c r="J429" s="76">
        <v>0.7</v>
      </c>
      <c r="K429" s="75" t="s">
        <v>513</v>
      </c>
      <c r="L429" s="105" t="s">
        <v>511</v>
      </c>
      <c r="M429" s="75" t="s">
        <v>411</v>
      </c>
      <c r="N429" s="76">
        <v>0.95</v>
      </c>
      <c r="O429" s="76">
        <v>0.15</v>
      </c>
      <c r="P429" s="76"/>
      <c r="Q429" s="76">
        <f t="shared" si="12"/>
        <v>0</v>
      </c>
      <c r="R429" s="80">
        <f t="shared" si="13"/>
        <v>0</v>
      </c>
      <c r="S429" s="76" t="s">
        <v>23</v>
      </c>
      <c r="T429" s="189">
        <f>SUM(R429:R436)%</f>
        <v>0</v>
      </c>
    </row>
    <row r="430" spans="1:20" ht="21.6" hidden="1" x14ac:dyDescent="0.3">
      <c r="A430" s="182">
        <v>2072</v>
      </c>
      <c r="B430" s="42" t="s">
        <v>20</v>
      </c>
      <c r="C430" s="43" t="s">
        <v>267</v>
      </c>
      <c r="D430" s="50">
        <v>6520</v>
      </c>
      <c r="E430" s="42" t="s">
        <v>328</v>
      </c>
      <c r="F430" s="45" t="s">
        <v>123</v>
      </c>
      <c r="G430" s="42" t="s">
        <v>311</v>
      </c>
      <c r="H430" s="45" t="s">
        <v>386</v>
      </c>
      <c r="I430" s="7" t="s">
        <v>22</v>
      </c>
      <c r="J430" s="3">
        <v>0.7</v>
      </c>
      <c r="K430" s="7" t="s">
        <v>124</v>
      </c>
      <c r="L430" s="8" t="s">
        <v>125</v>
      </c>
      <c r="M430" s="7" t="s">
        <v>126</v>
      </c>
      <c r="N430" s="3">
        <v>0.95</v>
      </c>
      <c r="O430" s="3">
        <v>0.15</v>
      </c>
      <c r="P430" s="6"/>
      <c r="Q430" s="3">
        <f t="shared" si="12"/>
        <v>0</v>
      </c>
      <c r="R430" s="4">
        <f t="shared" si="13"/>
        <v>0</v>
      </c>
      <c r="S430" s="3" t="s">
        <v>23</v>
      </c>
      <c r="T430" s="190"/>
    </row>
    <row r="431" spans="1:20" ht="21.6" hidden="1" x14ac:dyDescent="0.3">
      <c r="A431" s="182">
        <v>2073</v>
      </c>
      <c r="B431" s="42" t="s">
        <v>20</v>
      </c>
      <c r="C431" s="43" t="s">
        <v>267</v>
      </c>
      <c r="D431" s="50">
        <v>6520</v>
      </c>
      <c r="E431" s="42" t="s">
        <v>328</v>
      </c>
      <c r="F431" s="45" t="s">
        <v>123</v>
      </c>
      <c r="G431" s="42" t="s">
        <v>311</v>
      </c>
      <c r="H431" s="45" t="s">
        <v>386</v>
      </c>
      <c r="I431" s="7" t="s">
        <v>22</v>
      </c>
      <c r="J431" s="3">
        <v>0.7</v>
      </c>
      <c r="K431" s="7" t="s">
        <v>51</v>
      </c>
      <c r="L431" s="8" t="s">
        <v>127</v>
      </c>
      <c r="M431" s="7" t="s">
        <v>128</v>
      </c>
      <c r="N431" s="6">
        <v>0.05</v>
      </c>
      <c r="O431" s="3">
        <v>0.1</v>
      </c>
      <c r="P431" s="11"/>
      <c r="Q431" s="3">
        <f t="shared" si="12"/>
        <v>0</v>
      </c>
      <c r="R431" s="4">
        <f t="shared" si="13"/>
        <v>0</v>
      </c>
      <c r="S431" s="3" t="s">
        <v>24</v>
      </c>
      <c r="T431" s="190"/>
    </row>
    <row r="432" spans="1:20" ht="21.6" hidden="1" x14ac:dyDescent="0.3">
      <c r="A432" s="182">
        <v>2074</v>
      </c>
      <c r="B432" s="42" t="s">
        <v>20</v>
      </c>
      <c r="C432" s="43" t="s">
        <v>267</v>
      </c>
      <c r="D432" s="50">
        <v>6520</v>
      </c>
      <c r="E432" s="42" t="s">
        <v>328</v>
      </c>
      <c r="F432" s="45" t="s">
        <v>123</v>
      </c>
      <c r="G432" s="42" t="s">
        <v>311</v>
      </c>
      <c r="H432" s="45" t="s">
        <v>386</v>
      </c>
      <c r="I432" s="7" t="s">
        <v>22</v>
      </c>
      <c r="J432" s="3">
        <v>0.7</v>
      </c>
      <c r="K432" s="7" t="s">
        <v>305</v>
      </c>
      <c r="L432" s="8" t="s">
        <v>257</v>
      </c>
      <c r="M432" s="339" t="s">
        <v>306</v>
      </c>
      <c r="N432" s="3">
        <v>0.95</v>
      </c>
      <c r="O432" s="3">
        <v>0.1</v>
      </c>
      <c r="P432" s="3"/>
      <c r="Q432" s="3">
        <f t="shared" si="12"/>
        <v>0</v>
      </c>
      <c r="R432" s="4">
        <f t="shared" si="13"/>
        <v>0</v>
      </c>
      <c r="S432" s="3" t="s">
        <v>23</v>
      </c>
      <c r="T432" s="190"/>
    </row>
    <row r="433" spans="1:20" ht="21.6" hidden="1" x14ac:dyDescent="0.3">
      <c r="A433" s="182">
        <v>2075</v>
      </c>
      <c r="B433" s="42" t="s">
        <v>20</v>
      </c>
      <c r="C433" s="43" t="s">
        <v>267</v>
      </c>
      <c r="D433" s="50">
        <v>6520</v>
      </c>
      <c r="E433" s="42" t="s">
        <v>328</v>
      </c>
      <c r="F433" s="45" t="s">
        <v>123</v>
      </c>
      <c r="G433" s="42" t="s">
        <v>311</v>
      </c>
      <c r="H433" s="45" t="s">
        <v>386</v>
      </c>
      <c r="I433" s="47" t="s">
        <v>22</v>
      </c>
      <c r="J433" s="3">
        <v>0.7</v>
      </c>
      <c r="K433" s="47" t="s">
        <v>129</v>
      </c>
      <c r="L433" s="30" t="s">
        <v>130</v>
      </c>
      <c r="M433" s="47" t="s">
        <v>131</v>
      </c>
      <c r="N433" s="3">
        <v>0.9</v>
      </c>
      <c r="O433" s="10">
        <v>0.2</v>
      </c>
      <c r="P433" s="3"/>
      <c r="Q433" s="3">
        <f t="shared" si="12"/>
        <v>0</v>
      </c>
      <c r="R433" s="48">
        <f t="shared" si="13"/>
        <v>0</v>
      </c>
      <c r="S433" s="10" t="s">
        <v>23</v>
      </c>
      <c r="T433" s="191"/>
    </row>
    <row r="434" spans="1:20" ht="21.6" hidden="1" x14ac:dyDescent="0.3">
      <c r="A434" s="182">
        <v>2076</v>
      </c>
      <c r="B434" s="42" t="s">
        <v>20</v>
      </c>
      <c r="C434" s="43" t="s">
        <v>267</v>
      </c>
      <c r="D434" s="50">
        <v>6520</v>
      </c>
      <c r="E434" s="42" t="s">
        <v>328</v>
      </c>
      <c r="F434" s="45" t="s">
        <v>123</v>
      </c>
      <c r="G434" s="42" t="s">
        <v>311</v>
      </c>
      <c r="H434" s="45" t="s">
        <v>386</v>
      </c>
      <c r="I434" s="47" t="s">
        <v>22</v>
      </c>
      <c r="J434" s="3">
        <v>0.7</v>
      </c>
      <c r="K434" s="47" t="s">
        <v>132</v>
      </c>
      <c r="L434" s="30" t="s">
        <v>133</v>
      </c>
      <c r="M434" s="47" t="s">
        <v>134</v>
      </c>
      <c r="N434" s="4">
        <v>0</v>
      </c>
      <c r="O434" s="10">
        <v>0.1</v>
      </c>
      <c r="P434" s="3"/>
      <c r="Q434" s="3">
        <f t="shared" si="12"/>
        <v>0</v>
      </c>
      <c r="R434" s="48">
        <f t="shared" si="13"/>
        <v>0</v>
      </c>
      <c r="S434" s="10" t="s">
        <v>24</v>
      </c>
      <c r="T434" s="191"/>
    </row>
    <row r="435" spans="1:20" ht="21.6" hidden="1" x14ac:dyDescent="0.3">
      <c r="A435" s="182">
        <v>2077</v>
      </c>
      <c r="B435" s="42" t="s">
        <v>20</v>
      </c>
      <c r="C435" s="43" t="s">
        <v>267</v>
      </c>
      <c r="D435" s="50">
        <v>6520</v>
      </c>
      <c r="E435" s="42" t="s">
        <v>328</v>
      </c>
      <c r="F435" s="45" t="s">
        <v>123</v>
      </c>
      <c r="G435" s="42" t="s">
        <v>311</v>
      </c>
      <c r="H435" s="45" t="s">
        <v>386</v>
      </c>
      <c r="I435" s="47" t="s">
        <v>22</v>
      </c>
      <c r="J435" s="3">
        <v>0.7</v>
      </c>
      <c r="K435" s="47" t="s">
        <v>135</v>
      </c>
      <c r="L435" s="30" t="s">
        <v>136</v>
      </c>
      <c r="M435" s="47" t="s">
        <v>137</v>
      </c>
      <c r="N435" s="3">
        <v>0.9</v>
      </c>
      <c r="O435" s="10">
        <v>0.2</v>
      </c>
      <c r="P435" s="51"/>
      <c r="Q435" s="3">
        <f t="shared" si="12"/>
        <v>0</v>
      </c>
      <c r="R435" s="48">
        <f t="shared" si="13"/>
        <v>0</v>
      </c>
      <c r="S435" s="10" t="s">
        <v>23</v>
      </c>
      <c r="T435" s="191"/>
    </row>
    <row r="436" spans="1:20" ht="22.2" hidden="1" thickBot="1" x14ac:dyDescent="0.35">
      <c r="A436" s="267">
        <v>2078</v>
      </c>
      <c r="B436" s="268" t="s">
        <v>20</v>
      </c>
      <c r="C436" s="269" t="s">
        <v>267</v>
      </c>
      <c r="D436" s="290">
        <v>6520</v>
      </c>
      <c r="E436" s="268" t="s">
        <v>328</v>
      </c>
      <c r="F436" s="271" t="s">
        <v>123</v>
      </c>
      <c r="G436" s="268" t="s">
        <v>311</v>
      </c>
      <c r="H436" s="271" t="s">
        <v>386</v>
      </c>
      <c r="I436" s="272" t="s">
        <v>26</v>
      </c>
      <c r="J436" s="273">
        <v>0.3</v>
      </c>
      <c r="K436" s="272" t="s">
        <v>138</v>
      </c>
      <c r="L436" s="291" t="s">
        <v>139</v>
      </c>
      <c r="M436" s="272" t="s">
        <v>140</v>
      </c>
      <c r="N436" s="273">
        <v>1</v>
      </c>
      <c r="O436" s="276">
        <v>1</v>
      </c>
      <c r="P436" s="273"/>
      <c r="Q436" s="273">
        <f t="shared" si="12"/>
        <v>0</v>
      </c>
      <c r="R436" s="287">
        <f t="shared" si="13"/>
        <v>0</v>
      </c>
      <c r="S436" s="276" t="s">
        <v>23</v>
      </c>
      <c r="T436" s="277"/>
    </row>
    <row r="437" spans="1:20" ht="21.6" hidden="1" x14ac:dyDescent="0.3">
      <c r="A437" s="181">
        <v>2070</v>
      </c>
      <c r="B437" s="71" t="s">
        <v>20</v>
      </c>
      <c r="C437" s="72" t="s">
        <v>267</v>
      </c>
      <c r="D437" s="112">
        <v>6215</v>
      </c>
      <c r="E437" s="71" t="s">
        <v>319</v>
      </c>
      <c r="F437" s="74" t="s">
        <v>145</v>
      </c>
      <c r="G437" s="71" t="s">
        <v>311</v>
      </c>
      <c r="H437" s="74" t="s">
        <v>386</v>
      </c>
      <c r="I437" s="75" t="s">
        <v>22</v>
      </c>
      <c r="J437" s="76">
        <v>0.7</v>
      </c>
      <c r="K437" s="75" t="s">
        <v>513</v>
      </c>
      <c r="L437" s="105" t="s">
        <v>511</v>
      </c>
      <c r="M437" s="75" t="s">
        <v>411</v>
      </c>
      <c r="N437" s="76">
        <v>0.95</v>
      </c>
      <c r="O437" s="76">
        <v>0.15</v>
      </c>
      <c r="P437" s="76"/>
      <c r="Q437" s="76">
        <f t="shared" si="12"/>
        <v>0</v>
      </c>
      <c r="R437" s="80">
        <f t="shared" si="13"/>
        <v>0</v>
      </c>
      <c r="S437" s="76" t="s">
        <v>23</v>
      </c>
      <c r="T437" s="189">
        <f>SUM(R437:R444)%</f>
        <v>0</v>
      </c>
    </row>
    <row r="438" spans="1:20" ht="21.6" hidden="1" x14ac:dyDescent="0.3">
      <c r="A438" s="182">
        <v>2072</v>
      </c>
      <c r="B438" s="42" t="s">
        <v>20</v>
      </c>
      <c r="C438" s="43" t="s">
        <v>267</v>
      </c>
      <c r="D438" s="50">
        <v>6215</v>
      </c>
      <c r="E438" s="42" t="s">
        <v>319</v>
      </c>
      <c r="F438" s="45" t="s">
        <v>145</v>
      </c>
      <c r="G438" s="42" t="s">
        <v>311</v>
      </c>
      <c r="H438" s="45" t="s">
        <v>386</v>
      </c>
      <c r="I438" s="7" t="s">
        <v>22</v>
      </c>
      <c r="J438" s="3">
        <v>0.7</v>
      </c>
      <c r="K438" s="7" t="s">
        <v>124</v>
      </c>
      <c r="L438" s="8" t="s">
        <v>125</v>
      </c>
      <c r="M438" s="7" t="s">
        <v>126</v>
      </c>
      <c r="N438" s="3">
        <v>0.95</v>
      </c>
      <c r="O438" s="3">
        <v>0.15</v>
      </c>
      <c r="P438" s="6"/>
      <c r="Q438" s="3">
        <f t="shared" si="12"/>
        <v>0</v>
      </c>
      <c r="R438" s="4">
        <f t="shared" si="13"/>
        <v>0</v>
      </c>
      <c r="S438" s="3" t="s">
        <v>23</v>
      </c>
      <c r="T438" s="190"/>
    </row>
    <row r="439" spans="1:20" ht="21.6" hidden="1" x14ac:dyDescent="0.3">
      <c r="A439" s="182">
        <v>2073</v>
      </c>
      <c r="B439" s="42" t="s">
        <v>20</v>
      </c>
      <c r="C439" s="43" t="s">
        <v>267</v>
      </c>
      <c r="D439" s="50">
        <v>6215</v>
      </c>
      <c r="E439" s="42" t="s">
        <v>319</v>
      </c>
      <c r="F439" s="45" t="s">
        <v>145</v>
      </c>
      <c r="G439" s="42" t="s">
        <v>311</v>
      </c>
      <c r="H439" s="45" t="s">
        <v>386</v>
      </c>
      <c r="I439" s="7" t="s">
        <v>22</v>
      </c>
      <c r="J439" s="3">
        <v>0.7</v>
      </c>
      <c r="K439" s="7" t="s">
        <v>51</v>
      </c>
      <c r="L439" s="8" t="s">
        <v>127</v>
      </c>
      <c r="M439" s="7" t="s">
        <v>128</v>
      </c>
      <c r="N439" s="6">
        <v>0.05</v>
      </c>
      <c r="O439" s="3">
        <v>0.1</v>
      </c>
      <c r="P439" s="11"/>
      <c r="Q439" s="3">
        <f t="shared" si="12"/>
        <v>0</v>
      </c>
      <c r="R439" s="4">
        <f t="shared" si="13"/>
        <v>0</v>
      </c>
      <c r="S439" s="3" t="s">
        <v>24</v>
      </c>
      <c r="T439" s="190"/>
    </row>
    <row r="440" spans="1:20" ht="21.6" hidden="1" x14ac:dyDescent="0.3">
      <c r="A440" s="182">
        <v>2074</v>
      </c>
      <c r="B440" s="42" t="s">
        <v>20</v>
      </c>
      <c r="C440" s="43" t="s">
        <v>267</v>
      </c>
      <c r="D440" s="50">
        <v>6215</v>
      </c>
      <c r="E440" s="42" t="s">
        <v>319</v>
      </c>
      <c r="F440" s="45" t="s">
        <v>145</v>
      </c>
      <c r="G440" s="42" t="s">
        <v>311</v>
      </c>
      <c r="H440" s="45" t="s">
        <v>386</v>
      </c>
      <c r="I440" s="7" t="s">
        <v>22</v>
      </c>
      <c r="J440" s="3">
        <v>0.7</v>
      </c>
      <c r="K440" s="7" t="s">
        <v>305</v>
      </c>
      <c r="L440" s="8" t="s">
        <v>257</v>
      </c>
      <c r="M440" s="339" t="s">
        <v>306</v>
      </c>
      <c r="N440" s="3">
        <v>0.95</v>
      </c>
      <c r="O440" s="3">
        <v>0.1</v>
      </c>
      <c r="P440" s="3"/>
      <c r="Q440" s="3">
        <f t="shared" si="12"/>
        <v>0</v>
      </c>
      <c r="R440" s="4">
        <f t="shared" si="13"/>
        <v>0</v>
      </c>
      <c r="S440" s="3" t="s">
        <v>23</v>
      </c>
      <c r="T440" s="190"/>
    </row>
    <row r="441" spans="1:20" ht="21.6" hidden="1" x14ac:dyDescent="0.3">
      <c r="A441" s="182">
        <v>2075</v>
      </c>
      <c r="B441" s="42" t="s">
        <v>20</v>
      </c>
      <c r="C441" s="43" t="s">
        <v>267</v>
      </c>
      <c r="D441" s="50">
        <v>6215</v>
      </c>
      <c r="E441" s="42" t="s">
        <v>319</v>
      </c>
      <c r="F441" s="45" t="s">
        <v>145</v>
      </c>
      <c r="G441" s="42" t="s">
        <v>311</v>
      </c>
      <c r="H441" s="45" t="s">
        <v>386</v>
      </c>
      <c r="I441" s="47" t="s">
        <v>22</v>
      </c>
      <c r="J441" s="3">
        <v>0.7</v>
      </c>
      <c r="K441" s="47" t="s">
        <v>129</v>
      </c>
      <c r="L441" s="30" t="s">
        <v>130</v>
      </c>
      <c r="M441" s="47" t="s">
        <v>131</v>
      </c>
      <c r="N441" s="3">
        <v>0.9</v>
      </c>
      <c r="O441" s="10">
        <v>0.2</v>
      </c>
      <c r="P441" s="3"/>
      <c r="Q441" s="3">
        <f t="shared" ref="Q441:Q504" si="14">ROUND(IF(OR(N441="",P441=""),0,IF(AND(N441=0,P441=0),1,IF(S441="+",P441/N441,N441/P441))),2)</f>
        <v>0</v>
      </c>
      <c r="R441" s="48">
        <f t="shared" si="13"/>
        <v>0</v>
      </c>
      <c r="S441" s="10" t="s">
        <v>23</v>
      </c>
      <c r="T441" s="191"/>
    </row>
    <row r="442" spans="1:20" ht="21.6" hidden="1" x14ac:dyDescent="0.3">
      <c r="A442" s="182">
        <v>2076</v>
      </c>
      <c r="B442" s="42" t="s">
        <v>20</v>
      </c>
      <c r="C442" s="43" t="s">
        <v>267</v>
      </c>
      <c r="D442" s="50">
        <v>6215</v>
      </c>
      <c r="E442" s="42" t="s">
        <v>319</v>
      </c>
      <c r="F442" s="45" t="s">
        <v>145</v>
      </c>
      <c r="G442" s="42" t="s">
        <v>311</v>
      </c>
      <c r="H442" s="45" t="s">
        <v>386</v>
      </c>
      <c r="I442" s="47" t="s">
        <v>22</v>
      </c>
      <c r="J442" s="3">
        <v>0.7</v>
      </c>
      <c r="K442" s="47" t="s">
        <v>132</v>
      </c>
      <c r="L442" s="30" t="s">
        <v>133</v>
      </c>
      <c r="M442" s="47" t="s">
        <v>134</v>
      </c>
      <c r="N442" s="4">
        <v>0</v>
      </c>
      <c r="O442" s="10">
        <v>0.1</v>
      </c>
      <c r="P442" s="3"/>
      <c r="Q442" s="3">
        <f t="shared" si="14"/>
        <v>0</v>
      </c>
      <c r="R442" s="48">
        <f t="shared" si="13"/>
        <v>0</v>
      </c>
      <c r="S442" s="10" t="s">
        <v>24</v>
      </c>
      <c r="T442" s="191"/>
    </row>
    <row r="443" spans="1:20" ht="21.6" hidden="1" x14ac:dyDescent="0.3">
      <c r="A443" s="182">
        <v>2077</v>
      </c>
      <c r="B443" s="42" t="s">
        <v>20</v>
      </c>
      <c r="C443" s="43" t="s">
        <v>267</v>
      </c>
      <c r="D443" s="50">
        <v>6215</v>
      </c>
      <c r="E443" s="42" t="s">
        <v>319</v>
      </c>
      <c r="F443" s="45" t="s">
        <v>145</v>
      </c>
      <c r="G443" s="42" t="s">
        <v>311</v>
      </c>
      <c r="H443" s="45" t="s">
        <v>386</v>
      </c>
      <c r="I443" s="47" t="s">
        <v>22</v>
      </c>
      <c r="J443" s="3">
        <v>0.7</v>
      </c>
      <c r="K443" s="47" t="s">
        <v>135</v>
      </c>
      <c r="L443" s="30" t="s">
        <v>136</v>
      </c>
      <c r="M443" s="47" t="s">
        <v>137</v>
      </c>
      <c r="N443" s="3">
        <v>0.9</v>
      </c>
      <c r="O443" s="10">
        <v>0.2</v>
      </c>
      <c r="P443" s="51"/>
      <c r="Q443" s="3">
        <f t="shared" si="14"/>
        <v>0</v>
      </c>
      <c r="R443" s="48">
        <f t="shared" si="13"/>
        <v>0</v>
      </c>
      <c r="S443" s="10" t="s">
        <v>23</v>
      </c>
      <c r="T443" s="191"/>
    </row>
    <row r="444" spans="1:20" ht="22.2" hidden="1" thickBot="1" x14ac:dyDescent="0.35">
      <c r="A444" s="267">
        <v>2078</v>
      </c>
      <c r="B444" s="268" t="s">
        <v>20</v>
      </c>
      <c r="C444" s="269" t="s">
        <v>267</v>
      </c>
      <c r="D444" s="290">
        <v>6215</v>
      </c>
      <c r="E444" s="268" t="s">
        <v>319</v>
      </c>
      <c r="F444" s="271" t="s">
        <v>145</v>
      </c>
      <c r="G444" s="268" t="s">
        <v>311</v>
      </c>
      <c r="H444" s="271" t="s">
        <v>386</v>
      </c>
      <c r="I444" s="272" t="s">
        <v>26</v>
      </c>
      <c r="J444" s="273">
        <v>0.3</v>
      </c>
      <c r="K444" s="272" t="s">
        <v>138</v>
      </c>
      <c r="L444" s="291" t="s">
        <v>139</v>
      </c>
      <c r="M444" s="272" t="s">
        <v>140</v>
      </c>
      <c r="N444" s="273">
        <v>1</v>
      </c>
      <c r="O444" s="276">
        <v>1</v>
      </c>
      <c r="P444" s="273"/>
      <c r="Q444" s="273">
        <f t="shared" si="14"/>
        <v>0</v>
      </c>
      <c r="R444" s="287">
        <f t="shared" si="13"/>
        <v>0</v>
      </c>
      <c r="S444" s="276" t="s">
        <v>23</v>
      </c>
      <c r="T444" s="277"/>
    </row>
    <row r="445" spans="1:20" ht="21.6" hidden="1" x14ac:dyDescent="0.3">
      <c r="A445" s="181">
        <v>2070</v>
      </c>
      <c r="B445" s="71" t="s">
        <v>20</v>
      </c>
      <c r="C445" s="72" t="s">
        <v>267</v>
      </c>
      <c r="D445" s="112">
        <v>6242</v>
      </c>
      <c r="E445" s="71" t="s">
        <v>320</v>
      </c>
      <c r="F445" s="74" t="s">
        <v>145</v>
      </c>
      <c r="G445" s="71" t="s">
        <v>311</v>
      </c>
      <c r="H445" s="74" t="s">
        <v>386</v>
      </c>
      <c r="I445" s="75" t="s">
        <v>22</v>
      </c>
      <c r="J445" s="76">
        <v>0.7</v>
      </c>
      <c r="K445" s="75" t="s">
        <v>513</v>
      </c>
      <c r="L445" s="105" t="s">
        <v>511</v>
      </c>
      <c r="M445" s="75" t="s">
        <v>411</v>
      </c>
      <c r="N445" s="76">
        <v>0.95</v>
      </c>
      <c r="O445" s="76">
        <v>0.15</v>
      </c>
      <c r="P445" s="76"/>
      <c r="Q445" s="76">
        <f t="shared" si="14"/>
        <v>0</v>
      </c>
      <c r="R445" s="80">
        <f t="shared" si="13"/>
        <v>0</v>
      </c>
      <c r="S445" s="76" t="s">
        <v>23</v>
      </c>
      <c r="T445" s="189">
        <f>SUM(R445:R452)%</f>
        <v>0</v>
      </c>
    </row>
    <row r="446" spans="1:20" ht="21.6" hidden="1" x14ac:dyDescent="0.3">
      <c r="A446" s="182">
        <v>2072</v>
      </c>
      <c r="B446" s="42" t="s">
        <v>20</v>
      </c>
      <c r="C446" s="43" t="s">
        <v>267</v>
      </c>
      <c r="D446" s="50">
        <v>6242</v>
      </c>
      <c r="E446" s="42" t="s">
        <v>320</v>
      </c>
      <c r="F446" s="45" t="s">
        <v>145</v>
      </c>
      <c r="G446" s="42" t="s">
        <v>311</v>
      </c>
      <c r="H446" s="45" t="s">
        <v>386</v>
      </c>
      <c r="I446" s="7" t="s">
        <v>22</v>
      </c>
      <c r="J446" s="3">
        <v>0.7</v>
      </c>
      <c r="K446" s="7" t="s">
        <v>124</v>
      </c>
      <c r="L446" s="8" t="s">
        <v>125</v>
      </c>
      <c r="M446" s="7" t="s">
        <v>126</v>
      </c>
      <c r="N446" s="3">
        <v>0.95</v>
      </c>
      <c r="O446" s="3">
        <v>0.15</v>
      </c>
      <c r="P446" s="6"/>
      <c r="Q446" s="3">
        <f t="shared" si="14"/>
        <v>0</v>
      </c>
      <c r="R446" s="4">
        <f t="shared" si="13"/>
        <v>0</v>
      </c>
      <c r="S446" s="3" t="s">
        <v>23</v>
      </c>
      <c r="T446" s="190"/>
    </row>
    <row r="447" spans="1:20" ht="21.6" hidden="1" x14ac:dyDescent="0.3">
      <c r="A447" s="182">
        <v>2073</v>
      </c>
      <c r="B447" s="42" t="s">
        <v>20</v>
      </c>
      <c r="C447" s="43" t="s">
        <v>267</v>
      </c>
      <c r="D447" s="50">
        <v>6242</v>
      </c>
      <c r="E447" s="42" t="s">
        <v>320</v>
      </c>
      <c r="F447" s="45" t="s">
        <v>145</v>
      </c>
      <c r="G447" s="42" t="s">
        <v>311</v>
      </c>
      <c r="H447" s="45" t="s">
        <v>386</v>
      </c>
      <c r="I447" s="7" t="s">
        <v>22</v>
      </c>
      <c r="J447" s="3">
        <v>0.7</v>
      </c>
      <c r="K447" s="7" t="s">
        <v>51</v>
      </c>
      <c r="L447" s="8" t="s">
        <v>127</v>
      </c>
      <c r="M447" s="7" t="s">
        <v>128</v>
      </c>
      <c r="N447" s="6">
        <v>0.05</v>
      </c>
      <c r="O447" s="3">
        <v>0.1</v>
      </c>
      <c r="P447" s="11"/>
      <c r="Q447" s="3">
        <f t="shared" si="14"/>
        <v>0</v>
      </c>
      <c r="R447" s="4">
        <f t="shared" si="13"/>
        <v>0</v>
      </c>
      <c r="S447" s="3" t="s">
        <v>24</v>
      </c>
      <c r="T447" s="190"/>
    </row>
    <row r="448" spans="1:20" ht="21.6" hidden="1" x14ac:dyDescent="0.3">
      <c r="A448" s="182">
        <v>2074</v>
      </c>
      <c r="B448" s="42" t="s">
        <v>20</v>
      </c>
      <c r="C448" s="43" t="s">
        <v>267</v>
      </c>
      <c r="D448" s="50">
        <v>6242</v>
      </c>
      <c r="E448" s="42" t="s">
        <v>320</v>
      </c>
      <c r="F448" s="45" t="s">
        <v>145</v>
      </c>
      <c r="G448" s="42" t="s">
        <v>311</v>
      </c>
      <c r="H448" s="45" t="s">
        <v>386</v>
      </c>
      <c r="I448" s="7" t="s">
        <v>22</v>
      </c>
      <c r="J448" s="3">
        <v>0.7</v>
      </c>
      <c r="K448" s="7" t="s">
        <v>305</v>
      </c>
      <c r="L448" s="8" t="s">
        <v>257</v>
      </c>
      <c r="M448" s="339" t="s">
        <v>306</v>
      </c>
      <c r="N448" s="3">
        <v>0.95</v>
      </c>
      <c r="O448" s="3">
        <v>0.1</v>
      </c>
      <c r="P448" s="3"/>
      <c r="Q448" s="3">
        <f t="shared" si="14"/>
        <v>0</v>
      </c>
      <c r="R448" s="4">
        <f t="shared" si="13"/>
        <v>0</v>
      </c>
      <c r="S448" s="3" t="s">
        <v>23</v>
      </c>
      <c r="T448" s="190"/>
    </row>
    <row r="449" spans="1:20" ht="21.6" hidden="1" x14ac:dyDescent="0.3">
      <c r="A449" s="182">
        <v>2075</v>
      </c>
      <c r="B449" s="42" t="s">
        <v>20</v>
      </c>
      <c r="C449" s="43" t="s">
        <v>267</v>
      </c>
      <c r="D449" s="50">
        <v>6242</v>
      </c>
      <c r="E449" s="42" t="s">
        <v>320</v>
      </c>
      <c r="F449" s="45" t="s">
        <v>145</v>
      </c>
      <c r="G449" s="42" t="s">
        <v>311</v>
      </c>
      <c r="H449" s="45" t="s">
        <v>386</v>
      </c>
      <c r="I449" s="47" t="s">
        <v>22</v>
      </c>
      <c r="J449" s="3">
        <v>0.7</v>
      </c>
      <c r="K449" s="47" t="s">
        <v>129</v>
      </c>
      <c r="L449" s="30" t="s">
        <v>130</v>
      </c>
      <c r="M449" s="47" t="s">
        <v>131</v>
      </c>
      <c r="N449" s="3">
        <v>0.9</v>
      </c>
      <c r="O449" s="10">
        <v>0.2</v>
      </c>
      <c r="P449" s="3"/>
      <c r="Q449" s="3">
        <f t="shared" si="14"/>
        <v>0</v>
      </c>
      <c r="R449" s="48">
        <f t="shared" si="13"/>
        <v>0</v>
      </c>
      <c r="S449" s="10" t="s">
        <v>23</v>
      </c>
      <c r="T449" s="191"/>
    </row>
    <row r="450" spans="1:20" ht="21.6" hidden="1" x14ac:dyDescent="0.3">
      <c r="A450" s="182">
        <v>2076</v>
      </c>
      <c r="B450" s="42" t="s">
        <v>20</v>
      </c>
      <c r="C450" s="43" t="s">
        <v>267</v>
      </c>
      <c r="D450" s="50">
        <v>6242</v>
      </c>
      <c r="E450" s="42" t="s">
        <v>320</v>
      </c>
      <c r="F450" s="45" t="s">
        <v>145</v>
      </c>
      <c r="G450" s="42" t="s">
        <v>311</v>
      </c>
      <c r="H450" s="45" t="s">
        <v>386</v>
      </c>
      <c r="I450" s="47" t="s">
        <v>22</v>
      </c>
      <c r="J450" s="3">
        <v>0.7</v>
      </c>
      <c r="K450" s="47" t="s">
        <v>132</v>
      </c>
      <c r="L450" s="30" t="s">
        <v>133</v>
      </c>
      <c r="M450" s="47" t="s">
        <v>134</v>
      </c>
      <c r="N450" s="4">
        <v>0</v>
      </c>
      <c r="O450" s="10">
        <v>0.1</v>
      </c>
      <c r="P450" s="3"/>
      <c r="Q450" s="3">
        <f t="shared" si="14"/>
        <v>0</v>
      </c>
      <c r="R450" s="48">
        <f t="shared" si="13"/>
        <v>0</v>
      </c>
      <c r="S450" s="10" t="s">
        <v>24</v>
      </c>
      <c r="T450" s="191"/>
    </row>
    <row r="451" spans="1:20" ht="21.6" hidden="1" x14ac:dyDescent="0.3">
      <c r="A451" s="182">
        <v>2077</v>
      </c>
      <c r="B451" s="42" t="s">
        <v>20</v>
      </c>
      <c r="C451" s="43" t="s">
        <v>267</v>
      </c>
      <c r="D451" s="50">
        <v>6242</v>
      </c>
      <c r="E451" s="42" t="s">
        <v>320</v>
      </c>
      <c r="F451" s="45" t="s">
        <v>145</v>
      </c>
      <c r="G451" s="42" t="s">
        <v>311</v>
      </c>
      <c r="H451" s="45" t="s">
        <v>386</v>
      </c>
      <c r="I451" s="47" t="s">
        <v>22</v>
      </c>
      <c r="J451" s="3">
        <v>0.7</v>
      </c>
      <c r="K451" s="47" t="s">
        <v>135</v>
      </c>
      <c r="L451" s="30" t="s">
        <v>136</v>
      </c>
      <c r="M451" s="47" t="s">
        <v>137</v>
      </c>
      <c r="N451" s="3">
        <v>0.9</v>
      </c>
      <c r="O451" s="10">
        <v>0.2</v>
      </c>
      <c r="P451" s="51"/>
      <c r="Q451" s="3">
        <f t="shared" si="14"/>
        <v>0</v>
      </c>
      <c r="R451" s="48">
        <f t="shared" si="13"/>
        <v>0</v>
      </c>
      <c r="S451" s="10" t="s">
        <v>23</v>
      </c>
      <c r="T451" s="191"/>
    </row>
    <row r="452" spans="1:20" ht="22.2" hidden="1" thickBot="1" x14ac:dyDescent="0.35">
      <c r="A452" s="267">
        <v>2078</v>
      </c>
      <c r="B452" s="268" t="s">
        <v>20</v>
      </c>
      <c r="C452" s="269" t="s">
        <v>267</v>
      </c>
      <c r="D452" s="290">
        <v>6242</v>
      </c>
      <c r="E452" s="268" t="s">
        <v>320</v>
      </c>
      <c r="F452" s="271" t="s">
        <v>145</v>
      </c>
      <c r="G452" s="268" t="s">
        <v>311</v>
      </c>
      <c r="H452" s="271" t="s">
        <v>386</v>
      </c>
      <c r="I452" s="272" t="s">
        <v>26</v>
      </c>
      <c r="J452" s="273">
        <v>0.3</v>
      </c>
      <c r="K452" s="272" t="s">
        <v>138</v>
      </c>
      <c r="L452" s="291" t="s">
        <v>139</v>
      </c>
      <c r="M452" s="272" t="s">
        <v>140</v>
      </c>
      <c r="N452" s="273">
        <v>1</v>
      </c>
      <c r="O452" s="276">
        <v>1</v>
      </c>
      <c r="P452" s="273"/>
      <c r="Q452" s="273">
        <f t="shared" si="14"/>
        <v>0</v>
      </c>
      <c r="R452" s="287">
        <f t="shared" si="13"/>
        <v>0</v>
      </c>
      <c r="S452" s="276" t="s">
        <v>23</v>
      </c>
      <c r="T452" s="277"/>
    </row>
    <row r="453" spans="1:20" ht="21.6" hidden="1" x14ac:dyDescent="0.3">
      <c r="A453" s="181">
        <v>2070</v>
      </c>
      <c r="B453" s="71" t="s">
        <v>20</v>
      </c>
      <c r="C453" s="72" t="s">
        <v>267</v>
      </c>
      <c r="D453" s="112">
        <v>6346</v>
      </c>
      <c r="E453" s="71" t="s">
        <v>321</v>
      </c>
      <c r="F453" s="74" t="s">
        <v>145</v>
      </c>
      <c r="G453" s="71" t="s">
        <v>311</v>
      </c>
      <c r="H453" s="74" t="s">
        <v>386</v>
      </c>
      <c r="I453" s="75" t="s">
        <v>22</v>
      </c>
      <c r="J453" s="76">
        <v>0.7</v>
      </c>
      <c r="K453" s="75" t="s">
        <v>513</v>
      </c>
      <c r="L453" s="105" t="s">
        <v>511</v>
      </c>
      <c r="M453" s="75" t="s">
        <v>411</v>
      </c>
      <c r="N453" s="76">
        <v>0.95</v>
      </c>
      <c r="O453" s="76">
        <v>0.15</v>
      </c>
      <c r="P453" s="76"/>
      <c r="Q453" s="76">
        <f t="shared" si="14"/>
        <v>0</v>
      </c>
      <c r="R453" s="80">
        <f t="shared" si="13"/>
        <v>0</v>
      </c>
      <c r="S453" s="76" t="s">
        <v>23</v>
      </c>
      <c r="T453" s="189">
        <f>SUM(R453:R460)%</f>
        <v>0</v>
      </c>
    </row>
    <row r="454" spans="1:20" ht="21.6" hidden="1" x14ac:dyDescent="0.3">
      <c r="A454" s="182">
        <v>2072</v>
      </c>
      <c r="B454" s="42" t="s">
        <v>20</v>
      </c>
      <c r="C454" s="43" t="s">
        <v>267</v>
      </c>
      <c r="D454" s="50">
        <v>6346</v>
      </c>
      <c r="E454" s="42" t="s">
        <v>321</v>
      </c>
      <c r="F454" s="45" t="s">
        <v>145</v>
      </c>
      <c r="G454" s="42" t="s">
        <v>311</v>
      </c>
      <c r="H454" s="45" t="s">
        <v>386</v>
      </c>
      <c r="I454" s="7" t="s">
        <v>22</v>
      </c>
      <c r="J454" s="3">
        <v>0.7</v>
      </c>
      <c r="K454" s="7" t="s">
        <v>124</v>
      </c>
      <c r="L454" s="8" t="s">
        <v>125</v>
      </c>
      <c r="M454" s="7" t="s">
        <v>126</v>
      </c>
      <c r="N454" s="3">
        <v>0.95</v>
      </c>
      <c r="O454" s="3">
        <v>0.15</v>
      </c>
      <c r="P454" s="6"/>
      <c r="Q454" s="3">
        <f t="shared" si="14"/>
        <v>0</v>
      </c>
      <c r="R454" s="4">
        <f t="shared" si="13"/>
        <v>0</v>
      </c>
      <c r="S454" s="3" t="s">
        <v>23</v>
      </c>
      <c r="T454" s="190"/>
    </row>
    <row r="455" spans="1:20" ht="21.6" hidden="1" x14ac:dyDescent="0.3">
      <c r="A455" s="182">
        <v>2073</v>
      </c>
      <c r="B455" s="42" t="s">
        <v>20</v>
      </c>
      <c r="C455" s="43" t="s">
        <v>267</v>
      </c>
      <c r="D455" s="50">
        <v>6346</v>
      </c>
      <c r="E455" s="42" t="s">
        <v>321</v>
      </c>
      <c r="F455" s="45" t="s">
        <v>145</v>
      </c>
      <c r="G455" s="42" t="s">
        <v>311</v>
      </c>
      <c r="H455" s="45" t="s">
        <v>386</v>
      </c>
      <c r="I455" s="7" t="s">
        <v>22</v>
      </c>
      <c r="J455" s="3">
        <v>0.7</v>
      </c>
      <c r="K455" s="7" t="s">
        <v>51</v>
      </c>
      <c r="L455" s="8" t="s">
        <v>127</v>
      </c>
      <c r="M455" s="7" t="s">
        <v>128</v>
      </c>
      <c r="N455" s="6">
        <v>0.05</v>
      </c>
      <c r="O455" s="3">
        <v>0.1</v>
      </c>
      <c r="P455" s="11"/>
      <c r="Q455" s="3">
        <f t="shared" si="14"/>
        <v>0</v>
      </c>
      <c r="R455" s="4">
        <f t="shared" si="13"/>
        <v>0</v>
      </c>
      <c r="S455" s="3" t="s">
        <v>24</v>
      </c>
      <c r="T455" s="190"/>
    </row>
    <row r="456" spans="1:20" ht="21.6" hidden="1" x14ac:dyDescent="0.3">
      <c r="A456" s="182">
        <v>2074</v>
      </c>
      <c r="B456" s="42" t="s">
        <v>20</v>
      </c>
      <c r="C456" s="43" t="s">
        <v>267</v>
      </c>
      <c r="D456" s="50">
        <v>6346</v>
      </c>
      <c r="E456" s="42" t="s">
        <v>321</v>
      </c>
      <c r="F456" s="45" t="s">
        <v>145</v>
      </c>
      <c r="G456" s="42" t="s">
        <v>311</v>
      </c>
      <c r="H456" s="45" t="s">
        <v>386</v>
      </c>
      <c r="I456" s="7" t="s">
        <v>22</v>
      </c>
      <c r="J456" s="3">
        <v>0.7</v>
      </c>
      <c r="K456" s="7" t="s">
        <v>305</v>
      </c>
      <c r="L456" s="8" t="s">
        <v>257</v>
      </c>
      <c r="M456" s="339" t="s">
        <v>306</v>
      </c>
      <c r="N456" s="3">
        <v>0.95</v>
      </c>
      <c r="O456" s="3">
        <v>0.1</v>
      </c>
      <c r="P456" s="3"/>
      <c r="Q456" s="3">
        <f t="shared" si="14"/>
        <v>0</v>
      </c>
      <c r="R456" s="4">
        <f t="shared" si="13"/>
        <v>0</v>
      </c>
      <c r="S456" s="3" t="s">
        <v>23</v>
      </c>
      <c r="T456" s="190"/>
    </row>
    <row r="457" spans="1:20" ht="21.6" hidden="1" x14ac:dyDescent="0.3">
      <c r="A457" s="182">
        <v>2075</v>
      </c>
      <c r="B457" s="42" t="s">
        <v>20</v>
      </c>
      <c r="C457" s="43" t="s">
        <v>267</v>
      </c>
      <c r="D457" s="50">
        <v>6346</v>
      </c>
      <c r="E457" s="42" t="s">
        <v>321</v>
      </c>
      <c r="F457" s="45" t="s">
        <v>145</v>
      </c>
      <c r="G457" s="42" t="s">
        <v>311</v>
      </c>
      <c r="H457" s="45" t="s">
        <v>386</v>
      </c>
      <c r="I457" s="47" t="s">
        <v>22</v>
      </c>
      <c r="J457" s="3">
        <v>0.7</v>
      </c>
      <c r="K457" s="47" t="s">
        <v>129</v>
      </c>
      <c r="L457" s="30" t="s">
        <v>130</v>
      </c>
      <c r="M457" s="47" t="s">
        <v>131</v>
      </c>
      <c r="N457" s="3">
        <v>0.9</v>
      </c>
      <c r="O457" s="10">
        <v>0.2</v>
      </c>
      <c r="P457" s="3"/>
      <c r="Q457" s="3">
        <f t="shared" si="14"/>
        <v>0</v>
      </c>
      <c r="R457" s="48">
        <f t="shared" si="13"/>
        <v>0</v>
      </c>
      <c r="S457" s="10" t="s">
        <v>23</v>
      </c>
      <c r="T457" s="191"/>
    </row>
    <row r="458" spans="1:20" ht="21.6" hidden="1" x14ac:dyDescent="0.3">
      <c r="A458" s="182">
        <v>2076</v>
      </c>
      <c r="B458" s="42" t="s">
        <v>20</v>
      </c>
      <c r="C458" s="43" t="s">
        <v>267</v>
      </c>
      <c r="D458" s="50">
        <v>6346</v>
      </c>
      <c r="E458" s="42" t="s">
        <v>321</v>
      </c>
      <c r="F458" s="45" t="s">
        <v>145</v>
      </c>
      <c r="G458" s="42" t="s">
        <v>311</v>
      </c>
      <c r="H458" s="45" t="s">
        <v>386</v>
      </c>
      <c r="I458" s="47" t="s">
        <v>22</v>
      </c>
      <c r="J458" s="3">
        <v>0.7</v>
      </c>
      <c r="K458" s="47" t="s">
        <v>132</v>
      </c>
      <c r="L458" s="30" t="s">
        <v>133</v>
      </c>
      <c r="M458" s="47" t="s">
        <v>134</v>
      </c>
      <c r="N458" s="4">
        <v>0</v>
      </c>
      <c r="O458" s="10">
        <v>0.1</v>
      </c>
      <c r="P458" s="3"/>
      <c r="Q458" s="3">
        <f t="shared" si="14"/>
        <v>0</v>
      </c>
      <c r="R458" s="48">
        <f t="shared" si="13"/>
        <v>0</v>
      </c>
      <c r="S458" s="10" t="s">
        <v>24</v>
      </c>
      <c r="T458" s="191"/>
    </row>
    <row r="459" spans="1:20" ht="21.6" hidden="1" x14ac:dyDescent="0.3">
      <c r="A459" s="182">
        <v>2077</v>
      </c>
      <c r="B459" s="42" t="s">
        <v>20</v>
      </c>
      <c r="C459" s="43" t="s">
        <v>267</v>
      </c>
      <c r="D459" s="50">
        <v>6346</v>
      </c>
      <c r="E459" s="42" t="s">
        <v>321</v>
      </c>
      <c r="F459" s="45" t="s">
        <v>145</v>
      </c>
      <c r="G459" s="42" t="s">
        <v>311</v>
      </c>
      <c r="H459" s="45" t="s">
        <v>386</v>
      </c>
      <c r="I459" s="47" t="s">
        <v>22</v>
      </c>
      <c r="J459" s="3">
        <v>0.7</v>
      </c>
      <c r="K459" s="47" t="s">
        <v>135</v>
      </c>
      <c r="L459" s="30" t="s">
        <v>136</v>
      </c>
      <c r="M459" s="47" t="s">
        <v>137</v>
      </c>
      <c r="N459" s="3">
        <v>0.9</v>
      </c>
      <c r="O459" s="10">
        <v>0.2</v>
      </c>
      <c r="P459" s="51"/>
      <c r="Q459" s="3">
        <f t="shared" si="14"/>
        <v>0</v>
      </c>
      <c r="R459" s="48">
        <f t="shared" ref="R459:R530" si="15">IF(AND(Q459&gt;=60%,Q459&lt;100%),Q459*((O459*J459)),IF(Q459=100%,((O459*J459)*Q459)*100%,IF(Q459&gt;100%,((J459*O459)*100%)*100%,0)))*100</f>
        <v>0</v>
      </c>
      <c r="S459" s="10" t="s">
        <v>23</v>
      </c>
      <c r="T459" s="191"/>
    </row>
    <row r="460" spans="1:20" ht="22.2" hidden="1" thickBot="1" x14ac:dyDescent="0.35">
      <c r="A460" s="267">
        <v>2078</v>
      </c>
      <c r="B460" s="268" t="s">
        <v>20</v>
      </c>
      <c r="C460" s="269" t="s">
        <v>267</v>
      </c>
      <c r="D460" s="290">
        <v>6346</v>
      </c>
      <c r="E460" s="268" t="s">
        <v>321</v>
      </c>
      <c r="F460" s="271" t="s">
        <v>145</v>
      </c>
      <c r="G460" s="268" t="s">
        <v>311</v>
      </c>
      <c r="H460" s="271" t="s">
        <v>386</v>
      </c>
      <c r="I460" s="272" t="s">
        <v>26</v>
      </c>
      <c r="J460" s="273">
        <v>0.3</v>
      </c>
      <c r="K460" s="272" t="s">
        <v>138</v>
      </c>
      <c r="L460" s="291" t="s">
        <v>139</v>
      </c>
      <c r="M460" s="272" t="s">
        <v>140</v>
      </c>
      <c r="N460" s="273">
        <v>1</v>
      </c>
      <c r="O460" s="276">
        <v>1</v>
      </c>
      <c r="P460" s="273"/>
      <c r="Q460" s="273">
        <f t="shared" si="14"/>
        <v>0</v>
      </c>
      <c r="R460" s="287">
        <f t="shared" si="15"/>
        <v>0</v>
      </c>
      <c r="S460" s="276" t="s">
        <v>23</v>
      </c>
      <c r="T460" s="277"/>
    </row>
    <row r="461" spans="1:20" ht="21.6" hidden="1" x14ac:dyDescent="0.3">
      <c r="A461" s="181">
        <v>2070</v>
      </c>
      <c r="B461" s="71" t="s">
        <v>20</v>
      </c>
      <c r="C461" s="72" t="s">
        <v>267</v>
      </c>
      <c r="D461" s="112">
        <v>6521</v>
      </c>
      <c r="E461" s="71" t="s">
        <v>322</v>
      </c>
      <c r="F461" s="74" t="s">
        <v>145</v>
      </c>
      <c r="G461" s="71" t="s">
        <v>311</v>
      </c>
      <c r="H461" s="74" t="s">
        <v>386</v>
      </c>
      <c r="I461" s="75" t="s">
        <v>22</v>
      </c>
      <c r="J461" s="76">
        <v>0.7</v>
      </c>
      <c r="K461" s="75" t="s">
        <v>513</v>
      </c>
      <c r="L461" s="105" t="s">
        <v>511</v>
      </c>
      <c r="M461" s="75" t="s">
        <v>411</v>
      </c>
      <c r="N461" s="76">
        <v>0.95</v>
      </c>
      <c r="O461" s="76">
        <v>0.15</v>
      </c>
      <c r="P461" s="76"/>
      <c r="Q461" s="76">
        <f t="shared" si="14"/>
        <v>0</v>
      </c>
      <c r="R461" s="80">
        <f t="shared" si="15"/>
        <v>0</v>
      </c>
      <c r="S461" s="76" t="s">
        <v>23</v>
      </c>
      <c r="T461" s="189">
        <f>SUM(R461:R468)%</f>
        <v>0</v>
      </c>
    </row>
    <row r="462" spans="1:20" ht="21.6" hidden="1" x14ac:dyDescent="0.3">
      <c r="A462" s="182">
        <v>2072</v>
      </c>
      <c r="B462" s="42" t="s">
        <v>20</v>
      </c>
      <c r="C462" s="43" t="s">
        <v>267</v>
      </c>
      <c r="D462" s="50">
        <v>6521</v>
      </c>
      <c r="E462" s="42" t="s">
        <v>322</v>
      </c>
      <c r="F462" s="45" t="s">
        <v>145</v>
      </c>
      <c r="G462" s="42" t="s">
        <v>311</v>
      </c>
      <c r="H462" s="45" t="s">
        <v>386</v>
      </c>
      <c r="I462" s="7" t="s">
        <v>22</v>
      </c>
      <c r="J462" s="3">
        <v>0.7</v>
      </c>
      <c r="K462" s="7" t="s">
        <v>124</v>
      </c>
      <c r="L462" s="8" t="s">
        <v>125</v>
      </c>
      <c r="M462" s="7" t="s">
        <v>126</v>
      </c>
      <c r="N462" s="3">
        <v>0.95</v>
      </c>
      <c r="O462" s="3">
        <v>0.15</v>
      </c>
      <c r="P462" s="6"/>
      <c r="Q462" s="3">
        <f t="shared" si="14"/>
        <v>0</v>
      </c>
      <c r="R462" s="4">
        <f t="shared" si="15"/>
        <v>0</v>
      </c>
      <c r="S462" s="3" t="s">
        <v>23</v>
      </c>
      <c r="T462" s="190"/>
    </row>
    <row r="463" spans="1:20" ht="21.6" hidden="1" x14ac:dyDescent="0.3">
      <c r="A463" s="182">
        <v>2073</v>
      </c>
      <c r="B463" s="42" t="s">
        <v>20</v>
      </c>
      <c r="C463" s="43" t="s">
        <v>267</v>
      </c>
      <c r="D463" s="50">
        <v>6521</v>
      </c>
      <c r="E463" s="42" t="s">
        <v>322</v>
      </c>
      <c r="F463" s="45" t="s">
        <v>145</v>
      </c>
      <c r="G463" s="42" t="s">
        <v>311</v>
      </c>
      <c r="H463" s="45" t="s">
        <v>386</v>
      </c>
      <c r="I463" s="7" t="s">
        <v>22</v>
      </c>
      <c r="J463" s="3">
        <v>0.7</v>
      </c>
      <c r="K463" s="7" t="s">
        <v>51</v>
      </c>
      <c r="L463" s="8" t="s">
        <v>127</v>
      </c>
      <c r="M463" s="7" t="s">
        <v>128</v>
      </c>
      <c r="N463" s="6">
        <v>0.05</v>
      </c>
      <c r="O463" s="3">
        <v>0.1</v>
      </c>
      <c r="P463" s="11"/>
      <c r="Q463" s="3">
        <f t="shared" si="14"/>
        <v>0</v>
      </c>
      <c r="R463" s="4">
        <f t="shared" si="15"/>
        <v>0</v>
      </c>
      <c r="S463" s="3" t="s">
        <v>24</v>
      </c>
      <c r="T463" s="190"/>
    </row>
    <row r="464" spans="1:20" ht="21.6" hidden="1" x14ac:dyDescent="0.3">
      <c r="A464" s="182">
        <v>2074</v>
      </c>
      <c r="B464" s="42" t="s">
        <v>20</v>
      </c>
      <c r="C464" s="43" t="s">
        <v>267</v>
      </c>
      <c r="D464" s="50">
        <v>6521</v>
      </c>
      <c r="E464" s="42" t="s">
        <v>322</v>
      </c>
      <c r="F464" s="45" t="s">
        <v>145</v>
      </c>
      <c r="G464" s="42" t="s">
        <v>311</v>
      </c>
      <c r="H464" s="45" t="s">
        <v>386</v>
      </c>
      <c r="I464" s="7" t="s">
        <v>22</v>
      </c>
      <c r="J464" s="3">
        <v>0.7</v>
      </c>
      <c r="K464" s="7" t="s">
        <v>305</v>
      </c>
      <c r="L464" s="8" t="s">
        <v>257</v>
      </c>
      <c r="M464" s="339" t="s">
        <v>306</v>
      </c>
      <c r="N464" s="3">
        <v>0.95</v>
      </c>
      <c r="O464" s="3">
        <v>0.1</v>
      </c>
      <c r="P464" s="3"/>
      <c r="Q464" s="3">
        <f t="shared" si="14"/>
        <v>0</v>
      </c>
      <c r="R464" s="4">
        <f t="shared" si="15"/>
        <v>0</v>
      </c>
      <c r="S464" s="3" t="s">
        <v>23</v>
      </c>
      <c r="T464" s="190"/>
    </row>
    <row r="465" spans="1:20" ht="21.6" hidden="1" x14ac:dyDescent="0.3">
      <c r="A465" s="182">
        <v>2075</v>
      </c>
      <c r="B465" s="42" t="s">
        <v>20</v>
      </c>
      <c r="C465" s="43" t="s">
        <v>267</v>
      </c>
      <c r="D465" s="50">
        <v>6521</v>
      </c>
      <c r="E465" s="42" t="s">
        <v>322</v>
      </c>
      <c r="F465" s="45" t="s">
        <v>145</v>
      </c>
      <c r="G465" s="42" t="s">
        <v>311</v>
      </c>
      <c r="H465" s="45" t="s">
        <v>386</v>
      </c>
      <c r="I465" s="47" t="s">
        <v>22</v>
      </c>
      <c r="J465" s="3">
        <v>0.7</v>
      </c>
      <c r="K465" s="47" t="s">
        <v>129</v>
      </c>
      <c r="L465" s="30" t="s">
        <v>130</v>
      </c>
      <c r="M465" s="47" t="s">
        <v>131</v>
      </c>
      <c r="N465" s="3">
        <v>0.9</v>
      </c>
      <c r="O465" s="10">
        <v>0.2</v>
      </c>
      <c r="P465" s="3"/>
      <c r="Q465" s="3">
        <f t="shared" si="14"/>
        <v>0</v>
      </c>
      <c r="R465" s="48">
        <f t="shared" si="15"/>
        <v>0</v>
      </c>
      <c r="S465" s="10" t="s">
        <v>23</v>
      </c>
      <c r="T465" s="191"/>
    </row>
    <row r="466" spans="1:20" ht="21.6" hidden="1" x14ac:dyDescent="0.3">
      <c r="A466" s="182">
        <v>2076</v>
      </c>
      <c r="B466" s="42" t="s">
        <v>20</v>
      </c>
      <c r="C466" s="43" t="s">
        <v>267</v>
      </c>
      <c r="D466" s="50">
        <v>6521</v>
      </c>
      <c r="E466" s="42" t="s">
        <v>322</v>
      </c>
      <c r="F466" s="45" t="s">
        <v>145</v>
      </c>
      <c r="G466" s="42" t="s">
        <v>311</v>
      </c>
      <c r="H466" s="45" t="s">
        <v>386</v>
      </c>
      <c r="I466" s="47" t="s">
        <v>22</v>
      </c>
      <c r="J466" s="3">
        <v>0.7</v>
      </c>
      <c r="K466" s="47" t="s">
        <v>132</v>
      </c>
      <c r="L466" s="30" t="s">
        <v>133</v>
      </c>
      <c r="M466" s="47" t="s">
        <v>134</v>
      </c>
      <c r="N466" s="4">
        <v>0</v>
      </c>
      <c r="O466" s="10">
        <v>0.1</v>
      </c>
      <c r="P466" s="3"/>
      <c r="Q466" s="3">
        <f t="shared" si="14"/>
        <v>0</v>
      </c>
      <c r="R466" s="48">
        <f t="shared" si="15"/>
        <v>0</v>
      </c>
      <c r="S466" s="10" t="s">
        <v>24</v>
      </c>
      <c r="T466" s="191"/>
    </row>
    <row r="467" spans="1:20" ht="21.6" hidden="1" x14ac:dyDescent="0.3">
      <c r="A467" s="182">
        <v>2077</v>
      </c>
      <c r="B467" s="42" t="s">
        <v>20</v>
      </c>
      <c r="C467" s="43" t="s">
        <v>267</v>
      </c>
      <c r="D467" s="50">
        <v>6521</v>
      </c>
      <c r="E467" s="42" t="s">
        <v>322</v>
      </c>
      <c r="F467" s="45" t="s">
        <v>145</v>
      </c>
      <c r="G467" s="42" t="s">
        <v>311</v>
      </c>
      <c r="H467" s="45" t="s">
        <v>386</v>
      </c>
      <c r="I467" s="47" t="s">
        <v>22</v>
      </c>
      <c r="J467" s="3">
        <v>0.7</v>
      </c>
      <c r="K467" s="47" t="s">
        <v>135</v>
      </c>
      <c r="L467" s="30" t="s">
        <v>136</v>
      </c>
      <c r="M467" s="47" t="s">
        <v>137</v>
      </c>
      <c r="N467" s="3">
        <v>0.9</v>
      </c>
      <c r="O467" s="10">
        <v>0.2</v>
      </c>
      <c r="P467" s="51"/>
      <c r="Q467" s="3">
        <f t="shared" si="14"/>
        <v>0</v>
      </c>
      <c r="R467" s="48">
        <f t="shared" si="15"/>
        <v>0</v>
      </c>
      <c r="S467" s="10" t="s">
        <v>23</v>
      </c>
      <c r="T467" s="191"/>
    </row>
    <row r="468" spans="1:20" ht="22.2" hidden="1" thickBot="1" x14ac:dyDescent="0.35">
      <c r="A468" s="267">
        <v>2078</v>
      </c>
      <c r="B468" s="268" t="s">
        <v>20</v>
      </c>
      <c r="C468" s="269" t="s">
        <v>267</v>
      </c>
      <c r="D468" s="290">
        <v>6521</v>
      </c>
      <c r="E468" s="268" t="s">
        <v>322</v>
      </c>
      <c r="F468" s="271" t="s">
        <v>145</v>
      </c>
      <c r="G468" s="268" t="s">
        <v>311</v>
      </c>
      <c r="H468" s="271" t="s">
        <v>386</v>
      </c>
      <c r="I468" s="272" t="s">
        <v>26</v>
      </c>
      <c r="J468" s="273">
        <v>0.3</v>
      </c>
      <c r="K468" s="272" t="s">
        <v>138</v>
      </c>
      <c r="L468" s="291" t="s">
        <v>139</v>
      </c>
      <c r="M468" s="272" t="s">
        <v>140</v>
      </c>
      <c r="N468" s="273">
        <v>1</v>
      </c>
      <c r="O468" s="276">
        <v>1</v>
      </c>
      <c r="P468" s="273"/>
      <c r="Q468" s="273">
        <f t="shared" si="14"/>
        <v>0</v>
      </c>
      <c r="R468" s="287">
        <f t="shared" si="15"/>
        <v>0</v>
      </c>
      <c r="S468" s="276" t="s">
        <v>23</v>
      </c>
      <c r="T468" s="277"/>
    </row>
    <row r="469" spans="1:20" ht="21.6" hidden="1" x14ac:dyDescent="0.3">
      <c r="A469" s="181">
        <v>2070</v>
      </c>
      <c r="B469" s="71" t="s">
        <v>20</v>
      </c>
      <c r="C469" s="72" t="s">
        <v>267</v>
      </c>
      <c r="D469" s="112">
        <v>6529</v>
      </c>
      <c r="E469" s="71" t="s">
        <v>323</v>
      </c>
      <c r="F469" s="74" t="s">
        <v>145</v>
      </c>
      <c r="G469" s="71" t="s">
        <v>311</v>
      </c>
      <c r="H469" s="74" t="s">
        <v>386</v>
      </c>
      <c r="I469" s="75" t="s">
        <v>22</v>
      </c>
      <c r="J469" s="76">
        <v>0.7</v>
      </c>
      <c r="K469" s="75" t="s">
        <v>513</v>
      </c>
      <c r="L469" s="105" t="s">
        <v>511</v>
      </c>
      <c r="M469" s="75" t="s">
        <v>411</v>
      </c>
      <c r="N469" s="76">
        <v>0.95</v>
      </c>
      <c r="O469" s="76">
        <v>0.15</v>
      </c>
      <c r="P469" s="76"/>
      <c r="Q469" s="76">
        <f t="shared" si="14"/>
        <v>0</v>
      </c>
      <c r="R469" s="80">
        <f t="shared" si="15"/>
        <v>0</v>
      </c>
      <c r="S469" s="76" t="s">
        <v>23</v>
      </c>
      <c r="T469" s="189">
        <f>SUM(R469:R476)%</f>
        <v>0</v>
      </c>
    </row>
    <row r="470" spans="1:20" ht="21.6" hidden="1" x14ac:dyDescent="0.3">
      <c r="A470" s="182">
        <v>2072</v>
      </c>
      <c r="B470" s="42" t="s">
        <v>20</v>
      </c>
      <c r="C470" s="43" t="s">
        <v>267</v>
      </c>
      <c r="D470" s="50">
        <v>6529</v>
      </c>
      <c r="E470" s="42" t="s">
        <v>323</v>
      </c>
      <c r="F470" s="45" t="s">
        <v>145</v>
      </c>
      <c r="G470" s="42" t="s">
        <v>311</v>
      </c>
      <c r="H470" s="45" t="s">
        <v>386</v>
      </c>
      <c r="I470" s="7" t="s">
        <v>22</v>
      </c>
      <c r="J470" s="3">
        <v>0.7</v>
      </c>
      <c r="K470" s="7" t="s">
        <v>124</v>
      </c>
      <c r="L470" s="8" t="s">
        <v>125</v>
      </c>
      <c r="M470" s="7" t="s">
        <v>126</v>
      </c>
      <c r="N470" s="3">
        <v>0.95</v>
      </c>
      <c r="O470" s="3">
        <v>0.15</v>
      </c>
      <c r="P470" s="6"/>
      <c r="Q470" s="3">
        <f t="shared" si="14"/>
        <v>0</v>
      </c>
      <c r="R470" s="4">
        <f t="shared" si="15"/>
        <v>0</v>
      </c>
      <c r="S470" s="3" t="s">
        <v>23</v>
      </c>
      <c r="T470" s="190"/>
    </row>
    <row r="471" spans="1:20" ht="21.6" hidden="1" x14ac:dyDescent="0.3">
      <c r="A471" s="182">
        <v>2073</v>
      </c>
      <c r="B471" s="42" t="s">
        <v>20</v>
      </c>
      <c r="C471" s="43" t="s">
        <v>267</v>
      </c>
      <c r="D471" s="50">
        <v>6529</v>
      </c>
      <c r="E471" s="42" t="s">
        <v>323</v>
      </c>
      <c r="F471" s="45" t="s">
        <v>145</v>
      </c>
      <c r="G471" s="42" t="s">
        <v>311</v>
      </c>
      <c r="H471" s="45" t="s">
        <v>386</v>
      </c>
      <c r="I471" s="7" t="s">
        <v>22</v>
      </c>
      <c r="J471" s="3">
        <v>0.7</v>
      </c>
      <c r="K471" s="7" t="s">
        <v>51</v>
      </c>
      <c r="L471" s="8" t="s">
        <v>127</v>
      </c>
      <c r="M471" s="7" t="s">
        <v>128</v>
      </c>
      <c r="N471" s="6">
        <v>0.05</v>
      </c>
      <c r="O471" s="3">
        <v>0.1</v>
      </c>
      <c r="P471" s="11"/>
      <c r="Q471" s="3">
        <f t="shared" si="14"/>
        <v>0</v>
      </c>
      <c r="R471" s="4">
        <f t="shared" si="15"/>
        <v>0</v>
      </c>
      <c r="S471" s="3" t="s">
        <v>24</v>
      </c>
      <c r="T471" s="190"/>
    </row>
    <row r="472" spans="1:20" ht="21.6" hidden="1" x14ac:dyDescent="0.3">
      <c r="A472" s="182">
        <v>2074</v>
      </c>
      <c r="B472" s="42" t="s">
        <v>20</v>
      </c>
      <c r="C472" s="43" t="s">
        <v>267</v>
      </c>
      <c r="D472" s="50">
        <v>6529</v>
      </c>
      <c r="E472" s="42" t="s">
        <v>323</v>
      </c>
      <c r="F472" s="45" t="s">
        <v>145</v>
      </c>
      <c r="G472" s="42" t="s">
        <v>311</v>
      </c>
      <c r="H472" s="45" t="s">
        <v>386</v>
      </c>
      <c r="I472" s="7" t="s">
        <v>22</v>
      </c>
      <c r="J472" s="3">
        <v>0.7</v>
      </c>
      <c r="K472" s="7" t="s">
        <v>305</v>
      </c>
      <c r="L472" s="8" t="s">
        <v>257</v>
      </c>
      <c r="M472" s="339" t="s">
        <v>306</v>
      </c>
      <c r="N472" s="3">
        <v>0.95</v>
      </c>
      <c r="O472" s="3">
        <v>0.1</v>
      </c>
      <c r="P472" s="3"/>
      <c r="Q472" s="3">
        <f t="shared" si="14"/>
        <v>0</v>
      </c>
      <c r="R472" s="4">
        <f t="shared" si="15"/>
        <v>0</v>
      </c>
      <c r="S472" s="3" t="s">
        <v>23</v>
      </c>
      <c r="T472" s="190"/>
    </row>
    <row r="473" spans="1:20" ht="21.6" hidden="1" x14ac:dyDescent="0.3">
      <c r="A473" s="182">
        <v>2075</v>
      </c>
      <c r="B473" s="42" t="s">
        <v>20</v>
      </c>
      <c r="C473" s="43" t="s">
        <v>267</v>
      </c>
      <c r="D473" s="50">
        <v>6529</v>
      </c>
      <c r="E473" s="42" t="s">
        <v>323</v>
      </c>
      <c r="F473" s="45" t="s">
        <v>145</v>
      </c>
      <c r="G473" s="42" t="s">
        <v>311</v>
      </c>
      <c r="H473" s="45" t="s">
        <v>386</v>
      </c>
      <c r="I473" s="47" t="s">
        <v>22</v>
      </c>
      <c r="J473" s="3">
        <v>0.7</v>
      </c>
      <c r="K473" s="47" t="s">
        <v>129</v>
      </c>
      <c r="L473" s="30" t="s">
        <v>130</v>
      </c>
      <c r="M473" s="47" t="s">
        <v>131</v>
      </c>
      <c r="N473" s="3">
        <v>0.9</v>
      </c>
      <c r="O473" s="10">
        <v>0.2</v>
      </c>
      <c r="P473" s="3"/>
      <c r="Q473" s="3">
        <f t="shared" si="14"/>
        <v>0</v>
      </c>
      <c r="R473" s="48">
        <f t="shared" si="15"/>
        <v>0</v>
      </c>
      <c r="S473" s="10" t="s">
        <v>23</v>
      </c>
      <c r="T473" s="191"/>
    </row>
    <row r="474" spans="1:20" ht="21.6" hidden="1" x14ac:dyDescent="0.3">
      <c r="A474" s="182">
        <v>2076</v>
      </c>
      <c r="B474" s="42" t="s">
        <v>20</v>
      </c>
      <c r="C474" s="43" t="s">
        <v>267</v>
      </c>
      <c r="D474" s="50">
        <v>6529</v>
      </c>
      <c r="E474" s="42" t="s">
        <v>323</v>
      </c>
      <c r="F474" s="45" t="s">
        <v>145</v>
      </c>
      <c r="G474" s="42" t="s">
        <v>311</v>
      </c>
      <c r="H474" s="45" t="s">
        <v>386</v>
      </c>
      <c r="I474" s="47" t="s">
        <v>22</v>
      </c>
      <c r="J474" s="3">
        <v>0.7</v>
      </c>
      <c r="K474" s="47" t="s">
        <v>132</v>
      </c>
      <c r="L474" s="30" t="s">
        <v>133</v>
      </c>
      <c r="M474" s="47" t="s">
        <v>134</v>
      </c>
      <c r="N474" s="4">
        <v>0</v>
      </c>
      <c r="O474" s="10">
        <v>0.1</v>
      </c>
      <c r="P474" s="3"/>
      <c r="Q474" s="3">
        <f t="shared" si="14"/>
        <v>0</v>
      </c>
      <c r="R474" s="48">
        <f t="shared" si="15"/>
        <v>0</v>
      </c>
      <c r="S474" s="10" t="s">
        <v>24</v>
      </c>
      <c r="T474" s="191"/>
    </row>
    <row r="475" spans="1:20" ht="21.6" hidden="1" x14ac:dyDescent="0.3">
      <c r="A475" s="182">
        <v>2077</v>
      </c>
      <c r="B475" s="42" t="s">
        <v>20</v>
      </c>
      <c r="C475" s="43" t="s">
        <v>267</v>
      </c>
      <c r="D475" s="50">
        <v>6529</v>
      </c>
      <c r="E475" s="42" t="s">
        <v>323</v>
      </c>
      <c r="F475" s="45" t="s">
        <v>145</v>
      </c>
      <c r="G475" s="42" t="s">
        <v>311</v>
      </c>
      <c r="H475" s="45" t="s">
        <v>386</v>
      </c>
      <c r="I475" s="47" t="s">
        <v>22</v>
      </c>
      <c r="J475" s="3">
        <v>0.7</v>
      </c>
      <c r="K475" s="47" t="s">
        <v>135</v>
      </c>
      <c r="L475" s="30" t="s">
        <v>136</v>
      </c>
      <c r="M475" s="47" t="s">
        <v>137</v>
      </c>
      <c r="N475" s="3">
        <v>0.9</v>
      </c>
      <c r="O475" s="10">
        <v>0.2</v>
      </c>
      <c r="P475" s="51"/>
      <c r="Q475" s="3">
        <f t="shared" si="14"/>
        <v>0</v>
      </c>
      <c r="R475" s="48">
        <f t="shared" si="15"/>
        <v>0</v>
      </c>
      <c r="S475" s="10" t="s">
        <v>23</v>
      </c>
      <c r="T475" s="191"/>
    </row>
    <row r="476" spans="1:20" ht="22.2" hidden="1" thickBot="1" x14ac:dyDescent="0.35">
      <c r="A476" s="267">
        <v>2078</v>
      </c>
      <c r="B476" s="268" t="s">
        <v>20</v>
      </c>
      <c r="C476" s="269" t="s">
        <v>267</v>
      </c>
      <c r="D476" s="290">
        <v>6529</v>
      </c>
      <c r="E476" s="268" t="s">
        <v>323</v>
      </c>
      <c r="F476" s="271" t="s">
        <v>145</v>
      </c>
      <c r="G476" s="268" t="s">
        <v>311</v>
      </c>
      <c r="H476" s="271" t="s">
        <v>386</v>
      </c>
      <c r="I476" s="272" t="s">
        <v>26</v>
      </c>
      <c r="J476" s="273">
        <v>0.3</v>
      </c>
      <c r="K476" s="272" t="s">
        <v>138</v>
      </c>
      <c r="L476" s="291" t="s">
        <v>139</v>
      </c>
      <c r="M476" s="272" t="s">
        <v>140</v>
      </c>
      <c r="N476" s="273">
        <v>1</v>
      </c>
      <c r="O476" s="276">
        <v>1</v>
      </c>
      <c r="P476" s="273"/>
      <c r="Q476" s="273">
        <f t="shared" si="14"/>
        <v>0</v>
      </c>
      <c r="R476" s="287">
        <f t="shared" si="15"/>
        <v>0</v>
      </c>
      <c r="S476" s="276" t="s">
        <v>23</v>
      </c>
      <c r="T476" s="277"/>
    </row>
    <row r="477" spans="1:20" ht="21.6" hidden="1" x14ac:dyDescent="0.3">
      <c r="A477" s="181">
        <v>2070</v>
      </c>
      <c r="B477" s="71" t="s">
        <v>20</v>
      </c>
      <c r="C477" s="72" t="s">
        <v>267</v>
      </c>
      <c r="D477" s="112">
        <v>6212</v>
      </c>
      <c r="E477" s="71" t="s">
        <v>318</v>
      </c>
      <c r="F477" s="74" t="s">
        <v>145</v>
      </c>
      <c r="G477" s="71" t="s">
        <v>311</v>
      </c>
      <c r="H477" s="74" t="s">
        <v>386</v>
      </c>
      <c r="I477" s="75" t="s">
        <v>22</v>
      </c>
      <c r="J477" s="76">
        <v>0.7</v>
      </c>
      <c r="K477" s="75" t="s">
        <v>513</v>
      </c>
      <c r="L477" s="105" t="s">
        <v>511</v>
      </c>
      <c r="M477" s="75" t="s">
        <v>411</v>
      </c>
      <c r="N477" s="76">
        <v>0.95</v>
      </c>
      <c r="O477" s="76">
        <v>0.15</v>
      </c>
      <c r="P477" s="76"/>
      <c r="Q477" s="76">
        <f t="shared" si="14"/>
        <v>0</v>
      </c>
      <c r="R477" s="80">
        <f t="shared" si="15"/>
        <v>0</v>
      </c>
      <c r="S477" s="76" t="s">
        <v>23</v>
      </c>
      <c r="T477" s="189">
        <f>SUM(R477:R484)%</f>
        <v>0</v>
      </c>
    </row>
    <row r="478" spans="1:20" ht="21.6" hidden="1" x14ac:dyDescent="0.3">
      <c r="A478" s="182">
        <v>2072</v>
      </c>
      <c r="B478" s="42" t="s">
        <v>20</v>
      </c>
      <c r="C478" s="43" t="s">
        <v>267</v>
      </c>
      <c r="D478" s="50">
        <v>6212</v>
      </c>
      <c r="E478" s="42" t="s">
        <v>318</v>
      </c>
      <c r="F478" s="45" t="s">
        <v>145</v>
      </c>
      <c r="G478" s="42" t="s">
        <v>311</v>
      </c>
      <c r="H478" s="45" t="s">
        <v>386</v>
      </c>
      <c r="I478" s="7" t="s">
        <v>22</v>
      </c>
      <c r="J478" s="3">
        <v>0.7</v>
      </c>
      <c r="K478" s="7" t="s">
        <v>124</v>
      </c>
      <c r="L478" s="8" t="s">
        <v>125</v>
      </c>
      <c r="M478" s="7" t="s">
        <v>126</v>
      </c>
      <c r="N478" s="3">
        <v>0.95</v>
      </c>
      <c r="O478" s="3">
        <v>0.15</v>
      </c>
      <c r="P478" s="6"/>
      <c r="Q478" s="3">
        <f t="shared" si="14"/>
        <v>0</v>
      </c>
      <c r="R478" s="4">
        <f t="shared" si="15"/>
        <v>0</v>
      </c>
      <c r="S478" s="3" t="s">
        <v>23</v>
      </c>
      <c r="T478" s="190"/>
    </row>
    <row r="479" spans="1:20" ht="21.6" hidden="1" x14ac:dyDescent="0.3">
      <c r="A479" s="182">
        <v>2073</v>
      </c>
      <c r="B479" s="42" t="s">
        <v>20</v>
      </c>
      <c r="C479" s="43" t="s">
        <v>267</v>
      </c>
      <c r="D479" s="50">
        <v>6212</v>
      </c>
      <c r="E479" s="42" t="s">
        <v>318</v>
      </c>
      <c r="F479" s="45" t="s">
        <v>145</v>
      </c>
      <c r="G479" s="42" t="s">
        <v>311</v>
      </c>
      <c r="H479" s="45" t="s">
        <v>386</v>
      </c>
      <c r="I479" s="7" t="s">
        <v>22</v>
      </c>
      <c r="J479" s="3">
        <v>0.7</v>
      </c>
      <c r="K479" s="7" t="s">
        <v>51</v>
      </c>
      <c r="L479" s="8" t="s">
        <v>127</v>
      </c>
      <c r="M479" s="7" t="s">
        <v>128</v>
      </c>
      <c r="N479" s="6">
        <v>0.05</v>
      </c>
      <c r="O479" s="3">
        <v>0.1</v>
      </c>
      <c r="P479" s="11"/>
      <c r="Q479" s="3">
        <f t="shared" si="14"/>
        <v>0</v>
      </c>
      <c r="R479" s="4">
        <f t="shared" si="15"/>
        <v>0</v>
      </c>
      <c r="S479" s="3" t="s">
        <v>24</v>
      </c>
      <c r="T479" s="190"/>
    </row>
    <row r="480" spans="1:20" ht="21.6" hidden="1" x14ac:dyDescent="0.3">
      <c r="A480" s="182">
        <v>2074</v>
      </c>
      <c r="B480" s="42" t="s">
        <v>20</v>
      </c>
      <c r="C480" s="43" t="s">
        <v>267</v>
      </c>
      <c r="D480" s="50">
        <v>6212</v>
      </c>
      <c r="E480" s="42" t="s">
        <v>318</v>
      </c>
      <c r="F480" s="45" t="s">
        <v>145</v>
      </c>
      <c r="G480" s="42" t="s">
        <v>311</v>
      </c>
      <c r="H480" s="45" t="s">
        <v>386</v>
      </c>
      <c r="I480" s="7" t="s">
        <v>22</v>
      </c>
      <c r="J480" s="3">
        <v>0.7</v>
      </c>
      <c r="K480" s="7" t="s">
        <v>305</v>
      </c>
      <c r="L480" s="8" t="s">
        <v>257</v>
      </c>
      <c r="M480" s="339" t="s">
        <v>306</v>
      </c>
      <c r="N480" s="3">
        <v>0.95</v>
      </c>
      <c r="O480" s="3">
        <v>0.1</v>
      </c>
      <c r="P480" s="3"/>
      <c r="Q480" s="3">
        <f t="shared" si="14"/>
        <v>0</v>
      </c>
      <c r="R480" s="4">
        <f t="shared" si="15"/>
        <v>0</v>
      </c>
      <c r="S480" s="3" t="s">
        <v>23</v>
      </c>
      <c r="T480" s="190"/>
    </row>
    <row r="481" spans="1:20" ht="21.6" hidden="1" x14ac:dyDescent="0.3">
      <c r="A481" s="182">
        <v>2075</v>
      </c>
      <c r="B481" s="42" t="s">
        <v>20</v>
      </c>
      <c r="C481" s="43" t="s">
        <v>267</v>
      </c>
      <c r="D481" s="50">
        <v>6212</v>
      </c>
      <c r="E481" s="42" t="s">
        <v>318</v>
      </c>
      <c r="F481" s="45" t="s">
        <v>145</v>
      </c>
      <c r="G481" s="42" t="s">
        <v>311</v>
      </c>
      <c r="H481" s="45" t="s">
        <v>386</v>
      </c>
      <c r="I481" s="47" t="s">
        <v>22</v>
      </c>
      <c r="J481" s="3">
        <v>0.7</v>
      </c>
      <c r="K481" s="47" t="s">
        <v>129</v>
      </c>
      <c r="L481" s="30" t="s">
        <v>130</v>
      </c>
      <c r="M481" s="47" t="s">
        <v>131</v>
      </c>
      <c r="N481" s="3">
        <v>0.9</v>
      </c>
      <c r="O481" s="10">
        <v>0.2</v>
      </c>
      <c r="P481" s="3"/>
      <c r="Q481" s="3">
        <f t="shared" si="14"/>
        <v>0</v>
      </c>
      <c r="R481" s="48">
        <f t="shared" si="15"/>
        <v>0</v>
      </c>
      <c r="S481" s="10" t="s">
        <v>23</v>
      </c>
      <c r="T481" s="191"/>
    </row>
    <row r="482" spans="1:20" ht="21.6" hidden="1" x14ac:dyDescent="0.3">
      <c r="A482" s="182">
        <v>2076</v>
      </c>
      <c r="B482" s="42" t="s">
        <v>20</v>
      </c>
      <c r="C482" s="43" t="s">
        <v>267</v>
      </c>
      <c r="D482" s="50">
        <v>6212</v>
      </c>
      <c r="E482" s="42" t="s">
        <v>318</v>
      </c>
      <c r="F482" s="45" t="s">
        <v>145</v>
      </c>
      <c r="G482" s="42" t="s">
        <v>311</v>
      </c>
      <c r="H482" s="45" t="s">
        <v>386</v>
      </c>
      <c r="I482" s="47" t="s">
        <v>22</v>
      </c>
      <c r="J482" s="3">
        <v>0.7</v>
      </c>
      <c r="K482" s="47" t="s">
        <v>132</v>
      </c>
      <c r="L482" s="30" t="s">
        <v>133</v>
      </c>
      <c r="M482" s="47" t="s">
        <v>134</v>
      </c>
      <c r="N482" s="4">
        <v>0</v>
      </c>
      <c r="O482" s="10">
        <v>0.1</v>
      </c>
      <c r="P482" s="3"/>
      <c r="Q482" s="3">
        <f t="shared" si="14"/>
        <v>0</v>
      </c>
      <c r="R482" s="48">
        <f t="shared" si="15"/>
        <v>0</v>
      </c>
      <c r="S482" s="10" t="s">
        <v>24</v>
      </c>
      <c r="T482" s="191"/>
    </row>
    <row r="483" spans="1:20" ht="21.6" hidden="1" x14ac:dyDescent="0.3">
      <c r="A483" s="182">
        <v>2077</v>
      </c>
      <c r="B483" s="42" t="s">
        <v>20</v>
      </c>
      <c r="C483" s="43" t="s">
        <v>267</v>
      </c>
      <c r="D483" s="50">
        <v>6212</v>
      </c>
      <c r="E483" s="42" t="s">
        <v>318</v>
      </c>
      <c r="F483" s="45" t="s">
        <v>145</v>
      </c>
      <c r="G483" s="42" t="s">
        <v>311</v>
      </c>
      <c r="H483" s="45" t="s">
        <v>386</v>
      </c>
      <c r="I483" s="47" t="s">
        <v>22</v>
      </c>
      <c r="J483" s="3">
        <v>0.7</v>
      </c>
      <c r="K483" s="47" t="s">
        <v>135</v>
      </c>
      <c r="L483" s="30" t="s">
        <v>136</v>
      </c>
      <c r="M483" s="47" t="s">
        <v>137</v>
      </c>
      <c r="N483" s="3">
        <v>0.9</v>
      </c>
      <c r="O483" s="10">
        <v>0.2</v>
      </c>
      <c r="P483" s="51"/>
      <c r="Q483" s="3">
        <f t="shared" si="14"/>
        <v>0</v>
      </c>
      <c r="R483" s="48">
        <f t="shared" si="15"/>
        <v>0</v>
      </c>
      <c r="S483" s="10" t="s">
        <v>23</v>
      </c>
      <c r="T483" s="191"/>
    </row>
    <row r="484" spans="1:20" ht="22.2" hidden="1" thickBot="1" x14ac:dyDescent="0.35">
      <c r="A484" s="267">
        <v>2078</v>
      </c>
      <c r="B484" s="268" t="s">
        <v>20</v>
      </c>
      <c r="C484" s="269" t="s">
        <v>267</v>
      </c>
      <c r="D484" s="290">
        <v>6212</v>
      </c>
      <c r="E484" s="268" t="s">
        <v>318</v>
      </c>
      <c r="F484" s="271" t="s">
        <v>145</v>
      </c>
      <c r="G484" s="268" t="s">
        <v>311</v>
      </c>
      <c r="H484" s="271" t="s">
        <v>386</v>
      </c>
      <c r="I484" s="272" t="s">
        <v>26</v>
      </c>
      <c r="J484" s="273">
        <v>0.3</v>
      </c>
      <c r="K484" s="272" t="s">
        <v>138</v>
      </c>
      <c r="L484" s="291" t="s">
        <v>139</v>
      </c>
      <c r="M484" s="272" t="s">
        <v>140</v>
      </c>
      <c r="N484" s="273">
        <v>1</v>
      </c>
      <c r="O484" s="276">
        <v>1</v>
      </c>
      <c r="P484" s="273"/>
      <c r="Q484" s="273">
        <f t="shared" si="14"/>
        <v>0</v>
      </c>
      <c r="R484" s="287">
        <f t="shared" si="15"/>
        <v>0</v>
      </c>
      <c r="S484" s="276" t="s">
        <v>23</v>
      </c>
      <c r="T484" s="277"/>
    </row>
    <row r="485" spans="1:20" ht="21.6" hidden="1" x14ac:dyDescent="0.3">
      <c r="A485" s="181">
        <v>2070</v>
      </c>
      <c r="B485" s="71" t="s">
        <v>20</v>
      </c>
      <c r="C485" s="72" t="s">
        <v>267</v>
      </c>
      <c r="D485" s="112">
        <v>6530</v>
      </c>
      <c r="E485" s="71" t="s">
        <v>329</v>
      </c>
      <c r="F485" s="74" t="s">
        <v>123</v>
      </c>
      <c r="G485" s="71" t="s">
        <v>311</v>
      </c>
      <c r="H485" s="74" t="s">
        <v>386</v>
      </c>
      <c r="I485" s="75" t="s">
        <v>22</v>
      </c>
      <c r="J485" s="76">
        <v>0.7</v>
      </c>
      <c r="K485" s="75" t="s">
        <v>513</v>
      </c>
      <c r="L485" s="105" t="s">
        <v>511</v>
      </c>
      <c r="M485" s="75" t="s">
        <v>411</v>
      </c>
      <c r="N485" s="76">
        <v>0.95</v>
      </c>
      <c r="O485" s="76">
        <v>0.15</v>
      </c>
      <c r="P485" s="76"/>
      <c r="Q485" s="76">
        <f t="shared" si="14"/>
        <v>0</v>
      </c>
      <c r="R485" s="80">
        <f t="shared" si="15"/>
        <v>0</v>
      </c>
      <c r="S485" s="76" t="s">
        <v>23</v>
      </c>
      <c r="T485" s="189">
        <f>SUM(R485:R492)%</f>
        <v>0</v>
      </c>
    </row>
    <row r="486" spans="1:20" ht="21.6" hidden="1" x14ac:dyDescent="0.3">
      <c r="A486" s="182">
        <v>2072</v>
      </c>
      <c r="B486" s="42" t="s">
        <v>20</v>
      </c>
      <c r="C486" s="43" t="s">
        <v>267</v>
      </c>
      <c r="D486" s="50">
        <v>6530</v>
      </c>
      <c r="E486" s="42" t="s">
        <v>329</v>
      </c>
      <c r="F486" s="45" t="s">
        <v>123</v>
      </c>
      <c r="G486" s="42" t="s">
        <v>311</v>
      </c>
      <c r="H486" s="45" t="s">
        <v>386</v>
      </c>
      <c r="I486" s="7" t="s">
        <v>22</v>
      </c>
      <c r="J486" s="3">
        <v>0.7</v>
      </c>
      <c r="K486" s="7" t="s">
        <v>124</v>
      </c>
      <c r="L486" s="8" t="s">
        <v>125</v>
      </c>
      <c r="M486" s="7" t="s">
        <v>126</v>
      </c>
      <c r="N486" s="3">
        <v>0.95</v>
      </c>
      <c r="O486" s="3">
        <v>0.15</v>
      </c>
      <c r="P486" s="6"/>
      <c r="Q486" s="3">
        <f t="shared" si="14"/>
        <v>0</v>
      </c>
      <c r="R486" s="4">
        <f t="shared" si="15"/>
        <v>0</v>
      </c>
      <c r="S486" s="3" t="s">
        <v>23</v>
      </c>
      <c r="T486" s="190"/>
    </row>
    <row r="487" spans="1:20" ht="21.6" hidden="1" x14ac:dyDescent="0.3">
      <c r="A487" s="182">
        <v>2073</v>
      </c>
      <c r="B487" s="42" t="s">
        <v>20</v>
      </c>
      <c r="C487" s="43" t="s">
        <v>267</v>
      </c>
      <c r="D487" s="50">
        <v>6530</v>
      </c>
      <c r="E487" s="42" t="s">
        <v>329</v>
      </c>
      <c r="F487" s="45" t="s">
        <v>123</v>
      </c>
      <c r="G487" s="42" t="s">
        <v>311</v>
      </c>
      <c r="H487" s="45" t="s">
        <v>386</v>
      </c>
      <c r="I487" s="7" t="s">
        <v>22</v>
      </c>
      <c r="J487" s="3">
        <v>0.7</v>
      </c>
      <c r="K487" s="7" t="s">
        <v>51</v>
      </c>
      <c r="L487" s="8" t="s">
        <v>127</v>
      </c>
      <c r="M487" s="7" t="s">
        <v>128</v>
      </c>
      <c r="N487" s="6">
        <v>0.05</v>
      </c>
      <c r="O487" s="3">
        <v>0.1</v>
      </c>
      <c r="P487" s="11"/>
      <c r="Q487" s="3">
        <f t="shared" si="14"/>
        <v>0</v>
      </c>
      <c r="R487" s="4">
        <f t="shared" si="15"/>
        <v>0</v>
      </c>
      <c r="S487" s="3" t="s">
        <v>24</v>
      </c>
      <c r="T487" s="190"/>
    </row>
    <row r="488" spans="1:20" ht="21.6" hidden="1" x14ac:dyDescent="0.3">
      <c r="A488" s="182">
        <v>2074</v>
      </c>
      <c r="B488" s="42" t="s">
        <v>20</v>
      </c>
      <c r="C488" s="43" t="s">
        <v>267</v>
      </c>
      <c r="D488" s="50">
        <v>6530</v>
      </c>
      <c r="E488" s="42" t="s">
        <v>329</v>
      </c>
      <c r="F488" s="45" t="s">
        <v>123</v>
      </c>
      <c r="G488" s="42" t="s">
        <v>311</v>
      </c>
      <c r="H488" s="45" t="s">
        <v>386</v>
      </c>
      <c r="I488" s="7" t="s">
        <v>22</v>
      </c>
      <c r="J488" s="3">
        <v>0.7</v>
      </c>
      <c r="K488" s="7" t="s">
        <v>305</v>
      </c>
      <c r="L488" s="8" t="s">
        <v>257</v>
      </c>
      <c r="M488" s="339" t="s">
        <v>306</v>
      </c>
      <c r="N488" s="3">
        <v>0.95</v>
      </c>
      <c r="O488" s="3">
        <v>0.1</v>
      </c>
      <c r="P488" s="3"/>
      <c r="Q488" s="3">
        <f t="shared" si="14"/>
        <v>0</v>
      </c>
      <c r="R488" s="4">
        <f t="shared" si="15"/>
        <v>0</v>
      </c>
      <c r="S488" s="3" t="s">
        <v>23</v>
      </c>
      <c r="T488" s="190"/>
    </row>
    <row r="489" spans="1:20" ht="21.6" hidden="1" x14ac:dyDescent="0.3">
      <c r="A489" s="182">
        <v>2075</v>
      </c>
      <c r="B489" s="42" t="s">
        <v>20</v>
      </c>
      <c r="C489" s="43" t="s">
        <v>267</v>
      </c>
      <c r="D489" s="50">
        <v>6530</v>
      </c>
      <c r="E489" s="42" t="s">
        <v>329</v>
      </c>
      <c r="F489" s="45" t="s">
        <v>123</v>
      </c>
      <c r="G489" s="42" t="s">
        <v>311</v>
      </c>
      <c r="H489" s="45" t="s">
        <v>386</v>
      </c>
      <c r="I489" s="47" t="s">
        <v>22</v>
      </c>
      <c r="J489" s="3">
        <v>0.7</v>
      </c>
      <c r="K489" s="47" t="s">
        <v>129</v>
      </c>
      <c r="L489" s="30" t="s">
        <v>130</v>
      </c>
      <c r="M489" s="47" t="s">
        <v>131</v>
      </c>
      <c r="N489" s="3">
        <v>0.9</v>
      </c>
      <c r="O489" s="10">
        <v>0.2</v>
      </c>
      <c r="P489" s="3"/>
      <c r="Q489" s="3">
        <f t="shared" si="14"/>
        <v>0</v>
      </c>
      <c r="R489" s="48">
        <f t="shared" si="15"/>
        <v>0</v>
      </c>
      <c r="S489" s="10" t="s">
        <v>23</v>
      </c>
      <c r="T489" s="191"/>
    </row>
    <row r="490" spans="1:20" ht="21.6" hidden="1" x14ac:dyDescent="0.3">
      <c r="A490" s="182">
        <v>2076</v>
      </c>
      <c r="B490" s="42" t="s">
        <v>20</v>
      </c>
      <c r="C490" s="43" t="s">
        <v>267</v>
      </c>
      <c r="D490" s="50">
        <v>6530</v>
      </c>
      <c r="E490" s="42" t="s">
        <v>329</v>
      </c>
      <c r="F490" s="45" t="s">
        <v>123</v>
      </c>
      <c r="G490" s="42" t="s">
        <v>311</v>
      </c>
      <c r="H490" s="45" t="s">
        <v>386</v>
      </c>
      <c r="I490" s="47" t="s">
        <v>22</v>
      </c>
      <c r="J490" s="3">
        <v>0.7</v>
      </c>
      <c r="K490" s="47" t="s">
        <v>132</v>
      </c>
      <c r="L490" s="30" t="s">
        <v>133</v>
      </c>
      <c r="M490" s="47" t="s">
        <v>134</v>
      </c>
      <c r="N490" s="4">
        <v>0</v>
      </c>
      <c r="O490" s="10">
        <v>0.1</v>
      </c>
      <c r="P490" s="3"/>
      <c r="Q490" s="3">
        <f t="shared" si="14"/>
        <v>0</v>
      </c>
      <c r="R490" s="48">
        <f t="shared" si="15"/>
        <v>0</v>
      </c>
      <c r="S490" s="10" t="s">
        <v>24</v>
      </c>
      <c r="T490" s="191"/>
    </row>
    <row r="491" spans="1:20" ht="21.6" hidden="1" x14ac:dyDescent="0.3">
      <c r="A491" s="182">
        <v>2077</v>
      </c>
      <c r="B491" s="42" t="s">
        <v>20</v>
      </c>
      <c r="C491" s="43" t="s">
        <v>267</v>
      </c>
      <c r="D491" s="50">
        <v>6530</v>
      </c>
      <c r="E491" s="42" t="s">
        <v>329</v>
      </c>
      <c r="F491" s="45" t="s">
        <v>123</v>
      </c>
      <c r="G491" s="42" t="s">
        <v>311</v>
      </c>
      <c r="H491" s="45" t="s">
        <v>386</v>
      </c>
      <c r="I491" s="47" t="s">
        <v>22</v>
      </c>
      <c r="J491" s="3">
        <v>0.7</v>
      </c>
      <c r="K491" s="47" t="s">
        <v>135</v>
      </c>
      <c r="L491" s="30" t="s">
        <v>136</v>
      </c>
      <c r="M491" s="47" t="s">
        <v>137</v>
      </c>
      <c r="N491" s="3">
        <v>0.9</v>
      </c>
      <c r="O491" s="10">
        <v>0.2</v>
      </c>
      <c r="P491" s="51"/>
      <c r="Q491" s="3">
        <f t="shared" si="14"/>
        <v>0</v>
      </c>
      <c r="R491" s="48">
        <f t="shared" si="15"/>
        <v>0</v>
      </c>
      <c r="S491" s="10" t="s">
        <v>23</v>
      </c>
      <c r="T491" s="191"/>
    </row>
    <row r="492" spans="1:20" ht="22.2" hidden="1" thickBot="1" x14ac:dyDescent="0.35">
      <c r="A492" s="267">
        <v>2078</v>
      </c>
      <c r="B492" s="268" t="s">
        <v>20</v>
      </c>
      <c r="C492" s="269" t="s">
        <v>267</v>
      </c>
      <c r="D492" s="290">
        <v>6530</v>
      </c>
      <c r="E492" s="268" t="s">
        <v>329</v>
      </c>
      <c r="F492" s="271" t="s">
        <v>123</v>
      </c>
      <c r="G492" s="268" t="s">
        <v>311</v>
      </c>
      <c r="H492" s="271" t="s">
        <v>386</v>
      </c>
      <c r="I492" s="272" t="s">
        <v>26</v>
      </c>
      <c r="J492" s="273">
        <v>0.3</v>
      </c>
      <c r="K492" s="272" t="s">
        <v>138</v>
      </c>
      <c r="L492" s="291" t="s">
        <v>139</v>
      </c>
      <c r="M492" s="272" t="s">
        <v>140</v>
      </c>
      <c r="N492" s="273">
        <v>1</v>
      </c>
      <c r="O492" s="276">
        <v>1</v>
      </c>
      <c r="P492" s="273"/>
      <c r="Q492" s="273">
        <f t="shared" si="14"/>
        <v>0</v>
      </c>
      <c r="R492" s="287">
        <f t="shared" si="15"/>
        <v>0</v>
      </c>
      <c r="S492" s="276" t="s">
        <v>23</v>
      </c>
      <c r="T492" s="277"/>
    </row>
    <row r="493" spans="1:20" ht="21.6" hidden="1" x14ac:dyDescent="0.3">
      <c r="A493" s="181">
        <v>2070</v>
      </c>
      <c r="B493" s="71" t="s">
        <v>20</v>
      </c>
      <c r="C493" s="72" t="s">
        <v>267</v>
      </c>
      <c r="D493" s="112">
        <v>6561</v>
      </c>
      <c r="E493" s="71" t="s">
        <v>330</v>
      </c>
      <c r="F493" s="74" t="s">
        <v>123</v>
      </c>
      <c r="G493" s="71" t="s">
        <v>311</v>
      </c>
      <c r="H493" s="74" t="s">
        <v>386</v>
      </c>
      <c r="I493" s="75" t="s">
        <v>22</v>
      </c>
      <c r="J493" s="76">
        <v>0.7</v>
      </c>
      <c r="K493" s="75" t="s">
        <v>513</v>
      </c>
      <c r="L493" s="105" t="s">
        <v>511</v>
      </c>
      <c r="M493" s="75" t="s">
        <v>411</v>
      </c>
      <c r="N493" s="76">
        <v>0.95</v>
      </c>
      <c r="O493" s="76">
        <v>0.15</v>
      </c>
      <c r="P493" s="76"/>
      <c r="Q493" s="76">
        <f t="shared" si="14"/>
        <v>0</v>
      </c>
      <c r="R493" s="80">
        <f t="shared" si="15"/>
        <v>0</v>
      </c>
      <c r="S493" s="76" t="s">
        <v>23</v>
      </c>
      <c r="T493" s="189">
        <f>SUM(R493:R500)%</f>
        <v>0</v>
      </c>
    </row>
    <row r="494" spans="1:20" ht="21.6" hidden="1" x14ac:dyDescent="0.3">
      <c r="A494" s="182">
        <v>2072</v>
      </c>
      <c r="B494" s="42" t="s">
        <v>20</v>
      </c>
      <c r="C494" s="43" t="s">
        <v>267</v>
      </c>
      <c r="D494" s="50">
        <v>6561</v>
      </c>
      <c r="E494" s="42" t="s">
        <v>330</v>
      </c>
      <c r="F494" s="45" t="s">
        <v>123</v>
      </c>
      <c r="G494" s="42" t="s">
        <v>311</v>
      </c>
      <c r="H494" s="45" t="s">
        <v>386</v>
      </c>
      <c r="I494" s="7" t="s">
        <v>22</v>
      </c>
      <c r="J494" s="3">
        <v>0.7</v>
      </c>
      <c r="K494" s="7" t="s">
        <v>124</v>
      </c>
      <c r="L494" s="8" t="s">
        <v>125</v>
      </c>
      <c r="M494" s="7" t="s">
        <v>126</v>
      </c>
      <c r="N494" s="3">
        <v>0.95</v>
      </c>
      <c r="O494" s="3">
        <v>0.15</v>
      </c>
      <c r="P494" s="6"/>
      <c r="Q494" s="3">
        <f t="shared" si="14"/>
        <v>0</v>
      </c>
      <c r="R494" s="4">
        <f t="shared" si="15"/>
        <v>0</v>
      </c>
      <c r="S494" s="3" t="s">
        <v>23</v>
      </c>
      <c r="T494" s="190"/>
    </row>
    <row r="495" spans="1:20" ht="21.6" hidden="1" x14ac:dyDescent="0.3">
      <c r="A495" s="182">
        <v>2073</v>
      </c>
      <c r="B495" s="42" t="s">
        <v>20</v>
      </c>
      <c r="C495" s="43" t="s">
        <v>267</v>
      </c>
      <c r="D495" s="50">
        <v>6561</v>
      </c>
      <c r="E495" s="42" t="s">
        <v>330</v>
      </c>
      <c r="F495" s="45" t="s">
        <v>123</v>
      </c>
      <c r="G495" s="42" t="s">
        <v>311</v>
      </c>
      <c r="H495" s="45" t="s">
        <v>386</v>
      </c>
      <c r="I495" s="7" t="s">
        <v>22</v>
      </c>
      <c r="J495" s="3">
        <v>0.7</v>
      </c>
      <c r="K495" s="7" t="s">
        <v>51</v>
      </c>
      <c r="L495" s="8" t="s">
        <v>127</v>
      </c>
      <c r="M495" s="7" t="s">
        <v>128</v>
      </c>
      <c r="N495" s="6">
        <v>0.05</v>
      </c>
      <c r="O495" s="3">
        <v>0.1</v>
      </c>
      <c r="P495" s="11"/>
      <c r="Q495" s="3">
        <f t="shared" si="14"/>
        <v>0</v>
      </c>
      <c r="R495" s="4">
        <f t="shared" si="15"/>
        <v>0</v>
      </c>
      <c r="S495" s="3" t="s">
        <v>24</v>
      </c>
      <c r="T495" s="190"/>
    </row>
    <row r="496" spans="1:20" ht="21.6" hidden="1" x14ac:dyDescent="0.3">
      <c r="A496" s="182">
        <v>2074</v>
      </c>
      <c r="B496" s="42" t="s">
        <v>20</v>
      </c>
      <c r="C496" s="43" t="s">
        <v>267</v>
      </c>
      <c r="D496" s="50">
        <v>6561</v>
      </c>
      <c r="E496" s="42" t="s">
        <v>330</v>
      </c>
      <c r="F496" s="45" t="s">
        <v>123</v>
      </c>
      <c r="G496" s="42" t="s">
        <v>311</v>
      </c>
      <c r="H496" s="45" t="s">
        <v>386</v>
      </c>
      <c r="I496" s="7" t="s">
        <v>22</v>
      </c>
      <c r="J496" s="3">
        <v>0.7</v>
      </c>
      <c r="K496" s="7" t="s">
        <v>305</v>
      </c>
      <c r="L496" s="8" t="s">
        <v>257</v>
      </c>
      <c r="M496" s="339" t="s">
        <v>306</v>
      </c>
      <c r="N496" s="3">
        <v>0.95</v>
      </c>
      <c r="O496" s="3">
        <v>0.1</v>
      </c>
      <c r="P496" s="3"/>
      <c r="Q496" s="3">
        <f t="shared" si="14"/>
        <v>0</v>
      </c>
      <c r="R496" s="4">
        <f t="shared" si="15"/>
        <v>0</v>
      </c>
      <c r="S496" s="3" t="s">
        <v>23</v>
      </c>
      <c r="T496" s="190"/>
    </row>
    <row r="497" spans="1:20" ht="21.6" hidden="1" x14ac:dyDescent="0.3">
      <c r="A497" s="182">
        <v>2075</v>
      </c>
      <c r="B497" s="42" t="s">
        <v>20</v>
      </c>
      <c r="C497" s="43" t="s">
        <v>267</v>
      </c>
      <c r="D497" s="50">
        <v>6561</v>
      </c>
      <c r="E497" s="42" t="s">
        <v>330</v>
      </c>
      <c r="F497" s="45" t="s">
        <v>123</v>
      </c>
      <c r="G497" s="42" t="s">
        <v>311</v>
      </c>
      <c r="H497" s="45" t="s">
        <v>386</v>
      </c>
      <c r="I497" s="47" t="s">
        <v>22</v>
      </c>
      <c r="J497" s="3">
        <v>0.7</v>
      </c>
      <c r="K497" s="47" t="s">
        <v>129</v>
      </c>
      <c r="L497" s="30" t="s">
        <v>130</v>
      </c>
      <c r="M497" s="47" t="s">
        <v>131</v>
      </c>
      <c r="N497" s="3">
        <v>0.9</v>
      </c>
      <c r="O497" s="10">
        <v>0.2</v>
      </c>
      <c r="P497" s="3"/>
      <c r="Q497" s="3">
        <f t="shared" si="14"/>
        <v>0</v>
      </c>
      <c r="R497" s="48">
        <f t="shared" si="15"/>
        <v>0</v>
      </c>
      <c r="S497" s="10" t="s">
        <v>23</v>
      </c>
      <c r="T497" s="191"/>
    </row>
    <row r="498" spans="1:20" ht="21.6" hidden="1" x14ac:dyDescent="0.3">
      <c r="A498" s="182">
        <v>2076</v>
      </c>
      <c r="B498" s="42" t="s">
        <v>20</v>
      </c>
      <c r="C498" s="43" t="s">
        <v>267</v>
      </c>
      <c r="D498" s="50">
        <v>6561</v>
      </c>
      <c r="E498" s="42" t="s">
        <v>330</v>
      </c>
      <c r="F498" s="45" t="s">
        <v>123</v>
      </c>
      <c r="G498" s="42" t="s">
        <v>311</v>
      </c>
      <c r="H498" s="45" t="s">
        <v>386</v>
      </c>
      <c r="I498" s="47" t="s">
        <v>22</v>
      </c>
      <c r="J498" s="3">
        <v>0.7</v>
      </c>
      <c r="K498" s="47" t="s">
        <v>132</v>
      </c>
      <c r="L498" s="30" t="s">
        <v>133</v>
      </c>
      <c r="M498" s="47" t="s">
        <v>134</v>
      </c>
      <c r="N498" s="4">
        <v>0</v>
      </c>
      <c r="O498" s="10">
        <v>0.1</v>
      </c>
      <c r="P498" s="3"/>
      <c r="Q498" s="3">
        <f t="shared" si="14"/>
        <v>0</v>
      </c>
      <c r="R498" s="48">
        <f t="shared" si="15"/>
        <v>0</v>
      </c>
      <c r="S498" s="10" t="s">
        <v>24</v>
      </c>
      <c r="T498" s="191"/>
    </row>
    <row r="499" spans="1:20" ht="21.6" hidden="1" x14ac:dyDescent="0.3">
      <c r="A499" s="182">
        <v>2077</v>
      </c>
      <c r="B499" s="42" t="s">
        <v>20</v>
      </c>
      <c r="C499" s="43" t="s">
        <v>267</v>
      </c>
      <c r="D499" s="50">
        <v>6561</v>
      </c>
      <c r="E499" s="42" t="s">
        <v>330</v>
      </c>
      <c r="F499" s="45" t="s">
        <v>123</v>
      </c>
      <c r="G499" s="42" t="s">
        <v>311</v>
      </c>
      <c r="H499" s="45" t="s">
        <v>386</v>
      </c>
      <c r="I499" s="47" t="s">
        <v>22</v>
      </c>
      <c r="J499" s="3">
        <v>0.7</v>
      </c>
      <c r="K499" s="47" t="s">
        <v>135</v>
      </c>
      <c r="L499" s="30" t="s">
        <v>136</v>
      </c>
      <c r="M499" s="47" t="s">
        <v>137</v>
      </c>
      <c r="N499" s="3">
        <v>0.9</v>
      </c>
      <c r="O499" s="10">
        <v>0.2</v>
      </c>
      <c r="P499" s="51"/>
      <c r="Q499" s="3">
        <f t="shared" si="14"/>
        <v>0</v>
      </c>
      <c r="R499" s="48">
        <f t="shared" si="15"/>
        <v>0</v>
      </c>
      <c r="S499" s="10" t="s">
        <v>23</v>
      </c>
      <c r="T499" s="191"/>
    </row>
    <row r="500" spans="1:20" ht="22.2" hidden="1" thickBot="1" x14ac:dyDescent="0.35">
      <c r="A500" s="267">
        <v>2078</v>
      </c>
      <c r="B500" s="268" t="s">
        <v>20</v>
      </c>
      <c r="C500" s="269" t="s">
        <v>267</v>
      </c>
      <c r="D500" s="290">
        <v>6561</v>
      </c>
      <c r="E500" s="268" t="s">
        <v>330</v>
      </c>
      <c r="F500" s="271" t="s">
        <v>123</v>
      </c>
      <c r="G500" s="268" t="s">
        <v>311</v>
      </c>
      <c r="H500" s="271" t="s">
        <v>386</v>
      </c>
      <c r="I500" s="272" t="s">
        <v>26</v>
      </c>
      <c r="J500" s="273">
        <v>0.3</v>
      </c>
      <c r="K500" s="272" t="s">
        <v>138</v>
      </c>
      <c r="L500" s="291" t="s">
        <v>139</v>
      </c>
      <c r="M500" s="272" t="s">
        <v>140</v>
      </c>
      <c r="N500" s="273">
        <v>1</v>
      </c>
      <c r="O500" s="276">
        <v>1</v>
      </c>
      <c r="P500" s="273"/>
      <c r="Q500" s="273">
        <f t="shared" si="14"/>
        <v>0</v>
      </c>
      <c r="R500" s="287">
        <f t="shared" si="15"/>
        <v>0</v>
      </c>
      <c r="S500" s="276" t="s">
        <v>23</v>
      </c>
      <c r="T500" s="277"/>
    </row>
    <row r="501" spans="1:20" ht="21.6" hidden="1" x14ac:dyDescent="0.3">
      <c r="A501" s="181">
        <v>2070</v>
      </c>
      <c r="B501" s="71" t="s">
        <v>20</v>
      </c>
      <c r="C501" s="72" t="s">
        <v>267</v>
      </c>
      <c r="D501" s="112">
        <v>5915</v>
      </c>
      <c r="E501" s="71" t="s">
        <v>324</v>
      </c>
      <c r="F501" s="74" t="s">
        <v>143</v>
      </c>
      <c r="G501" s="71" t="s">
        <v>311</v>
      </c>
      <c r="H501" s="74" t="s">
        <v>386</v>
      </c>
      <c r="I501" s="75" t="s">
        <v>22</v>
      </c>
      <c r="J501" s="76">
        <v>0.7</v>
      </c>
      <c r="K501" s="75" t="s">
        <v>513</v>
      </c>
      <c r="L501" s="105" t="s">
        <v>511</v>
      </c>
      <c r="M501" s="75" t="s">
        <v>411</v>
      </c>
      <c r="N501" s="76">
        <v>0.95</v>
      </c>
      <c r="O501" s="76">
        <v>0.15</v>
      </c>
      <c r="P501" s="76"/>
      <c r="Q501" s="76">
        <f t="shared" si="14"/>
        <v>0</v>
      </c>
      <c r="R501" s="80">
        <f t="shared" si="15"/>
        <v>0</v>
      </c>
      <c r="S501" s="76" t="s">
        <v>23</v>
      </c>
      <c r="T501" s="189">
        <f>SUM(R501:R508)%</f>
        <v>0</v>
      </c>
    </row>
    <row r="502" spans="1:20" ht="21.6" hidden="1" x14ac:dyDescent="0.3">
      <c r="A502" s="182">
        <v>2072</v>
      </c>
      <c r="B502" s="42" t="s">
        <v>20</v>
      </c>
      <c r="C502" s="43" t="s">
        <v>267</v>
      </c>
      <c r="D502" s="50">
        <v>5915</v>
      </c>
      <c r="E502" s="42" t="s">
        <v>324</v>
      </c>
      <c r="F502" s="45" t="s">
        <v>143</v>
      </c>
      <c r="G502" s="42" t="s">
        <v>311</v>
      </c>
      <c r="H502" s="45" t="s">
        <v>386</v>
      </c>
      <c r="I502" s="7" t="s">
        <v>22</v>
      </c>
      <c r="J502" s="3">
        <v>0.7</v>
      </c>
      <c r="K502" s="7" t="s">
        <v>124</v>
      </c>
      <c r="L502" s="8" t="s">
        <v>125</v>
      </c>
      <c r="M502" s="7" t="s">
        <v>126</v>
      </c>
      <c r="N502" s="3">
        <v>0.95</v>
      </c>
      <c r="O502" s="3">
        <v>0.15</v>
      </c>
      <c r="P502" s="6"/>
      <c r="Q502" s="3">
        <f t="shared" si="14"/>
        <v>0</v>
      </c>
      <c r="R502" s="4">
        <f t="shared" si="15"/>
        <v>0</v>
      </c>
      <c r="S502" s="3" t="s">
        <v>23</v>
      </c>
      <c r="T502" s="190"/>
    </row>
    <row r="503" spans="1:20" ht="21.6" hidden="1" x14ac:dyDescent="0.3">
      <c r="A503" s="182">
        <v>2073</v>
      </c>
      <c r="B503" s="42" t="s">
        <v>20</v>
      </c>
      <c r="C503" s="43" t="s">
        <v>267</v>
      </c>
      <c r="D503" s="50">
        <v>5915</v>
      </c>
      <c r="E503" s="42" t="s">
        <v>324</v>
      </c>
      <c r="F503" s="45" t="s">
        <v>143</v>
      </c>
      <c r="G503" s="42" t="s">
        <v>311</v>
      </c>
      <c r="H503" s="45" t="s">
        <v>386</v>
      </c>
      <c r="I503" s="7" t="s">
        <v>22</v>
      </c>
      <c r="J503" s="3">
        <v>0.7</v>
      </c>
      <c r="K503" s="7" t="s">
        <v>51</v>
      </c>
      <c r="L503" s="8" t="s">
        <v>127</v>
      </c>
      <c r="M503" s="7" t="s">
        <v>128</v>
      </c>
      <c r="N503" s="6">
        <v>0.05</v>
      </c>
      <c r="O503" s="3">
        <v>0.1</v>
      </c>
      <c r="P503" s="11"/>
      <c r="Q503" s="3">
        <f t="shared" si="14"/>
        <v>0</v>
      </c>
      <c r="R503" s="4">
        <f t="shared" si="15"/>
        <v>0</v>
      </c>
      <c r="S503" s="3" t="s">
        <v>24</v>
      </c>
      <c r="T503" s="190"/>
    </row>
    <row r="504" spans="1:20" ht="21.6" hidden="1" x14ac:dyDescent="0.3">
      <c r="A504" s="182">
        <v>2074</v>
      </c>
      <c r="B504" s="42" t="s">
        <v>20</v>
      </c>
      <c r="C504" s="43" t="s">
        <v>267</v>
      </c>
      <c r="D504" s="50">
        <v>5915</v>
      </c>
      <c r="E504" s="42" t="s">
        <v>324</v>
      </c>
      <c r="F504" s="45" t="s">
        <v>143</v>
      </c>
      <c r="G504" s="42" t="s">
        <v>311</v>
      </c>
      <c r="H504" s="45" t="s">
        <v>386</v>
      </c>
      <c r="I504" s="7" t="s">
        <v>22</v>
      </c>
      <c r="J504" s="3">
        <v>0.7</v>
      </c>
      <c r="K504" s="7" t="s">
        <v>305</v>
      </c>
      <c r="L504" s="8" t="s">
        <v>257</v>
      </c>
      <c r="M504" s="339" t="s">
        <v>306</v>
      </c>
      <c r="N504" s="3">
        <v>0.95</v>
      </c>
      <c r="O504" s="3">
        <v>0.1</v>
      </c>
      <c r="P504" s="3"/>
      <c r="Q504" s="3">
        <f t="shared" si="14"/>
        <v>0</v>
      </c>
      <c r="R504" s="4">
        <f t="shared" si="15"/>
        <v>0</v>
      </c>
      <c r="S504" s="3" t="s">
        <v>23</v>
      </c>
      <c r="T504" s="190"/>
    </row>
    <row r="505" spans="1:20" ht="21.6" hidden="1" x14ac:dyDescent="0.3">
      <c r="A505" s="182">
        <v>2075</v>
      </c>
      <c r="B505" s="42" t="s">
        <v>20</v>
      </c>
      <c r="C505" s="43" t="s">
        <v>267</v>
      </c>
      <c r="D505" s="50">
        <v>5915</v>
      </c>
      <c r="E505" s="42" t="s">
        <v>324</v>
      </c>
      <c r="F505" s="45" t="s">
        <v>143</v>
      </c>
      <c r="G505" s="42" t="s">
        <v>311</v>
      </c>
      <c r="H505" s="45" t="s">
        <v>386</v>
      </c>
      <c r="I505" s="47" t="s">
        <v>22</v>
      </c>
      <c r="J505" s="3">
        <v>0.7</v>
      </c>
      <c r="K505" s="47" t="s">
        <v>129</v>
      </c>
      <c r="L505" s="30" t="s">
        <v>130</v>
      </c>
      <c r="M505" s="47" t="s">
        <v>131</v>
      </c>
      <c r="N505" s="3">
        <v>0.9</v>
      </c>
      <c r="O505" s="10">
        <v>0.2</v>
      </c>
      <c r="P505" s="3"/>
      <c r="Q505" s="3">
        <f t="shared" ref="Q505:Q568" si="16">ROUND(IF(OR(N505="",P505=""),0,IF(AND(N505=0,P505=0),1,IF(S505="+",P505/N505,N505/P505))),2)</f>
        <v>0</v>
      </c>
      <c r="R505" s="48">
        <f t="shared" si="15"/>
        <v>0</v>
      </c>
      <c r="S505" s="10" t="s">
        <v>23</v>
      </c>
      <c r="T505" s="191"/>
    </row>
    <row r="506" spans="1:20" ht="21.6" hidden="1" x14ac:dyDescent="0.3">
      <c r="A506" s="182">
        <v>2076</v>
      </c>
      <c r="B506" s="42" t="s">
        <v>20</v>
      </c>
      <c r="C506" s="43" t="s">
        <v>267</v>
      </c>
      <c r="D506" s="50">
        <v>5915</v>
      </c>
      <c r="E506" s="42" t="s">
        <v>324</v>
      </c>
      <c r="F506" s="45" t="s">
        <v>143</v>
      </c>
      <c r="G506" s="42" t="s">
        <v>311</v>
      </c>
      <c r="H506" s="45" t="s">
        <v>386</v>
      </c>
      <c r="I506" s="47" t="s">
        <v>22</v>
      </c>
      <c r="J506" s="3">
        <v>0.7</v>
      </c>
      <c r="K506" s="47" t="s">
        <v>132</v>
      </c>
      <c r="L506" s="30" t="s">
        <v>133</v>
      </c>
      <c r="M506" s="47" t="s">
        <v>134</v>
      </c>
      <c r="N506" s="4">
        <v>0</v>
      </c>
      <c r="O506" s="10">
        <v>0.1</v>
      </c>
      <c r="P506" s="3"/>
      <c r="Q506" s="3">
        <f t="shared" si="16"/>
        <v>0</v>
      </c>
      <c r="R506" s="48">
        <f t="shared" si="15"/>
        <v>0</v>
      </c>
      <c r="S506" s="10" t="s">
        <v>24</v>
      </c>
      <c r="T506" s="191"/>
    </row>
    <row r="507" spans="1:20" ht="21.6" hidden="1" x14ac:dyDescent="0.3">
      <c r="A507" s="182">
        <v>2077</v>
      </c>
      <c r="B507" s="42" t="s">
        <v>20</v>
      </c>
      <c r="C507" s="43" t="s">
        <v>267</v>
      </c>
      <c r="D507" s="50">
        <v>5915</v>
      </c>
      <c r="E507" s="42" t="s">
        <v>324</v>
      </c>
      <c r="F507" s="45" t="s">
        <v>143</v>
      </c>
      <c r="G507" s="42" t="s">
        <v>311</v>
      </c>
      <c r="H507" s="45" t="s">
        <v>386</v>
      </c>
      <c r="I507" s="47" t="s">
        <v>22</v>
      </c>
      <c r="J507" s="3">
        <v>0.7</v>
      </c>
      <c r="K507" s="47" t="s">
        <v>135</v>
      </c>
      <c r="L507" s="30" t="s">
        <v>136</v>
      </c>
      <c r="M507" s="47" t="s">
        <v>137</v>
      </c>
      <c r="N507" s="3">
        <v>0.9</v>
      </c>
      <c r="O507" s="10">
        <v>0.2</v>
      </c>
      <c r="P507" s="51"/>
      <c r="Q507" s="3">
        <f t="shared" si="16"/>
        <v>0</v>
      </c>
      <c r="R507" s="48">
        <f t="shared" si="15"/>
        <v>0</v>
      </c>
      <c r="S507" s="10" t="s">
        <v>23</v>
      </c>
      <c r="T507" s="191"/>
    </row>
    <row r="508" spans="1:20" ht="22.2" hidden="1" thickBot="1" x14ac:dyDescent="0.35">
      <c r="A508" s="267">
        <v>2078</v>
      </c>
      <c r="B508" s="268" t="s">
        <v>20</v>
      </c>
      <c r="C508" s="269" t="s">
        <v>267</v>
      </c>
      <c r="D508" s="290">
        <v>5915</v>
      </c>
      <c r="E508" s="268" t="s">
        <v>324</v>
      </c>
      <c r="F508" s="271" t="s">
        <v>143</v>
      </c>
      <c r="G508" s="268" t="s">
        <v>311</v>
      </c>
      <c r="H508" s="271" t="s">
        <v>386</v>
      </c>
      <c r="I508" s="272" t="s">
        <v>26</v>
      </c>
      <c r="J508" s="273">
        <v>0.3</v>
      </c>
      <c r="K508" s="272" t="s">
        <v>138</v>
      </c>
      <c r="L508" s="291" t="s">
        <v>139</v>
      </c>
      <c r="M508" s="272" t="s">
        <v>140</v>
      </c>
      <c r="N508" s="273">
        <v>1</v>
      </c>
      <c r="O508" s="276">
        <v>1</v>
      </c>
      <c r="P508" s="273"/>
      <c r="Q508" s="273">
        <f t="shared" si="16"/>
        <v>0</v>
      </c>
      <c r="R508" s="287">
        <f t="shared" si="15"/>
        <v>0</v>
      </c>
      <c r="S508" s="276" t="s">
        <v>23</v>
      </c>
      <c r="T508" s="277"/>
    </row>
    <row r="509" spans="1:20" ht="21.6" hidden="1" x14ac:dyDescent="0.3">
      <c r="A509" s="181">
        <v>2070</v>
      </c>
      <c r="B509" s="71" t="s">
        <v>20</v>
      </c>
      <c r="C509" s="72" t="s">
        <v>267</v>
      </c>
      <c r="D509" s="112">
        <v>5221</v>
      </c>
      <c r="E509" s="71" t="s">
        <v>144</v>
      </c>
      <c r="F509" s="74" t="s">
        <v>145</v>
      </c>
      <c r="G509" s="71" t="s">
        <v>28</v>
      </c>
      <c r="H509" s="74" t="s">
        <v>385</v>
      </c>
      <c r="I509" s="75" t="s">
        <v>22</v>
      </c>
      <c r="J509" s="76">
        <v>1</v>
      </c>
      <c r="K509" s="75" t="s">
        <v>146</v>
      </c>
      <c r="L509" s="105" t="s">
        <v>147</v>
      </c>
      <c r="M509" s="75" t="s">
        <v>148</v>
      </c>
      <c r="N509" s="76">
        <v>1</v>
      </c>
      <c r="O509" s="76">
        <v>0.2</v>
      </c>
      <c r="P509" s="76"/>
      <c r="Q509" s="76">
        <f t="shared" si="16"/>
        <v>0</v>
      </c>
      <c r="R509" s="80">
        <f t="shared" si="15"/>
        <v>0</v>
      </c>
      <c r="S509" s="76" t="s">
        <v>23</v>
      </c>
      <c r="T509" s="189">
        <f>SUM(R509:R516)%</f>
        <v>0</v>
      </c>
    </row>
    <row r="510" spans="1:20" ht="21.6" hidden="1" x14ac:dyDescent="0.3">
      <c r="A510" s="182">
        <v>2071</v>
      </c>
      <c r="B510" s="42" t="s">
        <v>20</v>
      </c>
      <c r="C510" s="43" t="s">
        <v>267</v>
      </c>
      <c r="D510" s="50">
        <v>5221</v>
      </c>
      <c r="E510" s="42" t="s">
        <v>144</v>
      </c>
      <c r="F510" s="45" t="s">
        <v>145</v>
      </c>
      <c r="G510" s="42" t="s">
        <v>28</v>
      </c>
      <c r="H510" s="45" t="s">
        <v>385</v>
      </c>
      <c r="I510" s="7" t="s">
        <v>22</v>
      </c>
      <c r="J510" s="3">
        <v>1</v>
      </c>
      <c r="K510" s="7" t="s">
        <v>149</v>
      </c>
      <c r="L510" s="8" t="s">
        <v>150</v>
      </c>
      <c r="M510" s="7" t="s">
        <v>151</v>
      </c>
      <c r="N510" s="3">
        <v>1</v>
      </c>
      <c r="O510" s="3">
        <v>0.1</v>
      </c>
      <c r="P510" s="3"/>
      <c r="Q510" s="3">
        <f t="shared" si="16"/>
        <v>0</v>
      </c>
      <c r="R510" s="4">
        <f t="shared" si="15"/>
        <v>0</v>
      </c>
      <c r="S510" s="3" t="s">
        <v>23</v>
      </c>
      <c r="T510" s="190"/>
    </row>
    <row r="511" spans="1:20" ht="21.6" hidden="1" x14ac:dyDescent="0.3">
      <c r="A511" s="182">
        <v>2072</v>
      </c>
      <c r="B511" s="42" t="s">
        <v>20</v>
      </c>
      <c r="C511" s="43" t="s">
        <v>267</v>
      </c>
      <c r="D511" s="50">
        <v>5221</v>
      </c>
      <c r="E511" s="42" t="s">
        <v>144</v>
      </c>
      <c r="F511" s="45" t="s">
        <v>145</v>
      </c>
      <c r="G511" s="42" t="s">
        <v>28</v>
      </c>
      <c r="H511" s="45" t="s">
        <v>385</v>
      </c>
      <c r="I511" s="7" t="s">
        <v>22</v>
      </c>
      <c r="J511" s="3">
        <v>1</v>
      </c>
      <c r="K511" s="7" t="s">
        <v>152</v>
      </c>
      <c r="L511" s="8" t="s">
        <v>153</v>
      </c>
      <c r="M511" s="7" t="s">
        <v>154</v>
      </c>
      <c r="N511" s="3">
        <v>0</v>
      </c>
      <c r="O511" s="3">
        <v>0.1</v>
      </c>
      <c r="P511" s="3"/>
      <c r="Q511" s="3">
        <f t="shared" si="16"/>
        <v>0</v>
      </c>
      <c r="R511" s="4">
        <f t="shared" si="15"/>
        <v>0</v>
      </c>
      <c r="S511" s="3" t="s">
        <v>24</v>
      </c>
      <c r="T511" s="190"/>
    </row>
    <row r="512" spans="1:20" ht="21.6" hidden="1" x14ac:dyDescent="0.3">
      <c r="A512" s="182">
        <v>2073</v>
      </c>
      <c r="B512" s="42" t="s">
        <v>20</v>
      </c>
      <c r="C512" s="43" t="s">
        <v>267</v>
      </c>
      <c r="D512" s="50">
        <v>5221</v>
      </c>
      <c r="E512" s="42" t="s">
        <v>144</v>
      </c>
      <c r="F512" s="45" t="s">
        <v>145</v>
      </c>
      <c r="G512" s="42" t="s">
        <v>28</v>
      </c>
      <c r="H512" s="45" t="s">
        <v>385</v>
      </c>
      <c r="I512" s="7" t="s">
        <v>22</v>
      </c>
      <c r="J512" s="3">
        <v>1</v>
      </c>
      <c r="K512" s="7" t="s">
        <v>155</v>
      </c>
      <c r="L512" s="8" t="s">
        <v>156</v>
      </c>
      <c r="M512" s="7" t="s">
        <v>157</v>
      </c>
      <c r="N512" s="3">
        <v>0.9</v>
      </c>
      <c r="O512" s="3">
        <v>0.1</v>
      </c>
      <c r="P512" s="10"/>
      <c r="Q512" s="3">
        <f t="shared" si="16"/>
        <v>0</v>
      </c>
      <c r="R512" s="4">
        <f t="shared" si="15"/>
        <v>0</v>
      </c>
      <c r="S512" s="3" t="s">
        <v>23</v>
      </c>
      <c r="T512" s="190"/>
    </row>
    <row r="513" spans="1:20" ht="21.6" hidden="1" x14ac:dyDescent="0.3">
      <c r="A513" s="182">
        <v>2075</v>
      </c>
      <c r="B513" s="42" t="s">
        <v>20</v>
      </c>
      <c r="C513" s="43" t="s">
        <v>267</v>
      </c>
      <c r="D513" s="50">
        <v>5221</v>
      </c>
      <c r="E513" s="42" t="s">
        <v>144</v>
      </c>
      <c r="F513" s="45" t="s">
        <v>145</v>
      </c>
      <c r="G513" s="42" t="s">
        <v>28</v>
      </c>
      <c r="H513" s="45" t="s">
        <v>385</v>
      </c>
      <c r="I513" s="47" t="s">
        <v>22</v>
      </c>
      <c r="J513" s="3">
        <v>1</v>
      </c>
      <c r="K513" s="47" t="s">
        <v>158</v>
      </c>
      <c r="L513" s="30" t="s">
        <v>125</v>
      </c>
      <c r="M513" s="47" t="s">
        <v>159</v>
      </c>
      <c r="N513" s="3">
        <v>0.95</v>
      </c>
      <c r="O513" s="10">
        <v>0.1</v>
      </c>
      <c r="P513" s="3"/>
      <c r="Q513" s="3">
        <f t="shared" si="16"/>
        <v>0</v>
      </c>
      <c r="R513" s="48">
        <f t="shared" si="15"/>
        <v>0</v>
      </c>
      <c r="S513" s="10" t="s">
        <v>23</v>
      </c>
      <c r="T513" s="191"/>
    </row>
    <row r="514" spans="1:20" ht="21.6" hidden="1" x14ac:dyDescent="0.3">
      <c r="A514" s="182">
        <v>2076</v>
      </c>
      <c r="B514" s="42" t="s">
        <v>20</v>
      </c>
      <c r="C514" s="43" t="s">
        <v>267</v>
      </c>
      <c r="D514" s="50">
        <v>5221</v>
      </c>
      <c r="E514" s="42" t="s">
        <v>144</v>
      </c>
      <c r="F514" s="45" t="s">
        <v>145</v>
      </c>
      <c r="G514" s="42" t="s">
        <v>28</v>
      </c>
      <c r="H514" s="45" t="s">
        <v>385</v>
      </c>
      <c r="I514" s="47" t="s">
        <v>22</v>
      </c>
      <c r="J514" s="3">
        <v>1</v>
      </c>
      <c r="K514" s="47" t="s">
        <v>160</v>
      </c>
      <c r="L514" s="30" t="s">
        <v>161</v>
      </c>
      <c r="M514" s="47" t="s">
        <v>162</v>
      </c>
      <c r="N514" s="3">
        <v>1</v>
      </c>
      <c r="O514" s="10">
        <v>0.1</v>
      </c>
      <c r="P514" s="3"/>
      <c r="Q514" s="3">
        <f t="shared" si="16"/>
        <v>0</v>
      </c>
      <c r="R514" s="48">
        <f t="shared" si="15"/>
        <v>0</v>
      </c>
      <c r="S514" s="10" t="s">
        <v>23</v>
      </c>
      <c r="T514" s="191"/>
    </row>
    <row r="515" spans="1:20" ht="21.6" hidden="1" x14ac:dyDescent="0.3">
      <c r="A515" s="182">
        <v>2077</v>
      </c>
      <c r="B515" s="42" t="s">
        <v>20</v>
      </c>
      <c r="C515" s="43" t="s">
        <v>267</v>
      </c>
      <c r="D515" s="50">
        <v>5221</v>
      </c>
      <c r="E515" s="42" t="s">
        <v>144</v>
      </c>
      <c r="F515" s="45" t="s">
        <v>145</v>
      </c>
      <c r="G515" s="42" t="s">
        <v>28</v>
      </c>
      <c r="H515" s="45" t="s">
        <v>385</v>
      </c>
      <c r="I515" s="47" t="s">
        <v>22</v>
      </c>
      <c r="J515" s="3">
        <v>1</v>
      </c>
      <c r="K515" s="47" t="s">
        <v>163</v>
      </c>
      <c r="L515" s="30" t="s">
        <v>164</v>
      </c>
      <c r="M515" s="47" t="s">
        <v>165</v>
      </c>
      <c r="N515" s="3">
        <v>1</v>
      </c>
      <c r="O515" s="10">
        <v>0.2</v>
      </c>
      <c r="P515" s="3"/>
      <c r="Q515" s="3">
        <f t="shared" si="16"/>
        <v>0</v>
      </c>
      <c r="R515" s="48">
        <f t="shared" si="15"/>
        <v>0</v>
      </c>
      <c r="S515" s="10" t="s">
        <v>23</v>
      </c>
      <c r="T515" s="191"/>
    </row>
    <row r="516" spans="1:20" ht="22.2" hidden="1" thickBot="1" x14ac:dyDescent="0.35">
      <c r="A516" s="288">
        <v>2078</v>
      </c>
      <c r="B516" s="58" t="s">
        <v>20</v>
      </c>
      <c r="C516" s="59" t="s">
        <v>267</v>
      </c>
      <c r="D516" s="60">
        <v>5221</v>
      </c>
      <c r="E516" s="58" t="s">
        <v>144</v>
      </c>
      <c r="F516" s="61" t="s">
        <v>145</v>
      </c>
      <c r="G516" s="58" t="s">
        <v>28</v>
      </c>
      <c r="H516" s="61" t="s">
        <v>385</v>
      </c>
      <c r="I516" s="107" t="s">
        <v>22</v>
      </c>
      <c r="J516" s="62">
        <v>1</v>
      </c>
      <c r="K516" s="107" t="s">
        <v>166</v>
      </c>
      <c r="L516" s="108" t="s">
        <v>167</v>
      </c>
      <c r="M516" s="107" t="s">
        <v>168</v>
      </c>
      <c r="N516" s="62">
        <v>0.95</v>
      </c>
      <c r="O516" s="63">
        <v>0.1</v>
      </c>
      <c r="P516" s="62"/>
      <c r="Q516" s="62">
        <f t="shared" si="16"/>
        <v>0</v>
      </c>
      <c r="R516" s="110">
        <f t="shared" si="15"/>
        <v>0</v>
      </c>
      <c r="S516" s="63" t="s">
        <v>23</v>
      </c>
      <c r="T516" s="289"/>
    </row>
    <row r="517" spans="1:20" ht="21.6" hidden="1" x14ac:dyDescent="0.3">
      <c r="A517" s="181">
        <v>2070</v>
      </c>
      <c r="B517" s="71" t="s">
        <v>20</v>
      </c>
      <c r="C517" s="72" t="s">
        <v>267</v>
      </c>
      <c r="D517" s="112">
        <v>5325</v>
      </c>
      <c r="E517" s="71" t="s">
        <v>170</v>
      </c>
      <c r="F517" s="74" t="s">
        <v>145</v>
      </c>
      <c r="G517" s="71" t="s">
        <v>28</v>
      </c>
      <c r="H517" s="74" t="s">
        <v>385</v>
      </c>
      <c r="I517" s="75" t="s">
        <v>22</v>
      </c>
      <c r="J517" s="76">
        <v>1</v>
      </c>
      <c r="K517" s="75" t="s">
        <v>146</v>
      </c>
      <c r="L517" s="105" t="s">
        <v>147</v>
      </c>
      <c r="M517" s="75" t="s">
        <v>148</v>
      </c>
      <c r="N517" s="76">
        <v>1</v>
      </c>
      <c r="O517" s="76">
        <v>0.2</v>
      </c>
      <c r="P517" s="76"/>
      <c r="Q517" s="76">
        <f t="shared" si="16"/>
        <v>0</v>
      </c>
      <c r="R517" s="80">
        <f t="shared" si="15"/>
        <v>0</v>
      </c>
      <c r="S517" s="76" t="s">
        <v>23</v>
      </c>
      <c r="T517" s="189">
        <f t="shared" ref="T517" si="17">SUM(R517:R524)%</f>
        <v>0</v>
      </c>
    </row>
    <row r="518" spans="1:20" ht="21.6" hidden="1" x14ac:dyDescent="0.3">
      <c r="A518" s="182">
        <v>2071</v>
      </c>
      <c r="B518" s="42" t="s">
        <v>20</v>
      </c>
      <c r="C518" s="43" t="s">
        <v>267</v>
      </c>
      <c r="D518" s="50">
        <v>5325</v>
      </c>
      <c r="E518" s="42" t="s">
        <v>170</v>
      </c>
      <c r="F518" s="45" t="s">
        <v>145</v>
      </c>
      <c r="G518" s="42" t="s">
        <v>28</v>
      </c>
      <c r="H518" s="45" t="s">
        <v>385</v>
      </c>
      <c r="I518" s="7" t="s">
        <v>22</v>
      </c>
      <c r="J518" s="3">
        <v>1</v>
      </c>
      <c r="K518" s="7" t="s">
        <v>149</v>
      </c>
      <c r="L518" s="8" t="s">
        <v>150</v>
      </c>
      <c r="M518" s="7" t="s">
        <v>151</v>
      </c>
      <c r="N518" s="3">
        <v>1</v>
      </c>
      <c r="O518" s="3">
        <v>0.1</v>
      </c>
      <c r="P518" s="3"/>
      <c r="Q518" s="3">
        <f t="shared" si="16"/>
        <v>0</v>
      </c>
      <c r="R518" s="4">
        <f t="shared" si="15"/>
        <v>0</v>
      </c>
      <c r="S518" s="3" t="s">
        <v>23</v>
      </c>
      <c r="T518" s="190"/>
    </row>
    <row r="519" spans="1:20" ht="21.6" hidden="1" x14ac:dyDescent="0.3">
      <c r="A519" s="182">
        <v>2072</v>
      </c>
      <c r="B519" s="42" t="s">
        <v>20</v>
      </c>
      <c r="C519" s="43" t="s">
        <v>267</v>
      </c>
      <c r="D519" s="50">
        <v>5325</v>
      </c>
      <c r="E519" s="42" t="s">
        <v>170</v>
      </c>
      <c r="F519" s="45" t="s">
        <v>145</v>
      </c>
      <c r="G519" s="42" t="s">
        <v>28</v>
      </c>
      <c r="H519" s="45" t="s">
        <v>385</v>
      </c>
      <c r="I519" s="7" t="s">
        <v>22</v>
      </c>
      <c r="J519" s="3">
        <v>1</v>
      </c>
      <c r="K519" s="7" t="s">
        <v>152</v>
      </c>
      <c r="L519" s="8" t="s">
        <v>153</v>
      </c>
      <c r="M519" s="7" t="s">
        <v>154</v>
      </c>
      <c r="N519" s="3">
        <v>0</v>
      </c>
      <c r="O519" s="3">
        <v>0.1</v>
      </c>
      <c r="P519" s="3"/>
      <c r="Q519" s="3">
        <f t="shared" si="16"/>
        <v>0</v>
      </c>
      <c r="R519" s="4">
        <f t="shared" si="15"/>
        <v>0</v>
      </c>
      <c r="S519" s="3" t="s">
        <v>24</v>
      </c>
      <c r="T519" s="190"/>
    </row>
    <row r="520" spans="1:20" ht="21.6" hidden="1" x14ac:dyDescent="0.3">
      <c r="A520" s="182">
        <v>2073</v>
      </c>
      <c r="B520" s="42" t="s">
        <v>20</v>
      </c>
      <c r="C520" s="43" t="s">
        <v>267</v>
      </c>
      <c r="D520" s="50">
        <v>5325</v>
      </c>
      <c r="E520" s="42" t="s">
        <v>170</v>
      </c>
      <c r="F520" s="45" t="s">
        <v>145</v>
      </c>
      <c r="G520" s="42" t="s">
        <v>28</v>
      </c>
      <c r="H520" s="45" t="s">
        <v>385</v>
      </c>
      <c r="I520" s="7" t="s">
        <v>22</v>
      </c>
      <c r="J520" s="3">
        <v>1</v>
      </c>
      <c r="K520" s="7" t="s">
        <v>155</v>
      </c>
      <c r="L520" s="8" t="s">
        <v>156</v>
      </c>
      <c r="M520" s="7" t="s">
        <v>157</v>
      </c>
      <c r="N520" s="3">
        <v>0.9</v>
      </c>
      <c r="O520" s="3">
        <v>0.1</v>
      </c>
      <c r="P520" s="10"/>
      <c r="Q520" s="3">
        <f t="shared" si="16"/>
        <v>0</v>
      </c>
      <c r="R520" s="4">
        <f t="shared" si="15"/>
        <v>0</v>
      </c>
      <c r="S520" s="3" t="s">
        <v>23</v>
      </c>
      <c r="T520" s="190"/>
    </row>
    <row r="521" spans="1:20" ht="21.6" hidden="1" x14ac:dyDescent="0.3">
      <c r="A521" s="182">
        <v>2075</v>
      </c>
      <c r="B521" s="42" t="s">
        <v>20</v>
      </c>
      <c r="C521" s="43" t="s">
        <v>267</v>
      </c>
      <c r="D521" s="50">
        <v>5325</v>
      </c>
      <c r="E521" s="42" t="s">
        <v>170</v>
      </c>
      <c r="F521" s="45" t="s">
        <v>145</v>
      </c>
      <c r="G521" s="42" t="s">
        <v>28</v>
      </c>
      <c r="H521" s="45" t="s">
        <v>385</v>
      </c>
      <c r="I521" s="47" t="s">
        <v>22</v>
      </c>
      <c r="J521" s="3">
        <v>1</v>
      </c>
      <c r="K521" s="47" t="s">
        <v>158</v>
      </c>
      <c r="L521" s="30" t="s">
        <v>125</v>
      </c>
      <c r="M521" s="47" t="s">
        <v>159</v>
      </c>
      <c r="N521" s="3">
        <v>0.95</v>
      </c>
      <c r="O521" s="10">
        <v>0.1</v>
      </c>
      <c r="P521" s="3"/>
      <c r="Q521" s="3">
        <f t="shared" si="16"/>
        <v>0</v>
      </c>
      <c r="R521" s="48">
        <f t="shared" si="15"/>
        <v>0</v>
      </c>
      <c r="S521" s="10" t="s">
        <v>23</v>
      </c>
      <c r="T521" s="191"/>
    </row>
    <row r="522" spans="1:20" ht="21.6" hidden="1" x14ac:dyDescent="0.3">
      <c r="A522" s="182">
        <v>2076</v>
      </c>
      <c r="B522" s="42" t="s">
        <v>20</v>
      </c>
      <c r="C522" s="43" t="s">
        <v>267</v>
      </c>
      <c r="D522" s="50">
        <v>5325</v>
      </c>
      <c r="E522" s="42" t="s">
        <v>170</v>
      </c>
      <c r="F522" s="45" t="s">
        <v>145</v>
      </c>
      <c r="G522" s="42" t="s">
        <v>28</v>
      </c>
      <c r="H522" s="45" t="s">
        <v>385</v>
      </c>
      <c r="I522" s="47" t="s">
        <v>22</v>
      </c>
      <c r="J522" s="3">
        <v>1</v>
      </c>
      <c r="K522" s="47" t="s">
        <v>160</v>
      </c>
      <c r="L522" s="30" t="s">
        <v>161</v>
      </c>
      <c r="M522" s="47" t="s">
        <v>162</v>
      </c>
      <c r="N522" s="3">
        <v>1</v>
      </c>
      <c r="O522" s="10">
        <v>0.1</v>
      </c>
      <c r="P522" s="3"/>
      <c r="Q522" s="3">
        <f t="shared" si="16"/>
        <v>0</v>
      </c>
      <c r="R522" s="48">
        <f t="shared" si="15"/>
        <v>0</v>
      </c>
      <c r="S522" s="10" t="s">
        <v>23</v>
      </c>
      <c r="T522" s="191"/>
    </row>
    <row r="523" spans="1:20" ht="21.6" hidden="1" x14ac:dyDescent="0.3">
      <c r="A523" s="182">
        <v>2077</v>
      </c>
      <c r="B523" s="42" t="s">
        <v>20</v>
      </c>
      <c r="C523" s="43" t="s">
        <v>267</v>
      </c>
      <c r="D523" s="50">
        <v>5325</v>
      </c>
      <c r="E523" s="42" t="s">
        <v>170</v>
      </c>
      <c r="F523" s="45" t="s">
        <v>145</v>
      </c>
      <c r="G523" s="42" t="s">
        <v>28</v>
      </c>
      <c r="H523" s="45" t="s">
        <v>385</v>
      </c>
      <c r="I523" s="47" t="s">
        <v>22</v>
      </c>
      <c r="J523" s="3">
        <v>1</v>
      </c>
      <c r="K523" s="47" t="s">
        <v>163</v>
      </c>
      <c r="L523" s="30" t="s">
        <v>164</v>
      </c>
      <c r="M523" s="47" t="s">
        <v>165</v>
      </c>
      <c r="N523" s="3">
        <v>1</v>
      </c>
      <c r="O523" s="10">
        <v>0.2</v>
      </c>
      <c r="P523" s="3"/>
      <c r="Q523" s="3">
        <f t="shared" si="16"/>
        <v>0</v>
      </c>
      <c r="R523" s="48">
        <f t="shared" si="15"/>
        <v>0</v>
      </c>
      <c r="S523" s="10" t="s">
        <v>23</v>
      </c>
      <c r="T523" s="191"/>
    </row>
    <row r="524" spans="1:20" ht="22.2" hidden="1" thickBot="1" x14ac:dyDescent="0.35">
      <c r="A524" s="288">
        <v>2078</v>
      </c>
      <c r="B524" s="58" t="s">
        <v>20</v>
      </c>
      <c r="C524" s="59" t="s">
        <v>267</v>
      </c>
      <c r="D524" s="60">
        <v>5325</v>
      </c>
      <c r="E524" s="58" t="s">
        <v>170</v>
      </c>
      <c r="F524" s="61" t="s">
        <v>145</v>
      </c>
      <c r="G524" s="58" t="s">
        <v>28</v>
      </c>
      <c r="H524" s="61" t="s">
        <v>385</v>
      </c>
      <c r="I524" s="107" t="s">
        <v>22</v>
      </c>
      <c r="J524" s="62">
        <v>1</v>
      </c>
      <c r="K524" s="107" t="s">
        <v>166</v>
      </c>
      <c r="L524" s="108" t="s">
        <v>167</v>
      </c>
      <c r="M524" s="107" t="s">
        <v>168</v>
      </c>
      <c r="N524" s="62">
        <v>0.95</v>
      </c>
      <c r="O524" s="63">
        <v>0.1</v>
      </c>
      <c r="P524" s="62"/>
      <c r="Q524" s="62">
        <f t="shared" si="16"/>
        <v>0</v>
      </c>
      <c r="R524" s="110">
        <f t="shared" si="15"/>
        <v>0</v>
      </c>
      <c r="S524" s="63" t="s">
        <v>23</v>
      </c>
      <c r="T524" s="289"/>
    </row>
    <row r="525" spans="1:20" ht="21.6" hidden="1" x14ac:dyDescent="0.3">
      <c r="A525" s="181">
        <v>2070</v>
      </c>
      <c r="B525" s="71" t="s">
        <v>20</v>
      </c>
      <c r="C525" s="72" t="s">
        <v>267</v>
      </c>
      <c r="D525" s="112">
        <v>5566</v>
      </c>
      <c r="E525" s="71" t="s">
        <v>171</v>
      </c>
      <c r="F525" s="74" t="s">
        <v>145</v>
      </c>
      <c r="G525" s="71" t="s">
        <v>28</v>
      </c>
      <c r="H525" s="74" t="s">
        <v>385</v>
      </c>
      <c r="I525" s="75" t="s">
        <v>22</v>
      </c>
      <c r="J525" s="76">
        <v>1</v>
      </c>
      <c r="K525" s="75" t="s">
        <v>146</v>
      </c>
      <c r="L525" s="105" t="s">
        <v>147</v>
      </c>
      <c r="M525" s="75" t="s">
        <v>148</v>
      </c>
      <c r="N525" s="76">
        <v>1</v>
      </c>
      <c r="O525" s="76">
        <v>0.2</v>
      </c>
      <c r="P525" s="76"/>
      <c r="Q525" s="76">
        <f t="shared" si="16"/>
        <v>0</v>
      </c>
      <c r="R525" s="80">
        <f t="shared" si="15"/>
        <v>0</v>
      </c>
      <c r="S525" s="76" t="s">
        <v>23</v>
      </c>
      <c r="T525" s="189">
        <f t="shared" ref="T525" si="18">SUM(R525:R532)%</f>
        <v>0</v>
      </c>
    </row>
    <row r="526" spans="1:20" ht="21.6" hidden="1" x14ac:dyDescent="0.3">
      <c r="A526" s="182">
        <v>2071</v>
      </c>
      <c r="B526" s="42" t="s">
        <v>20</v>
      </c>
      <c r="C526" s="43" t="s">
        <v>267</v>
      </c>
      <c r="D526" s="50">
        <v>5566</v>
      </c>
      <c r="E526" s="42" t="s">
        <v>171</v>
      </c>
      <c r="F526" s="45" t="s">
        <v>145</v>
      </c>
      <c r="G526" s="42" t="s">
        <v>28</v>
      </c>
      <c r="H526" s="45" t="s">
        <v>385</v>
      </c>
      <c r="I526" s="7" t="s">
        <v>22</v>
      </c>
      <c r="J526" s="3">
        <v>1</v>
      </c>
      <c r="K526" s="7" t="s">
        <v>149</v>
      </c>
      <c r="L526" s="8" t="s">
        <v>150</v>
      </c>
      <c r="M526" s="7" t="s">
        <v>151</v>
      </c>
      <c r="N526" s="3">
        <v>1</v>
      </c>
      <c r="O526" s="3">
        <v>0.1</v>
      </c>
      <c r="P526" s="3"/>
      <c r="Q526" s="3">
        <f t="shared" si="16"/>
        <v>0</v>
      </c>
      <c r="R526" s="4">
        <f t="shared" si="15"/>
        <v>0</v>
      </c>
      <c r="S526" s="3" t="s">
        <v>23</v>
      </c>
      <c r="T526" s="190"/>
    </row>
    <row r="527" spans="1:20" ht="21.6" hidden="1" x14ac:dyDescent="0.3">
      <c r="A527" s="182">
        <v>2072</v>
      </c>
      <c r="B527" s="42" t="s">
        <v>20</v>
      </c>
      <c r="C527" s="43" t="s">
        <v>267</v>
      </c>
      <c r="D527" s="50">
        <v>5566</v>
      </c>
      <c r="E527" s="42" t="s">
        <v>171</v>
      </c>
      <c r="F527" s="45" t="s">
        <v>145</v>
      </c>
      <c r="G527" s="42" t="s">
        <v>28</v>
      </c>
      <c r="H527" s="45" t="s">
        <v>385</v>
      </c>
      <c r="I527" s="7" t="s">
        <v>22</v>
      </c>
      <c r="J527" s="3">
        <v>1</v>
      </c>
      <c r="K527" s="7" t="s">
        <v>152</v>
      </c>
      <c r="L527" s="8" t="s">
        <v>153</v>
      </c>
      <c r="M527" s="7" t="s">
        <v>154</v>
      </c>
      <c r="N527" s="3">
        <v>0</v>
      </c>
      <c r="O527" s="3">
        <v>0.1</v>
      </c>
      <c r="P527" s="3"/>
      <c r="Q527" s="3">
        <f t="shared" si="16"/>
        <v>0</v>
      </c>
      <c r="R527" s="4">
        <f t="shared" si="15"/>
        <v>0</v>
      </c>
      <c r="S527" s="3" t="s">
        <v>24</v>
      </c>
      <c r="T527" s="190"/>
    </row>
    <row r="528" spans="1:20" ht="21.6" hidden="1" x14ac:dyDescent="0.3">
      <c r="A528" s="182">
        <v>2073</v>
      </c>
      <c r="B528" s="42" t="s">
        <v>20</v>
      </c>
      <c r="C528" s="43" t="s">
        <v>267</v>
      </c>
      <c r="D528" s="50">
        <v>5566</v>
      </c>
      <c r="E528" s="42" t="s">
        <v>171</v>
      </c>
      <c r="F528" s="45" t="s">
        <v>145</v>
      </c>
      <c r="G528" s="42" t="s">
        <v>28</v>
      </c>
      <c r="H528" s="45" t="s">
        <v>385</v>
      </c>
      <c r="I528" s="7" t="s">
        <v>22</v>
      </c>
      <c r="J528" s="3">
        <v>1</v>
      </c>
      <c r="K528" s="7" t="s">
        <v>155</v>
      </c>
      <c r="L528" s="8" t="s">
        <v>156</v>
      </c>
      <c r="M528" s="7" t="s">
        <v>157</v>
      </c>
      <c r="N528" s="3">
        <v>0.9</v>
      </c>
      <c r="O528" s="3">
        <v>0.1</v>
      </c>
      <c r="P528" s="10"/>
      <c r="Q528" s="3">
        <f t="shared" si="16"/>
        <v>0</v>
      </c>
      <c r="R528" s="4">
        <f t="shared" si="15"/>
        <v>0</v>
      </c>
      <c r="S528" s="3" t="s">
        <v>23</v>
      </c>
      <c r="T528" s="190"/>
    </row>
    <row r="529" spans="1:20" ht="21.6" hidden="1" x14ac:dyDescent="0.3">
      <c r="A529" s="182">
        <v>2075</v>
      </c>
      <c r="B529" s="42" t="s">
        <v>20</v>
      </c>
      <c r="C529" s="43" t="s">
        <v>267</v>
      </c>
      <c r="D529" s="50">
        <v>5566</v>
      </c>
      <c r="E529" s="42" t="s">
        <v>171</v>
      </c>
      <c r="F529" s="45" t="s">
        <v>145</v>
      </c>
      <c r="G529" s="42" t="s">
        <v>28</v>
      </c>
      <c r="H529" s="45" t="s">
        <v>385</v>
      </c>
      <c r="I529" s="47" t="s">
        <v>22</v>
      </c>
      <c r="J529" s="3">
        <v>1</v>
      </c>
      <c r="K529" s="47" t="s">
        <v>158</v>
      </c>
      <c r="L529" s="30" t="s">
        <v>125</v>
      </c>
      <c r="M529" s="47" t="s">
        <v>159</v>
      </c>
      <c r="N529" s="3">
        <v>0.95</v>
      </c>
      <c r="O529" s="10">
        <v>0.1</v>
      </c>
      <c r="P529" s="3"/>
      <c r="Q529" s="3">
        <f t="shared" si="16"/>
        <v>0</v>
      </c>
      <c r="R529" s="48">
        <f t="shared" si="15"/>
        <v>0</v>
      </c>
      <c r="S529" s="10" t="s">
        <v>23</v>
      </c>
      <c r="T529" s="191"/>
    </row>
    <row r="530" spans="1:20" ht="21.6" hidden="1" x14ac:dyDescent="0.3">
      <c r="A530" s="182">
        <v>2076</v>
      </c>
      <c r="B530" s="42" t="s">
        <v>20</v>
      </c>
      <c r="C530" s="43" t="s">
        <v>267</v>
      </c>
      <c r="D530" s="50">
        <v>5566</v>
      </c>
      <c r="E530" s="42" t="s">
        <v>171</v>
      </c>
      <c r="F530" s="45" t="s">
        <v>145</v>
      </c>
      <c r="G530" s="42" t="s">
        <v>28</v>
      </c>
      <c r="H530" s="45" t="s">
        <v>385</v>
      </c>
      <c r="I530" s="47" t="s">
        <v>22</v>
      </c>
      <c r="J530" s="3">
        <v>1</v>
      </c>
      <c r="K530" s="47" t="s">
        <v>160</v>
      </c>
      <c r="L530" s="30" t="s">
        <v>161</v>
      </c>
      <c r="M530" s="47" t="s">
        <v>162</v>
      </c>
      <c r="N530" s="3">
        <v>1</v>
      </c>
      <c r="O530" s="10">
        <v>0.1</v>
      </c>
      <c r="P530" s="3"/>
      <c r="Q530" s="3">
        <f t="shared" si="16"/>
        <v>0</v>
      </c>
      <c r="R530" s="48">
        <f t="shared" si="15"/>
        <v>0</v>
      </c>
      <c r="S530" s="10" t="s">
        <v>23</v>
      </c>
      <c r="T530" s="191"/>
    </row>
    <row r="531" spans="1:20" ht="21.6" hidden="1" x14ac:dyDescent="0.3">
      <c r="A531" s="182">
        <v>2077</v>
      </c>
      <c r="B531" s="42" t="s">
        <v>20</v>
      </c>
      <c r="C531" s="43" t="s">
        <v>267</v>
      </c>
      <c r="D531" s="50">
        <v>5566</v>
      </c>
      <c r="E531" s="42" t="s">
        <v>171</v>
      </c>
      <c r="F531" s="45" t="s">
        <v>145</v>
      </c>
      <c r="G531" s="42" t="s">
        <v>28</v>
      </c>
      <c r="H531" s="45" t="s">
        <v>385</v>
      </c>
      <c r="I531" s="47" t="s">
        <v>22</v>
      </c>
      <c r="J531" s="3">
        <v>1</v>
      </c>
      <c r="K531" s="47" t="s">
        <v>163</v>
      </c>
      <c r="L531" s="30" t="s">
        <v>164</v>
      </c>
      <c r="M531" s="47" t="s">
        <v>165</v>
      </c>
      <c r="N531" s="3">
        <v>1</v>
      </c>
      <c r="O531" s="10">
        <v>0.2</v>
      </c>
      <c r="P531" s="3"/>
      <c r="Q531" s="3">
        <f t="shared" si="16"/>
        <v>0</v>
      </c>
      <c r="R531" s="48">
        <f t="shared" ref="R531:R594" si="19">IF(AND(Q531&gt;=60%,Q531&lt;100%),Q531*((O531*J531)),IF(Q531=100%,((O531*J531)*Q531)*100%,IF(Q531&gt;100%,((J531*O531)*100%)*100%,0)))*100</f>
        <v>0</v>
      </c>
      <c r="S531" s="10" t="s">
        <v>23</v>
      </c>
      <c r="T531" s="191"/>
    </row>
    <row r="532" spans="1:20" ht="22.2" hidden="1" thickBot="1" x14ac:dyDescent="0.35">
      <c r="A532" s="288">
        <v>2078</v>
      </c>
      <c r="B532" s="58" t="s">
        <v>20</v>
      </c>
      <c r="C532" s="59" t="s">
        <v>267</v>
      </c>
      <c r="D532" s="60">
        <v>5566</v>
      </c>
      <c r="E532" s="58" t="s">
        <v>171</v>
      </c>
      <c r="F532" s="61" t="s">
        <v>145</v>
      </c>
      <c r="G532" s="58" t="s">
        <v>28</v>
      </c>
      <c r="H532" s="61" t="s">
        <v>385</v>
      </c>
      <c r="I532" s="107" t="s">
        <v>22</v>
      </c>
      <c r="J532" s="62">
        <v>1</v>
      </c>
      <c r="K532" s="107" t="s">
        <v>166</v>
      </c>
      <c r="L532" s="108" t="s">
        <v>167</v>
      </c>
      <c r="M532" s="107" t="s">
        <v>168</v>
      </c>
      <c r="N532" s="62">
        <v>0.95</v>
      </c>
      <c r="O532" s="63">
        <v>0.1</v>
      </c>
      <c r="P532" s="62"/>
      <c r="Q532" s="62">
        <f t="shared" si="16"/>
        <v>0</v>
      </c>
      <c r="R532" s="110">
        <f t="shared" si="19"/>
        <v>0</v>
      </c>
      <c r="S532" s="63" t="s">
        <v>23</v>
      </c>
      <c r="T532" s="289"/>
    </row>
    <row r="533" spans="1:20" ht="21.6" hidden="1" x14ac:dyDescent="0.3">
      <c r="A533" s="181">
        <v>2070</v>
      </c>
      <c r="B533" s="71" t="s">
        <v>20</v>
      </c>
      <c r="C533" s="72" t="s">
        <v>267</v>
      </c>
      <c r="D533" s="112">
        <v>3751</v>
      </c>
      <c r="E533" s="71" t="s">
        <v>179</v>
      </c>
      <c r="F533" s="74" t="s">
        <v>123</v>
      </c>
      <c r="G533" s="71" t="s">
        <v>28</v>
      </c>
      <c r="H533" s="74" t="s">
        <v>385</v>
      </c>
      <c r="I533" s="75" t="s">
        <v>22</v>
      </c>
      <c r="J533" s="76">
        <v>0.7</v>
      </c>
      <c r="K533" s="75" t="s">
        <v>513</v>
      </c>
      <c r="L533" s="105" t="s">
        <v>511</v>
      </c>
      <c r="M533" s="75" t="s">
        <v>411</v>
      </c>
      <c r="N533" s="76">
        <v>0.95</v>
      </c>
      <c r="O533" s="76">
        <v>0.15</v>
      </c>
      <c r="P533" s="76"/>
      <c r="Q533" s="76">
        <f t="shared" si="16"/>
        <v>0</v>
      </c>
      <c r="R533" s="80">
        <f t="shared" si="19"/>
        <v>0</v>
      </c>
      <c r="S533" s="76" t="s">
        <v>23</v>
      </c>
      <c r="T533" s="189">
        <f>SUM(R533:R540)%</f>
        <v>0</v>
      </c>
    </row>
    <row r="534" spans="1:20" ht="21.6" hidden="1" x14ac:dyDescent="0.3">
      <c r="A534" s="182">
        <v>2072</v>
      </c>
      <c r="B534" s="42" t="s">
        <v>20</v>
      </c>
      <c r="C534" s="43" t="s">
        <v>267</v>
      </c>
      <c r="D534" s="50">
        <v>3751</v>
      </c>
      <c r="E534" s="42" t="s">
        <v>179</v>
      </c>
      <c r="F534" s="45" t="s">
        <v>123</v>
      </c>
      <c r="G534" s="42" t="s">
        <v>28</v>
      </c>
      <c r="H534" s="45" t="s">
        <v>385</v>
      </c>
      <c r="I534" s="7" t="s">
        <v>22</v>
      </c>
      <c r="J534" s="3">
        <v>0.7</v>
      </c>
      <c r="K534" s="7" t="s">
        <v>124</v>
      </c>
      <c r="L534" s="8" t="s">
        <v>125</v>
      </c>
      <c r="M534" s="7" t="s">
        <v>126</v>
      </c>
      <c r="N534" s="3">
        <v>0.95</v>
      </c>
      <c r="O534" s="3">
        <v>0.15</v>
      </c>
      <c r="P534" s="6"/>
      <c r="Q534" s="3">
        <f t="shared" si="16"/>
        <v>0</v>
      </c>
      <c r="R534" s="4">
        <f t="shared" si="19"/>
        <v>0</v>
      </c>
      <c r="S534" s="3" t="s">
        <v>23</v>
      </c>
      <c r="T534" s="190"/>
    </row>
    <row r="535" spans="1:20" ht="21.6" hidden="1" x14ac:dyDescent="0.3">
      <c r="A535" s="182">
        <v>2073</v>
      </c>
      <c r="B535" s="42" t="s">
        <v>20</v>
      </c>
      <c r="C535" s="43" t="s">
        <v>267</v>
      </c>
      <c r="D535" s="50">
        <v>3751</v>
      </c>
      <c r="E535" s="42" t="s">
        <v>179</v>
      </c>
      <c r="F535" s="45" t="s">
        <v>123</v>
      </c>
      <c r="G535" s="42" t="s">
        <v>28</v>
      </c>
      <c r="H535" s="45" t="s">
        <v>385</v>
      </c>
      <c r="I535" s="7" t="s">
        <v>22</v>
      </c>
      <c r="J535" s="3">
        <v>0.7</v>
      </c>
      <c r="K535" s="7" t="s">
        <v>51</v>
      </c>
      <c r="L535" s="8" t="s">
        <v>127</v>
      </c>
      <c r="M535" s="7" t="s">
        <v>128</v>
      </c>
      <c r="N535" s="6">
        <v>0.05</v>
      </c>
      <c r="O535" s="3">
        <v>0.1</v>
      </c>
      <c r="P535" s="11"/>
      <c r="Q535" s="3">
        <f t="shared" si="16"/>
        <v>0</v>
      </c>
      <c r="R535" s="4">
        <f t="shared" si="19"/>
        <v>0</v>
      </c>
      <c r="S535" s="3" t="s">
        <v>24</v>
      </c>
      <c r="T535" s="190"/>
    </row>
    <row r="536" spans="1:20" ht="21.6" hidden="1" x14ac:dyDescent="0.3">
      <c r="A536" s="182">
        <v>2074</v>
      </c>
      <c r="B536" s="42" t="s">
        <v>20</v>
      </c>
      <c r="C536" s="43" t="s">
        <v>267</v>
      </c>
      <c r="D536" s="50">
        <v>3751</v>
      </c>
      <c r="E536" s="42" t="s">
        <v>179</v>
      </c>
      <c r="F536" s="45" t="s">
        <v>123</v>
      </c>
      <c r="G536" s="42" t="s">
        <v>28</v>
      </c>
      <c r="H536" s="45" t="s">
        <v>385</v>
      </c>
      <c r="I536" s="7" t="s">
        <v>22</v>
      </c>
      <c r="J536" s="3">
        <v>0.7</v>
      </c>
      <c r="K536" s="7" t="s">
        <v>305</v>
      </c>
      <c r="L536" s="8" t="s">
        <v>257</v>
      </c>
      <c r="M536" s="339" t="s">
        <v>306</v>
      </c>
      <c r="N536" s="3">
        <v>0.95</v>
      </c>
      <c r="O536" s="3">
        <v>0.1</v>
      </c>
      <c r="P536" s="3"/>
      <c r="Q536" s="3">
        <f t="shared" si="16"/>
        <v>0</v>
      </c>
      <c r="R536" s="4">
        <f t="shared" si="19"/>
        <v>0</v>
      </c>
      <c r="S536" s="3" t="s">
        <v>23</v>
      </c>
      <c r="T536" s="190"/>
    </row>
    <row r="537" spans="1:20" ht="21.6" hidden="1" x14ac:dyDescent="0.3">
      <c r="A537" s="182">
        <v>2075</v>
      </c>
      <c r="B537" s="42" t="s">
        <v>20</v>
      </c>
      <c r="C537" s="43" t="s">
        <v>267</v>
      </c>
      <c r="D537" s="50">
        <v>3751</v>
      </c>
      <c r="E537" s="42" t="s">
        <v>179</v>
      </c>
      <c r="F537" s="45" t="s">
        <v>123</v>
      </c>
      <c r="G537" s="42" t="s">
        <v>28</v>
      </c>
      <c r="H537" s="45" t="s">
        <v>385</v>
      </c>
      <c r="I537" s="47" t="s">
        <v>22</v>
      </c>
      <c r="J537" s="3">
        <v>0.7</v>
      </c>
      <c r="K537" s="47" t="s">
        <v>129</v>
      </c>
      <c r="L537" s="30" t="s">
        <v>130</v>
      </c>
      <c r="M537" s="47" t="s">
        <v>131</v>
      </c>
      <c r="N537" s="3">
        <v>0.9</v>
      </c>
      <c r="O537" s="10">
        <v>0.2</v>
      </c>
      <c r="P537" s="3"/>
      <c r="Q537" s="3">
        <f t="shared" si="16"/>
        <v>0</v>
      </c>
      <c r="R537" s="48">
        <f t="shared" si="19"/>
        <v>0</v>
      </c>
      <c r="S537" s="10" t="s">
        <v>23</v>
      </c>
      <c r="T537" s="191"/>
    </row>
    <row r="538" spans="1:20" ht="21.6" hidden="1" x14ac:dyDescent="0.3">
      <c r="A538" s="182">
        <v>2076</v>
      </c>
      <c r="B538" s="42" t="s">
        <v>20</v>
      </c>
      <c r="C538" s="43" t="s">
        <v>267</v>
      </c>
      <c r="D538" s="50">
        <v>3751</v>
      </c>
      <c r="E538" s="42" t="s">
        <v>179</v>
      </c>
      <c r="F538" s="45" t="s">
        <v>123</v>
      </c>
      <c r="G538" s="42" t="s">
        <v>28</v>
      </c>
      <c r="H538" s="45" t="s">
        <v>385</v>
      </c>
      <c r="I538" s="47" t="s">
        <v>22</v>
      </c>
      <c r="J538" s="3">
        <v>0.7</v>
      </c>
      <c r="K538" s="47" t="s">
        <v>132</v>
      </c>
      <c r="L538" s="30" t="s">
        <v>133</v>
      </c>
      <c r="M538" s="47" t="s">
        <v>134</v>
      </c>
      <c r="N538" s="4">
        <v>0</v>
      </c>
      <c r="O538" s="10">
        <v>0.1</v>
      </c>
      <c r="P538" s="3"/>
      <c r="Q538" s="3">
        <f t="shared" si="16"/>
        <v>0</v>
      </c>
      <c r="R538" s="48">
        <f t="shared" si="19"/>
        <v>0</v>
      </c>
      <c r="S538" s="10" t="s">
        <v>24</v>
      </c>
      <c r="T538" s="191"/>
    </row>
    <row r="539" spans="1:20" ht="21.6" hidden="1" x14ac:dyDescent="0.3">
      <c r="A539" s="182">
        <v>2077</v>
      </c>
      <c r="B539" s="42" t="s">
        <v>20</v>
      </c>
      <c r="C539" s="43" t="s">
        <v>267</v>
      </c>
      <c r="D539" s="50">
        <v>3751</v>
      </c>
      <c r="E539" s="42" t="s">
        <v>179</v>
      </c>
      <c r="F539" s="45" t="s">
        <v>123</v>
      </c>
      <c r="G539" s="42" t="s">
        <v>28</v>
      </c>
      <c r="H539" s="45" t="s">
        <v>385</v>
      </c>
      <c r="I539" s="47" t="s">
        <v>22</v>
      </c>
      <c r="J539" s="3">
        <v>0.7</v>
      </c>
      <c r="K539" s="47" t="s">
        <v>135</v>
      </c>
      <c r="L539" s="30" t="s">
        <v>136</v>
      </c>
      <c r="M539" s="47" t="s">
        <v>137</v>
      </c>
      <c r="N539" s="3">
        <v>0.9</v>
      </c>
      <c r="O539" s="10">
        <v>0.2</v>
      </c>
      <c r="P539" s="51"/>
      <c r="Q539" s="3">
        <f t="shared" si="16"/>
        <v>0</v>
      </c>
      <c r="R539" s="48">
        <f t="shared" si="19"/>
        <v>0</v>
      </c>
      <c r="S539" s="10" t="s">
        <v>23</v>
      </c>
      <c r="T539" s="191"/>
    </row>
    <row r="540" spans="1:20" ht="22.2" hidden="1" thickBot="1" x14ac:dyDescent="0.35">
      <c r="A540" s="267">
        <v>2078</v>
      </c>
      <c r="B540" s="268" t="s">
        <v>20</v>
      </c>
      <c r="C540" s="269" t="s">
        <v>267</v>
      </c>
      <c r="D540" s="290">
        <v>3751</v>
      </c>
      <c r="E540" s="268" t="s">
        <v>179</v>
      </c>
      <c r="F540" s="271" t="s">
        <v>123</v>
      </c>
      <c r="G540" s="268" t="s">
        <v>28</v>
      </c>
      <c r="H540" s="271" t="s">
        <v>385</v>
      </c>
      <c r="I540" s="272" t="s">
        <v>26</v>
      </c>
      <c r="J540" s="273">
        <v>0.3</v>
      </c>
      <c r="K540" s="272" t="s">
        <v>138</v>
      </c>
      <c r="L540" s="291" t="s">
        <v>139</v>
      </c>
      <c r="M540" s="272" t="s">
        <v>140</v>
      </c>
      <c r="N540" s="273">
        <v>1</v>
      </c>
      <c r="O540" s="276">
        <v>1</v>
      </c>
      <c r="P540" s="273"/>
      <c r="Q540" s="273">
        <f t="shared" si="16"/>
        <v>0</v>
      </c>
      <c r="R540" s="287">
        <f t="shared" si="19"/>
        <v>0</v>
      </c>
      <c r="S540" s="276" t="s">
        <v>23</v>
      </c>
      <c r="T540" s="277"/>
    </row>
    <row r="541" spans="1:20" ht="21.6" hidden="1" x14ac:dyDescent="0.3">
      <c r="A541" s="242">
        <v>2070</v>
      </c>
      <c r="B541" s="243" t="s">
        <v>20</v>
      </c>
      <c r="C541" s="244" t="s">
        <v>267</v>
      </c>
      <c r="D541" s="293">
        <v>6245</v>
      </c>
      <c r="E541" s="243" t="s">
        <v>180</v>
      </c>
      <c r="F541" s="246" t="s">
        <v>145</v>
      </c>
      <c r="G541" s="243" t="s">
        <v>28</v>
      </c>
      <c r="H541" s="246" t="s">
        <v>385</v>
      </c>
      <c r="I541" s="294" t="s">
        <v>22</v>
      </c>
      <c r="J541" s="248">
        <v>0.7</v>
      </c>
      <c r="K541" s="75" t="s">
        <v>513</v>
      </c>
      <c r="L541" s="105" t="s">
        <v>511</v>
      </c>
      <c r="M541" s="75" t="s">
        <v>411</v>
      </c>
      <c r="N541" s="248">
        <v>0.95</v>
      </c>
      <c r="O541" s="248">
        <v>0.15</v>
      </c>
      <c r="P541" s="76"/>
      <c r="Q541" s="248">
        <f t="shared" si="16"/>
        <v>0</v>
      </c>
      <c r="R541" s="250">
        <f t="shared" si="19"/>
        <v>0</v>
      </c>
      <c r="S541" s="248" t="s">
        <v>23</v>
      </c>
      <c r="T541" s="251">
        <f>SUM(R541:R548)%</f>
        <v>0</v>
      </c>
    </row>
    <row r="542" spans="1:20" ht="21.6" hidden="1" x14ac:dyDescent="0.3">
      <c r="A542" s="182">
        <v>2072</v>
      </c>
      <c r="B542" s="42" t="s">
        <v>20</v>
      </c>
      <c r="C542" s="43" t="s">
        <v>267</v>
      </c>
      <c r="D542" s="50">
        <v>6245</v>
      </c>
      <c r="E542" s="42" t="s">
        <v>180</v>
      </c>
      <c r="F542" s="45" t="s">
        <v>145</v>
      </c>
      <c r="G542" s="42" t="s">
        <v>28</v>
      </c>
      <c r="H542" s="45" t="s">
        <v>385</v>
      </c>
      <c r="I542" s="7" t="s">
        <v>22</v>
      </c>
      <c r="J542" s="3">
        <v>0.7</v>
      </c>
      <c r="K542" s="7" t="s">
        <v>124</v>
      </c>
      <c r="L542" s="8" t="s">
        <v>125</v>
      </c>
      <c r="M542" s="7" t="s">
        <v>126</v>
      </c>
      <c r="N542" s="3">
        <v>0.95</v>
      </c>
      <c r="O542" s="3">
        <v>0.15</v>
      </c>
      <c r="P542" s="6"/>
      <c r="Q542" s="3">
        <f t="shared" si="16"/>
        <v>0</v>
      </c>
      <c r="R542" s="4">
        <f t="shared" si="19"/>
        <v>0</v>
      </c>
      <c r="S542" s="3" t="s">
        <v>23</v>
      </c>
      <c r="T542" s="190"/>
    </row>
    <row r="543" spans="1:20" ht="21.6" hidden="1" x14ac:dyDescent="0.3">
      <c r="A543" s="182">
        <v>2073</v>
      </c>
      <c r="B543" s="42" t="s">
        <v>20</v>
      </c>
      <c r="C543" s="43" t="s">
        <v>267</v>
      </c>
      <c r="D543" s="50">
        <v>6245</v>
      </c>
      <c r="E543" s="42" t="s">
        <v>180</v>
      </c>
      <c r="F543" s="45" t="s">
        <v>145</v>
      </c>
      <c r="G543" s="42" t="s">
        <v>28</v>
      </c>
      <c r="H543" s="45" t="s">
        <v>385</v>
      </c>
      <c r="I543" s="7" t="s">
        <v>22</v>
      </c>
      <c r="J543" s="3">
        <v>0.7</v>
      </c>
      <c r="K543" s="7" t="s">
        <v>51</v>
      </c>
      <c r="L543" s="8" t="s">
        <v>127</v>
      </c>
      <c r="M543" s="7" t="s">
        <v>128</v>
      </c>
      <c r="N543" s="6">
        <v>0.05</v>
      </c>
      <c r="O543" s="3">
        <v>0.1</v>
      </c>
      <c r="P543" s="11"/>
      <c r="Q543" s="3">
        <f t="shared" si="16"/>
        <v>0</v>
      </c>
      <c r="R543" s="4">
        <f t="shared" si="19"/>
        <v>0</v>
      </c>
      <c r="S543" s="3" t="s">
        <v>24</v>
      </c>
      <c r="T543" s="190"/>
    </row>
    <row r="544" spans="1:20" ht="21.6" hidden="1" x14ac:dyDescent="0.3">
      <c r="A544" s="182">
        <v>2074</v>
      </c>
      <c r="B544" s="42" t="s">
        <v>20</v>
      </c>
      <c r="C544" s="43" t="s">
        <v>267</v>
      </c>
      <c r="D544" s="50">
        <v>6245</v>
      </c>
      <c r="E544" s="42" t="s">
        <v>180</v>
      </c>
      <c r="F544" s="45" t="s">
        <v>145</v>
      </c>
      <c r="G544" s="42" t="s">
        <v>28</v>
      </c>
      <c r="H544" s="45" t="s">
        <v>385</v>
      </c>
      <c r="I544" s="7" t="s">
        <v>22</v>
      </c>
      <c r="J544" s="3">
        <v>0.7</v>
      </c>
      <c r="K544" s="7" t="s">
        <v>305</v>
      </c>
      <c r="L544" s="8" t="s">
        <v>257</v>
      </c>
      <c r="M544" s="339" t="s">
        <v>306</v>
      </c>
      <c r="N544" s="3">
        <v>0.95</v>
      </c>
      <c r="O544" s="3">
        <v>0.1</v>
      </c>
      <c r="P544" s="3"/>
      <c r="Q544" s="3">
        <f t="shared" si="16"/>
        <v>0</v>
      </c>
      <c r="R544" s="4">
        <f t="shared" si="19"/>
        <v>0</v>
      </c>
      <c r="S544" s="3" t="s">
        <v>23</v>
      </c>
      <c r="T544" s="190"/>
    </row>
    <row r="545" spans="1:20" ht="21.6" hidden="1" x14ac:dyDescent="0.3">
      <c r="A545" s="182">
        <v>2075</v>
      </c>
      <c r="B545" s="42" t="s">
        <v>20</v>
      </c>
      <c r="C545" s="43" t="s">
        <v>267</v>
      </c>
      <c r="D545" s="50">
        <v>6245</v>
      </c>
      <c r="E545" s="42" t="s">
        <v>180</v>
      </c>
      <c r="F545" s="45" t="s">
        <v>145</v>
      </c>
      <c r="G545" s="42" t="s">
        <v>28</v>
      </c>
      <c r="H545" s="45" t="s">
        <v>385</v>
      </c>
      <c r="I545" s="47" t="s">
        <v>22</v>
      </c>
      <c r="J545" s="3">
        <v>0.7</v>
      </c>
      <c r="K545" s="47" t="s">
        <v>129</v>
      </c>
      <c r="L545" s="30" t="s">
        <v>130</v>
      </c>
      <c r="M545" s="47" t="s">
        <v>131</v>
      </c>
      <c r="N545" s="3">
        <v>0.9</v>
      </c>
      <c r="O545" s="10">
        <v>0.2</v>
      </c>
      <c r="P545" s="3"/>
      <c r="Q545" s="3">
        <f t="shared" si="16"/>
        <v>0</v>
      </c>
      <c r="R545" s="48">
        <f t="shared" si="19"/>
        <v>0</v>
      </c>
      <c r="S545" s="10" t="s">
        <v>23</v>
      </c>
      <c r="T545" s="191"/>
    </row>
    <row r="546" spans="1:20" ht="21.6" hidden="1" x14ac:dyDescent="0.3">
      <c r="A546" s="182">
        <v>2076</v>
      </c>
      <c r="B546" s="42" t="s">
        <v>20</v>
      </c>
      <c r="C546" s="43" t="s">
        <v>267</v>
      </c>
      <c r="D546" s="50">
        <v>6245</v>
      </c>
      <c r="E546" s="42" t="s">
        <v>180</v>
      </c>
      <c r="F546" s="45" t="s">
        <v>145</v>
      </c>
      <c r="G546" s="42" t="s">
        <v>28</v>
      </c>
      <c r="H546" s="45" t="s">
        <v>385</v>
      </c>
      <c r="I546" s="47" t="s">
        <v>22</v>
      </c>
      <c r="J546" s="3">
        <v>0.7</v>
      </c>
      <c r="K546" s="47" t="s">
        <v>132</v>
      </c>
      <c r="L546" s="30" t="s">
        <v>133</v>
      </c>
      <c r="M546" s="47" t="s">
        <v>134</v>
      </c>
      <c r="N546" s="4">
        <v>0</v>
      </c>
      <c r="O546" s="10">
        <v>0.1</v>
      </c>
      <c r="P546" s="3"/>
      <c r="Q546" s="3">
        <f t="shared" si="16"/>
        <v>0</v>
      </c>
      <c r="R546" s="48">
        <f t="shared" si="19"/>
        <v>0</v>
      </c>
      <c r="S546" s="10" t="s">
        <v>24</v>
      </c>
      <c r="T546" s="191"/>
    </row>
    <row r="547" spans="1:20" ht="21.6" hidden="1" x14ac:dyDescent="0.3">
      <c r="A547" s="182">
        <v>2077</v>
      </c>
      <c r="B547" s="42" t="s">
        <v>20</v>
      </c>
      <c r="C547" s="43" t="s">
        <v>267</v>
      </c>
      <c r="D547" s="50">
        <v>6245</v>
      </c>
      <c r="E547" s="42" t="s">
        <v>180</v>
      </c>
      <c r="F547" s="45" t="s">
        <v>145</v>
      </c>
      <c r="G547" s="42" t="s">
        <v>28</v>
      </c>
      <c r="H547" s="45" t="s">
        <v>385</v>
      </c>
      <c r="I547" s="47" t="s">
        <v>22</v>
      </c>
      <c r="J547" s="3">
        <v>0.7</v>
      </c>
      <c r="K547" s="47" t="s">
        <v>135</v>
      </c>
      <c r="L547" s="30" t="s">
        <v>136</v>
      </c>
      <c r="M547" s="47" t="s">
        <v>137</v>
      </c>
      <c r="N547" s="3">
        <v>0.9</v>
      </c>
      <c r="O547" s="10">
        <v>0.2</v>
      </c>
      <c r="P547" s="51"/>
      <c r="Q547" s="3">
        <f t="shared" si="16"/>
        <v>0</v>
      </c>
      <c r="R547" s="48">
        <f t="shared" si="19"/>
        <v>0</v>
      </c>
      <c r="S547" s="10" t="s">
        <v>23</v>
      </c>
      <c r="T547" s="191"/>
    </row>
    <row r="548" spans="1:20" ht="22.2" hidden="1" thickBot="1" x14ac:dyDescent="0.35">
      <c r="A548" s="267">
        <v>2078</v>
      </c>
      <c r="B548" s="268" t="s">
        <v>20</v>
      </c>
      <c r="C548" s="269" t="s">
        <v>267</v>
      </c>
      <c r="D548" s="290">
        <v>6245</v>
      </c>
      <c r="E548" s="268" t="s">
        <v>180</v>
      </c>
      <c r="F548" s="271" t="s">
        <v>145</v>
      </c>
      <c r="G548" s="268" t="s">
        <v>28</v>
      </c>
      <c r="H548" s="271" t="s">
        <v>385</v>
      </c>
      <c r="I548" s="272" t="s">
        <v>26</v>
      </c>
      <c r="J548" s="273">
        <v>0.3</v>
      </c>
      <c r="K548" s="272" t="s">
        <v>138</v>
      </c>
      <c r="L548" s="291" t="s">
        <v>139</v>
      </c>
      <c r="M548" s="272" t="s">
        <v>140</v>
      </c>
      <c r="N548" s="273">
        <v>1</v>
      </c>
      <c r="O548" s="276">
        <v>1</v>
      </c>
      <c r="P548" s="273"/>
      <c r="Q548" s="273">
        <f t="shared" si="16"/>
        <v>0</v>
      </c>
      <c r="R548" s="287">
        <f t="shared" si="19"/>
        <v>0</v>
      </c>
      <c r="S548" s="276" t="s">
        <v>23</v>
      </c>
      <c r="T548" s="277"/>
    </row>
    <row r="549" spans="1:20" ht="21.6" hidden="1" x14ac:dyDescent="0.3">
      <c r="A549" s="242">
        <v>2070</v>
      </c>
      <c r="B549" s="243" t="s">
        <v>20</v>
      </c>
      <c r="C549" s="244" t="s">
        <v>267</v>
      </c>
      <c r="D549" s="293">
        <v>6328</v>
      </c>
      <c r="E549" s="243" t="s">
        <v>181</v>
      </c>
      <c r="F549" s="246" t="s">
        <v>174</v>
      </c>
      <c r="G549" s="243" t="s">
        <v>28</v>
      </c>
      <c r="H549" s="246" t="s">
        <v>385</v>
      </c>
      <c r="I549" s="294" t="s">
        <v>22</v>
      </c>
      <c r="J549" s="248">
        <v>0.7</v>
      </c>
      <c r="K549" s="75" t="s">
        <v>513</v>
      </c>
      <c r="L549" s="105" t="s">
        <v>511</v>
      </c>
      <c r="M549" s="75" t="s">
        <v>411</v>
      </c>
      <c r="N549" s="248">
        <v>0.95</v>
      </c>
      <c r="O549" s="248">
        <v>0.15</v>
      </c>
      <c r="P549" s="76"/>
      <c r="Q549" s="248">
        <f t="shared" si="16"/>
        <v>0</v>
      </c>
      <c r="R549" s="250">
        <f t="shared" si="19"/>
        <v>0</v>
      </c>
      <c r="S549" s="248" t="s">
        <v>23</v>
      </c>
      <c r="T549" s="251">
        <f>SUM(R549:R556)%</f>
        <v>0</v>
      </c>
    </row>
    <row r="550" spans="1:20" ht="21.6" hidden="1" x14ac:dyDescent="0.3">
      <c r="A550" s="182">
        <v>2072</v>
      </c>
      <c r="B550" s="42" t="s">
        <v>20</v>
      </c>
      <c r="C550" s="43" t="s">
        <v>267</v>
      </c>
      <c r="D550" s="50">
        <v>6328</v>
      </c>
      <c r="E550" s="42" t="s">
        <v>181</v>
      </c>
      <c r="F550" s="45" t="s">
        <v>174</v>
      </c>
      <c r="G550" s="42" t="s">
        <v>28</v>
      </c>
      <c r="H550" s="45" t="s">
        <v>385</v>
      </c>
      <c r="I550" s="7" t="s">
        <v>22</v>
      </c>
      <c r="J550" s="3">
        <v>0.7</v>
      </c>
      <c r="K550" s="7" t="s">
        <v>124</v>
      </c>
      <c r="L550" s="8" t="s">
        <v>125</v>
      </c>
      <c r="M550" s="7" t="s">
        <v>126</v>
      </c>
      <c r="N550" s="3">
        <v>0.95</v>
      </c>
      <c r="O550" s="3">
        <v>0.15</v>
      </c>
      <c r="P550" s="6"/>
      <c r="Q550" s="3">
        <f t="shared" si="16"/>
        <v>0</v>
      </c>
      <c r="R550" s="4">
        <f t="shared" si="19"/>
        <v>0</v>
      </c>
      <c r="S550" s="3" t="s">
        <v>23</v>
      </c>
      <c r="T550" s="190"/>
    </row>
    <row r="551" spans="1:20" ht="21.6" hidden="1" x14ac:dyDescent="0.3">
      <c r="A551" s="182">
        <v>2073</v>
      </c>
      <c r="B551" s="42" t="s">
        <v>20</v>
      </c>
      <c r="C551" s="43" t="s">
        <v>267</v>
      </c>
      <c r="D551" s="50">
        <v>6328</v>
      </c>
      <c r="E551" s="42" t="s">
        <v>181</v>
      </c>
      <c r="F551" s="45" t="s">
        <v>174</v>
      </c>
      <c r="G551" s="42" t="s">
        <v>28</v>
      </c>
      <c r="H551" s="45" t="s">
        <v>385</v>
      </c>
      <c r="I551" s="7" t="s">
        <v>22</v>
      </c>
      <c r="J551" s="3">
        <v>0.7</v>
      </c>
      <c r="K551" s="7" t="s">
        <v>51</v>
      </c>
      <c r="L551" s="8" t="s">
        <v>127</v>
      </c>
      <c r="M551" s="7" t="s">
        <v>128</v>
      </c>
      <c r="N551" s="6">
        <v>0.05</v>
      </c>
      <c r="O551" s="3">
        <v>0.1</v>
      </c>
      <c r="P551" s="11"/>
      <c r="Q551" s="3">
        <f t="shared" si="16"/>
        <v>0</v>
      </c>
      <c r="R551" s="4">
        <f t="shared" si="19"/>
        <v>0</v>
      </c>
      <c r="S551" s="3" t="s">
        <v>24</v>
      </c>
      <c r="T551" s="190"/>
    </row>
    <row r="552" spans="1:20" ht="21.6" hidden="1" x14ac:dyDescent="0.3">
      <c r="A552" s="182">
        <v>2074</v>
      </c>
      <c r="B552" s="42" t="s">
        <v>20</v>
      </c>
      <c r="C552" s="43" t="s">
        <v>267</v>
      </c>
      <c r="D552" s="50">
        <v>6328</v>
      </c>
      <c r="E552" s="42" t="s">
        <v>181</v>
      </c>
      <c r="F552" s="45" t="s">
        <v>174</v>
      </c>
      <c r="G552" s="42" t="s">
        <v>28</v>
      </c>
      <c r="H552" s="45" t="s">
        <v>385</v>
      </c>
      <c r="I552" s="7" t="s">
        <v>22</v>
      </c>
      <c r="J552" s="3">
        <v>0.7</v>
      </c>
      <c r="K552" s="7" t="s">
        <v>305</v>
      </c>
      <c r="L552" s="8" t="s">
        <v>257</v>
      </c>
      <c r="M552" s="339" t="s">
        <v>306</v>
      </c>
      <c r="N552" s="3">
        <v>0.95</v>
      </c>
      <c r="O552" s="3">
        <v>0.1</v>
      </c>
      <c r="P552" s="3"/>
      <c r="Q552" s="3">
        <f t="shared" si="16"/>
        <v>0</v>
      </c>
      <c r="R552" s="4">
        <f t="shared" si="19"/>
        <v>0</v>
      </c>
      <c r="S552" s="3" t="s">
        <v>23</v>
      </c>
      <c r="T552" s="190"/>
    </row>
    <row r="553" spans="1:20" ht="21.6" hidden="1" x14ac:dyDescent="0.3">
      <c r="A553" s="182">
        <v>2075</v>
      </c>
      <c r="B553" s="42" t="s">
        <v>20</v>
      </c>
      <c r="C553" s="43" t="s">
        <v>267</v>
      </c>
      <c r="D553" s="50">
        <v>6328</v>
      </c>
      <c r="E553" s="42" t="s">
        <v>181</v>
      </c>
      <c r="F553" s="45" t="s">
        <v>174</v>
      </c>
      <c r="G553" s="42" t="s">
        <v>28</v>
      </c>
      <c r="H553" s="45" t="s">
        <v>385</v>
      </c>
      <c r="I553" s="47" t="s">
        <v>22</v>
      </c>
      <c r="J553" s="3">
        <v>0.7</v>
      </c>
      <c r="K553" s="47" t="s">
        <v>129</v>
      </c>
      <c r="L553" s="30" t="s">
        <v>130</v>
      </c>
      <c r="M553" s="47" t="s">
        <v>131</v>
      </c>
      <c r="N553" s="3">
        <v>0.9</v>
      </c>
      <c r="O553" s="10">
        <v>0.2</v>
      </c>
      <c r="P553" s="3"/>
      <c r="Q553" s="3">
        <f t="shared" si="16"/>
        <v>0</v>
      </c>
      <c r="R553" s="48">
        <f t="shared" si="19"/>
        <v>0</v>
      </c>
      <c r="S553" s="10" t="s">
        <v>23</v>
      </c>
      <c r="T553" s="191"/>
    </row>
    <row r="554" spans="1:20" ht="21.6" hidden="1" x14ac:dyDescent="0.3">
      <c r="A554" s="182">
        <v>2076</v>
      </c>
      <c r="B554" s="42" t="s">
        <v>20</v>
      </c>
      <c r="C554" s="43" t="s">
        <v>267</v>
      </c>
      <c r="D554" s="50">
        <v>6328</v>
      </c>
      <c r="E554" s="42" t="s">
        <v>181</v>
      </c>
      <c r="F554" s="45" t="s">
        <v>174</v>
      </c>
      <c r="G554" s="42" t="s">
        <v>28</v>
      </c>
      <c r="H554" s="45" t="s">
        <v>385</v>
      </c>
      <c r="I554" s="47" t="s">
        <v>22</v>
      </c>
      <c r="J554" s="3">
        <v>0.7</v>
      </c>
      <c r="K554" s="47" t="s">
        <v>132</v>
      </c>
      <c r="L554" s="30" t="s">
        <v>133</v>
      </c>
      <c r="M554" s="47" t="s">
        <v>134</v>
      </c>
      <c r="N554" s="4">
        <v>0</v>
      </c>
      <c r="O554" s="10">
        <v>0.1</v>
      </c>
      <c r="P554" s="3"/>
      <c r="Q554" s="3">
        <f t="shared" si="16"/>
        <v>0</v>
      </c>
      <c r="R554" s="48">
        <f t="shared" si="19"/>
        <v>0</v>
      </c>
      <c r="S554" s="10" t="s">
        <v>24</v>
      </c>
      <c r="T554" s="191"/>
    </row>
    <row r="555" spans="1:20" ht="21.6" hidden="1" x14ac:dyDescent="0.3">
      <c r="A555" s="182">
        <v>2077</v>
      </c>
      <c r="B555" s="42" t="s">
        <v>20</v>
      </c>
      <c r="C555" s="43" t="s">
        <v>267</v>
      </c>
      <c r="D555" s="50">
        <v>6328</v>
      </c>
      <c r="E555" s="42" t="s">
        <v>181</v>
      </c>
      <c r="F555" s="45" t="s">
        <v>174</v>
      </c>
      <c r="G555" s="42" t="s">
        <v>28</v>
      </c>
      <c r="H555" s="45" t="s">
        <v>385</v>
      </c>
      <c r="I555" s="47" t="s">
        <v>22</v>
      </c>
      <c r="J555" s="3">
        <v>0.7</v>
      </c>
      <c r="K555" s="47" t="s">
        <v>135</v>
      </c>
      <c r="L555" s="30" t="s">
        <v>136</v>
      </c>
      <c r="M555" s="47" t="s">
        <v>137</v>
      </c>
      <c r="N555" s="3">
        <v>0.9</v>
      </c>
      <c r="O555" s="10">
        <v>0.2</v>
      </c>
      <c r="P555" s="51"/>
      <c r="Q555" s="3">
        <f t="shared" si="16"/>
        <v>0</v>
      </c>
      <c r="R555" s="48">
        <f t="shared" si="19"/>
        <v>0</v>
      </c>
      <c r="S555" s="10" t="s">
        <v>23</v>
      </c>
      <c r="T555" s="191"/>
    </row>
    <row r="556" spans="1:20" ht="22.2" hidden="1" thickBot="1" x14ac:dyDescent="0.35">
      <c r="A556" s="267">
        <v>2078</v>
      </c>
      <c r="B556" s="268" t="s">
        <v>20</v>
      </c>
      <c r="C556" s="269" t="s">
        <v>267</v>
      </c>
      <c r="D556" s="290">
        <v>6328</v>
      </c>
      <c r="E556" s="268" t="s">
        <v>181</v>
      </c>
      <c r="F556" s="271" t="s">
        <v>174</v>
      </c>
      <c r="G556" s="268" t="s">
        <v>28</v>
      </c>
      <c r="H556" s="271" t="s">
        <v>385</v>
      </c>
      <c r="I556" s="272" t="s">
        <v>26</v>
      </c>
      <c r="J556" s="273">
        <v>0.3</v>
      </c>
      <c r="K556" s="272" t="s">
        <v>138</v>
      </c>
      <c r="L556" s="291" t="s">
        <v>139</v>
      </c>
      <c r="M556" s="272" t="s">
        <v>140</v>
      </c>
      <c r="N556" s="273">
        <v>1</v>
      </c>
      <c r="O556" s="276">
        <v>1</v>
      </c>
      <c r="P556" s="273"/>
      <c r="Q556" s="273">
        <f t="shared" si="16"/>
        <v>0</v>
      </c>
      <c r="R556" s="287">
        <f t="shared" si="19"/>
        <v>0</v>
      </c>
      <c r="S556" s="276" t="s">
        <v>23</v>
      </c>
      <c r="T556" s="277"/>
    </row>
    <row r="557" spans="1:20" ht="21.6" hidden="1" x14ac:dyDescent="0.3">
      <c r="A557" s="242">
        <v>2070</v>
      </c>
      <c r="B557" s="243" t="s">
        <v>20</v>
      </c>
      <c r="C557" s="244" t="s">
        <v>267</v>
      </c>
      <c r="D557" s="293">
        <v>6406</v>
      </c>
      <c r="E557" s="243" t="s">
        <v>182</v>
      </c>
      <c r="F557" s="246" t="s">
        <v>123</v>
      </c>
      <c r="G557" s="243" t="s">
        <v>28</v>
      </c>
      <c r="H557" s="246" t="s">
        <v>385</v>
      </c>
      <c r="I557" s="294" t="s">
        <v>22</v>
      </c>
      <c r="J557" s="248">
        <v>0.7</v>
      </c>
      <c r="K557" s="75" t="s">
        <v>513</v>
      </c>
      <c r="L557" s="105" t="s">
        <v>511</v>
      </c>
      <c r="M557" s="75" t="s">
        <v>411</v>
      </c>
      <c r="N557" s="248">
        <v>0.95</v>
      </c>
      <c r="O557" s="248">
        <v>0.15</v>
      </c>
      <c r="P557" s="76"/>
      <c r="Q557" s="248">
        <f t="shared" si="16"/>
        <v>0</v>
      </c>
      <c r="R557" s="250">
        <f t="shared" si="19"/>
        <v>0</v>
      </c>
      <c r="S557" s="248" t="s">
        <v>23</v>
      </c>
      <c r="T557" s="251">
        <f>SUM(R557:R564)%</f>
        <v>0</v>
      </c>
    </row>
    <row r="558" spans="1:20" ht="21.6" hidden="1" x14ac:dyDescent="0.3">
      <c r="A558" s="182">
        <v>2072</v>
      </c>
      <c r="B558" s="42" t="s">
        <v>20</v>
      </c>
      <c r="C558" s="43" t="s">
        <v>267</v>
      </c>
      <c r="D558" s="50">
        <v>6406</v>
      </c>
      <c r="E558" s="42" t="s">
        <v>182</v>
      </c>
      <c r="F558" s="45" t="s">
        <v>123</v>
      </c>
      <c r="G558" s="42" t="s">
        <v>28</v>
      </c>
      <c r="H558" s="45" t="s">
        <v>385</v>
      </c>
      <c r="I558" s="7" t="s">
        <v>22</v>
      </c>
      <c r="J558" s="3">
        <v>0.7</v>
      </c>
      <c r="K558" s="7" t="s">
        <v>124</v>
      </c>
      <c r="L558" s="8" t="s">
        <v>125</v>
      </c>
      <c r="M558" s="7" t="s">
        <v>126</v>
      </c>
      <c r="N558" s="3">
        <v>0.95</v>
      </c>
      <c r="O558" s="3">
        <v>0.15</v>
      </c>
      <c r="P558" s="6"/>
      <c r="Q558" s="3">
        <f t="shared" si="16"/>
        <v>0</v>
      </c>
      <c r="R558" s="4">
        <f t="shared" si="19"/>
        <v>0</v>
      </c>
      <c r="S558" s="3" t="s">
        <v>23</v>
      </c>
      <c r="T558" s="190"/>
    </row>
    <row r="559" spans="1:20" ht="21.6" hidden="1" x14ac:dyDescent="0.3">
      <c r="A559" s="182">
        <v>2073</v>
      </c>
      <c r="B559" s="42" t="s">
        <v>20</v>
      </c>
      <c r="C559" s="43" t="s">
        <v>267</v>
      </c>
      <c r="D559" s="50">
        <v>6406</v>
      </c>
      <c r="E559" s="42" t="s">
        <v>182</v>
      </c>
      <c r="F559" s="45" t="s">
        <v>123</v>
      </c>
      <c r="G559" s="42" t="s">
        <v>28</v>
      </c>
      <c r="H559" s="45" t="s">
        <v>385</v>
      </c>
      <c r="I559" s="7" t="s">
        <v>22</v>
      </c>
      <c r="J559" s="3">
        <v>0.7</v>
      </c>
      <c r="K559" s="7" t="s">
        <v>51</v>
      </c>
      <c r="L559" s="8" t="s">
        <v>127</v>
      </c>
      <c r="M559" s="7" t="s">
        <v>128</v>
      </c>
      <c r="N559" s="6">
        <v>0.05</v>
      </c>
      <c r="O559" s="3">
        <v>0.1</v>
      </c>
      <c r="P559" s="11"/>
      <c r="Q559" s="3">
        <f t="shared" si="16"/>
        <v>0</v>
      </c>
      <c r="R559" s="4">
        <f t="shared" si="19"/>
        <v>0</v>
      </c>
      <c r="S559" s="3" t="s">
        <v>24</v>
      </c>
      <c r="T559" s="190"/>
    </row>
    <row r="560" spans="1:20" ht="21.6" hidden="1" x14ac:dyDescent="0.3">
      <c r="A560" s="182">
        <v>2074</v>
      </c>
      <c r="B560" s="42" t="s">
        <v>20</v>
      </c>
      <c r="C560" s="43" t="s">
        <v>267</v>
      </c>
      <c r="D560" s="50">
        <v>6406</v>
      </c>
      <c r="E560" s="42" t="s">
        <v>182</v>
      </c>
      <c r="F560" s="45" t="s">
        <v>123</v>
      </c>
      <c r="G560" s="42" t="s">
        <v>28</v>
      </c>
      <c r="H560" s="45" t="s">
        <v>385</v>
      </c>
      <c r="I560" s="7" t="s">
        <v>22</v>
      </c>
      <c r="J560" s="3">
        <v>0.7</v>
      </c>
      <c r="K560" s="7" t="s">
        <v>305</v>
      </c>
      <c r="L560" s="8" t="s">
        <v>257</v>
      </c>
      <c r="M560" s="339" t="s">
        <v>306</v>
      </c>
      <c r="N560" s="3">
        <v>0.95</v>
      </c>
      <c r="O560" s="3">
        <v>0.1</v>
      </c>
      <c r="P560" s="3"/>
      <c r="Q560" s="3">
        <f t="shared" si="16"/>
        <v>0</v>
      </c>
      <c r="R560" s="4">
        <f t="shared" si="19"/>
        <v>0</v>
      </c>
      <c r="S560" s="3" t="s">
        <v>23</v>
      </c>
      <c r="T560" s="190"/>
    </row>
    <row r="561" spans="1:20" ht="21.6" hidden="1" x14ac:dyDescent="0.3">
      <c r="A561" s="182">
        <v>2075</v>
      </c>
      <c r="B561" s="42" t="s">
        <v>20</v>
      </c>
      <c r="C561" s="43" t="s">
        <v>267</v>
      </c>
      <c r="D561" s="50">
        <v>6406</v>
      </c>
      <c r="E561" s="42" t="s">
        <v>182</v>
      </c>
      <c r="F561" s="45" t="s">
        <v>123</v>
      </c>
      <c r="G561" s="42" t="s">
        <v>28</v>
      </c>
      <c r="H561" s="45" t="s">
        <v>385</v>
      </c>
      <c r="I561" s="47" t="s">
        <v>22</v>
      </c>
      <c r="J561" s="3">
        <v>0.7</v>
      </c>
      <c r="K561" s="47" t="s">
        <v>129</v>
      </c>
      <c r="L561" s="30" t="s">
        <v>130</v>
      </c>
      <c r="M561" s="47" t="s">
        <v>131</v>
      </c>
      <c r="N561" s="3">
        <v>0.9</v>
      </c>
      <c r="O561" s="10">
        <v>0.2</v>
      </c>
      <c r="P561" s="3"/>
      <c r="Q561" s="3">
        <f t="shared" si="16"/>
        <v>0</v>
      </c>
      <c r="R561" s="48">
        <f t="shared" si="19"/>
        <v>0</v>
      </c>
      <c r="S561" s="10" t="s">
        <v>23</v>
      </c>
      <c r="T561" s="191"/>
    </row>
    <row r="562" spans="1:20" ht="21.6" hidden="1" x14ac:dyDescent="0.3">
      <c r="A562" s="182">
        <v>2076</v>
      </c>
      <c r="B562" s="42" t="s">
        <v>20</v>
      </c>
      <c r="C562" s="43" t="s">
        <v>267</v>
      </c>
      <c r="D562" s="50">
        <v>6406</v>
      </c>
      <c r="E562" s="42" t="s">
        <v>182</v>
      </c>
      <c r="F562" s="45" t="s">
        <v>123</v>
      </c>
      <c r="G562" s="42" t="s">
        <v>28</v>
      </c>
      <c r="H562" s="45" t="s">
        <v>385</v>
      </c>
      <c r="I562" s="47" t="s">
        <v>22</v>
      </c>
      <c r="J562" s="3">
        <v>0.7</v>
      </c>
      <c r="K562" s="47" t="s">
        <v>132</v>
      </c>
      <c r="L562" s="30" t="s">
        <v>133</v>
      </c>
      <c r="M562" s="47" t="s">
        <v>134</v>
      </c>
      <c r="N562" s="4">
        <v>0</v>
      </c>
      <c r="O562" s="10">
        <v>0.1</v>
      </c>
      <c r="P562" s="3"/>
      <c r="Q562" s="3">
        <f t="shared" si="16"/>
        <v>0</v>
      </c>
      <c r="R562" s="48">
        <f t="shared" si="19"/>
        <v>0</v>
      </c>
      <c r="S562" s="10" t="s">
        <v>24</v>
      </c>
      <c r="T562" s="191"/>
    </row>
    <row r="563" spans="1:20" ht="21.6" hidden="1" x14ac:dyDescent="0.3">
      <c r="A563" s="182">
        <v>2077</v>
      </c>
      <c r="B563" s="42" t="s">
        <v>20</v>
      </c>
      <c r="C563" s="43" t="s">
        <v>267</v>
      </c>
      <c r="D563" s="50">
        <v>6406</v>
      </c>
      <c r="E563" s="42" t="s">
        <v>182</v>
      </c>
      <c r="F563" s="45" t="s">
        <v>123</v>
      </c>
      <c r="G563" s="42" t="s">
        <v>28</v>
      </c>
      <c r="H563" s="45" t="s">
        <v>385</v>
      </c>
      <c r="I563" s="47" t="s">
        <v>22</v>
      </c>
      <c r="J563" s="3">
        <v>0.7</v>
      </c>
      <c r="K563" s="47" t="s">
        <v>135</v>
      </c>
      <c r="L563" s="30" t="s">
        <v>136</v>
      </c>
      <c r="M563" s="47" t="s">
        <v>137</v>
      </c>
      <c r="N563" s="3">
        <v>0.9</v>
      </c>
      <c r="O563" s="10">
        <v>0.2</v>
      </c>
      <c r="P563" s="51"/>
      <c r="Q563" s="3">
        <f t="shared" si="16"/>
        <v>0</v>
      </c>
      <c r="R563" s="48">
        <f t="shared" si="19"/>
        <v>0</v>
      </c>
      <c r="S563" s="10" t="s">
        <v>23</v>
      </c>
      <c r="T563" s="191"/>
    </row>
    <row r="564" spans="1:20" ht="22.2" hidden="1" thickBot="1" x14ac:dyDescent="0.35">
      <c r="A564" s="267">
        <v>2078</v>
      </c>
      <c r="B564" s="268" t="s">
        <v>20</v>
      </c>
      <c r="C564" s="269" t="s">
        <v>267</v>
      </c>
      <c r="D564" s="290">
        <v>6406</v>
      </c>
      <c r="E564" s="268" t="s">
        <v>182</v>
      </c>
      <c r="F564" s="271" t="s">
        <v>123</v>
      </c>
      <c r="G564" s="268" t="s">
        <v>28</v>
      </c>
      <c r="H564" s="271" t="s">
        <v>385</v>
      </c>
      <c r="I564" s="272" t="s">
        <v>26</v>
      </c>
      <c r="J564" s="273">
        <v>0.3</v>
      </c>
      <c r="K564" s="272" t="s">
        <v>138</v>
      </c>
      <c r="L564" s="291" t="s">
        <v>139</v>
      </c>
      <c r="M564" s="272" t="s">
        <v>140</v>
      </c>
      <c r="N564" s="273">
        <v>1</v>
      </c>
      <c r="O564" s="276">
        <v>1</v>
      </c>
      <c r="P564" s="273"/>
      <c r="Q564" s="273">
        <f t="shared" si="16"/>
        <v>0</v>
      </c>
      <c r="R564" s="287">
        <f t="shared" si="19"/>
        <v>0</v>
      </c>
      <c r="S564" s="276" t="s">
        <v>23</v>
      </c>
      <c r="T564" s="277"/>
    </row>
    <row r="565" spans="1:20" ht="21.6" hidden="1" x14ac:dyDescent="0.3">
      <c r="A565" s="242">
        <v>2070</v>
      </c>
      <c r="B565" s="243" t="s">
        <v>20</v>
      </c>
      <c r="C565" s="244" t="s">
        <v>267</v>
      </c>
      <c r="D565" s="293">
        <v>6297</v>
      </c>
      <c r="E565" s="243" t="s">
        <v>260</v>
      </c>
      <c r="F565" s="246" t="s">
        <v>123</v>
      </c>
      <c r="G565" s="243" t="s">
        <v>28</v>
      </c>
      <c r="H565" s="246" t="s">
        <v>385</v>
      </c>
      <c r="I565" s="294" t="s">
        <v>22</v>
      </c>
      <c r="J565" s="248">
        <v>0.7</v>
      </c>
      <c r="K565" s="75" t="s">
        <v>513</v>
      </c>
      <c r="L565" s="105" t="s">
        <v>511</v>
      </c>
      <c r="M565" s="75" t="s">
        <v>411</v>
      </c>
      <c r="N565" s="248">
        <v>0.95</v>
      </c>
      <c r="O565" s="248">
        <v>0.15</v>
      </c>
      <c r="P565" s="76"/>
      <c r="Q565" s="248">
        <f t="shared" si="16"/>
        <v>0</v>
      </c>
      <c r="R565" s="250">
        <f t="shared" si="19"/>
        <v>0</v>
      </c>
      <c r="S565" s="248" t="s">
        <v>23</v>
      </c>
      <c r="T565" s="251">
        <f>SUM(R565:R572)%</f>
        <v>0</v>
      </c>
    </row>
    <row r="566" spans="1:20" ht="21.6" hidden="1" x14ac:dyDescent="0.3">
      <c r="A566" s="182">
        <v>2072</v>
      </c>
      <c r="B566" s="42" t="s">
        <v>20</v>
      </c>
      <c r="C566" s="43" t="s">
        <v>267</v>
      </c>
      <c r="D566" s="50">
        <v>6297</v>
      </c>
      <c r="E566" s="42" t="s">
        <v>260</v>
      </c>
      <c r="F566" s="45" t="s">
        <v>123</v>
      </c>
      <c r="G566" s="42" t="s">
        <v>28</v>
      </c>
      <c r="H566" s="45" t="s">
        <v>385</v>
      </c>
      <c r="I566" s="7" t="s">
        <v>22</v>
      </c>
      <c r="J566" s="3">
        <v>0.7</v>
      </c>
      <c r="K566" s="7" t="s">
        <v>124</v>
      </c>
      <c r="L566" s="8" t="s">
        <v>125</v>
      </c>
      <c r="M566" s="7" t="s">
        <v>126</v>
      </c>
      <c r="N566" s="3">
        <v>0.95</v>
      </c>
      <c r="O566" s="3">
        <v>0.15</v>
      </c>
      <c r="P566" s="6"/>
      <c r="Q566" s="3">
        <f t="shared" si="16"/>
        <v>0</v>
      </c>
      <c r="R566" s="4">
        <f t="shared" si="19"/>
        <v>0</v>
      </c>
      <c r="S566" s="3" t="s">
        <v>23</v>
      </c>
      <c r="T566" s="190"/>
    </row>
    <row r="567" spans="1:20" ht="21.6" hidden="1" x14ac:dyDescent="0.3">
      <c r="A567" s="182">
        <v>2073</v>
      </c>
      <c r="B567" s="42" t="s">
        <v>20</v>
      </c>
      <c r="C567" s="43" t="s">
        <v>267</v>
      </c>
      <c r="D567" s="50">
        <v>6297</v>
      </c>
      <c r="E567" s="42" t="s">
        <v>260</v>
      </c>
      <c r="F567" s="45" t="s">
        <v>123</v>
      </c>
      <c r="G567" s="42" t="s">
        <v>28</v>
      </c>
      <c r="H567" s="45" t="s">
        <v>385</v>
      </c>
      <c r="I567" s="7" t="s">
        <v>22</v>
      </c>
      <c r="J567" s="3">
        <v>0.7</v>
      </c>
      <c r="K567" s="7" t="s">
        <v>51</v>
      </c>
      <c r="L567" s="8" t="s">
        <v>127</v>
      </c>
      <c r="M567" s="7" t="s">
        <v>128</v>
      </c>
      <c r="N567" s="6">
        <v>0.05</v>
      </c>
      <c r="O567" s="3">
        <v>0.1</v>
      </c>
      <c r="P567" s="11"/>
      <c r="Q567" s="3">
        <f t="shared" si="16"/>
        <v>0</v>
      </c>
      <c r="R567" s="4">
        <f t="shared" si="19"/>
        <v>0</v>
      </c>
      <c r="S567" s="3" t="s">
        <v>24</v>
      </c>
      <c r="T567" s="190"/>
    </row>
    <row r="568" spans="1:20" ht="21.6" hidden="1" x14ac:dyDescent="0.3">
      <c r="A568" s="182">
        <v>2074</v>
      </c>
      <c r="B568" s="42" t="s">
        <v>20</v>
      </c>
      <c r="C568" s="43" t="s">
        <v>267</v>
      </c>
      <c r="D568" s="50">
        <v>6297</v>
      </c>
      <c r="E568" s="42" t="s">
        <v>260</v>
      </c>
      <c r="F568" s="45" t="s">
        <v>123</v>
      </c>
      <c r="G568" s="42" t="s">
        <v>28</v>
      </c>
      <c r="H568" s="45" t="s">
        <v>385</v>
      </c>
      <c r="I568" s="7" t="s">
        <v>22</v>
      </c>
      <c r="J568" s="3">
        <v>0.7</v>
      </c>
      <c r="K568" s="7" t="s">
        <v>305</v>
      </c>
      <c r="L568" s="8" t="s">
        <v>257</v>
      </c>
      <c r="M568" s="339" t="s">
        <v>306</v>
      </c>
      <c r="N568" s="3">
        <v>0.95</v>
      </c>
      <c r="O568" s="3">
        <v>0.1</v>
      </c>
      <c r="P568" s="3"/>
      <c r="Q568" s="3">
        <f t="shared" si="16"/>
        <v>0</v>
      </c>
      <c r="R568" s="4">
        <f t="shared" si="19"/>
        <v>0</v>
      </c>
      <c r="S568" s="3" t="s">
        <v>23</v>
      </c>
      <c r="T568" s="190"/>
    </row>
    <row r="569" spans="1:20" ht="21.6" hidden="1" x14ac:dyDescent="0.3">
      <c r="A569" s="182">
        <v>2075</v>
      </c>
      <c r="B569" s="42" t="s">
        <v>20</v>
      </c>
      <c r="C569" s="43" t="s">
        <v>267</v>
      </c>
      <c r="D569" s="50">
        <v>6297</v>
      </c>
      <c r="E569" s="42" t="s">
        <v>260</v>
      </c>
      <c r="F569" s="45" t="s">
        <v>123</v>
      </c>
      <c r="G569" s="42" t="s">
        <v>28</v>
      </c>
      <c r="H569" s="45" t="s">
        <v>385</v>
      </c>
      <c r="I569" s="47" t="s">
        <v>22</v>
      </c>
      <c r="J569" s="3">
        <v>0.7</v>
      </c>
      <c r="K569" s="47" t="s">
        <v>129</v>
      </c>
      <c r="L569" s="30" t="s">
        <v>130</v>
      </c>
      <c r="M569" s="47" t="s">
        <v>131</v>
      </c>
      <c r="N569" s="3">
        <v>0.9</v>
      </c>
      <c r="O569" s="10">
        <v>0.2</v>
      </c>
      <c r="P569" s="3"/>
      <c r="Q569" s="3">
        <f t="shared" ref="Q569:Q632" si="20">ROUND(IF(OR(N569="",P569=""),0,IF(AND(N569=0,P569=0),1,IF(S569="+",P569/N569,N569/P569))),2)</f>
        <v>0</v>
      </c>
      <c r="R569" s="48">
        <f t="shared" si="19"/>
        <v>0</v>
      </c>
      <c r="S569" s="10" t="s">
        <v>23</v>
      </c>
      <c r="T569" s="191"/>
    </row>
    <row r="570" spans="1:20" ht="21.6" hidden="1" x14ac:dyDescent="0.3">
      <c r="A570" s="182">
        <v>2076</v>
      </c>
      <c r="B570" s="42" t="s">
        <v>20</v>
      </c>
      <c r="C570" s="43" t="s">
        <v>267</v>
      </c>
      <c r="D570" s="50">
        <v>6297</v>
      </c>
      <c r="E570" s="42" t="s">
        <v>260</v>
      </c>
      <c r="F570" s="45" t="s">
        <v>123</v>
      </c>
      <c r="G570" s="42" t="s">
        <v>28</v>
      </c>
      <c r="H570" s="45" t="s">
        <v>385</v>
      </c>
      <c r="I570" s="47" t="s">
        <v>22</v>
      </c>
      <c r="J570" s="3">
        <v>0.7</v>
      </c>
      <c r="K570" s="47" t="s">
        <v>132</v>
      </c>
      <c r="L570" s="30" t="s">
        <v>133</v>
      </c>
      <c r="M570" s="47" t="s">
        <v>134</v>
      </c>
      <c r="N570" s="4">
        <v>0</v>
      </c>
      <c r="O570" s="10">
        <v>0.1</v>
      </c>
      <c r="P570" s="3"/>
      <c r="Q570" s="3">
        <f t="shared" si="20"/>
        <v>0</v>
      </c>
      <c r="R570" s="48">
        <f t="shared" si="19"/>
        <v>0</v>
      </c>
      <c r="S570" s="10" t="s">
        <v>24</v>
      </c>
      <c r="T570" s="191"/>
    </row>
    <row r="571" spans="1:20" ht="21.6" hidden="1" x14ac:dyDescent="0.3">
      <c r="A571" s="182">
        <v>2077</v>
      </c>
      <c r="B571" s="42" t="s">
        <v>20</v>
      </c>
      <c r="C571" s="43" t="s">
        <v>267</v>
      </c>
      <c r="D571" s="50">
        <v>6297</v>
      </c>
      <c r="E571" s="42" t="s">
        <v>260</v>
      </c>
      <c r="F571" s="45" t="s">
        <v>123</v>
      </c>
      <c r="G571" s="42" t="s">
        <v>28</v>
      </c>
      <c r="H571" s="45" t="s">
        <v>385</v>
      </c>
      <c r="I571" s="47" t="s">
        <v>22</v>
      </c>
      <c r="J571" s="3">
        <v>0.7</v>
      </c>
      <c r="K571" s="47" t="s">
        <v>135</v>
      </c>
      <c r="L571" s="30" t="s">
        <v>136</v>
      </c>
      <c r="M571" s="47" t="s">
        <v>137</v>
      </c>
      <c r="N571" s="3">
        <v>0.9</v>
      </c>
      <c r="O571" s="10">
        <v>0.2</v>
      </c>
      <c r="P571" s="51"/>
      <c r="Q571" s="3">
        <f t="shared" si="20"/>
        <v>0</v>
      </c>
      <c r="R571" s="48">
        <f t="shared" si="19"/>
        <v>0</v>
      </c>
      <c r="S571" s="10" t="s">
        <v>23</v>
      </c>
      <c r="T571" s="191"/>
    </row>
    <row r="572" spans="1:20" ht="22.2" hidden="1" thickBot="1" x14ac:dyDescent="0.35">
      <c r="A572" s="267">
        <v>2078</v>
      </c>
      <c r="B572" s="268" t="s">
        <v>20</v>
      </c>
      <c r="C572" s="269" t="s">
        <v>267</v>
      </c>
      <c r="D572" s="290">
        <v>6297</v>
      </c>
      <c r="E572" s="268" t="s">
        <v>260</v>
      </c>
      <c r="F572" s="271" t="s">
        <v>123</v>
      </c>
      <c r="G572" s="268" t="s">
        <v>28</v>
      </c>
      <c r="H572" s="271" t="s">
        <v>385</v>
      </c>
      <c r="I572" s="272" t="s">
        <v>26</v>
      </c>
      <c r="J572" s="273">
        <v>0.3</v>
      </c>
      <c r="K572" s="272" t="s">
        <v>138</v>
      </c>
      <c r="L572" s="291" t="s">
        <v>139</v>
      </c>
      <c r="M572" s="272" t="s">
        <v>140</v>
      </c>
      <c r="N572" s="273">
        <v>1</v>
      </c>
      <c r="O572" s="276">
        <v>1</v>
      </c>
      <c r="P572" s="273"/>
      <c r="Q572" s="273">
        <f t="shared" si="20"/>
        <v>0</v>
      </c>
      <c r="R572" s="287">
        <f t="shared" si="19"/>
        <v>0</v>
      </c>
      <c r="S572" s="276" t="s">
        <v>23</v>
      </c>
      <c r="T572" s="277"/>
    </row>
    <row r="573" spans="1:20" ht="21.6" hidden="1" x14ac:dyDescent="0.3">
      <c r="A573" s="242">
        <v>2070</v>
      </c>
      <c r="B573" s="243" t="s">
        <v>20</v>
      </c>
      <c r="C573" s="244" t="s">
        <v>267</v>
      </c>
      <c r="D573" s="293">
        <v>6556</v>
      </c>
      <c r="E573" s="243" t="s">
        <v>261</v>
      </c>
      <c r="F573" s="246" t="s">
        <v>263</v>
      </c>
      <c r="G573" s="243" t="s">
        <v>28</v>
      </c>
      <c r="H573" s="246" t="s">
        <v>385</v>
      </c>
      <c r="I573" s="294" t="s">
        <v>22</v>
      </c>
      <c r="J573" s="248">
        <v>1</v>
      </c>
      <c r="K573" s="294" t="s">
        <v>296</v>
      </c>
      <c r="L573" s="316" t="s">
        <v>295</v>
      </c>
      <c r="M573" s="294" t="s">
        <v>297</v>
      </c>
      <c r="N573" s="248">
        <v>0.98</v>
      </c>
      <c r="O573" s="248">
        <v>0.2</v>
      </c>
      <c r="P573" s="248"/>
      <c r="Q573" s="248">
        <f t="shared" si="20"/>
        <v>0</v>
      </c>
      <c r="R573" s="250">
        <f t="shared" si="19"/>
        <v>0</v>
      </c>
      <c r="S573" s="248" t="s">
        <v>23</v>
      </c>
      <c r="T573" s="251">
        <f>SUM(R573:R579)%</f>
        <v>0</v>
      </c>
    </row>
    <row r="574" spans="1:20" ht="21.6" hidden="1" x14ac:dyDescent="0.3">
      <c r="A574" s="182">
        <v>2071</v>
      </c>
      <c r="B574" s="42" t="s">
        <v>20</v>
      </c>
      <c r="C574" s="43" t="s">
        <v>267</v>
      </c>
      <c r="D574" s="50">
        <v>6556</v>
      </c>
      <c r="E574" s="42" t="s">
        <v>261</v>
      </c>
      <c r="F574" s="45" t="s">
        <v>263</v>
      </c>
      <c r="G574" s="42" t="s">
        <v>28</v>
      </c>
      <c r="H574" s="45" t="s">
        <v>385</v>
      </c>
      <c r="I574" s="7" t="s">
        <v>22</v>
      </c>
      <c r="J574" s="3">
        <v>1</v>
      </c>
      <c r="K574" s="7" t="s">
        <v>305</v>
      </c>
      <c r="L574" s="8" t="s">
        <v>257</v>
      </c>
      <c r="M574" s="339" t="s">
        <v>306</v>
      </c>
      <c r="N574" s="3">
        <v>0.95</v>
      </c>
      <c r="O574" s="3">
        <v>0.15</v>
      </c>
      <c r="P574" s="3"/>
      <c r="Q574" s="3">
        <f t="shared" si="20"/>
        <v>0</v>
      </c>
      <c r="R574" s="4">
        <f t="shared" si="19"/>
        <v>0</v>
      </c>
      <c r="S574" s="3" t="s">
        <v>23</v>
      </c>
      <c r="T574" s="190"/>
    </row>
    <row r="575" spans="1:20" ht="21.6" hidden="1" x14ac:dyDescent="0.3">
      <c r="A575" s="182">
        <v>2072</v>
      </c>
      <c r="B575" s="42" t="s">
        <v>20</v>
      </c>
      <c r="C575" s="43" t="s">
        <v>267</v>
      </c>
      <c r="D575" s="50">
        <v>6556</v>
      </c>
      <c r="E575" s="42" t="s">
        <v>261</v>
      </c>
      <c r="F575" s="45" t="s">
        <v>263</v>
      </c>
      <c r="G575" s="42" t="s">
        <v>28</v>
      </c>
      <c r="H575" s="45" t="s">
        <v>385</v>
      </c>
      <c r="I575" s="7" t="s">
        <v>22</v>
      </c>
      <c r="J575" s="3">
        <v>1</v>
      </c>
      <c r="K575" s="7" t="s">
        <v>299</v>
      </c>
      <c r="L575" s="8" t="s">
        <v>298</v>
      </c>
      <c r="M575" s="7" t="s">
        <v>300</v>
      </c>
      <c r="N575" s="3">
        <v>0.95</v>
      </c>
      <c r="O575" s="3">
        <v>0.15</v>
      </c>
      <c r="P575" s="3"/>
      <c r="Q575" s="3">
        <f t="shared" si="20"/>
        <v>0</v>
      </c>
      <c r="R575" s="4">
        <f t="shared" si="19"/>
        <v>0</v>
      </c>
      <c r="S575" s="3" t="s">
        <v>24</v>
      </c>
      <c r="T575" s="190"/>
    </row>
    <row r="576" spans="1:20" ht="21.6" hidden="1" x14ac:dyDescent="0.3">
      <c r="A576" s="182">
        <v>2073</v>
      </c>
      <c r="B576" s="42" t="s">
        <v>20</v>
      </c>
      <c r="C576" s="43" t="s">
        <v>267</v>
      </c>
      <c r="D576" s="50">
        <v>6556</v>
      </c>
      <c r="E576" s="42" t="s">
        <v>261</v>
      </c>
      <c r="F576" s="45" t="s">
        <v>263</v>
      </c>
      <c r="G576" s="42" t="s">
        <v>28</v>
      </c>
      <c r="H576" s="45" t="s">
        <v>385</v>
      </c>
      <c r="I576" s="7" t="s">
        <v>22</v>
      </c>
      <c r="J576" s="3">
        <v>1</v>
      </c>
      <c r="K576" s="7" t="s">
        <v>302</v>
      </c>
      <c r="L576" s="8" t="s">
        <v>301</v>
      </c>
      <c r="M576" s="7" t="s">
        <v>303</v>
      </c>
      <c r="N576" s="3">
        <v>1</v>
      </c>
      <c r="O576" s="3">
        <v>0.15</v>
      </c>
      <c r="P576" s="10"/>
      <c r="Q576" s="3">
        <f t="shared" si="20"/>
        <v>0</v>
      </c>
      <c r="R576" s="4">
        <f t="shared" si="19"/>
        <v>0</v>
      </c>
      <c r="S576" s="3" t="s">
        <v>23</v>
      </c>
      <c r="T576" s="190"/>
    </row>
    <row r="577" spans="1:20" ht="21.6" hidden="1" x14ac:dyDescent="0.3">
      <c r="A577" s="182">
        <v>2075</v>
      </c>
      <c r="B577" s="42" t="s">
        <v>20</v>
      </c>
      <c r="C577" s="43" t="s">
        <v>267</v>
      </c>
      <c r="D577" s="50">
        <v>6556</v>
      </c>
      <c r="E577" s="42" t="s">
        <v>261</v>
      </c>
      <c r="F577" s="45" t="s">
        <v>263</v>
      </c>
      <c r="G577" s="42" t="s">
        <v>28</v>
      </c>
      <c r="H577" s="45" t="s">
        <v>385</v>
      </c>
      <c r="I577" s="47" t="s">
        <v>22</v>
      </c>
      <c r="J577" s="3">
        <v>1</v>
      </c>
      <c r="K577" s="47" t="s">
        <v>129</v>
      </c>
      <c r="L577" s="30" t="s">
        <v>130</v>
      </c>
      <c r="M577" s="47" t="s">
        <v>131</v>
      </c>
      <c r="N577" s="3">
        <v>0.9</v>
      </c>
      <c r="O577" s="10">
        <v>0.1</v>
      </c>
      <c r="P577" s="3"/>
      <c r="Q577" s="3">
        <f t="shared" si="20"/>
        <v>0</v>
      </c>
      <c r="R577" s="48">
        <f t="shared" si="19"/>
        <v>0</v>
      </c>
      <c r="S577" s="10" t="s">
        <v>23</v>
      </c>
      <c r="T577" s="191"/>
    </row>
    <row r="578" spans="1:20" ht="21.6" hidden="1" x14ac:dyDescent="0.3">
      <c r="A578" s="182">
        <v>2076</v>
      </c>
      <c r="B578" s="42" t="s">
        <v>20</v>
      </c>
      <c r="C578" s="43" t="s">
        <v>267</v>
      </c>
      <c r="D578" s="50">
        <v>6556</v>
      </c>
      <c r="E578" s="42" t="s">
        <v>261</v>
      </c>
      <c r="F578" s="45" t="s">
        <v>263</v>
      </c>
      <c r="G578" s="42" t="s">
        <v>28</v>
      </c>
      <c r="H578" s="45" t="s">
        <v>385</v>
      </c>
      <c r="I578" s="47" t="s">
        <v>22</v>
      </c>
      <c r="J578" s="3">
        <v>1</v>
      </c>
      <c r="K578" s="47" t="s">
        <v>132</v>
      </c>
      <c r="L578" s="30" t="s">
        <v>133</v>
      </c>
      <c r="M578" s="47" t="s">
        <v>134</v>
      </c>
      <c r="N578" s="4">
        <v>0</v>
      </c>
      <c r="O578" s="10">
        <v>0.15</v>
      </c>
      <c r="P578" s="3"/>
      <c r="Q578" s="3">
        <f t="shared" si="20"/>
        <v>0</v>
      </c>
      <c r="R578" s="48">
        <f t="shared" si="19"/>
        <v>0</v>
      </c>
      <c r="S578" s="10" t="s">
        <v>24</v>
      </c>
      <c r="T578" s="191"/>
    </row>
    <row r="579" spans="1:20" ht="22.2" hidden="1" thickBot="1" x14ac:dyDescent="0.35">
      <c r="A579" s="288">
        <v>2077</v>
      </c>
      <c r="B579" s="58" t="s">
        <v>20</v>
      </c>
      <c r="C579" s="59" t="s">
        <v>267</v>
      </c>
      <c r="D579" s="60">
        <v>6556</v>
      </c>
      <c r="E579" s="58" t="s">
        <v>261</v>
      </c>
      <c r="F579" s="61" t="s">
        <v>263</v>
      </c>
      <c r="G579" s="58" t="s">
        <v>28</v>
      </c>
      <c r="H579" s="61" t="s">
        <v>385</v>
      </c>
      <c r="I579" s="107" t="s">
        <v>22</v>
      </c>
      <c r="J579" s="62">
        <v>1</v>
      </c>
      <c r="K579" s="107" t="s">
        <v>135</v>
      </c>
      <c r="L579" s="108" t="s">
        <v>136</v>
      </c>
      <c r="M579" s="107" t="s">
        <v>137</v>
      </c>
      <c r="N579" s="62">
        <v>0.9</v>
      </c>
      <c r="O579" s="63">
        <v>0.1</v>
      </c>
      <c r="P579" s="171"/>
      <c r="Q579" s="62">
        <f t="shared" si="20"/>
        <v>0</v>
      </c>
      <c r="R579" s="110">
        <f t="shared" si="19"/>
        <v>0</v>
      </c>
      <c r="S579" s="63" t="s">
        <v>23</v>
      </c>
      <c r="T579" s="289"/>
    </row>
    <row r="580" spans="1:20" ht="21.6" hidden="1" x14ac:dyDescent="0.3">
      <c r="A580" s="242">
        <v>2070</v>
      </c>
      <c r="B580" s="243" t="s">
        <v>20</v>
      </c>
      <c r="C580" s="244" t="s">
        <v>267</v>
      </c>
      <c r="D580" s="293">
        <v>6557</v>
      </c>
      <c r="E580" s="243" t="s">
        <v>262</v>
      </c>
      <c r="F580" s="246" t="s">
        <v>264</v>
      </c>
      <c r="G580" s="243" t="s">
        <v>28</v>
      </c>
      <c r="H580" s="246" t="s">
        <v>385</v>
      </c>
      <c r="I580" s="294" t="s">
        <v>22</v>
      </c>
      <c r="J580" s="248">
        <v>1</v>
      </c>
      <c r="K580" s="294" t="s">
        <v>296</v>
      </c>
      <c r="L580" s="316" t="s">
        <v>295</v>
      </c>
      <c r="M580" s="294" t="s">
        <v>297</v>
      </c>
      <c r="N580" s="248">
        <v>0.98</v>
      </c>
      <c r="O580" s="248">
        <v>0.2</v>
      </c>
      <c r="P580" s="248"/>
      <c r="Q580" s="248">
        <f t="shared" si="20"/>
        <v>0</v>
      </c>
      <c r="R580" s="250">
        <f t="shared" si="19"/>
        <v>0</v>
      </c>
      <c r="S580" s="248" t="s">
        <v>23</v>
      </c>
      <c r="T580" s="251">
        <f>SUM(R580:R586)%</f>
        <v>0</v>
      </c>
    </row>
    <row r="581" spans="1:20" ht="21.6" hidden="1" x14ac:dyDescent="0.3">
      <c r="A581" s="182">
        <v>2071</v>
      </c>
      <c r="B581" s="42" t="s">
        <v>20</v>
      </c>
      <c r="C581" s="43" t="s">
        <v>267</v>
      </c>
      <c r="D581" s="50">
        <v>6557</v>
      </c>
      <c r="E581" s="42" t="s">
        <v>262</v>
      </c>
      <c r="F581" s="45" t="s">
        <v>264</v>
      </c>
      <c r="G581" s="42" t="s">
        <v>28</v>
      </c>
      <c r="H581" s="45" t="s">
        <v>385</v>
      </c>
      <c r="I581" s="7" t="s">
        <v>22</v>
      </c>
      <c r="J581" s="3">
        <v>1</v>
      </c>
      <c r="K581" s="7" t="s">
        <v>305</v>
      </c>
      <c r="L581" s="8" t="s">
        <v>257</v>
      </c>
      <c r="M581" s="339" t="s">
        <v>306</v>
      </c>
      <c r="N581" s="3">
        <v>0.95</v>
      </c>
      <c r="O581" s="3">
        <v>0.15</v>
      </c>
      <c r="P581" s="3"/>
      <c r="Q581" s="3">
        <f t="shared" si="20"/>
        <v>0</v>
      </c>
      <c r="R581" s="4">
        <f t="shared" si="19"/>
        <v>0</v>
      </c>
      <c r="S581" s="3" t="s">
        <v>23</v>
      </c>
      <c r="T581" s="190"/>
    </row>
    <row r="582" spans="1:20" ht="21.6" hidden="1" x14ac:dyDescent="0.3">
      <c r="A582" s="182">
        <v>2072</v>
      </c>
      <c r="B582" s="42" t="s">
        <v>20</v>
      </c>
      <c r="C582" s="43" t="s">
        <v>267</v>
      </c>
      <c r="D582" s="50">
        <v>6557</v>
      </c>
      <c r="E582" s="42" t="s">
        <v>262</v>
      </c>
      <c r="F582" s="45" t="s">
        <v>264</v>
      </c>
      <c r="G582" s="42" t="s">
        <v>28</v>
      </c>
      <c r="H582" s="45" t="s">
        <v>385</v>
      </c>
      <c r="I582" s="7" t="s">
        <v>22</v>
      </c>
      <c r="J582" s="3">
        <v>1</v>
      </c>
      <c r="K582" s="7" t="s">
        <v>299</v>
      </c>
      <c r="L582" s="8" t="s">
        <v>298</v>
      </c>
      <c r="M582" s="7" t="s">
        <v>300</v>
      </c>
      <c r="N582" s="3">
        <v>0.95</v>
      </c>
      <c r="O582" s="3">
        <v>0.15</v>
      </c>
      <c r="P582" s="3"/>
      <c r="Q582" s="3">
        <f t="shared" si="20"/>
        <v>0</v>
      </c>
      <c r="R582" s="4">
        <f t="shared" si="19"/>
        <v>0</v>
      </c>
      <c r="S582" s="3" t="s">
        <v>24</v>
      </c>
      <c r="T582" s="190"/>
    </row>
    <row r="583" spans="1:20" ht="21.6" hidden="1" x14ac:dyDescent="0.3">
      <c r="A583" s="182">
        <v>2073</v>
      </c>
      <c r="B583" s="42" t="s">
        <v>20</v>
      </c>
      <c r="C583" s="43" t="s">
        <v>267</v>
      </c>
      <c r="D583" s="50">
        <v>6557</v>
      </c>
      <c r="E583" s="42" t="s">
        <v>262</v>
      </c>
      <c r="F583" s="45" t="s">
        <v>264</v>
      </c>
      <c r="G583" s="42" t="s">
        <v>28</v>
      </c>
      <c r="H583" s="45" t="s">
        <v>385</v>
      </c>
      <c r="I583" s="7" t="s">
        <v>22</v>
      </c>
      <c r="J583" s="3">
        <v>1</v>
      </c>
      <c r="K583" s="7" t="s">
        <v>302</v>
      </c>
      <c r="L583" s="8" t="s">
        <v>301</v>
      </c>
      <c r="M583" s="7" t="s">
        <v>303</v>
      </c>
      <c r="N583" s="3">
        <v>1</v>
      </c>
      <c r="O583" s="3">
        <v>0.15</v>
      </c>
      <c r="P583" s="10"/>
      <c r="Q583" s="3">
        <f t="shared" si="20"/>
        <v>0</v>
      </c>
      <c r="R583" s="4">
        <f t="shared" si="19"/>
        <v>0</v>
      </c>
      <c r="S583" s="3" t="s">
        <v>23</v>
      </c>
      <c r="T583" s="190"/>
    </row>
    <row r="584" spans="1:20" ht="21.6" hidden="1" x14ac:dyDescent="0.3">
      <c r="A584" s="182">
        <v>2075</v>
      </c>
      <c r="B584" s="42" t="s">
        <v>20</v>
      </c>
      <c r="C584" s="43" t="s">
        <v>267</v>
      </c>
      <c r="D584" s="50">
        <v>6557</v>
      </c>
      <c r="E584" s="42" t="s">
        <v>262</v>
      </c>
      <c r="F584" s="45" t="s">
        <v>264</v>
      </c>
      <c r="G584" s="42" t="s">
        <v>28</v>
      </c>
      <c r="H584" s="45" t="s">
        <v>385</v>
      </c>
      <c r="I584" s="47" t="s">
        <v>22</v>
      </c>
      <c r="J584" s="3">
        <v>1</v>
      </c>
      <c r="K584" s="47" t="s">
        <v>129</v>
      </c>
      <c r="L584" s="30" t="s">
        <v>130</v>
      </c>
      <c r="M584" s="47" t="s">
        <v>131</v>
      </c>
      <c r="N584" s="3">
        <v>0.9</v>
      </c>
      <c r="O584" s="10">
        <v>0.1</v>
      </c>
      <c r="P584" s="3"/>
      <c r="Q584" s="3">
        <f t="shared" si="20"/>
        <v>0</v>
      </c>
      <c r="R584" s="48">
        <f t="shared" si="19"/>
        <v>0</v>
      </c>
      <c r="S584" s="10" t="s">
        <v>23</v>
      </c>
      <c r="T584" s="191"/>
    </row>
    <row r="585" spans="1:20" ht="21.6" hidden="1" x14ac:dyDescent="0.3">
      <c r="A585" s="182">
        <v>2076</v>
      </c>
      <c r="B585" s="42" t="s">
        <v>20</v>
      </c>
      <c r="C585" s="43" t="s">
        <v>267</v>
      </c>
      <c r="D585" s="50">
        <v>6557</v>
      </c>
      <c r="E585" s="42" t="s">
        <v>262</v>
      </c>
      <c r="F585" s="45" t="s">
        <v>264</v>
      </c>
      <c r="G585" s="42" t="s">
        <v>28</v>
      </c>
      <c r="H585" s="45" t="s">
        <v>385</v>
      </c>
      <c r="I585" s="47" t="s">
        <v>22</v>
      </c>
      <c r="J585" s="3">
        <v>1</v>
      </c>
      <c r="K585" s="47" t="s">
        <v>132</v>
      </c>
      <c r="L585" s="30" t="s">
        <v>133</v>
      </c>
      <c r="M585" s="47" t="s">
        <v>134</v>
      </c>
      <c r="N585" s="4">
        <v>0</v>
      </c>
      <c r="O585" s="10">
        <v>0.15</v>
      </c>
      <c r="P585" s="3"/>
      <c r="Q585" s="3">
        <f t="shared" si="20"/>
        <v>0</v>
      </c>
      <c r="R585" s="48">
        <f t="shared" si="19"/>
        <v>0</v>
      </c>
      <c r="S585" s="10" t="s">
        <v>24</v>
      </c>
      <c r="T585" s="191"/>
    </row>
    <row r="586" spans="1:20" ht="22.2" hidden="1" thickBot="1" x14ac:dyDescent="0.35">
      <c r="A586" s="288">
        <v>2077</v>
      </c>
      <c r="B586" s="58" t="s">
        <v>20</v>
      </c>
      <c r="C586" s="59" t="s">
        <v>267</v>
      </c>
      <c r="D586" s="60">
        <v>6557</v>
      </c>
      <c r="E586" s="58" t="s">
        <v>262</v>
      </c>
      <c r="F586" s="61" t="s">
        <v>264</v>
      </c>
      <c r="G586" s="58" t="s">
        <v>28</v>
      </c>
      <c r="H586" s="61" t="s">
        <v>385</v>
      </c>
      <c r="I586" s="107" t="s">
        <v>22</v>
      </c>
      <c r="J586" s="62">
        <v>1</v>
      </c>
      <c r="K586" s="107" t="s">
        <v>135</v>
      </c>
      <c r="L586" s="108" t="s">
        <v>136</v>
      </c>
      <c r="M586" s="107" t="s">
        <v>137</v>
      </c>
      <c r="N586" s="62">
        <v>0.9</v>
      </c>
      <c r="O586" s="63">
        <v>0.1</v>
      </c>
      <c r="P586" s="51"/>
      <c r="Q586" s="62">
        <f t="shared" si="20"/>
        <v>0</v>
      </c>
      <c r="R586" s="110">
        <f t="shared" si="19"/>
        <v>0</v>
      </c>
      <c r="S586" s="63" t="s">
        <v>23</v>
      </c>
      <c r="T586" s="289"/>
    </row>
    <row r="587" spans="1:20" ht="21.6" hidden="1" x14ac:dyDescent="0.3">
      <c r="A587" s="242">
        <v>2070</v>
      </c>
      <c r="B587" s="243" t="s">
        <v>20</v>
      </c>
      <c r="C587" s="244" t="s">
        <v>267</v>
      </c>
      <c r="D587" s="293">
        <v>5439</v>
      </c>
      <c r="E587" s="295" t="s">
        <v>191</v>
      </c>
      <c r="F587" s="296" t="s">
        <v>145</v>
      </c>
      <c r="G587" s="295" t="s">
        <v>30</v>
      </c>
      <c r="H587" s="246" t="s">
        <v>417</v>
      </c>
      <c r="I587" s="294" t="s">
        <v>22</v>
      </c>
      <c r="J587" s="248">
        <v>0.7</v>
      </c>
      <c r="K587" s="75" t="s">
        <v>513</v>
      </c>
      <c r="L587" s="105" t="s">
        <v>511</v>
      </c>
      <c r="M587" s="75" t="s">
        <v>411</v>
      </c>
      <c r="N587" s="248">
        <v>0.95</v>
      </c>
      <c r="O587" s="248">
        <v>0.15</v>
      </c>
      <c r="P587" s="297"/>
      <c r="Q587" s="248">
        <f t="shared" si="20"/>
        <v>0</v>
      </c>
      <c r="R587" s="250">
        <f t="shared" si="19"/>
        <v>0</v>
      </c>
      <c r="S587" s="248" t="s">
        <v>23</v>
      </c>
      <c r="T587" s="251">
        <f>SUM(R587:R594)%</f>
        <v>0</v>
      </c>
    </row>
    <row r="588" spans="1:20" ht="21.6" hidden="1" x14ac:dyDescent="0.3">
      <c r="A588" s="182">
        <v>2072</v>
      </c>
      <c r="B588" s="42" t="s">
        <v>20</v>
      </c>
      <c r="C588" s="43" t="s">
        <v>267</v>
      </c>
      <c r="D588" s="50">
        <v>5439</v>
      </c>
      <c r="E588" s="52" t="s">
        <v>191</v>
      </c>
      <c r="F588" s="53" t="s">
        <v>145</v>
      </c>
      <c r="G588" s="52" t="s">
        <v>30</v>
      </c>
      <c r="H588" s="45" t="s">
        <v>417</v>
      </c>
      <c r="I588" s="7" t="s">
        <v>22</v>
      </c>
      <c r="J588" s="3">
        <v>0.7</v>
      </c>
      <c r="K588" s="7" t="s">
        <v>124</v>
      </c>
      <c r="L588" s="8" t="s">
        <v>125</v>
      </c>
      <c r="M588" s="7" t="s">
        <v>126</v>
      </c>
      <c r="N588" s="3">
        <v>0.95</v>
      </c>
      <c r="O588" s="3">
        <v>0.15</v>
      </c>
      <c r="P588" s="6"/>
      <c r="Q588" s="3">
        <f t="shared" si="20"/>
        <v>0</v>
      </c>
      <c r="R588" s="4">
        <f t="shared" si="19"/>
        <v>0</v>
      </c>
      <c r="S588" s="3" t="s">
        <v>23</v>
      </c>
      <c r="T588" s="190"/>
    </row>
    <row r="589" spans="1:20" ht="21.6" hidden="1" x14ac:dyDescent="0.3">
      <c r="A589" s="182">
        <v>2073</v>
      </c>
      <c r="B589" s="42" t="s">
        <v>20</v>
      </c>
      <c r="C589" s="43" t="s">
        <v>267</v>
      </c>
      <c r="D589" s="50">
        <v>5439</v>
      </c>
      <c r="E589" s="52" t="s">
        <v>191</v>
      </c>
      <c r="F589" s="53" t="s">
        <v>145</v>
      </c>
      <c r="G589" s="52" t="s">
        <v>30</v>
      </c>
      <c r="H589" s="45" t="s">
        <v>417</v>
      </c>
      <c r="I589" s="7" t="s">
        <v>22</v>
      </c>
      <c r="J589" s="3">
        <v>0.7</v>
      </c>
      <c r="K589" s="7" t="s">
        <v>51</v>
      </c>
      <c r="L589" s="8" t="s">
        <v>127</v>
      </c>
      <c r="M589" s="7" t="s">
        <v>128</v>
      </c>
      <c r="N589" s="6">
        <v>0.05</v>
      </c>
      <c r="O589" s="3">
        <v>0.1</v>
      </c>
      <c r="P589" s="11"/>
      <c r="Q589" s="3">
        <f t="shared" si="20"/>
        <v>0</v>
      </c>
      <c r="R589" s="4">
        <f t="shared" si="19"/>
        <v>0</v>
      </c>
      <c r="S589" s="3" t="s">
        <v>24</v>
      </c>
      <c r="T589" s="190"/>
    </row>
    <row r="590" spans="1:20" ht="21.6" hidden="1" x14ac:dyDescent="0.3">
      <c r="A590" s="182">
        <v>2074</v>
      </c>
      <c r="B590" s="42" t="s">
        <v>20</v>
      </c>
      <c r="C590" s="43" t="s">
        <v>267</v>
      </c>
      <c r="D590" s="50">
        <v>5439</v>
      </c>
      <c r="E590" s="52" t="s">
        <v>191</v>
      </c>
      <c r="F590" s="53" t="s">
        <v>145</v>
      </c>
      <c r="G590" s="52" t="s">
        <v>30</v>
      </c>
      <c r="H590" s="45" t="s">
        <v>417</v>
      </c>
      <c r="I590" s="7" t="s">
        <v>22</v>
      </c>
      <c r="J590" s="3">
        <v>0.7</v>
      </c>
      <c r="K590" s="7" t="s">
        <v>305</v>
      </c>
      <c r="L590" s="8" t="s">
        <v>257</v>
      </c>
      <c r="M590" s="339" t="s">
        <v>306</v>
      </c>
      <c r="N590" s="3">
        <v>0.95</v>
      </c>
      <c r="O590" s="3">
        <v>0.1</v>
      </c>
      <c r="P590" s="3"/>
      <c r="Q590" s="3">
        <f t="shared" si="20"/>
        <v>0</v>
      </c>
      <c r="R590" s="4">
        <f t="shared" si="19"/>
        <v>0</v>
      </c>
      <c r="S590" s="3" t="s">
        <v>23</v>
      </c>
      <c r="T590" s="190"/>
    </row>
    <row r="591" spans="1:20" ht="21.6" hidden="1" x14ac:dyDescent="0.3">
      <c r="A591" s="182">
        <v>2075</v>
      </c>
      <c r="B591" s="42" t="s">
        <v>20</v>
      </c>
      <c r="C591" s="43" t="s">
        <v>267</v>
      </c>
      <c r="D591" s="50">
        <v>5439</v>
      </c>
      <c r="E591" s="52" t="s">
        <v>191</v>
      </c>
      <c r="F591" s="53" t="s">
        <v>145</v>
      </c>
      <c r="G591" s="52" t="s">
        <v>30</v>
      </c>
      <c r="H591" s="45" t="s">
        <v>417</v>
      </c>
      <c r="I591" s="47" t="s">
        <v>22</v>
      </c>
      <c r="J591" s="3">
        <v>0.7</v>
      </c>
      <c r="K591" s="47" t="s">
        <v>129</v>
      </c>
      <c r="L591" s="30" t="s">
        <v>130</v>
      </c>
      <c r="M591" s="47" t="s">
        <v>131</v>
      </c>
      <c r="N591" s="3">
        <v>0.9</v>
      </c>
      <c r="O591" s="10">
        <v>0.2</v>
      </c>
      <c r="P591" s="3"/>
      <c r="Q591" s="3">
        <f t="shared" si="20"/>
        <v>0</v>
      </c>
      <c r="R591" s="48">
        <f t="shared" si="19"/>
        <v>0</v>
      </c>
      <c r="S591" s="10" t="s">
        <v>23</v>
      </c>
      <c r="T591" s="191"/>
    </row>
    <row r="592" spans="1:20" ht="21.6" hidden="1" x14ac:dyDescent="0.3">
      <c r="A592" s="182">
        <v>2076</v>
      </c>
      <c r="B592" s="42" t="s">
        <v>20</v>
      </c>
      <c r="C592" s="43" t="s">
        <v>267</v>
      </c>
      <c r="D592" s="50">
        <v>5439</v>
      </c>
      <c r="E592" s="52" t="s">
        <v>191</v>
      </c>
      <c r="F592" s="53" t="s">
        <v>145</v>
      </c>
      <c r="G592" s="52" t="s">
        <v>30</v>
      </c>
      <c r="H592" s="45" t="s">
        <v>417</v>
      </c>
      <c r="I592" s="47" t="s">
        <v>22</v>
      </c>
      <c r="J592" s="3">
        <v>0.7</v>
      </c>
      <c r="K592" s="47" t="s">
        <v>132</v>
      </c>
      <c r="L592" s="30" t="s">
        <v>133</v>
      </c>
      <c r="M592" s="47" t="s">
        <v>134</v>
      </c>
      <c r="N592" s="4">
        <v>0</v>
      </c>
      <c r="O592" s="10">
        <v>0.1</v>
      </c>
      <c r="P592" s="3"/>
      <c r="Q592" s="3">
        <f t="shared" si="20"/>
        <v>0</v>
      </c>
      <c r="R592" s="48">
        <f t="shared" si="19"/>
        <v>0</v>
      </c>
      <c r="S592" s="10" t="s">
        <v>24</v>
      </c>
      <c r="T592" s="191"/>
    </row>
    <row r="593" spans="1:20" ht="21.6" hidden="1" x14ac:dyDescent="0.3">
      <c r="A593" s="182">
        <v>2077</v>
      </c>
      <c r="B593" s="42" t="s">
        <v>20</v>
      </c>
      <c r="C593" s="43" t="s">
        <v>267</v>
      </c>
      <c r="D593" s="50">
        <v>5439</v>
      </c>
      <c r="E593" s="52" t="s">
        <v>191</v>
      </c>
      <c r="F593" s="53" t="s">
        <v>145</v>
      </c>
      <c r="G593" s="52" t="s">
        <v>30</v>
      </c>
      <c r="H593" s="45" t="s">
        <v>417</v>
      </c>
      <c r="I593" s="47" t="s">
        <v>22</v>
      </c>
      <c r="J593" s="3">
        <v>0.7</v>
      </c>
      <c r="K593" s="47" t="s">
        <v>135</v>
      </c>
      <c r="L593" s="30" t="s">
        <v>136</v>
      </c>
      <c r="M593" s="47" t="s">
        <v>137</v>
      </c>
      <c r="N593" s="3">
        <v>0.9</v>
      </c>
      <c r="O593" s="10">
        <v>0.2</v>
      </c>
      <c r="P593" s="51"/>
      <c r="Q593" s="3">
        <f t="shared" si="20"/>
        <v>0</v>
      </c>
      <c r="R593" s="48">
        <f t="shared" si="19"/>
        <v>0</v>
      </c>
      <c r="S593" s="10" t="s">
        <v>23</v>
      </c>
      <c r="T593" s="191"/>
    </row>
    <row r="594" spans="1:20" ht="22.2" hidden="1" thickBot="1" x14ac:dyDescent="0.35">
      <c r="A594" s="267">
        <v>2078</v>
      </c>
      <c r="B594" s="268" t="s">
        <v>20</v>
      </c>
      <c r="C594" s="269" t="s">
        <v>267</v>
      </c>
      <c r="D594" s="290">
        <v>5439</v>
      </c>
      <c r="E594" s="298" t="s">
        <v>191</v>
      </c>
      <c r="F594" s="299" t="s">
        <v>145</v>
      </c>
      <c r="G594" s="298" t="s">
        <v>30</v>
      </c>
      <c r="H594" s="271" t="s">
        <v>417</v>
      </c>
      <c r="I594" s="272" t="s">
        <v>26</v>
      </c>
      <c r="J594" s="273">
        <v>0.3</v>
      </c>
      <c r="K594" s="272" t="s">
        <v>138</v>
      </c>
      <c r="L594" s="291" t="s">
        <v>139</v>
      </c>
      <c r="M594" s="272" t="s">
        <v>140</v>
      </c>
      <c r="N594" s="273">
        <v>1</v>
      </c>
      <c r="O594" s="276">
        <v>1</v>
      </c>
      <c r="P594" s="273"/>
      <c r="Q594" s="273">
        <f t="shared" si="20"/>
        <v>0</v>
      </c>
      <c r="R594" s="287">
        <f t="shared" si="19"/>
        <v>0</v>
      </c>
      <c r="S594" s="276" t="s">
        <v>23</v>
      </c>
      <c r="T594" s="277"/>
    </row>
    <row r="595" spans="1:20" ht="21.6" hidden="1" x14ac:dyDescent="0.3">
      <c r="A595" s="242">
        <v>2070</v>
      </c>
      <c r="B595" s="243" t="s">
        <v>20</v>
      </c>
      <c r="C595" s="244" t="s">
        <v>267</v>
      </c>
      <c r="D595" s="293">
        <v>5161</v>
      </c>
      <c r="E595" s="295" t="s">
        <v>186</v>
      </c>
      <c r="F595" s="296" t="s">
        <v>143</v>
      </c>
      <c r="G595" s="295" t="s">
        <v>30</v>
      </c>
      <c r="H595" s="246" t="s">
        <v>417</v>
      </c>
      <c r="I595" s="294" t="s">
        <v>22</v>
      </c>
      <c r="J595" s="248">
        <v>0.7</v>
      </c>
      <c r="K595" s="75" t="s">
        <v>513</v>
      </c>
      <c r="L595" s="105" t="s">
        <v>511</v>
      </c>
      <c r="M595" s="75" t="s">
        <v>411</v>
      </c>
      <c r="N595" s="248">
        <v>0.95</v>
      </c>
      <c r="O595" s="248">
        <v>0.15</v>
      </c>
      <c r="P595" s="297"/>
      <c r="Q595" s="248">
        <f t="shared" si="20"/>
        <v>0</v>
      </c>
      <c r="R595" s="250">
        <f t="shared" ref="R595:R658" si="21">IF(AND(Q595&gt;=60%,Q595&lt;100%),Q595*((O595*J595)),IF(Q595=100%,((O595*J595)*Q595)*100%,IF(Q595&gt;100%,((J595*O595)*100%)*100%,0)))*100</f>
        <v>0</v>
      </c>
      <c r="S595" s="248" t="s">
        <v>23</v>
      </c>
      <c r="T595" s="251">
        <f>SUM(R595:R602)%</f>
        <v>0</v>
      </c>
    </row>
    <row r="596" spans="1:20" ht="21.6" hidden="1" x14ac:dyDescent="0.3">
      <c r="A596" s="182">
        <v>2072</v>
      </c>
      <c r="B596" s="42" t="s">
        <v>20</v>
      </c>
      <c r="C596" s="43" t="s">
        <v>267</v>
      </c>
      <c r="D596" s="50">
        <v>5161</v>
      </c>
      <c r="E596" s="52" t="s">
        <v>186</v>
      </c>
      <c r="F596" s="53" t="s">
        <v>143</v>
      </c>
      <c r="G596" s="52" t="s">
        <v>30</v>
      </c>
      <c r="H596" s="45" t="s">
        <v>417</v>
      </c>
      <c r="I596" s="7" t="s">
        <v>22</v>
      </c>
      <c r="J596" s="3">
        <v>0.7</v>
      </c>
      <c r="K596" s="7" t="s">
        <v>124</v>
      </c>
      <c r="L596" s="8" t="s">
        <v>125</v>
      </c>
      <c r="M596" s="7" t="s">
        <v>126</v>
      </c>
      <c r="N596" s="3">
        <v>0.95</v>
      </c>
      <c r="O596" s="3">
        <v>0.15</v>
      </c>
      <c r="P596" s="6"/>
      <c r="Q596" s="3">
        <f t="shared" si="20"/>
        <v>0</v>
      </c>
      <c r="R596" s="4">
        <f t="shared" si="21"/>
        <v>0</v>
      </c>
      <c r="S596" s="3" t="s">
        <v>23</v>
      </c>
      <c r="T596" s="190"/>
    </row>
    <row r="597" spans="1:20" ht="21.6" hidden="1" x14ac:dyDescent="0.3">
      <c r="A597" s="182">
        <v>2073</v>
      </c>
      <c r="B597" s="42" t="s">
        <v>20</v>
      </c>
      <c r="C597" s="43" t="s">
        <v>267</v>
      </c>
      <c r="D597" s="50">
        <v>5161</v>
      </c>
      <c r="E597" s="52" t="s">
        <v>186</v>
      </c>
      <c r="F597" s="53" t="s">
        <v>143</v>
      </c>
      <c r="G597" s="52" t="s">
        <v>30</v>
      </c>
      <c r="H597" s="45" t="s">
        <v>417</v>
      </c>
      <c r="I597" s="7" t="s">
        <v>22</v>
      </c>
      <c r="J597" s="3">
        <v>0.7</v>
      </c>
      <c r="K597" s="7" t="s">
        <v>51</v>
      </c>
      <c r="L597" s="8" t="s">
        <v>127</v>
      </c>
      <c r="M597" s="7" t="s">
        <v>128</v>
      </c>
      <c r="N597" s="6">
        <v>0.05</v>
      </c>
      <c r="O597" s="3">
        <v>0.1</v>
      </c>
      <c r="P597" s="11"/>
      <c r="Q597" s="3">
        <f t="shared" si="20"/>
        <v>0</v>
      </c>
      <c r="R597" s="4">
        <f t="shared" si="21"/>
        <v>0</v>
      </c>
      <c r="S597" s="3" t="s">
        <v>24</v>
      </c>
      <c r="T597" s="190"/>
    </row>
    <row r="598" spans="1:20" ht="21.6" hidden="1" x14ac:dyDescent="0.3">
      <c r="A598" s="182">
        <v>2074</v>
      </c>
      <c r="B598" s="42" t="s">
        <v>20</v>
      </c>
      <c r="C598" s="43" t="s">
        <v>267</v>
      </c>
      <c r="D598" s="50">
        <v>5161</v>
      </c>
      <c r="E598" s="52" t="s">
        <v>186</v>
      </c>
      <c r="F598" s="53" t="s">
        <v>143</v>
      </c>
      <c r="G598" s="52" t="s">
        <v>30</v>
      </c>
      <c r="H598" s="45" t="s">
        <v>417</v>
      </c>
      <c r="I598" s="7" t="s">
        <v>22</v>
      </c>
      <c r="J598" s="3">
        <v>0.7</v>
      </c>
      <c r="K598" s="7" t="s">
        <v>305</v>
      </c>
      <c r="L598" s="8" t="s">
        <v>257</v>
      </c>
      <c r="M598" s="339" t="s">
        <v>306</v>
      </c>
      <c r="N598" s="3">
        <v>0.95</v>
      </c>
      <c r="O598" s="3">
        <v>0.1</v>
      </c>
      <c r="P598" s="3"/>
      <c r="Q598" s="3">
        <f t="shared" si="20"/>
        <v>0</v>
      </c>
      <c r="R598" s="4">
        <f t="shared" si="21"/>
        <v>0</v>
      </c>
      <c r="S598" s="3" t="s">
        <v>23</v>
      </c>
      <c r="T598" s="190"/>
    </row>
    <row r="599" spans="1:20" ht="21.6" hidden="1" x14ac:dyDescent="0.3">
      <c r="A599" s="182">
        <v>2075</v>
      </c>
      <c r="B599" s="42" t="s">
        <v>20</v>
      </c>
      <c r="C599" s="43" t="s">
        <v>267</v>
      </c>
      <c r="D599" s="50">
        <v>5161</v>
      </c>
      <c r="E599" s="52" t="s">
        <v>186</v>
      </c>
      <c r="F599" s="53" t="s">
        <v>143</v>
      </c>
      <c r="G599" s="52" t="s">
        <v>30</v>
      </c>
      <c r="H599" s="45" t="s">
        <v>417</v>
      </c>
      <c r="I599" s="47" t="s">
        <v>22</v>
      </c>
      <c r="J599" s="3">
        <v>0.7</v>
      </c>
      <c r="K599" s="47" t="s">
        <v>129</v>
      </c>
      <c r="L599" s="30" t="s">
        <v>130</v>
      </c>
      <c r="M599" s="47" t="s">
        <v>131</v>
      </c>
      <c r="N599" s="3">
        <v>0.9</v>
      </c>
      <c r="O599" s="10">
        <v>0.2</v>
      </c>
      <c r="P599" s="3"/>
      <c r="Q599" s="3">
        <f t="shared" si="20"/>
        <v>0</v>
      </c>
      <c r="R599" s="48">
        <f t="shared" si="21"/>
        <v>0</v>
      </c>
      <c r="S599" s="10" t="s">
        <v>23</v>
      </c>
      <c r="T599" s="191"/>
    </row>
    <row r="600" spans="1:20" ht="21.6" hidden="1" x14ac:dyDescent="0.3">
      <c r="A600" s="182">
        <v>2076</v>
      </c>
      <c r="B600" s="42" t="s">
        <v>20</v>
      </c>
      <c r="C600" s="43" t="s">
        <v>267</v>
      </c>
      <c r="D600" s="50">
        <v>5161</v>
      </c>
      <c r="E600" s="52" t="s">
        <v>186</v>
      </c>
      <c r="F600" s="53" t="s">
        <v>143</v>
      </c>
      <c r="G600" s="52" t="s">
        <v>30</v>
      </c>
      <c r="H600" s="45" t="s">
        <v>417</v>
      </c>
      <c r="I600" s="47" t="s">
        <v>22</v>
      </c>
      <c r="J600" s="3">
        <v>0.7</v>
      </c>
      <c r="K600" s="47" t="s">
        <v>132</v>
      </c>
      <c r="L600" s="30" t="s">
        <v>133</v>
      </c>
      <c r="M600" s="47" t="s">
        <v>134</v>
      </c>
      <c r="N600" s="4">
        <v>0</v>
      </c>
      <c r="O600" s="10">
        <v>0.1</v>
      </c>
      <c r="P600" s="3"/>
      <c r="Q600" s="3">
        <f t="shared" si="20"/>
        <v>0</v>
      </c>
      <c r="R600" s="48">
        <f t="shared" si="21"/>
        <v>0</v>
      </c>
      <c r="S600" s="10" t="s">
        <v>24</v>
      </c>
      <c r="T600" s="191"/>
    </row>
    <row r="601" spans="1:20" ht="21.6" hidden="1" x14ac:dyDescent="0.3">
      <c r="A601" s="182">
        <v>2077</v>
      </c>
      <c r="B601" s="42" t="s">
        <v>20</v>
      </c>
      <c r="C601" s="43" t="s">
        <v>267</v>
      </c>
      <c r="D601" s="50">
        <v>5161</v>
      </c>
      <c r="E601" s="52" t="s">
        <v>186</v>
      </c>
      <c r="F601" s="53" t="s">
        <v>143</v>
      </c>
      <c r="G601" s="52" t="s">
        <v>30</v>
      </c>
      <c r="H601" s="45" t="s">
        <v>417</v>
      </c>
      <c r="I601" s="47" t="s">
        <v>22</v>
      </c>
      <c r="J601" s="3">
        <v>0.7</v>
      </c>
      <c r="K601" s="47" t="s">
        <v>135</v>
      </c>
      <c r="L601" s="30" t="s">
        <v>136</v>
      </c>
      <c r="M601" s="47" t="s">
        <v>137</v>
      </c>
      <c r="N601" s="3">
        <v>0.9</v>
      </c>
      <c r="O601" s="10">
        <v>0.2</v>
      </c>
      <c r="P601" s="51"/>
      <c r="Q601" s="3">
        <f t="shared" si="20"/>
        <v>0</v>
      </c>
      <c r="R601" s="48">
        <f t="shared" si="21"/>
        <v>0</v>
      </c>
      <c r="S601" s="10" t="s">
        <v>23</v>
      </c>
      <c r="T601" s="191"/>
    </row>
    <row r="602" spans="1:20" ht="22.2" hidden="1" thickBot="1" x14ac:dyDescent="0.35">
      <c r="A602" s="267">
        <v>2078</v>
      </c>
      <c r="B602" s="268" t="s">
        <v>20</v>
      </c>
      <c r="C602" s="269" t="s">
        <v>267</v>
      </c>
      <c r="D602" s="290">
        <v>5161</v>
      </c>
      <c r="E602" s="298" t="s">
        <v>186</v>
      </c>
      <c r="F602" s="299" t="s">
        <v>143</v>
      </c>
      <c r="G602" s="298" t="s">
        <v>30</v>
      </c>
      <c r="H602" s="271" t="s">
        <v>417</v>
      </c>
      <c r="I602" s="272" t="s">
        <v>26</v>
      </c>
      <c r="J602" s="273">
        <v>0.3</v>
      </c>
      <c r="K602" s="272" t="s">
        <v>138</v>
      </c>
      <c r="L602" s="291" t="s">
        <v>139</v>
      </c>
      <c r="M602" s="272" t="s">
        <v>140</v>
      </c>
      <c r="N602" s="273">
        <v>1</v>
      </c>
      <c r="O602" s="276">
        <v>1</v>
      </c>
      <c r="P602" s="273"/>
      <c r="Q602" s="273">
        <f t="shared" si="20"/>
        <v>0</v>
      </c>
      <c r="R602" s="287">
        <f t="shared" si="21"/>
        <v>0</v>
      </c>
      <c r="S602" s="276" t="s">
        <v>23</v>
      </c>
      <c r="T602" s="277"/>
    </row>
    <row r="603" spans="1:20" ht="21.6" hidden="1" x14ac:dyDescent="0.3">
      <c r="A603" s="242">
        <v>2070</v>
      </c>
      <c r="B603" s="243" t="s">
        <v>20</v>
      </c>
      <c r="C603" s="244" t="s">
        <v>267</v>
      </c>
      <c r="D603" s="300" t="s">
        <v>184</v>
      </c>
      <c r="E603" s="295" t="s">
        <v>185</v>
      </c>
      <c r="F603" s="296" t="s">
        <v>145</v>
      </c>
      <c r="G603" s="295" t="s">
        <v>30</v>
      </c>
      <c r="H603" s="246" t="s">
        <v>417</v>
      </c>
      <c r="I603" s="294" t="s">
        <v>22</v>
      </c>
      <c r="J603" s="248">
        <v>0.7</v>
      </c>
      <c r="K603" s="75" t="s">
        <v>513</v>
      </c>
      <c r="L603" s="105" t="s">
        <v>511</v>
      </c>
      <c r="M603" s="75" t="s">
        <v>411</v>
      </c>
      <c r="N603" s="248">
        <v>0.95</v>
      </c>
      <c r="O603" s="248">
        <v>0.15</v>
      </c>
      <c r="P603" s="297"/>
      <c r="Q603" s="248">
        <f t="shared" si="20"/>
        <v>0</v>
      </c>
      <c r="R603" s="250">
        <f t="shared" si="21"/>
        <v>0</v>
      </c>
      <c r="S603" s="248" t="s">
        <v>23</v>
      </c>
      <c r="T603" s="251">
        <f>SUM(R603:R610)%</f>
        <v>0</v>
      </c>
    </row>
    <row r="604" spans="1:20" ht="21.6" hidden="1" x14ac:dyDescent="0.3">
      <c r="A604" s="182">
        <v>2072</v>
      </c>
      <c r="B604" s="42" t="s">
        <v>20</v>
      </c>
      <c r="C604" s="43" t="s">
        <v>267</v>
      </c>
      <c r="D604" s="54" t="s">
        <v>184</v>
      </c>
      <c r="E604" s="52" t="s">
        <v>185</v>
      </c>
      <c r="F604" s="53" t="s">
        <v>145</v>
      </c>
      <c r="G604" s="52" t="s">
        <v>30</v>
      </c>
      <c r="H604" s="45" t="s">
        <v>417</v>
      </c>
      <c r="I604" s="7" t="s">
        <v>22</v>
      </c>
      <c r="J604" s="3">
        <v>0.7</v>
      </c>
      <c r="K604" s="7" t="s">
        <v>124</v>
      </c>
      <c r="L604" s="8" t="s">
        <v>125</v>
      </c>
      <c r="M604" s="7" t="s">
        <v>126</v>
      </c>
      <c r="N604" s="3">
        <v>0.95</v>
      </c>
      <c r="O604" s="3">
        <v>0.15</v>
      </c>
      <c r="P604" s="6"/>
      <c r="Q604" s="3">
        <f t="shared" si="20"/>
        <v>0</v>
      </c>
      <c r="R604" s="4">
        <f t="shared" si="21"/>
        <v>0</v>
      </c>
      <c r="S604" s="3" t="s">
        <v>23</v>
      </c>
      <c r="T604" s="190"/>
    </row>
    <row r="605" spans="1:20" ht="21.6" hidden="1" x14ac:dyDescent="0.3">
      <c r="A605" s="182">
        <v>2073</v>
      </c>
      <c r="B605" s="42" t="s">
        <v>20</v>
      </c>
      <c r="C605" s="43" t="s">
        <v>267</v>
      </c>
      <c r="D605" s="54" t="s">
        <v>184</v>
      </c>
      <c r="E605" s="52" t="s">
        <v>185</v>
      </c>
      <c r="F605" s="53" t="s">
        <v>145</v>
      </c>
      <c r="G605" s="52" t="s">
        <v>30</v>
      </c>
      <c r="H605" s="45" t="s">
        <v>417</v>
      </c>
      <c r="I605" s="7" t="s">
        <v>22</v>
      </c>
      <c r="J605" s="3">
        <v>0.7</v>
      </c>
      <c r="K605" s="7" t="s">
        <v>51</v>
      </c>
      <c r="L605" s="8" t="s">
        <v>127</v>
      </c>
      <c r="M605" s="7" t="s">
        <v>128</v>
      </c>
      <c r="N605" s="6">
        <v>0.05</v>
      </c>
      <c r="O605" s="3">
        <v>0.1</v>
      </c>
      <c r="P605" s="11"/>
      <c r="Q605" s="3">
        <f t="shared" si="20"/>
        <v>0</v>
      </c>
      <c r="R605" s="4">
        <f t="shared" si="21"/>
        <v>0</v>
      </c>
      <c r="S605" s="3" t="s">
        <v>24</v>
      </c>
      <c r="T605" s="190"/>
    </row>
    <row r="606" spans="1:20" ht="21.6" hidden="1" x14ac:dyDescent="0.3">
      <c r="A606" s="182">
        <v>2074</v>
      </c>
      <c r="B606" s="42" t="s">
        <v>20</v>
      </c>
      <c r="C606" s="43" t="s">
        <v>267</v>
      </c>
      <c r="D606" s="54" t="s">
        <v>184</v>
      </c>
      <c r="E606" s="52" t="s">
        <v>185</v>
      </c>
      <c r="F606" s="53" t="s">
        <v>145</v>
      </c>
      <c r="G606" s="52" t="s">
        <v>30</v>
      </c>
      <c r="H606" s="45" t="s">
        <v>417</v>
      </c>
      <c r="I606" s="7" t="s">
        <v>22</v>
      </c>
      <c r="J606" s="3">
        <v>0.7</v>
      </c>
      <c r="K606" s="7" t="s">
        <v>305</v>
      </c>
      <c r="L606" s="8" t="s">
        <v>257</v>
      </c>
      <c r="M606" s="339" t="s">
        <v>306</v>
      </c>
      <c r="N606" s="3">
        <v>0.95</v>
      </c>
      <c r="O606" s="3">
        <v>0.1</v>
      </c>
      <c r="P606" s="3"/>
      <c r="Q606" s="3">
        <f t="shared" si="20"/>
        <v>0</v>
      </c>
      <c r="R606" s="4">
        <f t="shared" si="21"/>
        <v>0</v>
      </c>
      <c r="S606" s="3" t="s">
        <v>23</v>
      </c>
      <c r="T606" s="190"/>
    </row>
    <row r="607" spans="1:20" ht="21.6" hidden="1" x14ac:dyDescent="0.3">
      <c r="A607" s="182">
        <v>2075</v>
      </c>
      <c r="B607" s="42" t="s">
        <v>20</v>
      </c>
      <c r="C607" s="43" t="s">
        <v>267</v>
      </c>
      <c r="D607" s="54" t="s">
        <v>184</v>
      </c>
      <c r="E607" s="52" t="s">
        <v>185</v>
      </c>
      <c r="F607" s="53" t="s">
        <v>145</v>
      </c>
      <c r="G607" s="52" t="s">
        <v>30</v>
      </c>
      <c r="H607" s="45" t="s">
        <v>417</v>
      </c>
      <c r="I607" s="47" t="s">
        <v>22</v>
      </c>
      <c r="J607" s="3">
        <v>0.7</v>
      </c>
      <c r="K607" s="47" t="s">
        <v>129</v>
      </c>
      <c r="L607" s="30" t="s">
        <v>130</v>
      </c>
      <c r="M607" s="47" t="s">
        <v>131</v>
      </c>
      <c r="N607" s="3">
        <v>0.9</v>
      </c>
      <c r="O607" s="10">
        <v>0.2</v>
      </c>
      <c r="P607" s="3"/>
      <c r="Q607" s="3">
        <f t="shared" si="20"/>
        <v>0</v>
      </c>
      <c r="R607" s="48">
        <f t="shared" si="21"/>
        <v>0</v>
      </c>
      <c r="S607" s="10" t="s">
        <v>23</v>
      </c>
      <c r="T607" s="191"/>
    </row>
    <row r="608" spans="1:20" ht="21.6" hidden="1" x14ac:dyDescent="0.3">
      <c r="A608" s="182">
        <v>2076</v>
      </c>
      <c r="B608" s="42" t="s">
        <v>20</v>
      </c>
      <c r="C608" s="43" t="s">
        <v>267</v>
      </c>
      <c r="D608" s="54" t="s">
        <v>184</v>
      </c>
      <c r="E608" s="52" t="s">
        <v>185</v>
      </c>
      <c r="F608" s="53" t="s">
        <v>145</v>
      </c>
      <c r="G608" s="52" t="s">
        <v>30</v>
      </c>
      <c r="H608" s="45" t="s">
        <v>417</v>
      </c>
      <c r="I608" s="47" t="s">
        <v>22</v>
      </c>
      <c r="J608" s="3">
        <v>0.7</v>
      </c>
      <c r="K608" s="47" t="s">
        <v>132</v>
      </c>
      <c r="L608" s="30" t="s">
        <v>133</v>
      </c>
      <c r="M608" s="47" t="s">
        <v>134</v>
      </c>
      <c r="N608" s="4">
        <v>0</v>
      </c>
      <c r="O608" s="10">
        <v>0.1</v>
      </c>
      <c r="P608" s="3"/>
      <c r="Q608" s="3">
        <f t="shared" si="20"/>
        <v>0</v>
      </c>
      <c r="R608" s="48">
        <f t="shared" si="21"/>
        <v>0</v>
      </c>
      <c r="S608" s="10" t="s">
        <v>24</v>
      </c>
      <c r="T608" s="191"/>
    </row>
    <row r="609" spans="1:20" ht="21.6" hidden="1" x14ac:dyDescent="0.3">
      <c r="A609" s="182">
        <v>2077</v>
      </c>
      <c r="B609" s="42" t="s">
        <v>20</v>
      </c>
      <c r="C609" s="43" t="s">
        <v>267</v>
      </c>
      <c r="D609" s="54" t="s">
        <v>184</v>
      </c>
      <c r="E609" s="52" t="s">
        <v>185</v>
      </c>
      <c r="F609" s="53" t="s">
        <v>145</v>
      </c>
      <c r="G609" s="52" t="s">
        <v>30</v>
      </c>
      <c r="H609" s="45" t="s">
        <v>417</v>
      </c>
      <c r="I609" s="47" t="s">
        <v>22</v>
      </c>
      <c r="J609" s="3">
        <v>0.7</v>
      </c>
      <c r="K609" s="47" t="s">
        <v>135</v>
      </c>
      <c r="L609" s="30" t="s">
        <v>136</v>
      </c>
      <c r="M609" s="47" t="s">
        <v>137</v>
      </c>
      <c r="N609" s="3">
        <v>0.9</v>
      </c>
      <c r="O609" s="10">
        <v>0.2</v>
      </c>
      <c r="P609" s="51"/>
      <c r="Q609" s="3">
        <f t="shared" si="20"/>
        <v>0</v>
      </c>
      <c r="R609" s="48">
        <f t="shared" si="21"/>
        <v>0</v>
      </c>
      <c r="S609" s="10" t="s">
        <v>23</v>
      </c>
      <c r="T609" s="191"/>
    </row>
    <row r="610" spans="1:20" ht="22.2" hidden="1" thickBot="1" x14ac:dyDescent="0.35">
      <c r="A610" s="267">
        <v>2078</v>
      </c>
      <c r="B610" s="268" t="s">
        <v>20</v>
      </c>
      <c r="C610" s="269" t="s">
        <v>267</v>
      </c>
      <c r="D610" s="301" t="s">
        <v>184</v>
      </c>
      <c r="E610" s="298" t="s">
        <v>185</v>
      </c>
      <c r="F610" s="299" t="s">
        <v>145</v>
      </c>
      <c r="G610" s="298" t="s">
        <v>30</v>
      </c>
      <c r="H610" s="271" t="s">
        <v>417</v>
      </c>
      <c r="I610" s="272" t="s">
        <v>26</v>
      </c>
      <c r="J610" s="273">
        <v>0.3</v>
      </c>
      <c r="K610" s="272" t="s">
        <v>138</v>
      </c>
      <c r="L610" s="291" t="s">
        <v>139</v>
      </c>
      <c r="M610" s="272" t="s">
        <v>140</v>
      </c>
      <c r="N610" s="273">
        <v>1</v>
      </c>
      <c r="O610" s="276">
        <v>1</v>
      </c>
      <c r="P610" s="273"/>
      <c r="Q610" s="273">
        <f t="shared" si="20"/>
        <v>0</v>
      </c>
      <c r="R610" s="287">
        <f t="shared" si="21"/>
        <v>0</v>
      </c>
      <c r="S610" s="276" t="s">
        <v>23</v>
      </c>
      <c r="T610" s="277"/>
    </row>
    <row r="611" spans="1:20" ht="21.6" hidden="1" x14ac:dyDescent="0.3">
      <c r="A611" s="242">
        <v>2070</v>
      </c>
      <c r="B611" s="243" t="s">
        <v>20</v>
      </c>
      <c r="C611" s="244" t="s">
        <v>267</v>
      </c>
      <c r="D611" s="293">
        <v>5426</v>
      </c>
      <c r="E611" s="295" t="s">
        <v>190</v>
      </c>
      <c r="F611" s="296" t="s">
        <v>123</v>
      </c>
      <c r="G611" s="295" t="s">
        <v>30</v>
      </c>
      <c r="H611" s="246" t="s">
        <v>417</v>
      </c>
      <c r="I611" s="294" t="s">
        <v>22</v>
      </c>
      <c r="J611" s="248">
        <v>0.7</v>
      </c>
      <c r="K611" s="75" t="s">
        <v>513</v>
      </c>
      <c r="L611" s="105" t="s">
        <v>511</v>
      </c>
      <c r="M611" s="75" t="s">
        <v>411</v>
      </c>
      <c r="N611" s="248">
        <v>0.95</v>
      </c>
      <c r="O611" s="248">
        <v>0.15</v>
      </c>
      <c r="P611" s="297"/>
      <c r="Q611" s="248">
        <f t="shared" si="20"/>
        <v>0</v>
      </c>
      <c r="R611" s="250">
        <f t="shared" si="21"/>
        <v>0</v>
      </c>
      <c r="S611" s="248" t="s">
        <v>23</v>
      </c>
      <c r="T611" s="251">
        <f>SUM(R611:R618)%</f>
        <v>0</v>
      </c>
    </row>
    <row r="612" spans="1:20" ht="21.6" hidden="1" x14ac:dyDescent="0.3">
      <c r="A612" s="182">
        <v>2071</v>
      </c>
      <c r="B612" s="42" t="s">
        <v>20</v>
      </c>
      <c r="C612" s="43" t="s">
        <v>267</v>
      </c>
      <c r="D612" s="50">
        <v>5426</v>
      </c>
      <c r="E612" s="52" t="s">
        <v>190</v>
      </c>
      <c r="F612" s="53" t="s">
        <v>123</v>
      </c>
      <c r="G612" s="52" t="s">
        <v>30</v>
      </c>
      <c r="H612" s="45" t="s">
        <v>417</v>
      </c>
      <c r="I612" s="7" t="s">
        <v>22</v>
      </c>
      <c r="J612" s="3">
        <v>0.7</v>
      </c>
      <c r="K612" s="7" t="s">
        <v>124</v>
      </c>
      <c r="L612" s="8" t="s">
        <v>125</v>
      </c>
      <c r="M612" s="7" t="s">
        <v>126</v>
      </c>
      <c r="N612" s="3">
        <v>0.95</v>
      </c>
      <c r="O612" s="3">
        <v>0.15</v>
      </c>
      <c r="P612" s="6"/>
      <c r="Q612" s="3">
        <f t="shared" si="20"/>
        <v>0</v>
      </c>
      <c r="R612" s="4">
        <f t="shared" si="21"/>
        <v>0</v>
      </c>
      <c r="S612" s="3" t="s">
        <v>23</v>
      </c>
      <c r="T612" s="190"/>
    </row>
    <row r="613" spans="1:20" ht="21.6" hidden="1" x14ac:dyDescent="0.3">
      <c r="A613" s="182">
        <v>2072</v>
      </c>
      <c r="B613" s="42" t="s">
        <v>20</v>
      </c>
      <c r="C613" s="43" t="s">
        <v>267</v>
      </c>
      <c r="D613" s="50">
        <v>5426</v>
      </c>
      <c r="E613" s="52" t="s">
        <v>190</v>
      </c>
      <c r="F613" s="53" t="s">
        <v>123</v>
      </c>
      <c r="G613" s="52" t="s">
        <v>30</v>
      </c>
      <c r="H613" s="45" t="s">
        <v>417</v>
      </c>
      <c r="I613" s="7" t="s">
        <v>22</v>
      </c>
      <c r="J613" s="3">
        <v>0.7</v>
      </c>
      <c r="K613" s="7" t="s">
        <v>51</v>
      </c>
      <c r="L613" s="8" t="s">
        <v>127</v>
      </c>
      <c r="M613" s="7" t="s">
        <v>128</v>
      </c>
      <c r="N613" s="6">
        <v>0.05</v>
      </c>
      <c r="O613" s="3">
        <v>0.1</v>
      </c>
      <c r="P613" s="11"/>
      <c r="Q613" s="3">
        <f t="shared" si="20"/>
        <v>0</v>
      </c>
      <c r="R613" s="4">
        <f t="shared" si="21"/>
        <v>0</v>
      </c>
      <c r="S613" s="3" t="s">
        <v>24</v>
      </c>
      <c r="T613" s="190"/>
    </row>
    <row r="614" spans="1:20" ht="21.6" hidden="1" x14ac:dyDescent="0.3">
      <c r="A614" s="182">
        <v>2073</v>
      </c>
      <c r="B614" s="42" t="s">
        <v>20</v>
      </c>
      <c r="C614" s="43" t="s">
        <v>267</v>
      </c>
      <c r="D614" s="50">
        <v>5426</v>
      </c>
      <c r="E614" s="52" t="s">
        <v>190</v>
      </c>
      <c r="F614" s="53" t="s">
        <v>123</v>
      </c>
      <c r="G614" s="52" t="s">
        <v>30</v>
      </c>
      <c r="H614" s="45" t="s">
        <v>417</v>
      </c>
      <c r="I614" s="7" t="s">
        <v>22</v>
      </c>
      <c r="J614" s="3">
        <v>0.7</v>
      </c>
      <c r="K614" s="7" t="s">
        <v>305</v>
      </c>
      <c r="L614" s="8" t="s">
        <v>257</v>
      </c>
      <c r="M614" s="339" t="s">
        <v>306</v>
      </c>
      <c r="N614" s="3">
        <v>0.95</v>
      </c>
      <c r="O614" s="3">
        <v>0.1</v>
      </c>
      <c r="P614" s="3"/>
      <c r="Q614" s="3">
        <f t="shared" si="20"/>
        <v>0</v>
      </c>
      <c r="R614" s="4">
        <f t="shared" si="21"/>
        <v>0</v>
      </c>
      <c r="S614" s="3" t="s">
        <v>23</v>
      </c>
      <c r="T614" s="190"/>
    </row>
    <row r="615" spans="1:20" ht="21.6" hidden="1" x14ac:dyDescent="0.3">
      <c r="A615" s="182">
        <v>2074</v>
      </c>
      <c r="B615" s="42" t="s">
        <v>20</v>
      </c>
      <c r="C615" s="43" t="s">
        <v>267</v>
      </c>
      <c r="D615" s="50">
        <v>5426</v>
      </c>
      <c r="E615" s="52" t="s">
        <v>190</v>
      </c>
      <c r="F615" s="53" t="s">
        <v>123</v>
      </c>
      <c r="G615" s="52" t="s">
        <v>30</v>
      </c>
      <c r="H615" s="45" t="s">
        <v>417</v>
      </c>
      <c r="I615" s="47" t="s">
        <v>22</v>
      </c>
      <c r="J615" s="3">
        <v>0.7</v>
      </c>
      <c r="K615" s="47" t="s">
        <v>129</v>
      </c>
      <c r="L615" s="30" t="s">
        <v>130</v>
      </c>
      <c r="M615" s="47" t="s">
        <v>131</v>
      </c>
      <c r="N615" s="3">
        <v>0.9</v>
      </c>
      <c r="O615" s="10">
        <v>0.2</v>
      </c>
      <c r="P615" s="3"/>
      <c r="Q615" s="3">
        <f t="shared" si="20"/>
        <v>0</v>
      </c>
      <c r="R615" s="4">
        <f t="shared" si="21"/>
        <v>0</v>
      </c>
      <c r="S615" s="3" t="s">
        <v>23</v>
      </c>
      <c r="T615" s="190"/>
    </row>
    <row r="616" spans="1:20" ht="21.6" hidden="1" x14ac:dyDescent="0.3">
      <c r="A616" s="182">
        <v>2075</v>
      </c>
      <c r="B616" s="42" t="s">
        <v>20</v>
      </c>
      <c r="C616" s="43" t="s">
        <v>267</v>
      </c>
      <c r="D616" s="50">
        <v>5426</v>
      </c>
      <c r="E616" s="52" t="s">
        <v>190</v>
      </c>
      <c r="F616" s="53" t="s">
        <v>123</v>
      </c>
      <c r="G616" s="52" t="s">
        <v>30</v>
      </c>
      <c r="H616" s="45" t="s">
        <v>417</v>
      </c>
      <c r="I616" s="47" t="s">
        <v>22</v>
      </c>
      <c r="J616" s="3">
        <v>0.7</v>
      </c>
      <c r="K616" s="47" t="s">
        <v>132</v>
      </c>
      <c r="L616" s="30" t="s">
        <v>133</v>
      </c>
      <c r="M616" s="47" t="s">
        <v>134</v>
      </c>
      <c r="N616" s="4">
        <v>0</v>
      </c>
      <c r="O616" s="10">
        <v>0.1</v>
      </c>
      <c r="P616" s="3"/>
      <c r="Q616" s="3">
        <f t="shared" si="20"/>
        <v>0</v>
      </c>
      <c r="R616" s="48">
        <f t="shared" si="21"/>
        <v>0</v>
      </c>
      <c r="S616" s="10" t="s">
        <v>24</v>
      </c>
      <c r="T616" s="191"/>
    </row>
    <row r="617" spans="1:20" ht="21.6" hidden="1" x14ac:dyDescent="0.3">
      <c r="A617" s="182">
        <v>2076</v>
      </c>
      <c r="B617" s="42" t="s">
        <v>20</v>
      </c>
      <c r="C617" s="43" t="s">
        <v>267</v>
      </c>
      <c r="D617" s="50">
        <v>5426</v>
      </c>
      <c r="E617" s="52" t="s">
        <v>190</v>
      </c>
      <c r="F617" s="53" t="s">
        <v>123</v>
      </c>
      <c r="G617" s="52" t="s">
        <v>30</v>
      </c>
      <c r="H617" s="45" t="s">
        <v>417</v>
      </c>
      <c r="I617" s="47" t="s">
        <v>22</v>
      </c>
      <c r="J617" s="3">
        <v>0.7</v>
      </c>
      <c r="K617" s="47" t="s">
        <v>135</v>
      </c>
      <c r="L617" s="30" t="s">
        <v>136</v>
      </c>
      <c r="M617" s="47" t="s">
        <v>137</v>
      </c>
      <c r="N617" s="3">
        <v>0.9</v>
      </c>
      <c r="O617" s="10">
        <v>0.2</v>
      </c>
      <c r="P617" s="51"/>
      <c r="Q617" s="3">
        <f t="shared" si="20"/>
        <v>0</v>
      </c>
      <c r="R617" s="48">
        <f t="shared" si="21"/>
        <v>0</v>
      </c>
      <c r="S617" s="10" t="s">
        <v>23</v>
      </c>
      <c r="T617" s="191"/>
    </row>
    <row r="618" spans="1:20" ht="22.2" hidden="1" thickBot="1" x14ac:dyDescent="0.35">
      <c r="A618" s="267">
        <v>2077</v>
      </c>
      <c r="B618" s="268" t="s">
        <v>20</v>
      </c>
      <c r="C618" s="269" t="s">
        <v>267</v>
      </c>
      <c r="D618" s="290">
        <v>5426</v>
      </c>
      <c r="E618" s="298" t="s">
        <v>190</v>
      </c>
      <c r="F618" s="299" t="s">
        <v>123</v>
      </c>
      <c r="G618" s="298" t="s">
        <v>30</v>
      </c>
      <c r="H618" s="271" t="s">
        <v>417</v>
      </c>
      <c r="I618" s="272" t="s">
        <v>26</v>
      </c>
      <c r="J618" s="273">
        <v>0.3</v>
      </c>
      <c r="K618" s="272" t="s">
        <v>138</v>
      </c>
      <c r="L618" s="291" t="s">
        <v>139</v>
      </c>
      <c r="M618" s="272" t="s">
        <v>140</v>
      </c>
      <c r="N618" s="273">
        <v>1</v>
      </c>
      <c r="O618" s="276">
        <v>1</v>
      </c>
      <c r="P618" s="273"/>
      <c r="Q618" s="273">
        <f t="shared" si="20"/>
        <v>0</v>
      </c>
      <c r="R618" s="287">
        <f t="shared" si="21"/>
        <v>0</v>
      </c>
      <c r="S618" s="276" t="s">
        <v>23</v>
      </c>
      <c r="T618" s="277"/>
    </row>
    <row r="619" spans="1:20" ht="21.6" hidden="1" x14ac:dyDescent="0.3">
      <c r="A619" s="242">
        <v>2070</v>
      </c>
      <c r="B619" s="243" t="s">
        <v>20</v>
      </c>
      <c r="C619" s="244" t="s">
        <v>267</v>
      </c>
      <c r="D619" s="293">
        <v>5911</v>
      </c>
      <c r="E619" s="295" t="s">
        <v>195</v>
      </c>
      <c r="F619" s="296" t="s">
        <v>123</v>
      </c>
      <c r="G619" s="295" t="s">
        <v>30</v>
      </c>
      <c r="H619" s="246" t="s">
        <v>417</v>
      </c>
      <c r="I619" s="294" t="s">
        <v>22</v>
      </c>
      <c r="J619" s="248">
        <v>0.7</v>
      </c>
      <c r="K619" s="75" t="s">
        <v>513</v>
      </c>
      <c r="L619" s="105" t="s">
        <v>511</v>
      </c>
      <c r="M619" s="75" t="s">
        <v>411</v>
      </c>
      <c r="N619" s="248">
        <v>0.95</v>
      </c>
      <c r="O619" s="248">
        <v>0.15</v>
      </c>
      <c r="P619" s="297"/>
      <c r="Q619" s="248">
        <f t="shared" si="20"/>
        <v>0</v>
      </c>
      <c r="R619" s="250">
        <f t="shared" si="21"/>
        <v>0</v>
      </c>
      <c r="S619" s="248" t="s">
        <v>23</v>
      </c>
      <c r="T619" s="251">
        <f>SUM(R619:R626)%</f>
        <v>0</v>
      </c>
    </row>
    <row r="620" spans="1:20" ht="21.6" hidden="1" x14ac:dyDescent="0.3">
      <c r="A620" s="182">
        <v>2072</v>
      </c>
      <c r="B620" s="42" t="s">
        <v>20</v>
      </c>
      <c r="C620" s="43" t="s">
        <v>267</v>
      </c>
      <c r="D620" s="50">
        <v>5913</v>
      </c>
      <c r="E620" s="52" t="s">
        <v>195</v>
      </c>
      <c r="F620" s="53" t="s">
        <v>123</v>
      </c>
      <c r="G620" s="52" t="s">
        <v>30</v>
      </c>
      <c r="H620" s="45" t="s">
        <v>417</v>
      </c>
      <c r="I620" s="7" t="s">
        <v>22</v>
      </c>
      <c r="J620" s="3">
        <v>0.7</v>
      </c>
      <c r="K620" s="7" t="s">
        <v>124</v>
      </c>
      <c r="L620" s="8" t="s">
        <v>125</v>
      </c>
      <c r="M620" s="7" t="s">
        <v>126</v>
      </c>
      <c r="N620" s="3">
        <v>0.95</v>
      </c>
      <c r="O620" s="3">
        <v>0.15</v>
      </c>
      <c r="P620" s="6"/>
      <c r="Q620" s="3">
        <f t="shared" si="20"/>
        <v>0</v>
      </c>
      <c r="R620" s="4">
        <f t="shared" si="21"/>
        <v>0</v>
      </c>
      <c r="S620" s="3" t="s">
        <v>23</v>
      </c>
      <c r="T620" s="190"/>
    </row>
    <row r="621" spans="1:20" ht="21.6" hidden="1" x14ac:dyDescent="0.3">
      <c r="A621" s="182">
        <v>2073</v>
      </c>
      <c r="B621" s="42" t="s">
        <v>20</v>
      </c>
      <c r="C621" s="43" t="s">
        <v>267</v>
      </c>
      <c r="D621" s="50">
        <v>5914</v>
      </c>
      <c r="E621" s="52" t="s">
        <v>195</v>
      </c>
      <c r="F621" s="53" t="s">
        <v>123</v>
      </c>
      <c r="G621" s="52" t="s">
        <v>30</v>
      </c>
      <c r="H621" s="45" t="s">
        <v>417</v>
      </c>
      <c r="I621" s="7" t="s">
        <v>22</v>
      </c>
      <c r="J621" s="3">
        <v>0.7</v>
      </c>
      <c r="K621" s="7" t="s">
        <v>51</v>
      </c>
      <c r="L621" s="8" t="s">
        <v>127</v>
      </c>
      <c r="M621" s="7" t="s">
        <v>128</v>
      </c>
      <c r="N621" s="6">
        <v>0.05</v>
      </c>
      <c r="O621" s="3">
        <v>0.1</v>
      </c>
      <c r="P621" s="11"/>
      <c r="Q621" s="3">
        <f t="shared" si="20"/>
        <v>0</v>
      </c>
      <c r="R621" s="4">
        <f t="shared" si="21"/>
        <v>0</v>
      </c>
      <c r="S621" s="3" t="s">
        <v>24</v>
      </c>
      <c r="T621" s="190"/>
    </row>
    <row r="622" spans="1:20" ht="21.6" hidden="1" x14ac:dyDescent="0.3">
      <c r="A622" s="182">
        <v>2074</v>
      </c>
      <c r="B622" s="42" t="s">
        <v>20</v>
      </c>
      <c r="C622" s="43" t="s">
        <v>267</v>
      </c>
      <c r="D622" s="50">
        <v>5915</v>
      </c>
      <c r="E622" s="52" t="s">
        <v>195</v>
      </c>
      <c r="F622" s="53" t="s">
        <v>123</v>
      </c>
      <c r="G622" s="52" t="s">
        <v>30</v>
      </c>
      <c r="H622" s="45" t="s">
        <v>417</v>
      </c>
      <c r="I622" s="7" t="s">
        <v>22</v>
      </c>
      <c r="J622" s="3">
        <v>0.7</v>
      </c>
      <c r="K622" s="7" t="s">
        <v>305</v>
      </c>
      <c r="L622" s="8" t="s">
        <v>257</v>
      </c>
      <c r="M622" s="339" t="s">
        <v>306</v>
      </c>
      <c r="N622" s="3">
        <v>0.95</v>
      </c>
      <c r="O622" s="3">
        <v>0.1</v>
      </c>
      <c r="P622" s="3"/>
      <c r="Q622" s="3">
        <f t="shared" si="20"/>
        <v>0</v>
      </c>
      <c r="R622" s="4">
        <f t="shared" si="21"/>
        <v>0</v>
      </c>
      <c r="S622" s="3" t="s">
        <v>23</v>
      </c>
      <c r="T622" s="190"/>
    </row>
    <row r="623" spans="1:20" ht="21.6" hidden="1" x14ac:dyDescent="0.3">
      <c r="A623" s="182">
        <v>2075</v>
      </c>
      <c r="B623" s="42" t="s">
        <v>20</v>
      </c>
      <c r="C623" s="43" t="s">
        <v>267</v>
      </c>
      <c r="D623" s="50">
        <v>5916</v>
      </c>
      <c r="E623" s="52" t="s">
        <v>195</v>
      </c>
      <c r="F623" s="53" t="s">
        <v>123</v>
      </c>
      <c r="G623" s="52" t="s">
        <v>30</v>
      </c>
      <c r="H623" s="45" t="s">
        <v>417</v>
      </c>
      <c r="I623" s="47" t="s">
        <v>22</v>
      </c>
      <c r="J623" s="3">
        <v>0.7</v>
      </c>
      <c r="K623" s="47" t="s">
        <v>129</v>
      </c>
      <c r="L623" s="30" t="s">
        <v>130</v>
      </c>
      <c r="M623" s="47" t="s">
        <v>131</v>
      </c>
      <c r="N623" s="3">
        <v>0.9</v>
      </c>
      <c r="O623" s="10">
        <v>0.2</v>
      </c>
      <c r="P623" s="3"/>
      <c r="Q623" s="3">
        <f t="shared" si="20"/>
        <v>0</v>
      </c>
      <c r="R623" s="48">
        <f t="shared" si="21"/>
        <v>0</v>
      </c>
      <c r="S623" s="10" t="s">
        <v>23</v>
      </c>
      <c r="T623" s="191"/>
    </row>
    <row r="624" spans="1:20" ht="21.6" hidden="1" x14ac:dyDescent="0.3">
      <c r="A624" s="182">
        <v>2076</v>
      </c>
      <c r="B624" s="42" t="s">
        <v>20</v>
      </c>
      <c r="C624" s="43" t="s">
        <v>267</v>
      </c>
      <c r="D624" s="50">
        <v>5917</v>
      </c>
      <c r="E624" s="52" t="s">
        <v>195</v>
      </c>
      <c r="F624" s="53" t="s">
        <v>123</v>
      </c>
      <c r="G624" s="52" t="s">
        <v>30</v>
      </c>
      <c r="H624" s="45" t="s">
        <v>417</v>
      </c>
      <c r="I624" s="47" t="s">
        <v>22</v>
      </c>
      <c r="J624" s="3">
        <v>0.7</v>
      </c>
      <c r="K624" s="47" t="s">
        <v>132</v>
      </c>
      <c r="L624" s="30" t="s">
        <v>133</v>
      </c>
      <c r="M624" s="47" t="s">
        <v>134</v>
      </c>
      <c r="N624" s="4">
        <v>0</v>
      </c>
      <c r="O624" s="10">
        <v>0.1</v>
      </c>
      <c r="P624" s="3"/>
      <c r="Q624" s="3">
        <f t="shared" si="20"/>
        <v>0</v>
      </c>
      <c r="R624" s="48">
        <f t="shared" si="21"/>
        <v>0</v>
      </c>
      <c r="S624" s="10" t="s">
        <v>24</v>
      </c>
      <c r="T624" s="191"/>
    </row>
    <row r="625" spans="1:20" ht="21.6" hidden="1" x14ac:dyDescent="0.3">
      <c r="A625" s="182">
        <v>2077</v>
      </c>
      <c r="B625" s="42" t="s">
        <v>20</v>
      </c>
      <c r="C625" s="43" t="s">
        <v>267</v>
      </c>
      <c r="D625" s="50">
        <v>5918</v>
      </c>
      <c r="E625" s="52" t="s">
        <v>195</v>
      </c>
      <c r="F625" s="53" t="s">
        <v>123</v>
      </c>
      <c r="G625" s="52" t="s">
        <v>30</v>
      </c>
      <c r="H625" s="45" t="s">
        <v>417</v>
      </c>
      <c r="I625" s="47" t="s">
        <v>22</v>
      </c>
      <c r="J625" s="3">
        <v>0.7</v>
      </c>
      <c r="K625" s="47" t="s">
        <v>135</v>
      </c>
      <c r="L625" s="30" t="s">
        <v>136</v>
      </c>
      <c r="M625" s="47" t="s">
        <v>137</v>
      </c>
      <c r="N625" s="3">
        <v>0.9</v>
      </c>
      <c r="O625" s="10">
        <v>0.2</v>
      </c>
      <c r="P625" s="51"/>
      <c r="Q625" s="3">
        <f t="shared" si="20"/>
        <v>0</v>
      </c>
      <c r="R625" s="48">
        <f t="shared" si="21"/>
        <v>0</v>
      </c>
      <c r="S625" s="10" t="s">
        <v>23</v>
      </c>
      <c r="T625" s="191"/>
    </row>
    <row r="626" spans="1:20" ht="22.2" hidden="1" thickBot="1" x14ac:dyDescent="0.35">
      <c r="A626" s="267">
        <v>2078</v>
      </c>
      <c r="B626" s="268" t="s">
        <v>20</v>
      </c>
      <c r="C626" s="269" t="s">
        <v>267</v>
      </c>
      <c r="D626" s="290">
        <v>5919</v>
      </c>
      <c r="E626" s="298" t="s">
        <v>195</v>
      </c>
      <c r="F626" s="299" t="s">
        <v>123</v>
      </c>
      <c r="G626" s="298" t="s">
        <v>30</v>
      </c>
      <c r="H626" s="271" t="s">
        <v>417</v>
      </c>
      <c r="I626" s="272" t="s">
        <v>26</v>
      </c>
      <c r="J626" s="273">
        <v>0.3</v>
      </c>
      <c r="K626" s="272" t="s">
        <v>138</v>
      </c>
      <c r="L626" s="291" t="s">
        <v>139</v>
      </c>
      <c r="M626" s="272" t="s">
        <v>140</v>
      </c>
      <c r="N626" s="273">
        <v>1</v>
      </c>
      <c r="O626" s="276">
        <v>1</v>
      </c>
      <c r="P626" s="273"/>
      <c r="Q626" s="273">
        <f t="shared" si="20"/>
        <v>0</v>
      </c>
      <c r="R626" s="287">
        <f t="shared" si="21"/>
        <v>0</v>
      </c>
      <c r="S626" s="276" t="s">
        <v>23</v>
      </c>
      <c r="T626" s="277"/>
    </row>
    <row r="627" spans="1:20" ht="21.6" hidden="1" x14ac:dyDescent="0.3">
      <c r="A627" s="242">
        <v>2070</v>
      </c>
      <c r="B627" s="243" t="s">
        <v>20</v>
      </c>
      <c r="C627" s="244" t="s">
        <v>267</v>
      </c>
      <c r="D627" s="293">
        <v>5312</v>
      </c>
      <c r="E627" s="295" t="s">
        <v>189</v>
      </c>
      <c r="F627" s="296" t="s">
        <v>143</v>
      </c>
      <c r="G627" s="295" t="s">
        <v>30</v>
      </c>
      <c r="H627" s="246" t="s">
        <v>417</v>
      </c>
      <c r="I627" s="294" t="s">
        <v>22</v>
      </c>
      <c r="J627" s="248">
        <v>0.7</v>
      </c>
      <c r="K627" s="75" t="s">
        <v>513</v>
      </c>
      <c r="L627" s="105" t="s">
        <v>511</v>
      </c>
      <c r="M627" s="75" t="s">
        <v>411</v>
      </c>
      <c r="N627" s="248">
        <v>0.95</v>
      </c>
      <c r="O627" s="248">
        <v>0.15</v>
      </c>
      <c r="P627" s="297"/>
      <c r="Q627" s="248">
        <f t="shared" si="20"/>
        <v>0</v>
      </c>
      <c r="R627" s="250">
        <f t="shared" si="21"/>
        <v>0</v>
      </c>
      <c r="S627" s="248" t="s">
        <v>23</v>
      </c>
      <c r="T627" s="251">
        <f>SUM(R627:R634)%</f>
        <v>0</v>
      </c>
    </row>
    <row r="628" spans="1:20" ht="21.6" hidden="1" x14ac:dyDescent="0.3">
      <c r="A628" s="182">
        <v>2072</v>
      </c>
      <c r="B628" s="42" t="s">
        <v>20</v>
      </c>
      <c r="C628" s="43" t="s">
        <v>267</v>
      </c>
      <c r="D628" s="50">
        <v>5312</v>
      </c>
      <c r="E628" s="52" t="s">
        <v>189</v>
      </c>
      <c r="F628" s="53" t="s">
        <v>143</v>
      </c>
      <c r="G628" s="52" t="s">
        <v>30</v>
      </c>
      <c r="H628" s="45" t="s">
        <v>417</v>
      </c>
      <c r="I628" s="7" t="s">
        <v>22</v>
      </c>
      <c r="J628" s="3">
        <v>0.7</v>
      </c>
      <c r="K628" s="7" t="s">
        <v>124</v>
      </c>
      <c r="L628" s="8" t="s">
        <v>125</v>
      </c>
      <c r="M628" s="7" t="s">
        <v>126</v>
      </c>
      <c r="N628" s="3">
        <v>0.95</v>
      </c>
      <c r="O628" s="3">
        <v>0.15</v>
      </c>
      <c r="P628" s="6"/>
      <c r="Q628" s="3">
        <f t="shared" si="20"/>
        <v>0</v>
      </c>
      <c r="R628" s="4">
        <f t="shared" si="21"/>
        <v>0</v>
      </c>
      <c r="S628" s="3" t="s">
        <v>23</v>
      </c>
      <c r="T628" s="190"/>
    </row>
    <row r="629" spans="1:20" ht="21.6" hidden="1" x14ac:dyDescent="0.3">
      <c r="A629" s="182">
        <v>2073</v>
      </c>
      <c r="B629" s="42" t="s">
        <v>20</v>
      </c>
      <c r="C629" s="43" t="s">
        <v>267</v>
      </c>
      <c r="D629" s="50">
        <v>5312</v>
      </c>
      <c r="E629" s="52" t="s">
        <v>189</v>
      </c>
      <c r="F629" s="53" t="s">
        <v>143</v>
      </c>
      <c r="G629" s="52" t="s">
        <v>30</v>
      </c>
      <c r="H629" s="45" t="s">
        <v>417</v>
      </c>
      <c r="I629" s="7" t="s">
        <v>22</v>
      </c>
      <c r="J629" s="3">
        <v>0.7</v>
      </c>
      <c r="K629" s="7" t="s">
        <v>51</v>
      </c>
      <c r="L629" s="8" t="s">
        <v>127</v>
      </c>
      <c r="M629" s="7" t="s">
        <v>128</v>
      </c>
      <c r="N629" s="6">
        <v>0.05</v>
      </c>
      <c r="O629" s="3">
        <v>0.1</v>
      </c>
      <c r="P629" s="11"/>
      <c r="Q629" s="3">
        <f t="shared" si="20"/>
        <v>0</v>
      </c>
      <c r="R629" s="4">
        <f t="shared" si="21"/>
        <v>0</v>
      </c>
      <c r="S629" s="3" t="s">
        <v>24</v>
      </c>
      <c r="T629" s="190"/>
    </row>
    <row r="630" spans="1:20" ht="21.6" hidden="1" x14ac:dyDescent="0.3">
      <c r="A630" s="182">
        <v>2074</v>
      </c>
      <c r="B630" s="42" t="s">
        <v>20</v>
      </c>
      <c r="C630" s="43" t="s">
        <v>267</v>
      </c>
      <c r="D630" s="50">
        <v>5312</v>
      </c>
      <c r="E630" s="52" t="s">
        <v>189</v>
      </c>
      <c r="F630" s="53" t="s">
        <v>143</v>
      </c>
      <c r="G630" s="52" t="s">
        <v>30</v>
      </c>
      <c r="H630" s="45" t="s">
        <v>417</v>
      </c>
      <c r="I630" s="7" t="s">
        <v>22</v>
      </c>
      <c r="J630" s="3">
        <v>0.7</v>
      </c>
      <c r="K630" s="7" t="s">
        <v>305</v>
      </c>
      <c r="L630" s="8" t="s">
        <v>257</v>
      </c>
      <c r="M630" s="339" t="s">
        <v>306</v>
      </c>
      <c r="N630" s="3">
        <v>0.95</v>
      </c>
      <c r="O630" s="3">
        <v>0.1</v>
      </c>
      <c r="P630" s="3"/>
      <c r="Q630" s="3">
        <f t="shared" si="20"/>
        <v>0</v>
      </c>
      <c r="R630" s="4">
        <f t="shared" si="21"/>
        <v>0</v>
      </c>
      <c r="S630" s="3" t="s">
        <v>23</v>
      </c>
      <c r="T630" s="190"/>
    </row>
    <row r="631" spans="1:20" ht="21.6" hidden="1" x14ac:dyDescent="0.3">
      <c r="A631" s="182">
        <v>2075</v>
      </c>
      <c r="B631" s="42" t="s">
        <v>20</v>
      </c>
      <c r="C631" s="43" t="s">
        <v>267</v>
      </c>
      <c r="D631" s="50">
        <v>5312</v>
      </c>
      <c r="E631" s="52" t="s">
        <v>189</v>
      </c>
      <c r="F631" s="53" t="s">
        <v>143</v>
      </c>
      <c r="G631" s="52" t="s">
        <v>30</v>
      </c>
      <c r="H631" s="45" t="s">
        <v>417</v>
      </c>
      <c r="I631" s="47" t="s">
        <v>22</v>
      </c>
      <c r="J631" s="3">
        <v>0.7</v>
      </c>
      <c r="K631" s="47" t="s">
        <v>129</v>
      </c>
      <c r="L631" s="30" t="s">
        <v>130</v>
      </c>
      <c r="M631" s="47" t="s">
        <v>131</v>
      </c>
      <c r="N631" s="3">
        <v>0.9</v>
      </c>
      <c r="O631" s="10">
        <v>0.2</v>
      </c>
      <c r="P631" s="3"/>
      <c r="Q631" s="3">
        <f t="shared" si="20"/>
        <v>0</v>
      </c>
      <c r="R631" s="48">
        <f t="shared" si="21"/>
        <v>0</v>
      </c>
      <c r="S631" s="10" t="s">
        <v>23</v>
      </c>
      <c r="T631" s="191"/>
    </row>
    <row r="632" spans="1:20" ht="21.6" hidden="1" x14ac:dyDescent="0.3">
      <c r="A632" s="182">
        <v>2076</v>
      </c>
      <c r="B632" s="42" t="s">
        <v>20</v>
      </c>
      <c r="C632" s="43" t="s">
        <v>267</v>
      </c>
      <c r="D632" s="50">
        <v>5312</v>
      </c>
      <c r="E632" s="52" t="s">
        <v>189</v>
      </c>
      <c r="F632" s="53" t="s">
        <v>143</v>
      </c>
      <c r="G632" s="52" t="s">
        <v>30</v>
      </c>
      <c r="H632" s="45" t="s">
        <v>417</v>
      </c>
      <c r="I632" s="47" t="s">
        <v>22</v>
      </c>
      <c r="J632" s="3">
        <v>0.7</v>
      </c>
      <c r="K632" s="47" t="s">
        <v>132</v>
      </c>
      <c r="L632" s="30" t="s">
        <v>133</v>
      </c>
      <c r="M632" s="47" t="s">
        <v>134</v>
      </c>
      <c r="N632" s="4">
        <v>0</v>
      </c>
      <c r="O632" s="10">
        <v>0.1</v>
      </c>
      <c r="P632" s="3"/>
      <c r="Q632" s="3">
        <f t="shared" si="20"/>
        <v>0</v>
      </c>
      <c r="R632" s="48">
        <f t="shared" si="21"/>
        <v>0</v>
      </c>
      <c r="S632" s="10" t="s">
        <v>24</v>
      </c>
      <c r="T632" s="191"/>
    </row>
    <row r="633" spans="1:20" ht="21.6" hidden="1" x14ac:dyDescent="0.3">
      <c r="A633" s="182">
        <v>2077</v>
      </c>
      <c r="B633" s="42" t="s">
        <v>20</v>
      </c>
      <c r="C633" s="43" t="s">
        <v>267</v>
      </c>
      <c r="D633" s="50">
        <v>5312</v>
      </c>
      <c r="E633" s="52" t="s">
        <v>189</v>
      </c>
      <c r="F633" s="53" t="s">
        <v>143</v>
      </c>
      <c r="G633" s="52" t="s">
        <v>30</v>
      </c>
      <c r="H633" s="45" t="s">
        <v>417</v>
      </c>
      <c r="I633" s="47" t="s">
        <v>22</v>
      </c>
      <c r="J633" s="3">
        <v>0.7</v>
      </c>
      <c r="K633" s="47" t="s">
        <v>135</v>
      </c>
      <c r="L633" s="30" t="s">
        <v>136</v>
      </c>
      <c r="M633" s="47" t="s">
        <v>137</v>
      </c>
      <c r="N633" s="3">
        <v>0.9</v>
      </c>
      <c r="O633" s="10">
        <v>0.2</v>
      </c>
      <c r="P633" s="51"/>
      <c r="Q633" s="3">
        <f t="shared" ref="Q633:Q696" si="22">ROUND(IF(OR(N633="",P633=""),0,IF(AND(N633=0,P633=0),1,IF(S633="+",P633/N633,N633/P633))),2)</f>
        <v>0</v>
      </c>
      <c r="R633" s="48">
        <f t="shared" si="21"/>
        <v>0</v>
      </c>
      <c r="S633" s="10" t="s">
        <v>23</v>
      </c>
      <c r="T633" s="191"/>
    </row>
    <row r="634" spans="1:20" ht="22.2" hidden="1" thickBot="1" x14ac:dyDescent="0.35">
      <c r="A634" s="267">
        <v>2078</v>
      </c>
      <c r="B634" s="268" t="s">
        <v>20</v>
      </c>
      <c r="C634" s="269" t="s">
        <v>267</v>
      </c>
      <c r="D634" s="290">
        <v>5312</v>
      </c>
      <c r="E634" s="298" t="s">
        <v>189</v>
      </c>
      <c r="F634" s="299" t="s">
        <v>143</v>
      </c>
      <c r="G634" s="298" t="s">
        <v>30</v>
      </c>
      <c r="H634" s="271" t="s">
        <v>417</v>
      </c>
      <c r="I634" s="272" t="s">
        <v>26</v>
      </c>
      <c r="J634" s="273">
        <v>0.3</v>
      </c>
      <c r="K634" s="272" t="s">
        <v>138</v>
      </c>
      <c r="L634" s="291" t="s">
        <v>139</v>
      </c>
      <c r="M634" s="272" t="s">
        <v>140</v>
      </c>
      <c r="N634" s="273">
        <v>1</v>
      </c>
      <c r="O634" s="276">
        <v>1</v>
      </c>
      <c r="P634" s="273"/>
      <c r="Q634" s="273">
        <f t="shared" si="22"/>
        <v>0</v>
      </c>
      <c r="R634" s="287">
        <f t="shared" si="21"/>
        <v>0</v>
      </c>
      <c r="S634" s="276" t="s">
        <v>23</v>
      </c>
      <c r="T634" s="277"/>
    </row>
    <row r="635" spans="1:20" ht="21.6" hidden="1" x14ac:dyDescent="0.3">
      <c r="A635" s="242">
        <v>2070</v>
      </c>
      <c r="B635" s="243" t="s">
        <v>20</v>
      </c>
      <c r="C635" s="244" t="s">
        <v>267</v>
      </c>
      <c r="D635" s="293">
        <v>5334</v>
      </c>
      <c r="E635" s="295" t="s">
        <v>189</v>
      </c>
      <c r="F635" s="296" t="s">
        <v>143</v>
      </c>
      <c r="G635" s="295" t="s">
        <v>30</v>
      </c>
      <c r="H635" s="246" t="s">
        <v>417</v>
      </c>
      <c r="I635" s="294" t="s">
        <v>22</v>
      </c>
      <c r="J635" s="248">
        <v>0.7</v>
      </c>
      <c r="K635" s="75" t="s">
        <v>513</v>
      </c>
      <c r="L635" s="105" t="s">
        <v>511</v>
      </c>
      <c r="M635" s="75" t="s">
        <v>411</v>
      </c>
      <c r="N635" s="248">
        <v>0.95</v>
      </c>
      <c r="O635" s="248">
        <v>0.15</v>
      </c>
      <c r="P635" s="297"/>
      <c r="Q635" s="248">
        <f t="shared" si="22"/>
        <v>0</v>
      </c>
      <c r="R635" s="250">
        <f t="shared" si="21"/>
        <v>0</v>
      </c>
      <c r="S635" s="248" t="s">
        <v>23</v>
      </c>
      <c r="T635" s="251">
        <f>SUM(R635:R642)%</f>
        <v>0</v>
      </c>
    </row>
    <row r="636" spans="1:20" ht="21.6" hidden="1" x14ac:dyDescent="0.3">
      <c r="A636" s="182">
        <v>2072</v>
      </c>
      <c r="B636" s="42" t="s">
        <v>20</v>
      </c>
      <c r="C636" s="43" t="s">
        <v>267</v>
      </c>
      <c r="D636" s="50">
        <v>5334</v>
      </c>
      <c r="E636" s="52" t="s">
        <v>189</v>
      </c>
      <c r="F636" s="53" t="s">
        <v>143</v>
      </c>
      <c r="G636" s="52" t="s">
        <v>30</v>
      </c>
      <c r="H636" s="45" t="s">
        <v>417</v>
      </c>
      <c r="I636" s="7" t="s">
        <v>22</v>
      </c>
      <c r="J636" s="3">
        <v>0.7</v>
      </c>
      <c r="K636" s="7" t="s">
        <v>124</v>
      </c>
      <c r="L636" s="8" t="s">
        <v>125</v>
      </c>
      <c r="M636" s="7" t="s">
        <v>126</v>
      </c>
      <c r="N636" s="3">
        <v>0.95</v>
      </c>
      <c r="O636" s="3">
        <v>0.15</v>
      </c>
      <c r="P636" s="6"/>
      <c r="Q636" s="3">
        <f t="shared" si="22"/>
        <v>0</v>
      </c>
      <c r="R636" s="4">
        <f t="shared" si="21"/>
        <v>0</v>
      </c>
      <c r="S636" s="3" t="s">
        <v>23</v>
      </c>
      <c r="T636" s="190"/>
    </row>
    <row r="637" spans="1:20" ht="21.6" hidden="1" x14ac:dyDescent="0.3">
      <c r="A637" s="182">
        <v>2073</v>
      </c>
      <c r="B637" s="42" t="s">
        <v>20</v>
      </c>
      <c r="C637" s="43" t="s">
        <v>267</v>
      </c>
      <c r="D637" s="50">
        <v>5334</v>
      </c>
      <c r="E637" s="52" t="s">
        <v>189</v>
      </c>
      <c r="F637" s="53" t="s">
        <v>143</v>
      </c>
      <c r="G637" s="52" t="s">
        <v>30</v>
      </c>
      <c r="H637" s="45" t="s">
        <v>417</v>
      </c>
      <c r="I637" s="7" t="s">
        <v>22</v>
      </c>
      <c r="J637" s="3">
        <v>0.7</v>
      </c>
      <c r="K637" s="7" t="s">
        <v>51</v>
      </c>
      <c r="L637" s="8" t="s">
        <v>127</v>
      </c>
      <c r="M637" s="7" t="s">
        <v>128</v>
      </c>
      <c r="N637" s="6">
        <v>0.05</v>
      </c>
      <c r="O637" s="3">
        <v>0.1</v>
      </c>
      <c r="P637" s="11"/>
      <c r="Q637" s="3">
        <f t="shared" si="22"/>
        <v>0</v>
      </c>
      <c r="R637" s="4">
        <f t="shared" si="21"/>
        <v>0</v>
      </c>
      <c r="S637" s="3" t="s">
        <v>24</v>
      </c>
      <c r="T637" s="190"/>
    </row>
    <row r="638" spans="1:20" ht="21.6" hidden="1" x14ac:dyDescent="0.3">
      <c r="A638" s="182">
        <v>2074</v>
      </c>
      <c r="B638" s="42" t="s">
        <v>20</v>
      </c>
      <c r="C638" s="43" t="s">
        <v>267</v>
      </c>
      <c r="D638" s="50">
        <v>5334</v>
      </c>
      <c r="E638" s="52" t="s">
        <v>189</v>
      </c>
      <c r="F638" s="53" t="s">
        <v>143</v>
      </c>
      <c r="G638" s="52" t="s">
        <v>30</v>
      </c>
      <c r="H638" s="45" t="s">
        <v>417</v>
      </c>
      <c r="I638" s="7" t="s">
        <v>22</v>
      </c>
      <c r="J638" s="3">
        <v>0.7</v>
      </c>
      <c r="K638" s="7" t="s">
        <v>305</v>
      </c>
      <c r="L638" s="8" t="s">
        <v>257</v>
      </c>
      <c r="M638" s="339" t="s">
        <v>306</v>
      </c>
      <c r="N638" s="3">
        <v>0.95</v>
      </c>
      <c r="O638" s="3">
        <v>0.1</v>
      </c>
      <c r="P638" s="3"/>
      <c r="Q638" s="3">
        <f t="shared" si="22"/>
        <v>0</v>
      </c>
      <c r="R638" s="4">
        <f t="shared" si="21"/>
        <v>0</v>
      </c>
      <c r="S638" s="3" t="s">
        <v>23</v>
      </c>
      <c r="T638" s="190"/>
    </row>
    <row r="639" spans="1:20" ht="21.6" hidden="1" x14ac:dyDescent="0.3">
      <c r="A639" s="182">
        <v>2075</v>
      </c>
      <c r="B639" s="42" t="s">
        <v>20</v>
      </c>
      <c r="C639" s="43" t="s">
        <v>267</v>
      </c>
      <c r="D639" s="50">
        <v>5334</v>
      </c>
      <c r="E639" s="52" t="s">
        <v>189</v>
      </c>
      <c r="F639" s="53" t="s">
        <v>143</v>
      </c>
      <c r="G639" s="52" t="s">
        <v>30</v>
      </c>
      <c r="H639" s="45" t="s">
        <v>417</v>
      </c>
      <c r="I639" s="47" t="s">
        <v>22</v>
      </c>
      <c r="J639" s="3">
        <v>0.7</v>
      </c>
      <c r="K639" s="47" t="s">
        <v>129</v>
      </c>
      <c r="L639" s="30" t="s">
        <v>130</v>
      </c>
      <c r="M639" s="47" t="s">
        <v>131</v>
      </c>
      <c r="N639" s="3">
        <v>0.9</v>
      </c>
      <c r="O639" s="10">
        <v>0.2</v>
      </c>
      <c r="P639" s="3"/>
      <c r="Q639" s="3">
        <f t="shared" si="22"/>
        <v>0</v>
      </c>
      <c r="R639" s="48">
        <f t="shared" si="21"/>
        <v>0</v>
      </c>
      <c r="S639" s="10" t="s">
        <v>23</v>
      </c>
      <c r="T639" s="191"/>
    </row>
    <row r="640" spans="1:20" ht="21.6" hidden="1" x14ac:dyDescent="0.3">
      <c r="A640" s="182">
        <v>2076</v>
      </c>
      <c r="B640" s="42" t="s">
        <v>20</v>
      </c>
      <c r="C640" s="43" t="s">
        <v>267</v>
      </c>
      <c r="D640" s="50">
        <v>5334</v>
      </c>
      <c r="E640" s="52" t="s">
        <v>189</v>
      </c>
      <c r="F640" s="53" t="s">
        <v>143</v>
      </c>
      <c r="G640" s="52" t="s">
        <v>30</v>
      </c>
      <c r="H640" s="45" t="s">
        <v>417</v>
      </c>
      <c r="I640" s="47" t="s">
        <v>22</v>
      </c>
      <c r="J640" s="3">
        <v>0.7</v>
      </c>
      <c r="K640" s="47" t="s">
        <v>132</v>
      </c>
      <c r="L640" s="30" t="s">
        <v>133</v>
      </c>
      <c r="M640" s="47" t="s">
        <v>134</v>
      </c>
      <c r="N640" s="4">
        <v>0</v>
      </c>
      <c r="O640" s="10">
        <v>0.1</v>
      </c>
      <c r="P640" s="3"/>
      <c r="Q640" s="3">
        <f t="shared" si="22"/>
        <v>0</v>
      </c>
      <c r="R640" s="48">
        <f t="shared" si="21"/>
        <v>0</v>
      </c>
      <c r="S640" s="10" t="s">
        <v>24</v>
      </c>
      <c r="T640" s="191"/>
    </row>
    <row r="641" spans="1:20" ht="21.6" hidden="1" x14ac:dyDescent="0.3">
      <c r="A641" s="182">
        <v>2077</v>
      </c>
      <c r="B641" s="42" t="s">
        <v>20</v>
      </c>
      <c r="C641" s="43" t="s">
        <v>267</v>
      </c>
      <c r="D641" s="50">
        <v>5334</v>
      </c>
      <c r="E641" s="52" t="s">
        <v>189</v>
      </c>
      <c r="F641" s="53" t="s">
        <v>143</v>
      </c>
      <c r="G641" s="52" t="s">
        <v>30</v>
      </c>
      <c r="H641" s="45" t="s">
        <v>417</v>
      </c>
      <c r="I641" s="47" t="s">
        <v>22</v>
      </c>
      <c r="J641" s="3">
        <v>0.7</v>
      </c>
      <c r="K641" s="47" t="s">
        <v>135</v>
      </c>
      <c r="L641" s="30" t="s">
        <v>136</v>
      </c>
      <c r="M641" s="47" t="s">
        <v>137</v>
      </c>
      <c r="N641" s="3">
        <v>0.9</v>
      </c>
      <c r="O641" s="10">
        <v>0.2</v>
      </c>
      <c r="P641" s="51"/>
      <c r="Q641" s="3">
        <f t="shared" si="22"/>
        <v>0</v>
      </c>
      <c r="R641" s="48">
        <f t="shared" si="21"/>
        <v>0</v>
      </c>
      <c r="S641" s="10" t="s">
        <v>23</v>
      </c>
      <c r="T641" s="191"/>
    </row>
    <row r="642" spans="1:20" ht="22.2" hidden="1" thickBot="1" x14ac:dyDescent="0.35">
      <c r="A642" s="267">
        <v>2078</v>
      </c>
      <c r="B642" s="268" t="s">
        <v>20</v>
      </c>
      <c r="C642" s="269" t="s">
        <v>267</v>
      </c>
      <c r="D642" s="290">
        <v>5334</v>
      </c>
      <c r="E642" s="298" t="s">
        <v>189</v>
      </c>
      <c r="F642" s="299" t="s">
        <v>143</v>
      </c>
      <c r="G642" s="298" t="s">
        <v>30</v>
      </c>
      <c r="H642" s="271" t="s">
        <v>417</v>
      </c>
      <c r="I642" s="272" t="s">
        <v>26</v>
      </c>
      <c r="J642" s="273">
        <v>0.3</v>
      </c>
      <c r="K642" s="272" t="s">
        <v>138</v>
      </c>
      <c r="L642" s="291" t="s">
        <v>139</v>
      </c>
      <c r="M642" s="272" t="s">
        <v>140</v>
      </c>
      <c r="N642" s="273">
        <v>1</v>
      </c>
      <c r="O642" s="276">
        <v>1</v>
      </c>
      <c r="P642" s="273"/>
      <c r="Q642" s="273">
        <f t="shared" si="22"/>
        <v>0</v>
      </c>
      <c r="R642" s="287">
        <f t="shared" si="21"/>
        <v>0</v>
      </c>
      <c r="S642" s="276" t="s">
        <v>23</v>
      </c>
      <c r="T642" s="277"/>
    </row>
    <row r="643" spans="1:20" ht="21.6" hidden="1" x14ac:dyDescent="0.3">
      <c r="A643" s="242">
        <v>2070</v>
      </c>
      <c r="B643" s="243" t="s">
        <v>20</v>
      </c>
      <c r="C643" s="244" t="s">
        <v>267</v>
      </c>
      <c r="D643" s="293">
        <v>5557</v>
      </c>
      <c r="E643" s="295" t="s">
        <v>194</v>
      </c>
      <c r="F643" s="296" t="s">
        <v>123</v>
      </c>
      <c r="G643" s="295" t="s">
        <v>30</v>
      </c>
      <c r="H643" s="246" t="s">
        <v>417</v>
      </c>
      <c r="I643" s="294" t="s">
        <v>22</v>
      </c>
      <c r="J643" s="248">
        <v>0.7</v>
      </c>
      <c r="K643" s="75" t="s">
        <v>513</v>
      </c>
      <c r="L643" s="105" t="s">
        <v>511</v>
      </c>
      <c r="M643" s="75" t="s">
        <v>411</v>
      </c>
      <c r="N643" s="248">
        <v>0.95</v>
      </c>
      <c r="O643" s="248">
        <v>0.15</v>
      </c>
      <c r="P643" s="297"/>
      <c r="Q643" s="248">
        <f t="shared" si="22"/>
        <v>0</v>
      </c>
      <c r="R643" s="250">
        <f t="shared" si="21"/>
        <v>0</v>
      </c>
      <c r="S643" s="248" t="s">
        <v>23</v>
      </c>
      <c r="T643" s="251">
        <f>SUM(R643:R650)%</f>
        <v>0</v>
      </c>
    </row>
    <row r="644" spans="1:20" ht="21.6" hidden="1" x14ac:dyDescent="0.3">
      <c r="A644" s="182">
        <v>2072</v>
      </c>
      <c r="B644" s="42" t="s">
        <v>20</v>
      </c>
      <c r="C644" s="43" t="s">
        <v>267</v>
      </c>
      <c r="D644" s="50">
        <v>5557</v>
      </c>
      <c r="E644" s="52" t="s">
        <v>194</v>
      </c>
      <c r="F644" s="53" t="s">
        <v>123</v>
      </c>
      <c r="G644" s="52" t="s">
        <v>30</v>
      </c>
      <c r="H644" s="45" t="s">
        <v>417</v>
      </c>
      <c r="I644" s="7" t="s">
        <v>22</v>
      </c>
      <c r="J644" s="3">
        <v>0.7</v>
      </c>
      <c r="K644" s="7" t="s">
        <v>124</v>
      </c>
      <c r="L644" s="8" t="s">
        <v>125</v>
      </c>
      <c r="M644" s="7" t="s">
        <v>126</v>
      </c>
      <c r="N644" s="3">
        <v>0.95</v>
      </c>
      <c r="O644" s="3">
        <v>0.15</v>
      </c>
      <c r="P644" s="6"/>
      <c r="Q644" s="3">
        <f t="shared" si="22"/>
        <v>0</v>
      </c>
      <c r="R644" s="4">
        <f t="shared" si="21"/>
        <v>0</v>
      </c>
      <c r="S644" s="3" t="s">
        <v>23</v>
      </c>
      <c r="T644" s="190"/>
    </row>
    <row r="645" spans="1:20" ht="21.6" hidden="1" x14ac:dyDescent="0.3">
      <c r="A645" s="182">
        <v>2073</v>
      </c>
      <c r="B645" s="42" t="s">
        <v>20</v>
      </c>
      <c r="C645" s="43" t="s">
        <v>267</v>
      </c>
      <c r="D645" s="50">
        <v>5557</v>
      </c>
      <c r="E645" s="52" t="s">
        <v>194</v>
      </c>
      <c r="F645" s="53" t="s">
        <v>123</v>
      </c>
      <c r="G645" s="52" t="s">
        <v>30</v>
      </c>
      <c r="H645" s="45" t="s">
        <v>417</v>
      </c>
      <c r="I645" s="7" t="s">
        <v>22</v>
      </c>
      <c r="J645" s="3">
        <v>0.7</v>
      </c>
      <c r="K645" s="7" t="s">
        <v>51</v>
      </c>
      <c r="L645" s="8" t="s">
        <v>127</v>
      </c>
      <c r="M645" s="7" t="s">
        <v>128</v>
      </c>
      <c r="N645" s="6">
        <v>0.05</v>
      </c>
      <c r="O645" s="3">
        <v>0.1</v>
      </c>
      <c r="P645" s="11"/>
      <c r="Q645" s="3">
        <f t="shared" si="22"/>
        <v>0</v>
      </c>
      <c r="R645" s="4">
        <f t="shared" si="21"/>
        <v>0</v>
      </c>
      <c r="S645" s="3" t="s">
        <v>24</v>
      </c>
      <c r="T645" s="190"/>
    </row>
    <row r="646" spans="1:20" ht="21.6" hidden="1" x14ac:dyDescent="0.3">
      <c r="A646" s="182">
        <v>2074</v>
      </c>
      <c r="B646" s="42" t="s">
        <v>20</v>
      </c>
      <c r="C646" s="43" t="s">
        <v>267</v>
      </c>
      <c r="D646" s="50">
        <v>5557</v>
      </c>
      <c r="E646" s="52" t="s">
        <v>194</v>
      </c>
      <c r="F646" s="53" t="s">
        <v>123</v>
      </c>
      <c r="G646" s="52" t="s">
        <v>30</v>
      </c>
      <c r="H646" s="45" t="s">
        <v>417</v>
      </c>
      <c r="I646" s="7" t="s">
        <v>22</v>
      </c>
      <c r="J646" s="3">
        <v>0.7</v>
      </c>
      <c r="K646" s="7" t="s">
        <v>305</v>
      </c>
      <c r="L646" s="8" t="s">
        <v>257</v>
      </c>
      <c r="M646" s="339" t="s">
        <v>306</v>
      </c>
      <c r="N646" s="3">
        <v>0.95</v>
      </c>
      <c r="O646" s="3">
        <v>0.1</v>
      </c>
      <c r="P646" s="3"/>
      <c r="Q646" s="3">
        <f t="shared" si="22"/>
        <v>0</v>
      </c>
      <c r="R646" s="4">
        <f t="shared" si="21"/>
        <v>0</v>
      </c>
      <c r="S646" s="3" t="s">
        <v>23</v>
      </c>
      <c r="T646" s="190"/>
    </row>
    <row r="647" spans="1:20" ht="21.6" hidden="1" x14ac:dyDescent="0.3">
      <c r="A647" s="182">
        <v>2075</v>
      </c>
      <c r="B647" s="42" t="s">
        <v>20</v>
      </c>
      <c r="C647" s="43" t="s">
        <v>267</v>
      </c>
      <c r="D647" s="50">
        <v>5557</v>
      </c>
      <c r="E647" s="52" t="s">
        <v>194</v>
      </c>
      <c r="F647" s="53" t="s">
        <v>123</v>
      </c>
      <c r="G647" s="52" t="s">
        <v>30</v>
      </c>
      <c r="H647" s="45" t="s">
        <v>417</v>
      </c>
      <c r="I647" s="47" t="s">
        <v>22</v>
      </c>
      <c r="J647" s="3">
        <v>0.7</v>
      </c>
      <c r="K647" s="47" t="s">
        <v>129</v>
      </c>
      <c r="L647" s="30" t="s">
        <v>130</v>
      </c>
      <c r="M647" s="47" t="s">
        <v>131</v>
      </c>
      <c r="N647" s="3">
        <v>0.9</v>
      </c>
      <c r="O647" s="10">
        <v>0.2</v>
      </c>
      <c r="P647" s="3"/>
      <c r="Q647" s="3">
        <f t="shared" si="22"/>
        <v>0</v>
      </c>
      <c r="R647" s="48">
        <f t="shared" si="21"/>
        <v>0</v>
      </c>
      <c r="S647" s="10" t="s">
        <v>23</v>
      </c>
      <c r="T647" s="191"/>
    </row>
    <row r="648" spans="1:20" ht="21.6" hidden="1" x14ac:dyDescent="0.3">
      <c r="A648" s="182">
        <v>2076</v>
      </c>
      <c r="B648" s="42" t="s">
        <v>20</v>
      </c>
      <c r="C648" s="43" t="s">
        <v>267</v>
      </c>
      <c r="D648" s="50">
        <v>5557</v>
      </c>
      <c r="E648" s="52" t="s">
        <v>194</v>
      </c>
      <c r="F648" s="53" t="s">
        <v>123</v>
      </c>
      <c r="G648" s="52" t="s">
        <v>30</v>
      </c>
      <c r="H648" s="45" t="s">
        <v>417</v>
      </c>
      <c r="I648" s="47" t="s">
        <v>22</v>
      </c>
      <c r="J648" s="3">
        <v>0.7</v>
      </c>
      <c r="K648" s="47" t="s">
        <v>132</v>
      </c>
      <c r="L648" s="30" t="s">
        <v>133</v>
      </c>
      <c r="M648" s="47" t="s">
        <v>134</v>
      </c>
      <c r="N648" s="4">
        <v>0</v>
      </c>
      <c r="O648" s="10">
        <v>0.1</v>
      </c>
      <c r="P648" s="3"/>
      <c r="Q648" s="3">
        <f t="shared" si="22"/>
        <v>0</v>
      </c>
      <c r="R648" s="48">
        <f t="shared" si="21"/>
        <v>0</v>
      </c>
      <c r="S648" s="10" t="s">
        <v>24</v>
      </c>
      <c r="T648" s="191"/>
    </row>
    <row r="649" spans="1:20" ht="21.6" hidden="1" x14ac:dyDescent="0.3">
      <c r="A649" s="182">
        <v>2077</v>
      </c>
      <c r="B649" s="42" t="s">
        <v>20</v>
      </c>
      <c r="C649" s="43" t="s">
        <v>267</v>
      </c>
      <c r="D649" s="50">
        <v>5557</v>
      </c>
      <c r="E649" s="52" t="s">
        <v>194</v>
      </c>
      <c r="F649" s="53" t="s">
        <v>123</v>
      </c>
      <c r="G649" s="52" t="s">
        <v>30</v>
      </c>
      <c r="H649" s="45" t="s">
        <v>417</v>
      </c>
      <c r="I649" s="47" t="s">
        <v>22</v>
      </c>
      <c r="J649" s="3">
        <v>0.7</v>
      </c>
      <c r="K649" s="47" t="s">
        <v>135</v>
      </c>
      <c r="L649" s="30" t="s">
        <v>136</v>
      </c>
      <c r="M649" s="47" t="s">
        <v>137</v>
      </c>
      <c r="N649" s="3">
        <v>0.9</v>
      </c>
      <c r="O649" s="10">
        <v>0.2</v>
      </c>
      <c r="P649" s="51"/>
      <c r="Q649" s="3">
        <f t="shared" si="22"/>
        <v>0</v>
      </c>
      <c r="R649" s="48">
        <f t="shared" si="21"/>
        <v>0</v>
      </c>
      <c r="S649" s="10" t="s">
        <v>23</v>
      </c>
      <c r="T649" s="191"/>
    </row>
    <row r="650" spans="1:20" ht="22.2" hidden="1" thickBot="1" x14ac:dyDescent="0.35">
      <c r="A650" s="267">
        <v>2078</v>
      </c>
      <c r="B650" s="268" t="s">
        <v>20</v>
      </c>
      <c r="C650" s="269" t="s">
        <v>267</v>
      </c>
      <c r="D650" s="290">
        <v>5557</v>
      </c>
      <c r="E650" s="298" t="s">
        <v>194</v>
      </c>
      <c r="F650" s="299" t="s">
        <v>123</v>
      </c>
      <c r="G650" s="298" t="s">
        <v>30</v>
      </c>
      <c r="H650" s="271" t="s">
        <v>417</v>
      </c>
      <c r="I650" s="272" t="s">
        <v>26</v>
      </c>
      <c r="J650" s="273">
        <v>0.3</v>
      </c>
      <c r="K650" s="272" t="s">
        <v>138</v>
      </c>
      <c r="L650" s="291" t="s">
        <v>139</v>
      </c>
      <c r="M650" s="272" t="s">
        <v>140</v>
      </c>
      <c r="N650" s="273">
        <v>1</v>
      </c>
      <c r="O650" s="276">
        <v>1</v>
      </c>
      <c r="P650" s="273"/>
      <c r="Q650" s="273">
        <f t="shared" si="22"/>
        <v>0</v>
      </c>
      <c r="R650" s="287">
        <f t="shared" si="21"/>
        <v>0</v>
      </c>
      <c r="S650" s="276" t="s">
        <v>23</v>
      </c>
      <c r="T650" s="277"/>
    </row>
    <row r="651" spans="1:20" ht="21.6" hidden="1" x14ac:dyDescent="0.3">
      <c r="A651" s="242">
        <v>2070</v>
      </c>
      <c r="B651" s="243" t="s">
        <v>20</v>
      </c>
      <c r="C651" s="244" t="s">
        <v>267</v>
      </c>
      <c r="D651" s="293">
        <v>5511</v>
      </c>
      <c r="E651" s="295" t="s">
        <v>192</v>
      </c>
      <c r="F651" s="296" t="s">
        <v>123</v>
      </c>
      <c r="G651" s="295" t="s">
        <v>30</v>
      </c>
      <c r="H651" s="246" t="s">
        <v>417</v>
      </c>
      <c r="I651" s="294" t="s">
        <v>22</v>
      </c>
      <c r="J651" s="248">
        <v>0.7</v>
      </c>
      <c r="K651" s="75" t="s">
        <v>513</v>
      </c>
      <c r="L651" s="105" t="s">
        <v>511</v>
      </c>
      <c r="M651" s="75" t="s">
        <v>411</v>
      </c>
      <c r="N651" s="248">
        <v>0.95</v>
      </c>
      <c r="O651" s="248">
        <v>0.15</v>
      </c>
      <c r="P651" s="297"/>
      <c r="Q651" s="248">
        <f t="shared" si="22"/>
        <v>0</v>
      </c>
      <c r="R651" s="250">
        <f t="shared" si="21"/>
        <v>0</v>
      </c>
      <c r="S651" s="248" t="s">
        <v>23</v>
      </c>
      <c r="T651" s="251">
        <f>SUM(R651:R658)%</f>
        <v>0</v>
      </c>
    </row>
    <row r="652" spans="1:20" ht="21.6" hidden="1" x14ac:dyDescent="0.3">
      <c r="A652" s="182">
        <v>2072</v>
      </c>
      <c r="B652" s="42" t="s">
        <v>20</v>
      </c>
      <c r="C652" s="43" t="s">
        <v>267</v>
      </c>
      <c r="D652" s="50">
        <v>5511</v>
      </c>
      <c r="E652" s="52" t="s">
        <v>192</v>
      </c>
      <c r="F652" s="53" t="s">
        <v>123</v>
      </c>
      <c r="G652" s="52" t="s">
        <v>30</v>
      </c>
      <c r="H652" s="45" t="s">
        <v>417</v>
      </c>
      <c r="I652" s="7" t="s">
        <v>22</v>
      </c>
      <c r="J652" s="3">
        <v>0.7</v>
      </c>
      <c r="K652" s="7" t="s">
        <v>124</v>
      </c>
      <c r="L652" s="8" t="s">
        <v>125</v>
      </c>
      <c r="M652" s="7" t="s">
        <v>126</v>
      </c>
      <c r="N652" s="3">
        <v>0.95</v>
      </c>
      <c r="O652" s="3">
        <v>0.15</v>
      </c>
      <c r="P652" s="6"/>
      <c r="Q652" s="3">
        <f t="shared" si="22"/>
        <v>0</v>
      </c>
      <c r="R652" s="4">
        <f t="shared" si="21"/>
        <v>0</v>
      </c>
      <c r="S652" s="3" t="s">
        <v>23</v>
      </c>
      <c r="T652" s="190"/>
    </row>
    <row r="653" spans="1:20" ht="21.6" hidden="1" x14ac:dyDescent="0.3">
      <c r="A653" s="182">
        <v>2073</v>
      </c>
      <c r="B653" s="42" t="s">
        <v>20</v>
      </c>
      <c r="C653" s="43" t="s">
        <v>267</v>
      </c>
      <c r="D653" s="50">
        <v>5511</v>
      </c>
      <c r="E653" s="52" t="s">
        <v>192</v>
      </c>
      <c r="F653" s="53" t="s">
        <v>123</v>
      </c>
      <c r="G653" s="52" t="s">
        <v>30</v>
      </c>
      <c r="H653" s="45" t="s">
        <v>417</v>
      </c>
      <c r="I653" s="7" t="s">
        <v>22</v>
      </c>
      <c r="J653" s="3">
        <v>0.7</v>
      </c>
      <c r="K653" s="7" t="s">
        <v>51</v>
      </c>
      <c r="L653" s="8" t="s">
        <v>127</v>
      </c>
      <c r="M653" s="7" t="s">
        <v>128</v>
      </c>
      <c r="N653" s="6">
        <v>0.05</v>
      </c>
      <c r="O653" s="3">
        <v>0.1</v>
      </c>
      <c r="P653" s="11"/>
      <c r="Q653" s="3">
        <f t="shared" si="22"/>
        <v>0</v>
      </c>
      <c r="R653" s="4">
        <f t="shared" si="21"/>
        <v>0</v>
      </c>
      <c r="S653" s="3" t="s">
        <v>24</v>
      </c>
      <c r="T653" s="190"/>
    </row>
    <row r="654" spans="1:20" ht="21.6" hidden="1" x14ac:dyDescent="0.3">
      <c r="A654" s="182">
        <v>2074</v>
      </c>
      <c r="B654" s="42" t="s">
        <v>20</v>
      </c>
      <c r="C654" s="43" t="s">
        <v>267</v>
      </c>
      <c r="D654" s="50">
        <v>5511</v>
      </c>
      <c r="E654" s="52" t="s">
        <v>192</v>
      </c>
      <c r="F654" s="53" t="s">
        <v>123</v>
      </c>
      <c r="G654" s="52" t="s">
        <v>30</v>
      </c>
      <c r="H654" s="45" t="s">
        <v>417</v>
      </c>
      <c r="I654" s="7" t="s">
        <v>22</v>
      </c>
      <c r="J654" s="3">
        <v>0.7</v>
      </c>
      <c r="K654" s="7" t="s">
        <v>305</v>
      </c>
      <c r="L654" s="8" t="s">
        <v>257</v>
      </c>
      <c r="M654" s="339" t="s">
        <v>306</v>
      </c>
      <c r="N654" s="3">
        <v>0.95</v>
      </c>
      <c r="O654" s="3">
        <v>0.1</v>
      </c>
      <c r="P654" s="3"/>
      <c r="Q654" s="3">
        <f t="shared" si="22"/>
        <v>0</v>
      </c>
      <c r="R654" s="4">
        <f t="shared" si="21"/>
        <v>0</v>
      </c>
      <c r="S654" s="3" t="s">
        <v>23</v>
      </c>
      <c r="T654" s="190"/>
    </row>
    <row r="655" spans="1:20" ht="21.6" hidden="1" x14ac:dyDescent="0.3">
      <c r="A655" s="182">
        <v>2075</v>
      </c>
      <c r="B655" s="42" t="s">
        <v>20</v>
      </c>
      <c r="C655" s="43" t="s">
        <v>267</v>
      </c>
      <c r="D655" s="50">
        <v>5511</v>
      </c>
      <c r="E655" s="52" t="s">
        <v>192</v>
      </c>
      <c r="F655" s="53" t="s">
        <v>123</v>
      </c>
      <c r="G655" s="52" t="s">
        <v>30</v>
      </c>
      <c r="H655" s="45" t="s">
        <v>417</v>
      </c>
      <c r="I655" s="47" t="s">
        <v>22</v>
      </c>
      <c r="J655" s="3">
        <v>0.7</v>
      </c>
      <c r="K655" s="47" t="s">
        <v>129</v>
      </c>
      <c r="L655" s="30" t="s">
        <v>130</v>
      </c>
      <c r="M655" s="47" t="s">
        <v>131</v>
      </c>
      <c r="N655" s="3">
        <v>0.9</v>
      </c>
      <c r="O655" s="10">
        <v>0.2</v>
      </c>
      <c r="P655" s="3"/>
      <c r="Q655" s="3">
        <f t="shared" si="22"/>
        <v>0</v>
      </c>
      <c r="R655" s="48">
        <f t="shared" si="21"/>
        <v>0</v>
      </c>
      <c r="S655" s="10" t="s">
        <v>23</v>
      </c>
      <c r="T655" s="191"/>
    </row>
    <row r="656" spans="1:20" ht="21.6" hidden="1" x14ac:dyDescent="0.3">
      <c r="A656" s="182">
        <v>2076</v>
      </c>
      <c r="B656" s="42" t="s">
        <v>20</v>
      </c>
      <c r="C656" s="43" t="s">
        <v>267</v>
      </c>
      <c r="D656" s="50">
        <v>5511</v>
      </c>
      <c r="E656" s="52" t="s">
        <v>192</v>
      </c>
      <c r="F656" s="53" t="s">
        <v>123</v>
      </c>
      <c r="G656" s="52" t="s">
        <v>30</v>
      </c>
      <c r="H656" s="45" t="s">
        <v>417</v>
      </c>
      <c r="I656" s="47" t="s">
        <v>22</v>
      </c>
      <c r="J656" s="3">
        <v>0.7</v>
      </c>
      <c r="K656" s="47" t="s">
        <v>132</v>
      </c>
      <c r="L656" s="30" t="s">
        <v>133</v>
      </c>
      <c r="M656" s="47" t="s">
        <v>134</v>
      </c>
      <c r="N656" s="4">
        <v>0</v>
      </c>
      <c r="O656" s="10">
        <v>0.1</v>
      </c>
      <c r="P656" s="3"/>
      <c r="Q656" s="3">
        <f t="shared" si="22"/>
        <v>0</v>
      </c>
      <c r="R656" s="48">
        <f t="shared" si="21"/>
        <v>0</v>
      </c>
      <c r="S656" s="10" t="s">
        <v>24</v>
      </c>
      <c r="T656" s="191"/>
    </row>
    <row r="657" spans="1:20" ht="21.6" hidden="1" x14ac:dyDescent="0.3">
      <c r="A657" s="182">
        <v>2077</v>
      </c>
      <c r="B657" s="42" t="s">
        <v>20</v>
      </c>
      <c r="C657" s="43" t="s">
        <v>267</v>
      </c>
      <c r="D657" s="50">
        <v>5511</v>
      </c>
      <c r="E657" s="52" t="s">
        <v>192</v>
      </c>
      <c r="F657" s="53" t="s">
        <v>123</v>
      </c>
      <c r="G657" s="52" t="s">
        <v>30</v>
      </c>
      <c r="H657" s="45" t="s">
        <v>417</v>
      </c>
      <c r="I657" s="47" t="s">
        <v>22</v>
      </c>
      <c r="J657" s="3">
        <v>0.7</v>
      </c>
      <c r="K657" s="47" t="s">
        <v>135</v>
      </c>
      <c r="L657" s="30" t="s">
        <v>136</v>
      </c>
      <c r="M657" s="47" t="s">
        <v>137</v>
      </c>
      <c r="N657" s="3">
        <v>0.9</v>
      </c>
      <c r="O657" s="10">
        <v>0.2</v>
      </c>
      <c r="P657" s="51"/>
      <c r="Q657" s="3">
        <f t="shared" si="22"/>
        <v>0</v>
      </c>
      <c r="R657" s="48">
        <f t="shared" si="21"/>
        <v>0</v>
      </c>
      <c r="S657" s="10" t="s">
        <v>23</v>
      </c>
      <c r="T657" s="191"/>
    </row>
    <row r="658" spans="1:20" ht="22.2" hidden="1" thickBot="1" x14ac:dyDescent="0.35">
      <c r="A658" s="267">
        <v>2078</v>
      </c>
      <c r="B658" s="268" t="s">
        <v>20</v>
      </c>
      <c r="C658" s="269" t="s">
        <v>267</v>
      </c>
      <c r="D658" s="290">
        <v>5511</v>
      </c>
      <c r="E658" s="298" t="s">
        <v>192</v>
      </c>
      <c r="F658" s="299" t="s">
        <v>123</v>
      </c>
      <c r="G658" s="298" t="s">
        <v>30</v>
      </c>
      <c r="H658" s="271" t="s">
        <v>417</v>
      </c>
      <c r="I658" s="272" t="s">
        <v>26</v>
      </c>
      <c r="J658" s="273">
        <v>0.3</v>
      </c>
      <c r="K658" s="272" t="s">
        <v>138</v>
      </c>
      <c r="L658" s="291" t="s">
        <v>139</v>
      </c>
      <c r="M658" s="272" t="s">
        <v>140</v>
      </c>
      <c r="N658" s="273">
        <v>1</v>
      </c>
      <c r="O658" s="276">
        <v>1</v>
      </c>
      <c r="P658" s="273"/>
      <c r="Q658" s="273">
        <f t="shared" si="22"/>
        <v>0</v>
      </c>
      <c r="R658" s="287">
        <f t="shared" si="21"/>
        <v>0</v>
      </c>
      <c r="S658" s="276" t="s">
        <v>23</v>
      </c>
      <c r="T658" s="277"/>
    </row>
    <row r="659" spans="1:20" ht="21.6" hidden="1" x14ac:dyDescent="0.3">
      <c r="A659" s="242">
        <v>2070</v>
      </c>
      <c r="B659" s="243" t="s">
        <v>20</v>
      </c>
      <c r="C659" s="244" t="s">
        <v>267</v>
      </c>
      <c r="D659" s="293">
        <v>5270</v>
      </c>
      <c r="E659" s="295" t="s">
        <v>188</v>
      </c>
      <c r="F659" s="296" t="s">
        <v>123</v>
      </c>
      <c r="G659" s="295" t="s">
        <v>30</v>
      </c>
      <c r="H659" s="246" t="s">
        <v>417</v>
      </c>
      <c r="I659" s="294" t="s">
        <v>22</v>
      </c>
      <c r="J659" s="248">
        <v>0.7</v>
      </c>
      <c r="K659" s="75" t="s">
        <v>513</v>
      </c>
      <c r="L659" s="105" t="s">
        <v>511</v>
      </c>
      <c r="M659" s="75" t="s">
        <v>411</v>
      </c>
      <c r="N659" s="248">
        <v>0.95</v>
      </c>
      <c r="O659" s="248">
        <v>0.15</v>
      </c>
      <c r="P659" s="297"/>
      <c r="Q659" s="248">
        <f t="shared" si="22"/>
        <v>0</v>
      </c>
      <c r="R659" s="250">
        <f t="shared" ref="R659:R722" si="23">IF(AND(Q659&gt;=60%,Q659&lt;100%),Q659*((O659*J659)),IF(Q659=100%,((O659*J659)*Q659)*100%,IF(Q659&gt;100%,((J659*O659)*100%)*100%,0)))*100</f>
        <v>0</v>
      </c>
      <c r="S659" s="248" t="s">
        <v>23</v>
      </c>
      <c r="T659" s="251">
        <f>SUM(R659:R666)%</f>
        <v>0</v>
      </c>
    </row>
    <row r="660" spans="1:20" ht="21.6" hidden="1" x14ac:dyDescent="0.3">
      <c r="A660" s="182">
        <v>2071</v>
      </c>
      <c r="B660" s="42" t="s">
        <v>20</v>
      </c>
      <c r="C660" s="43" t="s">
        <v>267</v>
      </c>
      <c r="D660" s="50">
        <v>5270</v>
      </c>
      <c r="E660" s="52" t="s">
        <v>188</v>
      </c>
      <c r="F660" s="53" t="s">
        <v>123</v>
      </c>
      <c r="G660" s="52" t="s">
        <v>30</v>
      </c>
      <c r="H660" s="45" t="s">
        <v>417</v>
      </c>
      <c r="I660" s="7" t="s">
        <v>22</v>
      </c>
      <c r="J660" s="3">
        <v>0.7</v>
      </c>
      <c r="K660" s="7" t="s">
        <v>124</v>
      </c>
      <c r="L660" s="8" t="s">
        <v>125</v>
      </c>
      <c r="M660" s="7" t="s">
        <v>126</v>
      </c>
      <c r="N660" s="3">
        <v>0.95</v>
      </c>
      <c r="O660" s="3">
        <v>0.15</v>
      </c>
      <c r="P660" s="6"/>
      <c r="Q660" s="3">
        <f t="shared" si="22"/>
        <v>0</v>
      </c>
      <c r="R660" s="4">
        <f t="shared" si="23"/>
        <v>0</v>
      </c>
      <c r="S660" s="3" t="s">
        <v>23</v>
      </c>
      <c r="T660" s="190"/>
    </row>
    <row r="661" spans="1:20" ht="21.6" hidden="1" x14ac:dyDescent="0.3">
      <c r="A661" s="182">
        <v>2072</v>
      </c>
      <c r="B661" s="42" t="s">
        <v>20</v>
      </c>
      <c r="C661" s="43" t="s">
        <v>267</v>
      </c>
      <c r="D661" s="50">
        <v>5270</v>
      </c>
      <c r="E661" s="52" t="s">
        <v>188</v>
      </c>
      <c r="F661" s="53" t="s">
        <v>123</v>
      </c>
      <c r="G661" s="52" t="s">
        <v>30</v>
      </c>
      <c r="H661" s="45" t="s">
        <v>417</v>
      </c>
      <c r="I661" s="7" t="s">
        <v>22</v>
      </c>
      <c r="J661" s="3">
        <v>0.7</v>
      </c>
      <c r="K661" s="7" t="s">
        <v>51</v>
      </c>
      <c r="L661" s="8" t="s">
        <v>127</v>
      </c>
      <c r="M661" s="7" t="s">
        <v>128</v>
      </c>
      <c r="N661" s="6">
        <v>0.05</v>
      </c>
      <c r="O661" s="3">
        <v>0.1</v>
      </c>
      <c r="P661" s="11"/>
      <c r="Q661" s="3">
        <f t="shared" si="22"/>
        <v>0</v>
      </c>
      <c r="R661" s="4">
        <f t="shared" si="23"/>
        <v>0</v>
      </c>
      <c r="S661" s="3" t="s">
        <v>24</v>
      </c>
      <c r="T661" s="190"/>
    </row>
    <row r="662" spans="1:20" ht="21.6" hidden="1" x14ac:dyDescent="0.3">
      <c r="A662" s="182">
        <v>2073</v>
      </c>
      <c r="B662" s="42" t="s">
        <v>20</v>
      </c>
      <c r="C662" s="43" t="s">
        <v>267</v>
      </c>
      <c r="D662" s="50">
        <v>5270</v>
      </c>
      <c r="E662" s="52" t="s">
        <v>188</v>
      </c>
      <c r="F662" s="53" t="s">
        <v>123</v>
      </c>
      <c r="G662" s="52" t="s">
        <v>30</v>
      </c>
      <c r="H662" s="45" t="s">
        <v>417</v>
      </c>
      <c r="I662" s="7" t="s">
        <v>22</v>
      </c>
      <c r="J662" s="3">
        <v>0.7</v>
      </c>
      <c r="K662" s="7" t="s">
        <v>305</v>
      </c>
      <c r="L662" s="8" t="s">
        <v>257</v>
      </c>
      <c r="M662" s="339" t="s">
        <v>306</v>
      </c>
      <c r="N662" s="3">
        <v>0.95</v>
      </c>
      <c r="O662" s="3">
        <v>0.1</v>
      </c>
      <c r="P662" s="3"/>
      <c r="Q662" s="3">
        <f t="shared" si="22"/>
        <v>0</v>
      </c>
      <c r="R662" s="4">
        <f t="shared" si="23"/>
        <v>0</v>
      </c>
      <c r="S662" s="3" t="s">
        <v>23</v>
      </c>
      <c r="T662" s="190"/>
    </row>
    <row r="663" spans="1:20" ht="21.6" hidden="1" x14ac:dyDescent="0.3">
      <c r="A663" s="182">
        <v>2074</v>
      </c>
      <c r="B663" s="42" t="s">
        <v>20</v>
      </c>
      <c r="C663" s="43" t="s">
        <v>267</v>
      </c>
      <c r="D663" s="50">
        <v>5270</v>
      </c>
      <c r="E663" s="52" t="s">
        <v>188</v>
      </c>
      <c r="F663" s="53" t="s">
        <v>123</v>
      </c>
      <c r="G663" s="52" t="s">
        <v>30</v>
      </c>
      <c r="H663" s="45" t="s">
        <v>417</v>
      </c>
      <c r="I663" s="47" t="s">
        <v>22</v>
      </c>
      <c r="J663" s="3">
        <v>0.7</v>
      </c>
      <c r="K663" s="47" t="s">
        <v>129</v>
      </c>
      <c r="L663" s="30" t="s">
        <v>130</v>
      </c>
      <c r="M663" s="47" t="s">
        <v>131</v>
      </c>
      <c r="N663" s="3">
        <v>0.9</v>
      </c>
      <c r="O663" s="10">
        <v>0.2</v>
      </c>
      <c r="P663" s="3"/>
      <c r="Q663" s="3">
        <f t="shared" si="22"/>
        <v>0</v>
      </c>
      <c r="R663" s="4">
        <f t="shared" si="23"/>
        <v>0</v>
      </c>
      <c r="S663" s="3" t="s">
        <v>23</v>
      </c>
      <c r="T663" s="190"/>
    </row>
    <row r="664" spans="1:20" ht="21.6" hidden="1" x14ac:dyDescent="0.3">
      <c r="A664" s="182">
        <v>2075</v>
      </c>
      <c r="B664" s="42" t="s">
        <v>20</v>
      </c>
      <c r="C664" s="43" t="s">
        <v>267</v>
      </c>
      <c r="D664" s="50">
        <v>5270</v>
      </c>
      <c r="E664" s="52" t="s">
        <v>188</v>
      </c>
      <c r="F664" s="53" t="s">
        <v>123</v>
      </c>
      <c r="G664" s="52" t="s">
        <v>30</v>
      </c>
      <c r="H664" s="45" t="s">
        <v>417</v>
      </c>
      <c r="I664" s="47" t="s">
        <v>22</v>
      </c>
      <c r="J664" s="3">
        <v>0.7</v>
      </c>
      <c r="K664" s="47" t="s">
        <v>132</v>
      </c>
      <c r="L664" s="30" t="s">
        <v>133</v>
      </c>
      <c r="M664" s="47" t="s">
        <v>134</v>
      </c>
      <c r="N664" s="4">
        <v>0</v>
      </c>
      <c r="O664" s="10">
        <v>0.1</v>
      </c>
      <c r="P664" s="3"/>
      <c r="Q664" s="3">
        <f t="shared" si="22"/>
        <v>0</v>
      </c>
      <c r="R664" s="48">
        <f t="shared" si="23"/>
        <v>0</v>
      </c>
      <c r="S664" s="10" t="s">
        <v>24</v>
      </c>
      <c r="T664" s="191"/>
    </row>
    <row r="665" spans="1:20" ht="21.6" hidden="1" x14ac:dyDescent="0.3">
      <c r="A665" s="182">
        <v>2076</v>
      </c>
      <c r="B665" s="42" t="s">
        <v>20</v>
      </c>
      <c r="C665" s="43" t="s">
        <v>267</v>
      </c>
      <c r="D665" s="50">
        <v>5270</v>
      </c>
      <c r="E665" s="52" t="s">
        <v>188</v>
      </c>
      <c r="F665" s="53" t="s">
        <v>123</v>
      </c>
      <c r="G665" s="52" t="s">
        <v>30</v>
      </c>
      <c r="H665" s="45" t="s">
        <v>417</v>
      </c>
      <c r="I665" s="47" t="s">
        <v>22</v>
      </c>
      <c r="J665" s="3">
        <v>0.7</v>
      </c>
      <c r="K665" s="47" t="s">
        <v>135</v>
      </c>
      <c r="L665" s="30" t="s">
        <v>136</v>
      </c>
      <c r="M665" s="47" t="s">
        <v>137</v>
      </c>
      <c r="N665" s="3">
        <v>0.9</v>
      </c>
      <c r="O665" s="10">
        <v>0.2</v>
      </c>
      <c r="P665" s="51"/>
      <c r="Q665" s="3">
        <f t="shared" si="22"/>
        <v>0</v>
      </c>
      <c r="R665" s="48">
        <f t="shared" si="23"/>
        <v>0</v>
      </c>
      <c r="S665" s="10" t="s">
        <v>23</v>
      </c>
      <c r="T665" s="191"/>
    </row>
    <row r="666" spans="1:20" ht="22.2" hidden="1" thickBot="1" x14ac:dyDescent="0.35">
      <c r="A666" s="267">
        <v>2077</v>
      </c>
      <c r="B666" s="268" t="s">
        <v>20</v>
      </c>
      <c r="C666" s="269" t="s">
        <v>267</v>
      </c>
      <c r="D666" s="290">
        <v>5270</v>
      </c>
      <c r="E666" s="298" t="s">
        <v>188</v>
      </c>
      <c r="F666" s="299" t="s">
        <v>123</v>
      </c>
      <c r="G666" s="298" t="s">
        <v>30</v>
      </c>
      <c r="H666" s="271" t="s">
        <v>417</v>
      </c>
      <c r="I666" s="272" t="s">
        <v>26</v>
      </c>
      <c r="J666" s="273">
        <v>0.3</v>
      </c>
      <c r="K666" s="272" t="s">
        <v>138</v>
      </c>
      <c r="L666" s="291" t="s">
        <v>139</v>
      </c>
      <c r="M666" s="272" t="s">
        <v>140</v>
      </c>
      <c r="N666" s="273">
        <v>1</v>
      </c>
      <c r="O666" s="276">
        <v>1</v>
      </c>
      <c r="P666" s="273"/>
      <c r="Q666" s="273">
        <f t="shared" si="22"/>
        <v>0</v>
      </c>
      <c r="R666" s="287">
        <f t="shared" si="23"/>
        <v>0</v>
      </c>
      <c r="S666" s="276" t="s">
        <v>23</v>
      </c>
      <c r="T666" s="277"/>
    </row>
    <row r="667" spans="1:20" ht="21.6" hidden="1" x14ac:dyDescent="0.3">
      <c r="A667" s="242">
        <v>2070</v>
      </c>
      <c r="B667" s="243" t="s">
        <v>20</v>
      </c>
      <c r="C667" s="244" t="s">
        <v>267</v>
      </c>
      <c r="D667" s="293">
        <v>5536</v>
      </c>
      <c r="E667" s="295" t="s">
        <v>193</v>
      </c>
      <c r="F667" s="296" t="s">
        <v>123</v>
      </c>
      <c r="G667" s="295" t="s">
        <v>30</v>
      </c>
      <c r="H667" s="246" t="s">
        <v>417</v>
      </c>
      <c r="I667" s="294" t="s">
        <v>22</v>
      </c>
      <c r="J667" s="248">
        <v>0.7</v>
      </c>
      <c r="K667" s="75" t="s">
        <v>513</v>
      </c>
      <c r="L667" s="105" t="s">
        <v>511</v>
      </c>
      <c r="M667" s="75" t="s">
        <v>411</v>
      </c>
      <c r="N667" s="248">
        <v>0.95</v>
      </c>
      <c r="O667" s="248">
        <v>0.15</v>
      </c>
      <c r="P667" s="297"/>
      <c r="Q667" s="248">
        <f t="shared" si="22"/>
        <v>0</v>
      </c>
      <c r="R667" s="250">
        <f t="shared" si="23"/>
        <v>0</v>
      </c>
      <c r="S667" s="248" t="s">
        <v>23</v>
      </c>
      <c r="T667" s="251">
        <f>SUM(R667:R674)%</f>
        <v>0</v>
      </c>
    </row>
    <row r="668" spans="1:20" ht="21.6" hidden="1" x14ac:dyDescent="0.3">
      <c r="A668" s="182">
        <v>2072</v>
      </c>
      <c r="B668" s="42" t="s">
        <v>20</v>
      </c>
      <c r="C668" s="43" t="s">
        <v>267</v>
      </c>
      <c r="D668" s="50">
        <v>5536</v>
      </c>
      <c r="E668" s="52" t="s">
        <v>193</v>
      </c>
      <c r="F668" s="53" t="s">
        <v>123</v>
      </c>
      <c r="G668" s="52" t="s">
        <v>30</v>
      </c>
      <c r="H668" s="45" t="s">
        <v>417</v>
      </c>
      <c r="I668" s="7" t="s">
        <v>22</v>
      </c>
      <c r="J668" s="3">
        <v>0.7</v>
      </c>
      <c r="K668" s="7" t="s">
        <v>124</v>
      </c>
      <c r="L668" s="8" t="s">
        <v>125</v>
      </c>
      <c r="M668" s="7" t="s">
        <v>126</v>
      </c>
      <c r="N668" s="3">
        <v>0.95</v>
      </c>
      <c r="O668" s="3">
        <v>0.15</v>
      </c>
      <c r="P668" s="6"/>
      <c r="Q668" s="3">
        <f t="shared" si="22"/>
        <v>0</v>
      </c>
      <c r="R668" s="4">
        <f t="shared" si="23"/>
        <v>0</v>
      </c>
      <c r="S668" s="3" t="s">
        <v>23</v>
      </c>
      <c r="T668" s="190"/>
    </row>
    <row r="669" spans="1:20" ht="21.6" hidden="1" x14ac:dyDescent="0.3">
      <c r="A669" s="182">
        <v>2073</v>
      </c>
      <c r="B669" s="42" t="s">
        <v>20</v>
      </c>
      <c r="C669" s="43" t="s">
        <v>267</v>
      </c>
      <c r="D669" s="50">
        <v>5536</v>
      </c>
      <c r="E669" s="52" t="s">
        <v>193</v>
      </c>
      <c r="F669" s="53" t="s">
        <v>123</v>
      </c>
      <c r="G669" s="52" t="s">
        <v>30</v>
      </c>
      <c r="H669" s="45" t="s">
        <v>417</v>
      </c>
      <c r="I669" s="7" t="s">
        <v>22</v>
      </c>
      <c r="J669" s="3">
        <v>0.7</v>
      </c>
      <c r="K669" s="7" t="s">
        <v>51</v>
      </c>
      <c r="L669" s="8" t="s">
        <v>127</v>
      </c>
      <c r="M669" s="7" t="s">
        <v>128</v>
      </c>
      <c r="N669" s="6">
        <v>0.05</v>
      </c>
      <c r="O669" s="3">
        <v>0.1</v>
      </c>
      <c r="P669" s="11"/>
      <c r="Q669" s="3">
        <f t="shared" si="22"/>
        <v>0</v>
      </c>
      <c r="R669" s="4">
        <f t="shared" si="23"/>
        <v>0</v>
      </c>
      <c r="S669" s="3" t="s">
        <v>24</v>
      </c>
      <c r="T669" s="190"/>
    </row>
    <row r="670" spans="1:20" ht="21.6" hidden="1" x14ac:dyDescent="0.3">
      <c r="A670" s="182">
        <v>2074</v>
      </c>
      <c r="B670" s="42" t="s">
        <v>20</v>
      </c>
      <c r="C670" s="43" t="s">
        <v>267</v>
      </c>
      <c r="D670" s="50">
        <v>5536</v>
      </c>
      <c r="E670" s="52" t="s">
        <v>193</v>
      </c>
      <c r="F670" s="53" t="s">
        <v>123</v>
      </c>
      <c r="G670" s="52" t="s">
        <v>30</v>
      </c>
      <c r="H670" s="45" t="s">
        <v>417</v>
      </c>
      <c r="I670" s="7" t="s">
        <v>22</v>
      </c>
      <c r="J670" s="3">
        <v>0.7</v>
      </c>
      <c r="K670" s="7" t="s">
        <v>305</v>
      </c>
      <c r="L670" s="8" t="s">
        <v>257</v>
      </c>
      <c r="M670" s="339" t="s">
        <v>306</v>
      </c>
      <c r="N670" s="3">
        <v>0.95</v>
      </c>
      <c r="O670" s="3">
        <v>0.1</v>
      </c>
      <c r="P670" s="3"/>
      <c r="Q670" s="3">
        <f t="shared" si="22"/>
        <v>0</v>
      </c>
      <c r="R670" s="4">
        <f t="shared" si="23"/>
        <v>0</v>
      </c>
      <c r="S670" s="3" t="s">
        <v>23</v>
      </c>
      <c r="T670" s="190"/>
    </row>
    <row r="671" spans="1:20" ht="21.6" hidden="1" x14ac:dyDescent="0.3">
      <c r="A671" s="182">
        <v>2075</v>
      </c>
      <c r="B671" s="42" t="s">
        <v>20</v>
      </c>
      <c r="C671" s="43" t="s">
        <v>267</v>
      </c>
      <c r="D671" s="50">
        <v>5536</v>
      </c>
      <c r="E671" s="52" t="s">
        <v>193</v>
      </c>
      <c r="F671" s="53" t="s">
        <v>123</v>
      </c>
      <c r="G671" s="52" t="s">
        <v>30</v>
      </c>
      <c r="H671" s="45" t="s">
        <v>417</v>
      </c>
      <c r="I671" s="47" t="s">
        <v>22</v>
      </c>
      <c r="J671" s="3">
        <v>0.7</v>
      </c>
      <c r="K671" s="47" t="s">
        <v>129</v>
      </c>
      <c r="L671" s="30" t="s">
        <v>130</v>
      </c>
      <c r="M671" s="47" t="s">
        <v>131</v>
      </c>
      <c r="N671" s="3">
        <v>0.9</v>
      </c>
      <c r="O671" s="10">
        <v>0.2</v>
      </c>
      <c r="P671" s="3"/>
      <c r="Q671" s="3">
        <f t="shared" si="22"/>
        <v>0</v>
      </c>
      <c r="R671" s="48">
        <f t="shared" si="23"/>
        <v>0</v>
      </c>
      <c r="S671" s="10" t="s">
        <v>23</v>
      </c>
      <c r="T671" s="191"/>
    </row>
    <row r="672" spans="1:20" ht="21.6" hidden="1" x14ac:dyDescent="0.3">
      <c r="A672" s="182">
        <v>2076</v>
      </c>
      <c r="B672" s="42" t="s">
        <v>20</v>
      </c>
      <c r="C672" s="43" t="s">
        <v>267</v>
      </c>
      <c r="D672" s="50">
        <v>5536</v>
      </c>
      <c r="E672" s="52" t="s">
        <v>193</v>
      </c>
      <c r="F672" s="53" t="s">
        <v>123</v>
      </c>
      <c r="G672" s="52" t="s">
        <v>30</v>
      </c>
      <c r="H672" s="45" t="s">
        <v>417</v>
      </c>
      <c r="I672" s="47" t="s">
        <v>22</v>
      </c>
      <c r="J672" s="3">
        <v>0.7</v>
      </c>
      <c r="K672" s="47" t="s">
        <v>132</v>
      </c>
      <c r="L672" s="30" t="s">
        <v>133</v>
      </c>
      <c r="M672" s="47" t="s">
        <v>134</v>
      </c>
      <c r="N672" s="4">
        <v>0</v>
      </c>
      <c r="O672" s="10">
        <v>0.1</v>
      </c>
      <c r="P672" s="3"/>
      <c r="Q672" s="3">
        <f t="shared" si="22"/>
        <v>0</v>
      </c>
      <c r="R672" s="48">
        <f t="shared" si="23"/>
        <v>0</v>
      </c>
      <c r="S672" s="10" t="s">
        <v>24</v>
      </c>
      <c r="T672" s="191"/>
    </row>
    <row r="673" spans="1:20" ht="21.6" hidden="1" x14ac:dyDescent="0.3">
      <c r="A673" s="182">
        <v>2077</v>
      </c>
      <c r="B673" s="42" t="s">
        <v>20</v>
      </c>
      <c r="C673" s="43" t="s">
        <v>267</v>
      </c>
      <c r="D673" s="50">
        <v>5536</v>
      </c>
      <c r="E673" s="52" t="s">
        <v>193</v>
      </c>
      <c r="F673" s="53" t="s">
        <v>123</v>
      </c>
      <c r="G673" s="52" t="s">
        <v>30</v>
      </c>
      <c r="H673" s="45" t="s">
        <v>417</v>
      </c>
      <c r="I673" s="47" t="s">
        <v>22</v>
      </c>
      <c r="J673" s="3">
        <v>0.7</v>
      </c>
      <c r="K673" s="47" t="s">
        <v>135</v>
      </c>
      <c r="L673" s="30" t="s">
        <v>136</v>
      </c>
      <c r="M673" s="47" t="s">
        <v>137</v>
      </c>
      <c r="N673" s="3">
        <v>0.9</v>
      </c>
      <c r="O673" s="10">
        <v>0.2</v>
      </c>
      <c r="P673" s="51"/>
      <c r="Q673" s="3">
        <f t="shared" si="22"/>
        <v>0</v>
      </c>
      <c r="R673" s="48">
        <f t="shared" si="23"/>
        <v>0</v>
      </c>
      <c r="S673" s="10" t="s">
        <v>23</v>
      </c>
      <c r="T673" s="191"/>
    </row>
    <row r="674" spans="1:20" ht="22.2" hidden="1" thickBot="1" x14ac:dyDescent="0.35">
      <c r="A674" s="267">
        <v>2078</v>
      </c>
      <c r="B674" s="268" t="s">
        <v>20</v>
      </c>
      <c r="C674" s="269" t="s">
        <v>267</v>
      </c>
      <c r="D674" s="290">
        <v>5536</v>
      </c>
      <c r="E674" s="298" t="s">
        <v>193</v>
      </c>
      <c r="F674" s="299" t="s">
        <v>123</v>
      </c>
      <c r="G674" s="298" t="s">
        <v>30</v>
      </c>
      <c r="H674" s="271" t="s">
        <v>417</v>
      </c>
      <c r="I674" s="272" t="s">
        <v>26</v>
      </c>
      <c r="J674" s="273">
        <v>0.3</v>
      </c>
      <c r="K674" s="272" t="s">
        <v>138</v>
      </c>
      <c r="L674" s="291" t="s">
        <v>139</v>
      </c>
      <c r="M674" s="272" t="s">
        <v>140</v>
      </c>
      <c r="N674" s="273">
        <v>1</v>
      </c>
      <c r="O674" s="276">
        <v>1</v>
      </c>
      <c r="P674" s="273"/>
      <c r="Q674" s="273">
        <f t="shared" si="22"/>
        <v>0</v>
      </c>
      <c r="R674" s="287">
        <f t="shared" si="23"/>
        <v>0</v>
      </c>
      <c r="S674" s="276" t="s">
        <v>23</v>
      </c>
      <c r="T674" s="277"/>
    </row>
    <row r="675" spans="1:20" ht="21.6" hidden="1" x14ac:dyDescent="0.3">
      <c r="A675" s="242">
        <v>2070</v>
      </c>
      <c r="B675" s="243" t="s">
        <v>20</v>
      </c>
      <c r="C675" s="244" t="s">
        <v>267</v>
      </c>
      <c r="D675" s="293">
        <v>5159</v>
      </c>
      <c r="E675" s="295" t="s">
        <v>334</v>
      </c>
      <c r="F675" s="296" t="s">
        <v>143</v>
      </c>
      <c r="G675" s="295" t="s">
        <v>340</v>
      </c>
      <c r="H675" s="246" t="s">
        <v>418</v>
      </c>
      <c r="I675" s="294" t="s">
        <v>22</v>
      </c>
      <c r="J675" s="248">
        <v>0.7</v>
      </c>
      <c r="K675" s="75" t="s">
        <v>513</v>
      </c>
      <c r="L675" s="105" t="s">
        <v>511</v>
      </c>
      <c r="M675" s="75" t="s">
        <v>411</v>
      </c>
      <c r="N675" s="248">
        <v>0.95</v>
      </c>
      <c r="O675" s="248">
        <v>0.15</v>
      </c>
      <c r="P675" s="248"/>
      <c r="Q675" s="248">
        <f t="shared" si="22"/>
        <v>0</v>
      </c>
      <c r="R675" s="250">
        <f t="shared" si="23"/>
        <v>0</v>
      </c>
      <c r="S675" s="248" t="s">
        <v>23</v>
      </c>
      <c r="T675" s="251">
        <f>SUM(R675:R682)%</f>
        <v>0</v>
      </c>
    </row>
    <row r="676" spans="1:20" ht="21.6" hidden="1" x14ac:dyDescent="0.3">
      <c r="A676" s="182">
        <v>2072</v>
      </c>
      <c r="B676" s="42" t="s">
        <v>20</v>
      </c>
      <c r="C676" s="43" t="s">
        <v>267</v>
      </c>
      <c r="D676" s="50">
        <v>5159</v>
      </c>
      <c r="E676" s="52" t="s">
        <v>334</v>
      </c>
      <c r="F676" s="53" t="s">
        <v>143</v>
      </c>
      <c r="G676" s="52" t="s">
        <v>340</v>
      </c>
      <c r="H676" s="45" t="s">
        <v>418</v>
      </c>
      <c r="I676" s="7" t="s">
        <v>22</v>
      </c>
      <c r="J676" s="3">
        <v>0.7</v>
      </c>
      <c r="K676" s="7" t="s">
        <v>124</v>
      </c>
      <c r="L676" s="8" t="s">
        <v>125</v>
      </c>
      <c r="M676" s="7" t="s">
        <v>126</v>
      </c>
      <c r="N676" s="3">
        <v>0.95</v>
      </c>
      <c r="O676" s="3">
        <v>0.15</v>
      </c>
      <c r="P676" s="6"/>
      <c r="Q676" s="3">
        <f t="shared" si="22"/>
        <v>0</v>
      </c>
      <c r="R676" s="4">
        <f t="shared" si="23"/>
        <v>0</v>
      </c>
      <c r="S676" s="3" t="s">
        <v>23</v>
      </c>
      <c r="T676" s="190"/>
    </row>
    <row r="677" spans="1:20" ht="21.6" hidden="1" x14ac:dyDescent="0.3">
      <c r="A677" s="182">
        <v>2073</v>
      </c>
      <c r="B677" s="42" t="s">
        <v>20</v>
      </c>
      <c r="C677" s="43" t="s">
        <v>267</v>
      </c>
      <c r="D677" s="50">
        <v>5159</v>
      </c>
      <c r="E677" s="52" t="s">
        <v>334</v>
      </c>
      <c r="F677" s="53" t="s">
        <v>143</v>
      </c>
      <c r="G677" s="52" t="s">
        <v>340</v>
      </c>
      <c r="H677" s="45" t="s">
        <v>418</v>
      </c>
      <c r="I677" s="7" t="s">
        <v>22</v>
      </c>
      <c r="J677" s="3">
        <v>0.7</v>
      </c>
      <c r="K677" s="7" t="s">
        <v>51</v>
      </c>
      <c r="L677" s="8" t="s">
        <v>127</v>
      </c>
      <c r="M677" s="7" t="s">
        <v>128</v>
      </c>
      <c r="N677" s="6">
        <v>0.05</v>
      </c>
      <c r="O677" s="3">
        <v>0.1</v>
      </c>
      <c r="P677" s="11"/>
      <c r="Q677" s="3">
        <f t="shared" si="22"/>
        <v>0</v>
      </c>
      <c r="R677" s="4">
        <f t="shared" si="23"/>
        <v>0</v>
      </c>
      <c r="S677" s="3" t="s">
        <v>24</v>
      </c>
      <c r="T677" s="190"/>
    </row>
    <row r="678" spans="1:20" ht="21.6" hidden="1" x14ac:dyDescent="0.3">
      <c r="A678" s="182">
        <v>2074</v>
      </c>
      <c r="B678" s="42" t="s">
        <v>20</v>
      </c>
      <c r="C678" s="43" t="s">
        <v>267</v>
      </c>
      <c r="D678" s="50">
        <v>5159</v>
      </c>
      <c r="E678" s="52" t="s">
        <v>334</v>
      </c>
      <c r="F678" s="53" t="s">
        <v>143</v>
      </c>
      <c r="G678" s="52" t="s">
        <v>340</v>
      </c>
      <c r="H678" s="45" t="s">
        <v>418</v>
      </c>
      <c r="I678" s="7" t="s">
        <v>22</v>
      </c>
      <c r="J678" s="3">
        <v>0.7</v>
      </c>
      <c r="K678" s="7" t="s">
        <v>305</v>
      </c>
      <c r="L678" s="8" t="s">
        <v>257</v>
      </c>
      <c r="M678" s="339" t="s">
        <v>306</v>
      </c>
      <c r="N678" s="3">
        <v>0.95</v>
      </c>
      <c r="O678" s="3">
        <v>0.1</v>
      </c>
      <c r="P678" s="3"/>
      <c r="Q678" s="3">
        <f t="shared" si="22"/>
        <v>0</v>
      </c>
      <c r="R678" s="4">
        <f t="shared" si="23"/>
        <v>0</v>
      </c>
      <c r="S678" s="3" t="s">
        <v>23</v>
      </c>
      <c r="T678" s="190"/>
    </row>
    <row r="679" spans="1:20" ht="21.6" hidden="1" x14ac:dyDescent="0.3">
      <c r="A679" s="182">
        <v>2075</v>
      </c>
      <c r="B679" s="42" t="s">
        <v>20</v>
      </c>
      <c r="C679" s="43" t="s">
        <v>267</v>
      </c>
      <c r="D679" s="50">
        <v>5159</v>
      </c>
      <c r="E679" s="52" t="s">
        <v>334</v>
      </c>
      <c r="F679" s="53" t="s">
        <v>143</v>
      </c>
      <c r="G679" s="52" t="s">
        <v>340</v>
      </c>
      <c r="H679" s="45" t="s">
        <v>418</v>
      </c>
      <c r="I679" s="47" t="s">
        <v>22</v>
      </c>
      <c r="J679" s="3">
        <v>0.7</v>
      </c>
      <c r="K679" s="47" t="s">
        <v>129</v>
      </c>
      <c r="L679" s="30" t="s">
        <v>130</v>
      </c>
      <c r="M679" s="47" t="s">
        <v>131</v>
      </c>
      <c r="N679" s="3">
        <v>0.9</v>
      </c>
      <c r="O679" s="10">
        <v>0.2</v>
      </c>
      <c r="P679" s="3"/>
      <c r="Q679" s="3">
        <f t="shared" si="22"/>
        <v>0</v>
      </c>
      <c r="R679" s="48">
        <f t="shared" si="23"/>
        <v>0</v>
      </c>
      <c r="S679" s="10" t="s">
        <v>23</v>
      </c>
      <c r="T679" s="191"/>
    </row>
    <row r="680" spans="1:20" ht="21.6" hidden="1" x14ac:dyDescent="0.3">
      <c r="A680" s="182">
        <v>2076</v>
      </c>
      <c r="B680" s="42" t="s">
        <v>20</v>
      </c>
      <c r="C680" s="43" t="s">
        <v>267</v>
      </c>
      <c r="D680" s="50">
        <v>5159</v>
      </c>
      <c r="E680" s="52" t="s">
        <v>334</v>
      </c>
      <c r="F680" s="53" t="s">
        <v>143</v>
      </c>
      <c r="G680" s="52" t="s">
        <v>340</v>
      </c>
      <c r="H680" s="45" t="s">
        <v>418</v>
      </c>
      <c r="I680" s="47" t="s">
        <v>22</v>
      </c>
      <c r="J680" s="3">
        <v>0.7</v>
      </c>
      <c r="K680" s="47" t="s">
        <v>132</v>
      </c>
      <c r="L680" s="30" t="s">
        <v>133</v>
      </c>
      <c r="M680" s="47" t="s">
        <v>134</v>
      </c>
      <c r="N680" s="4">
        <v>0</v>
      </c>
      <c r="O680" s="10">
        <v>0.1</v>
      </c>
      <c r="P680" s="3"/>
      <c r="Q680" s="3">
        <f t="shared" si="22"/>
        <v>0</v>
      </c>
      <c r="R680" s="48">
        <f t="shared" si="23"/>
        <v>0</v>
      </c>
      <c r="S680" s="10" t="s">
        <v>24</v>
      </c>
      <c r="T680" s="191"/>
    </row>
    <row r="681" spans="1:20" ht="21.6" hidden="1" x14ac:dyDescent="0.3">
      <c r="A681" s="182">
        <v>2077</v>
      </c>
      <c r="B681" s="42" t="s">
        <v>20</v>
      </c>
      <c r="C681" s="43" t="s">
        <v>267</v>
      </c>
      <c r="D681" s="50">
        <v>5159</v>
      </c>
      <c r="E681" s="52" t="s">
        <v>334</v>
      </c>
      <c r="F681" s="53" t="s">
        <v>143</v>
      </c>
      <c r="G681" s="52" t="s">
        <v>340</v>
      </c>
      <c r="H681" s="45" t="s">
        <v>418</v>
      </c>
      <c r="I681" s="47" t="s">
        <v>22</v>
      </c>
      <c r="J681" s="3">
        <v>0.7</v>
      </c>
      <c r="K681" s="47" t="s">
        <v>135</v>
      </c>
      <c r="L681" s="30" t="s">
        <v>136</v>
      </c>
      <c r="M681" s="47" t="s">
        <v>137</v>
      </c>
      <c r="N681" s="3">
        <v>0.9</v>
      </c>
      <c r="O681" s="10">
        <v>0.2</v>
      </c>
      <c r="P681" s="3"/>
      <c r="Q681" s="3">
        <f t="shared" si="22"/>
        <v>0</v>
      </c>
      <c r="R681" s="48">
        <f t="shared" si="23"/>
        <v>0</v>
      </c>
      <c r="S681" s="10" t="s">
        <v>23</v>
      </c>
      <c r="T681" s="191"/>
    </row>
    <row r="682" spans="1:20" ht="22.2" hidden="1" thickBot="1" x14ac:dyDescent="0.35">
      <c r="A682" s="267">
        <v>2078</v>
      </c>
      <c r="B682" s="268" t="s">
        <v>20</v>
      </c>
      <c r="C682" s="269" t="s">
        <v>267</v>
      </c>
      <c r="D682" s="290">
        <v>5159</v>
      </c>
      <c r="E682" s="298" t="s">
        <v>334</v>
      </c>
      <c r="F682" s="299" t="s">
        <v>143</v>
      </c>
      <c r="G682" s="298" t="s">
        <v>340</v>
      </c>
      <c r="H682" s="271" t="s">
        <v>418</v>
      </c>
      <c r="I682" s="272" t="s">
        <v>26</v>
      </c>
      <c r="J682" s="273">
        <v>0.3</v>
      </c>
      <c r="K682" s="272" t="s">
        <v>138</v>
      </c>
      <c r="L682" s="291" t="s">
        <v>139</v>
      </c>
      <c r="M682" s="272" t="s">
        <v>140</v>
      </c>
      <c r="N682" s="273">
        <v>1</v>
      </c>
      <c r="O682" s="276">
        <v>1</v>
      </c>
      <c r="P682" s="273"/>
      <c r="Q682" s="273">
        <f t="shared" si="22"/>
        <v>0</v>
      </c>
      <c r="R682" s="287">
        <f t="shared" si="23"/>
        <v>0</v>
      </c>
      <c r="S682" s="276" t="s">
        <v>23</v>
      </c>
      <c r="T682" s="277"/>
    </row>
    <row r="683" spans="1:20" ht="21.6" hidden="1" x14ac:dyDescent="0.3">
      <c r="A683" s="242">
        <v>2070</v>
      </c>
      <c r="B683" s="243" t="s">
        <v>20</v>
      </c>
      <c r="C683" s="244" t="s">
        <v>267</v>
      </c>
      <c r="D683" s="293">
        <v>3250</v>
      </c>
      <c r="E683" s="295" t="s">
        <v>331</v>
      </c>
      <c r="F683" s="296" t="s">
        <v>143</v>
      </c>
      <c r="G683" s="295" t="s">
        <v>340</v>
      </c>
      <c r="H683" s="246" t="s">
        <v>418</v>
      </c>
      <c r="I683" s="294" t="s">
        <v>22</v>
      </c>
      <c r="J683" s="248">
        <v>0.7</v>
      </c>
      <c r="K683" s="75" t="s">
        <v>513</v>
      </c>
      <c r="L683" s="105" t="s">
        <v>511</v>
      </c>
      <c r="M683" s="75" t="s">
        <v>411</v>
      </c>
      <c r="N683" s="248">
        <v>0.95</v>
      </c>
      <c r="O683" s="248">
        <v>0.15</v>
      </c>
      <c r="P683" s="248"/>
      <c r="Q683" s="248">
        <f t="shared" si="22"/>
        <v>0</v>
      </c>
      <c r="R683" s="250">
        <f t="shared" si="23"/>
        <v>0</v>
      </c>
      <c r="S683" s="248" t="s">
        <v>23</v>
      </c>
      <c r="T683" s="251">
        <f>SUM(R683:R690)%</f>
        <v>0</v>
      </c>
    </row>
    <row r="684" spans="1:20" ht="21.6" hidden="1" x14ac:dyDescent="0.3">
      <c r="A684" s="182">
        <v>2072</v>
      </c>
      <c r="B684" s="42" t="s">
        <v>20</v>
      </c>
      <c r="C684" s="43" t="s">
        <v>267</v>
      </c>
      <c r="D684" s="50">
        <v>3250</v>
      </c>
      <c r="E684" s="52" t="s">
        <v>331</v>
      </c>
      <c r="F684" s="53" t="s">
        <v>143</v>
      </c>
      <c r="G684" s="52" t="s">
        <v>340</v>
      </c>
      <c r="H684" s="45" t="s">
        <v>418</v>
      </c>
      <c r="I684" s="7" t="s">
        <v>22</v>
      </c>
      <c r="J684" s="3">
        <v>0.7</v>
      </c>
      <c r="K684" s="7" t="s">
        <v>124</v>
      </c>
      <c r="L684" s="8" t="s">
        <v>125</v>
      </c>
      <c r="M684" s="7" t="s">
        <v>126</v>
      </c>
      <c r="N684" s="3">
        <v>0.95</v>
      </c>
      <c r="O684" s="3">
        <v>0.15</v>
      </c>
      <c r="P684" s="6"/>
      <c r="Q684" s="3">
        <f t="shared" si="22"/>
        <v>0</v>
      </c>
      <c r="R684" s="4">
        <f t="shared" si="23"/>
        <v>0</v>
      </c>
      <c r="S684" s="3" t="s">
        <v>23</v>
      </c>
      <c r="T684" s="190"/>
    </row>
    <row r="685" spans="1:20" ht="21.6" hidden="1" x14ac:dyDescent="0.3">
      <c r="A685" s="182">
        <v>2073</v>
      </c>
      <c r="B685" s="42" t="s">
        <v>20</v>
      </c>
      <c r="C685" s="43" t="s">
        <v>267</v>
      </c>
      <c r="D685" s="50">
        <v>3250</v>
      </c>
      <c r="E685" s="52" t="s">
        <v>331</v>
      </c>
      <c r="F685" s="53" t="s">
        <v>143</v>
      </c>
      <c r="G685" s="52" t="s">
        <v>340</v>
      </c>
      <c r="H685" s="45" t="s">
        <v>418</v>
      </c>
      <c r="I685" s="7" t="s">
        <v>22</v>
      </c>
      <c r="J685" s="3">
        <v>0.7</v>
      </c>
      <c r="K685" s="7" t="s">
        <v>51</v>
      </c>
      <c r="L685" s="8" t="s">
        <v>127</v>
      </c>
      <c r="M685" s="7" t="s">
        <v>128</v>
      </c>
      <c r="N685" s="6">
        <v>0.05</v>
      </c>
      <c r="O685" s="3">
        <v>0.1</v>
      </c>
      <c r="P685" s="11"/>
      <c r="Q685" s="3">
        <f t="shared" si="22"/>
        <v>0</v>
      </c>
      <c r="R685" s="4">
        <f t="shared" si="23"/>
        <v>0</v>
      </c>
      <c r="S685" s="3" t="s">
        <v>24</v>
      </c>
      <c r="T685" s="190"/>
    </row>
    <row r="686" spans="1:20" ht="21.6" hidden="1" x14ac:dyDescent="0.3">
      <c r="A686" s="182">
        <v>2074</v>
      </c>
      <c r="B686" s="42" t="s">
        <v>20</v>
      </c>
      <c r="C686" s="43" t="s">
        <v>267</v>
      </c>
      <c r="D686" s="50">
        <v>3250</v>
      </c>
      <c r="E686" s="52" t="s">
        <v>331</v>
      </c>
      <c r="F686" s="53" t="s">
        <v>143</v>
      </c>
      <c r="G686" s="52" t="s">
        <v>340</v>
      </c>
      <c r="H686" s="45" t="s">
        <v>418</v>
      </c>
      <c r="I686" s="7" t="s">
        <v>22</v>
      </c>
      <c r="J686" s="3">
        <v>0.7</v>
      </c>
      <c r="K686" s="7" t="s">
        <v>305</v>
      </c>
      <c r="L686" s="8" t="s">
        <v>257</v>
      </c>
      <c r="M686" s="339" t="s">
        <v>306</v>
      </c>
      <c r="N686" s="3">
        <v>0.95</v>
      </c>
      <c r="O686" s="3">
        <v>0.1</v>
      </c>
      <c r="P686" s="3"/>
      <c r="Q686" s="3">
        <f t="shared" si="22"/>
        <v>0</v>
      </c>
      <c r="R686" s="4">
        <f t="shared" si="23"/>
        <v>0</v>
      </c>
      <c r="S686" s="3" t="s">
        <v>23</v>
      </c>
      <c r="T686" s="190"/>
    </row>
    <row r="687" spans="1:20" ht="21.6" hidden="1" x14ac:dyDescent="0.3">
      <c r="A687" s="182">
        <v>2075</v>
      </c>
      <c r="B687" s="42" t="s">
        <v>20</v>
      </c>
      <c r="C687" s="43" t="s">
        <v>267</v>
      </c>
      <c r="D687" s="50">
        <v>3250</v>
      </c>
      <c r="E687" s="52" t="s">
        <v>331</v>
      </c>
      <c r="F687" s="53" t="s">
        <v>143</v>
      </c>
      <c r="G687" s="52" t="s">
        <v>340</v>
      </c>
      <c r="H687" s="45" t="s">
        <v>418</v>
      </c>
      <c r="I687" s="47" t="s">
        <v>22</v>
      </c>
      <c r="J687" s="3">
        <v>0.7</v>
      </c>
      <c r="K687" s="47" t="s">
        <v>129</v>
      </c>
      <c r="L687" s="30" t="s">
        <v>130</v>
      </c>
      <c r="M687" s="47" t="s">
        <v>131</v>
      </c>
      <c r="N687" s="3">
        <v>0.9</v>
      </c>
      <c r="O687" s="10">
        <v>0.2</v>
      </c>
      <c r="P687" s="3"/>
      <c r="Q687" s="3">
        <f t="shared" si="22"/>
        <v>0</v>
      </c>
      <c r="R687" s="48">
        <f t="shared" si="23"/>
        <v>0</v>
      </c>
      <c r="S687" s="10" t="s">
        <v>23</v>
      </c>
      <c r="T687" s="191"/>
    </row>
    <row r="688" spans="1:20" ht="21.6" hidden="1" x14ac:dyDescent="0.3">
      <c r="A688" s="182">
        <v>2076</v>
      </c>
      <c r="B688" s="42" t="s">
        <v>20</v>
      </c>
      <c r="C688" s="43" t="s">
        <v>267</v>
      </c>
      <c r="D688" s="50">
        <v>3250</v>
      </c>
      <c r="E688" s="52" t="s">
        <v>331</v>
      </c>
      <c r="F688" s="53" t="s">
        <v>143</v>
      </c>
      <c r="G688" s="52" t="s">
        <v>340</v>
      </c>
      <c r="H688" s="45" t="s">
        <v>418</v>
      </c>
      <c r="I688" s="47" t="s">
        <v>22</v>
      </c>
      <c r="J688" s="3">
        <v>0.7</v>
      </c>
      <c r="K688" s="47" t="s">
        <v>132</v>
      </c>
      <c r="L688" s="30" t="s">
        <v>133</v>
      </c>
      <c r="M688" s="47" t="s">
        <v>134</v>
      </c>
      <c r="N688" s="4">
        <v>0</v>
      </c>
      <c r="O688" s="10">
        <v>0.1</v>
      </c>
      <c r="P688" s="3"/>
      <c r="Q688" s="3">
        <f t="shared" si="22"/>
        <v>0</v>
      </c>
      <c r="R688" s="48">
        <f t="shared" si="23"/>
        <v>0</v>
      </c>
      <c r="S688" s="10" t="s">
        <v>24</v>
      </c>
      <c r="T688" s="191"/>
    </row>
    <row r="689" spans="1:20" ht="21.6" hidden="1" x14ac:dyDescent="0.3">
      <c r="A689" s="182">
        <v>2077</v>
      </c>
      <c r="B689" s="42" t="s">
        <v>20</v>
      </c>
      <c r="C689" s="43" t="s">
        <v>267</v>
      </c>
      <c r="D689" s="50">
        <v>3250</v>
      </c>
      <c r="E689" s="52" t="s">
        <v>331</v>
      </c>
      <c r="F689" s="53" t="s">
        <v>143</v>
      </c>
      <c r="G689" s="52" t="s">
        <v>340</v>
      </c>
      <c r="H689" s="45" t="s">
        <v>418</v>
      </c>
      <c r="I689" s="47" t="s">
        <v>22</v>
      </c>
      <c r="J689" s="3">
        <v>0.7</v>
      </c>
      <c r="K689" s="47" t="s">
        <v>135</v>
      </c>
      <c r="L689" s="30" t="s">
        <v>136</v>
      </c>
      <c r="M689" s="47" t="s">
        <v>137</v>
      </c>
      <c r="N689" s="3">
        <v>0.9</v>
      </c>
      <c r="O689" s="10">
        <v>0.2</v>
      </c>
      <c r="P689" s="3"/>
      <c r="Q689" s="3">
        <f t="shared" si="22"/>
        <v>0</v>
      </c>
      <c r="R689" s="48">
        <f t="shared" si="23"/>
        <v>0</v>
      </c>
      <c r="S689" s="10" t="s">
        <v>23</v>
      </c>
      <c r="T689" s="191"/>
    </row>
    <row r="690" spans="1:20" ht="22.2" hidden="1" thickBot="1" x14ac:dyDescent="0.35">
      <c r="A690" s="267">
        <v>2078</v>
      </c>
      <c r="B690" s="268" t="s">
        <v>20</v>
      </c>
      <c r="C690" s="269" t="s">
        <v>267</v>
      </c>
      <c r="D690" s="290">
        <v>3250</v>
      </c>
      <c r="E690" s="298" t="s">
        <v>331</v>
      </c>
      <c r="F690" s="299" t="s">
        <v>143</v>
      </c>
      <c r="G690" s="298" t="s">
        <v>340</v>
      </c>
      <c r="H690" s="271" t="s">
        <v>418</v>
      </c>
      <c r="I690" s="272" t="s">
        <v>26</v>
      </c>
      <c r="J690" s="273">
        <v>0.3</v>
      </c>
      <c r="K690" s="272" t="s">
        <v>138</v>
      </c>
      <c r="L690" s="291" t="s">
        <v>139</v>
      </c>
      <c r="M690" s="272" t="s">
        <v>140</v>
      </c>
      <c r="N690" s="273">
        <v>1</v>
      </c>
      <c r="O690" s="276">
        <v>1</v>
      </c>
      <c r="P690" s="273"/>
      <c r="Q690" s="273">
        <f t="shared" si="22"/>
        <v>0</v>
      </c>
      <c r="R690" s="287">
        <f t="shared" si="23"/>
        <v>0</v>
      </c>
      <c r="S690" s="276" t="s">
        <v>23</v>
      </c>
      <c r="T690" s="277"/>
    </row>
    <row r="691" spans="1:20" ht="21.6" hidden="1" x14ac:dyDescent="0.3">
      <c r="A691" s="242">
        <v>2070</v>
      </c>
      <c r="B691" s="243" t="s">
        <v>20</v>
      </c>
      <c r="C691" s="244" t="s">
        <v>267</v>
      </c>
      <c r="D691" s="293">
        <v>5369</v>
      </c>
      <c r="E691" s="295" t="s">
        <v>336</v>
      </c>
      <c r="F691" s="296" t="s">
        <v>143</v>
      </c>
      <c r="G691" s="295" t="s">
        <v>340</v>
      </c>
      <c r="H691" s="246" t="s">
        <v>418</v>
      </c>
      <c r="I691" s="294" t="s">
        <v>22</v>
      </c>
      <c r="J691" s="248">
        <v>0.7</v>
      </c>
      <c r="K691" s="75" t="s">
        <v>513</v>
      </c>
      <c r="L691" s="105" t="s">
        <v>511</v>
      </c>
      <c r="M691" s="75" t="s">
        <v>411</v>
      </c>
      <c r="N691" s="248">
        <v>0.95</v>
      </c>
      <c r="O691" s="248">
        <v>0.15</v>
      </c>
      <c r="P691" s="248"/>
      <c r="Q691" s="248">
        <f t="shared" si="22"/>
        <v>0</v>
      </c>
      <c r="R691" s="250">
        <f t="shared" si="23"/>
        <v>0</v>
      </c>
      <c r="S691" s="248" t="s">
        <v>23</v>
      </c>
      <c r="T691" s="251">
        <f>SUM(R691:R698)%</f>
        <v>0</v>
      </c>
    </row>
    <row r="692" spans="1:20" ht="21.6" hidden="1" x14ac:dyDescent="0.3">
      <c r="A692" s="182">
        <v>2072</v>
      </c>
      <c r="B692" s="42" t="s">
        <v>20</v>
      </c>
      <c r="C692" s="43" t="s">
        <v>267</v>
      </c>
      <c r="D692" s="50">
        <v>5369</v>
      </c>
      <c r="E692" s="52" t="s">
        <v>336</v>
      </c>
      <c r="F692" s="53" t="s">
        <v>143</v>
      </c>
      <c r="G692" s="52" t="s">
        <v>340</v>
      </c>
      <c r="H692" s="45" t="s">
        <v>418</v>
      </c>
      <c r="I692" s="7" t="s">
        <v>22</v>
      </c>
      <c r="J692" s="3">
        <v>0.7</v>
      </c>
      <c r="K692" s="7" t="s">
        <v>124</v>
      </c>
      <c r="L692" s="8" t="s">
        <v>125</v>
      </c>
      <c r="M692" s="7" t="s">
        <v>126</v>
      </c>
      <c r="N692" s="3">
        <v>0.95</v>
      </c>
      <c r="O692" s="3">
        <v>0.15</v>
      </c>
      <c r="P692" s="6"/>
      <c r="Q692" s="3">
        <f t="shared" si="22"/>
        <v>0</v>
      </c>
      <c r="R692" s="4">
        <f t="shared" si="23"/>
        <v>0</v>
      </c>
      <c r="S692" s="3" t="s">
        <v>23</v>
      </c>
      <c r="T692" s="190"/>
    </row>
    <row r="693" spans="1:20" ht="21.6" hidden="1" x14ac:dyDescent="0.3">
      <c r="A693" s="182">
        <v>2073</v>
      </c>
      <c r="B693" s="42" t="s">
        <v>20</v>
      </c>
      <c r="C693" s="43" t="s">
        <v>267</v>
      </c>
      <c r="D693" s="50">
        <v>5369</v>
      </c>
      <c r="E693" s="52" t="s">
        <v>336</v>
      </c>
      <c r="F693" s="53" t="s">
        <v>143</v>
      </c>
      <c r="G693" s="52" t="s">
        <v>340</v>
      </c>
      <c r="H693" s="45" t="s">
        <v>418</v>
      </c>
      <c r="I693" s="7" t="s">
        <v>22</v>
      </c>
      <c r="J693" s="3">
        <v>0.7</v>
      </c>
      <c r="K693" s="7" t="s">
        <v>51</v>
      </c>
      <c r="L693" s="8" t="s">
        <v>127</v>
      </c>
      <c r="M693" s="7" t="s">
        <v>128</v>
      </c>
      <c r="N693" s="6">
        <v>0.05</v>
      </c>
      <c r="O693" s="3">
        <v>0.1</v>
      </c>
      <c r="P693" s="11"/>
      <c r="Q693" s="3">
        <f t="shared" si="22"/>
        <v>0</v>
      </c>
      <c r="R693" s="4">
        <f t="shared" si="23"/>
        <v>0</v>
      </c>
      <c r="S693" s="3" t="s">
        <v>24</v>
      </c>
      <c r="T693" s="190"/>
    </row>
    <row r="694" spans="1:20" ht="21.6" hidden="1" x14ac:dyDescent="0.3">
      <c r="A694" s="182">
        <v>2074</v>
      </c>
      <c r="B694" s="42" t="s">
        <v>20</v>
      </c>
      <c r="C694" s="43" t="s">
        <v>267</v>
      </c>
      <c r="D694" s="50">
        <v>5369</v>
      </c>
      <c r="E694" s="52" t="s">
        <v>336</v>
      </c>
      <c r="F694" s="53" t="s">
        <v>143</v>
      </c>
      <c r="G694" s="52" t="s">
        <v>340</v>
      </c>
      <c r="H694" s="45" t="s">
        <v>418</v>
      </c>
      <c r="I694" s="7" t="s">
        <v>22</v>
      </c>
      <c r="J694" s="3">
        <v>0.7</v>
      </c>
      <c r="K694" s="7" t="s">
        <v>305</v>
      </c>
      <c r="L694" s="8" t="s">
        <v>257</v>
      </c>
      <c r="M694" s="339" t="s">
        <v>306</v>
      </c>
      <c r="N694" s="3">
        <v>0.95</v>
      </c>
      <c r="O694" s="3">
        <v>0.1</v>
      </c>
      <c r="P694" s="3"/>
      <c r="Q694" s="3">
        <f t="shared" si="22"/>
        <v>0</v>
      </c>
      <c r="R694" s="4">
        <f t="shared" si="23"/>
        <v>0</v>
      </c>
      <c r="S694" s="3" t="s">
        <v>23</v>
      </c>
      <c r="T694" s="190"/>
    </row>
    <row r="695" spans="1:20" ht="21.6" hidden="1" x14ac:dyDescent="0.3">
      <c r="A695" s="182">
        <v>2075</v>
      </c>
      <c r="B695" s="42" t="s">
        <v>20</v>
      </c>
      <c r="C695" s="43" t="s">
        <v>267</v>
      </c>
      <c r="D695" s="50">
        <v>5369</v>
      </c>
      <c r="E695" s="52" t="s">
        <v>336</v>
      </c>
      <c r="F695" s="53" t="s">
        <v>143</v>
      </c>
      <c r="G695" s="52" t="s">
        <v>340</v>
      </c>
      <c r="H695" s="45" t="s">
        <v>418</v>
      </c>
      <c r="I695" s="47" t="s">
        <v>22</v>
      </c>
      <c r="J695" s="3">
        <v>0.7</v>
      </c>
      <c r="K695" s="47" t="s">
        <v>129</v>
      </c>
      <c r="L695" s="30" t="s">
        <v>130</v>
      </c>
      <c r="M695" s="47" t="s">
        <v>131</v>
      </c>
      <c r="N695" s="3">
        <v>0.9</v>
      </c>
      <c r="O695" s="10">
        <v>0.2</v>
      </c>
      <c r="P695" s="3"/>
      <c r="Q695" s="3">
        <f t="shared" si="22"/>
        <v>0</v>
      </c>
      <c r="R695" s="48">
        <f t="shared" si="23"/>
        <v>0</v>
      </c>
      <c r="S695" s="10" t="s">
        <v>23</v>
      </c>
      <c r="T695" s="191"/>
    </row>
    <row r="696" spans="1:20" ht="21.6" hidden="1" x14ac:dyDescent="0.3">
      <c r="A696" s="182">
        <v>2076</v>
      </c>
      <c r="B696" s="42" t="s">
        <v>20</v>
      </c>
      <c r="C696" s="43" t="s">
        <v>267</v>
      </c>
      <c r="D696" s="50">
        <v>5369</v>
      </c>
      <c r="E696" s="52" t="s">
        <v>336</v>
      </c>
      <c r="F696" s="53" t="s">
        <v>143</v>
      </c>
      <c r="G696" s="52" t="s">
        <v>340</v>
      </c>
      <c r="H696" s="45" t="s">
        <v>418</v>
      </c>
      <c r="I696" s="47" t="s">
        <v>22</v>
      </c>
      <c r="J696" s="3">
        <v>0.7</v>
      </c>
      <c r="K696" s="47" t="s">
        <v>132</v>
      </c>
      <c r="L696" s="30" t="s">
        <v>133</v>
      </c>
      <c r="M696" s="47" t="s">
        <v>134</v>
      </c>
      <c r="N696" s="4">
        <v>0</v>
      </c>
      <c r="O696" s="10">
        <v>0.1</v>
      </c>
      <c r="P696" s="3"/>
      <c r="Q696" s="3">
        <f t="shared" si="22"/>
        <v>0</v>
      </c>
      <c r="R696" s="48">
        <f t="shared" si="23"/>
        <v>0</v>
      </c>
      <c r="S696" s="10" t="s">
        <v>24</v>
      </c>
      <c r="T696" s="191"/>
    </row>
    <row r="697" spans="1:20" ht="21.6" hidden="1" x14ac:dyDescent="0.3">
      <c r="A697" s="182">
        <v>2077</v>
      </c>
      <c r="B697" s="42" t="s">
        <v>20</v>
      </c>
      <c r="C697" s="43" t="s">
        <v>267</v>
      </c>
      <c r="D697" s="50">
        <v>5369</v>
      </c>
      <c r="E697" s="52" t="s">
        <v>336</v>
      </c>
      <c r="F697" s="53" t="s">
        <v>143</v>
      </c>
      <c r="G697" s="52" t="s">
        <v>340</v>
      </c>
      <c r="H697" s="45" t="s">
        <v>418</v>
      </c>
      <c r="I697" s="47" t="s">
        <v>22</v>
      </c>
      <c r="J697" s="3">
        <v>0.7</v>
      </c>
      <c r="K697" s="47" t="s">
        <v>135</v>
      </c>
      <c r="L697" s="30" t="s">
        <v>136</v>
      </c>
      <c r="M697" s="47" t="s">
        <v>137</v>
      </c>
      <c r="N697" s="3">
        <v>0.9</v>
      </c>
      <c r="O697" s="10">
        <v>0.2</v>
      </c>
      <c r="P697" s="3"/>
      <c r="Q697" s="3">
        <f t="shared" ref="Q697:Q760" si="24">ROUND(IF(OR(N697="",P697=""),0,IF(AND(N697=0,P697=0),1,IF(S697="+",P697/N697,N697/P697))),2)</f>
        <v>0</v>
      </c>
      <c r="R697" s="48">
        <f t="shared" si="23"/>
        <v>0</v>
      </c>
      <c r="S697" s="10" t="s">
        <v>23</v>
      </c>
      <c r="T697" s="191"/>
    </row>
    <row r="698" spans="1:20" ht="22.2" hidden="1" thickBot="1" x14ac:dyDescent="0.35">
      <c r="A698" s="267">
        <v>2078</v>
      </c>
      <c r="B698" s="268" t="s">
        <v>20</v>
      </c>
      <c r="C698" s="269" t="s">
        <v>267</v>
      </c>
      <c r="D698" s="290">
        <v>5369</v>
      </c>
      <c r="E698" s="298" t="s">
        <v>336</v>
      </c>
      <c r="F698" s="299" t="s">
        <v>143</v>
      </c>
      <c r="G698" s="298" t="s">
        <v>340</v>
      </c>
      <c r="H698" s="271" t="s">
        <v>418</v>
      </c>
      <c r="I698" s="272" t="s">
        <v>26</v>
      </c>
      <c r="J698" s="273">
        <v>0.3</v>
      </c>
      <c r="K698" s="272" t="s">
        <v>138</v>
      </c>
      <c r="L698" s="291" t="s">
        <v>139</v>
      </c>
      <c r="M698" s="272" t="s">
        <v>140</v>
      </c>
      <c r="N698" s="273">
        <v>1</v>
      </c>
      <c r="O698" s="276">
        <v>1</v>
      </c>
      <c r="P698" s="273"/>
      <c r="Q698" s="273">
        <f t="shared" si="24"/>
        <v>0</v>
      </c>
      <c r="R698" s="287">
        <f t="shared" si="23"/>
        <v>0</v>
      </c>
      <c r="S698" s="276" t="s">
        <v>23</v>
      </c>
      <c r="T698" s="277"/>
    </row>
    <row r="699" spans="1:20" ht="21.6" hidden="1" x14ac:dyDescent="0.3">
      <c r="A699" s="242">
        <v>2070</v>
      </c>
      <c r="B699" s="243" t="s">
        <v>20</v>
      </c>
      <c r="C699" s="244" t="s">
        <v>267</v>
      </c>
      <c r="D699" s="293">
        <v>5179</v>
      </c>
      <c r="E699" s="295" t="s">
        <v>335</v>
      </c>
      <c r="F699" s="296" t="s">
        <v>143</v>
      </c>
      <c r="G699" s="295" t="s">
        <v>340</v>
      </c>
      <c r="H699" s="246" t="s">
        <v>418</v>
      </c>
      <c r="I699" s="294" t="s">
        <v>22</v>
      </c>
      <c r="J699" s="248">
        <v>0.7</v>
      </c>
      <c r="K699" s="75" t="s">
        <v>513</v>
      </c>
      <c r="L699" s="105" t="s">
        <v>511</v>
      </c>
      <c r="M699" s="75" t="s">
        <v>411</v>
      </c>
      <c r="N699" s="248">
        <v>0.95</v>
      </c>
      <c r="O699" s="248">
        <v>0.15</v>
      </c>
      <c r="P699" s="248"/>
      <c r="Q699" s="248">
        <f t="shared" si="24"/>
        <v>0</v>
      </c>
      <c r="R699" s="250">
        <f t="shared" si="23"/>
        <v>0</v>
      </c>
      <c r="S699" s="248" t="s">
        <v>23</v>
      </c>
      <c r="T699" s="251">
        <f>SUM(R699:R706)%</f>
        <v>0</v>
      </c>
    </row>
    <row r="700" spans="1:20" ht="21.6" hidden="1" x14ac:dyDescent="0.3">
      <c r="A700" s="182">
        <v>2072</v>
      </c>
      <c r="B700" s="42" t="s">
        <v>20</v>
      </c>
      <c r="C700" s="43" t="s">
        <v>267</v>
      </c>
      <c r="D700" s="50">
        <v>5179</v>
      </c>
      <c r="E700" s="52" t="s">
        <v>335</v>
      </c>
      <c r="F700" s="53" t="s">
        <v>143</v>
      </c>
      <c r="G700" s="52" t="s">
        <v>340</v>
      </c>
      <c r="H700" s="45" t="s">
        <v>418</v>
      </c>
      <c r="I700" s="7" t="s">
        <v>22</v>
      </c>
      <c r="J700" s="3">
        <v>0.7</v>
      </c>
      <c r="K700" s="7" t="s">
        <v>124</v>
      </c>
      <c r="L700" s="8" t="s">
        <v>125</v>
      </c>
      <c r="M700" s="7" t="s">
        <v>126</v>
      </c>
      <c r="N700" s="3">
        <v>0.95</v>
      </c>
      <c r="O700" s="3">
        <v>0.15</v>
      </c>
      <c r="P700" s="6"/>
      <c r="Q700" s="3">
        <f t="shared" si="24"/>
        <v>0</v>
      </c>
      <c r="R700" s="4">
        <f t="shared" si="23"/>
        <v>0</v>
      </c>
      <c r="S700" s="3" t="s">
        <v>23</v>
      </c>
      <c r="T700" s="190"/>
    </row>
    <row r="701" spans="1:20" ht="21.6" hidden="1" x14ac:dyDescent="0.3">
      <c r="A701" s="182">
        <v>2073</v>
      </c>
      <c r="B701" s="42" t="s">
        <v>20</v>
      </c>
      <c r="C701" s="43" t="s">
        <v>267</v>
      </c>
      <c r="D701" s="50">
        <v>5179</v>
      </c>
      <c r="E701" s="52" t="s">
        <v>335</v>
      </c>
      <c r="F701" s="53" t="s">
        <v>143</v>
      </c>
      <c r="G701" s="52" t="s">
        <v>340</v>
      </c>
      <c r="H701" s="45" t="s">
        <v>418</v>
      </c>
      <c r="I701" s="7" t="s">
        <v>22</v>
      </c>
      <c r="J701" s="3">
        <v>0.7</v>
      </c>
      <c r="K701" s="7" t="s">
        <v>51</v>
      </c>
      <c r="L701" s="8" t="s">
        <v>127</v>
      </c>
      <c r="M701" s="7" t="s">
        <v>128</v>
      </c>
      <c r="N701" s="6">
        <v>0.05</v>
      </c>
      <c r="O701" s="3">
        <v>0.1</v>
      </c>
      <c r="P701" s="11"/>
      <c r="Q701" s="3">
        <f t="shared" si="24"/>
        <v>0</v>
      </c>
      <c r="R701" s="4">
        <f t="shared" si="23"/>
        <v>0</v>
      </c>
      <c r="S701" s="3" t="s">
        <v>24</v>
      </c>
      <c r="T701" s="190"/>
    </row>
    <row r="702" spans="1:20" ht="21.6" hidden="1" x14ac:dyDescent="0.3">
      <c r="A702" s="182">
        <v>2074</v>
      </c>
      <c r="B702" s="42" t="s">
        <v>20</v>
      </c>
      <c r="C702" s="43" t="s">
        <v>267</v>
      </c>
      <c r="D702" s="50">
        <v>5179</v>
      </c>
      <c r="E702" s="52" t="s">
        <v>335</v>
      </c>
      <c r="F702" s="53" t="s">
        <v>143</v>
      </c>
      <c r="G702" s="52" t="s">
        <v>340</v>
      </c>
      <c r="H702" s="45" t="s">
        <v>418</v>
      </c>
      <c r="I702" s="7" t="s">
        <v>22</v>
      </c>
      <c r="J702" s="3">
        <v>0.7</v>
      </c>
      <c r="K702" s="7" t="s">
        <v>305</v>
      </c>
      <c r="L702" s="8" t="s">
        <v>257</v>
      </c>
      <c r="M702" s="339" t="s">
        <v>306</v>
      </c>
      <c r="N702" s="3">
        <v>0.95</v>
      </c>
      <c r="O702" s="3">
        <v>0.1</v>
      </c>
      <c r="P702" s="3"/>
      <c r="Q702" s="3">
        <f t="shared" si="24"/>
        <v>0</v>
      </c>
      <c r="R702" s="4">
        <f t="shared" si="23"/>
        <v>0</v>
      </c>
      <c r="S702" s="3" t="s">
        <v>23</v>
      </c>
      <c r="T702" s="190"/>
    </row>
    <row r="703" spans="1:20" ht="21.6" hidden="1" x14ac:dyDescent="0.3">
      <c r="A703" s="182">
        <v>2075</v>
      </c>
      <c r="B703" s="42" t="s">
        <v>20</v>
      </c>
      <c r="C703" s="43" t="s">
        <v>267</v>
      </c>
      <c r="D703" s="50">
        <v>5179</v>
      </c>
      <c r="E703" s="52" t="s">
        <v>335</v>
      </c>
      <c r="F703" s="53" t="s">
        <v>143</v>
      </c>
      <c r="G703" s="52" t="s">
        <v>340</v>
      </c>
      <c r="H703" s="45" t="s">
        <v>418</v>
      </c>
      <c r="I703" s="47" t="s">
        <v>22</v>
      </c>
      <c r="J703" s="3">
        <v>0.7</v>
      </c>
      <c r="K703" s="47" t="s">
        <v>129</v>
      </c>
      <c r="L703" s="30" t="s">
        <v>130</v>
      </c>
      <c r="M703" s="47" t="s">
        <v>131</v>
      </c>
      <c r="N703" s="3">
        <v>0.9</v>
      </c>
      <c r="O703" s="10">
        <v>0.2</v>
      </c>
      <c r="P703" s="3"/>
      <c r="Q703" s="3">
        <f t="shared" si="24"/>
        <v>0</v>
      </c>
      <c r="R703" s="48">
        <f t="shared" si="23"/>
        <v>0</v>
      </c>
      <c r="S703" s="10" t="s">
        <v>23</v>
      </c>
      <c r="T703" s="191"/>
    </row>
    <row r="704" spans="1:20" ht="21.6" hidden="1" x14ac:dyDescent="0.3">
      <c r="A704" s="182">
        <v>2076</v>
      </c>
      <c r="B704" s="42" t="s">
        <v>20</v>
      </c>
      <c r="C704" s="43" t="s">
        <v>267</v>
      </c>
      <c r="D704" s="50">
        <v>5179</v>
      </c>
      <c r="E704" s="52" t="s">
        <v>335</v>
      </c>
      <c r="F704" s="53" t="s">
        <v>143</v>
      </c>
      <c r="G704" s="52" t="s">
        <v>340</v>
      </c>
      <c r="H704" s="45" t="s">
        <v>418</v>
      </c>
      <c r="I704" s="47" t="s">
        <v>22</v>
      </c>
      <c r="J704" s="3">
        <v>0.7</v>
      </c>
      <c r="K704" s="47" t="s">
        <v>132</v>
      </c>
      <c r="L704" s="30" t="s">
        <v>133</v>
      </c>
      <c r="M704" s="47" t="s">
        <v>134</v>
      </c>
      <c r="N704" s="4">
        <v>0</v>
      </c>
      <c r="O704" s="10">
        <v>0.1</v>
      </c>
      <c r="P704" s="3"/>
      <c r="Q704" s="3">
        <f t="shared" si="24"/>
        <v>0</v>
      </c>
      <c r="R704" s="48">
        <f t="shared" si="23"/>
        <v>0</v>
      </c>
      <c r="S704" s="10" t="s">
        <v>24</v>
      </c>
      <c r="T704" s="191"/>
    </row>
    <row r="705" spans="1:20" ht="21.6" hidden="1" x14ac:dyDescent="0.3">
      <c r="A705" s="182">
        <v>2077</v>
      </c>
      <c r="B705" s="42" t="s">
        <v>20</v>
      </c>
      <c r="C705" s="43" t="s">
        <v>267</v>
      </c>
      <c r="D705" s="50">
        <v>5179</v>
      </c>
      <c r="E705" s="52" t="s">
        <v>335</v>
      </c>
      <c r="F705" s="53" t="s">
        <v>143</v>
      </c>
      <c r="G705" s="52" t="s">
        <v>340</v>
      </c>
      <c r="H705" s="45" t="s">
        <v>418</v>
      </c>
      <c r="I705" s="47" t="s">
        <v>22</v>
      </c>
      <c r="J705" s="3">
        <v>0.7</v>
      </c>
      <c r="K705" s="47" t="s">
        <v>135</v>
      </c>
      <c r="L705" s="30" t="s">
        <v>136</v>
      </c>
      <c r="M705" s="47" t="s">
        <v>137</v>
      </c>
      <c r="N705" s="3">
        <v>0.9</v>
      </c>
      <c r="O705" s="10">
        <v>0.2</v>
      </c>
      <c r="P705" s="3"/>
      <c r="Q705" s="3">
        <f t="shared" si="24"/>
        <v>0</v>
      </c>
      <c r="R705" s="48">
        <f t="shared" si="23"/>
        <v>0</v>
      </c>
      <c r="S705" s="10" t="s">
        <v>23</v>
      </c>
      <c r="T705" s="191"/>
    </row>
    <row r="706" spans="1:20" ht="22.2" hidden="1" thickBot="1" x14ac:dyDescent="0.35">
      <c r="A706" s="267">
        <v>2078</v>
      </c>
      <c r="B706" s="268" t="s">
        <v>20</v>
      </c>
      <c r="C706" s="269" t="s">
        <v>267</v>
      </c>
      <c r="D706" s="290">
        <v>5179</v>
      </c>
      <c r="E706" s="298" t="s">
        <v>335</v>
      </c>
      <c r="F706" s="299" t="s">
        <v>143</v>
      </c>
      <c r="G706" s="298" t="s">
        <v>340</v>
      </c>
      <c r="H706" s="271" t="s">
        <v>418</v>
      </c>
      <c r="I706" s="272" t="s">
        <v>26</v>
      </c>
      <c r="J706" s="273">
        <v>0.3</v>
      </c>
      <c r="K706" s="272" t="s">
        <v>138</v>
      </c>
      <c r="L706" s="291" t="s">
        <v>139</v>
      </c>
      <c r="M706" s="272" t="s">
        <v>140</v>
      </c>
      <c r="N706" s="273">
        <v>1</v>
      </c>
      <c r="O706" s="276">
        <v>1</v>
      </c>
      <c r="P706" s="273"/>
      <c r="Q706" s="273">
        <f t="shared" si="24"/>
        <v>0</v>
      </c>
      <c r="R706" s="287">
        <f t="shared" si="23"/>
        <v>0</v>
      </c>
      <c r="S706" s="276" t="s">
        <v>23</v>
      </c>
      <c r="T706" s="277"/>
    </row>
    <row r="707" spans="1:20" ht="21.6" hidden="1" x14ac:dyDescent="0.3">
      <c r="A707" s="242">
        <v>2070</v>
      </c>
      <c r="B707" s="243" t="s">
        <v>20</v>
      </c>
      <c r="C707" s="244" t="s">
        <v>267</v>
      </c>
      <c r="D707" s="293">
        <v>5289</v>
      </c>
      <c r="E707" s="295" t="s">
        <v>337</v>
      </c>
      <c r="F707" s="296" t="s">
        <v>143</v>
      </c>
      <c r="G707" s="295" t="s">
        <v>340</v>
      </c>
      <c r="H707" s="246" t="s">
        <v>418</v>
      </c>
      <c r="I707" s="294" t="s">
        <v>22</v>
      </c>
      <c r="J707" s="248">
        <v>0.7</v>
      </c>
      <c r="K707" s="75" t="s">
        <v>513</v>
      </c>
      <c r="L707" s="105" t="s">
        <v>511</v>
      </c>
      <c r="M707" s="75" t="s">
        <v>411</v>
      </c>
      <c r="N707" s="248">
        <v>0.95</v>
      </c>
      <c r="O707" s="248">
        <v>0.15</v>
      </c>
      <c r="P707" s="248"/>
      <c r="Q707" s="248">
        <f t="shared" si="24"/>
        <v>0</v>
      </c>
      <c r="R707" s="250">
        <f t="shared" si="23"/>
        <v>0</v>
      </c>
      <c r="S707" s="248" t="s">
        <v>23</v>
      </c>
      <c r="T707" s="251">
        <f>SUM(R707:R714)%</f>
        <v>0</v>
      </c>
    </row>
    <row r="708" spans="1:20" ht="21.6" hidden="1" x14ac:dyDescent="0.3">
      <c r="A708" s="182">
        <v>2071</v>
      </c>
      <c r="B708" s="42" t="s">
        <v>20</v>
      </c>
      <c r="C708" s="43" t="s">
        <v>267</v>
      </c>
      <c r="D708" s="50">
        <v>5289</v>
      </c>
      <c r="E708" s="52" t="s">
        <v>337</v>
      </c>
      <c r="F708" s="53" t="s">
        <v>143</v>
      </c>
      <c r="G708" s="52" t="s">
        <v>340</v>
      </c>
      <c r="H708" s="45" t="s">
        <v>418</v>
      </c>
      <c r="I708" s="7" t="s">
        <v>22</v>
      </c>
      <c r="J708" s="3">
        <v>0.7</v>
      </c>
      <c r="K708" s="7" t="s">
        <v>124</v>
      </c>
      <c r="L708" s="8" t="s">
        <v>125</v>
      </c>
      <c r="M708" s="7" t="s">
        <v>126</v>
      </c>
      <c r="N708" s="3">
        <v>0.95</v>
      </c>
      <c r="O708" s="3">
        <v>0.15</v>
      </c>
      <c r="P708" s="6"/>
      <c r="Q708" s="3">
        <f t="shared" si="24"/>
        <v>0</v>
      </c>
      <c r="R708" s="4">
        <f t="shared" si="23"/>
        <v>0</v>
      </c>
      <c r="S708" s="3" t="s">
        <v>23</v>
      </c>
      <c r="T708" s="190"/>
    </row>
    <row r="709" spans="1:20" ht="21.6" hidden="1" x14ac:dyDescent="0.3">
      <c r="A709" s="182">
        <v>2072</v>
      </c>
      <c r="B709" s="42" t="s">
        <v>20</v>
      </c>
      <c r="C709" s="43" t="s">
        <v>267</v>
      </c>
      <c r="D709" s="50">
        <v>5289</v>
      </c>
      <c r="E709" s="52" t="s">
        <v>337</v>
      </c>
      <c r="F709" s="53" t="s">
        <v>143</v>
      </c>
      <c r="G709" s="52" t="s">
        <v>340</v>
      </c>
      <c r="H709" s="45" t="s">
        <v>418</v>
      </c>
      <c r="I709" s="7" t="s">
        <v>22</v>
      </c>
      <c r="J709" s="3">
        <v>0.7</v>
      </c>
      <c r="K709" s="7" t="s">
        <v>51</v>
      </c>
      <c r="L709" s="8" t="s">
        <v>127</v>
      </c>
      <c r="M709" s="7" t="s">
        <v>128</v>
      </c>
      <c r="N709" s="6">
        <v>0.05</v>
      </c>
      <c r="O709" s="3">
        <v>0.1</v>
      </c>
      <c r="P709" s="11"/>
      <c r="Q709" s="3">
        <f t="shared" si="24"/>
        <v>0</v>
      </c>
      <c r="R709" s="4">
        <f t="shared" si="23"/>
        <v>0</v>
      </c>
      <c r="S709" s="3" t="s">
        <v>24</v>
      </c>
      <c r="T709" s="190"/>
    </row>
    <row r="710" spans="1:20" ht="21.6" hidden="1" x14ac:dyDescent="0.3">
      <c r="A710" s="182">
        <v>2073</v>
      </c>
      <c r="B710" s="42" t="s">
        <v>20</v>
      </c>
      <c r="C710" s="43" t="s">
        <v>267</v>
      </c>
      <c r="D710" s="50">
        <v>5289</v>
      </c>
      <c r="E710" s="52" t="s">
        <v>337</v>
      </c>
      <c r="F710" s="53" t="s">
        <v>143</v>
      </c>
      <c r="G710" s="52" t="s">
        <v>340</v>
      </c>
      <c r="H710" s="45" t="s">
        <v>418</v>
      </c>
      <c r="I710" s="7" t="s">
        <v>22</v>
      </c>
      <c r="J710" s="3">
        <v>0.7</v>
      </c>
      <c r="K710" s="7" t="s">
        <v>305</v>
      </c>
      <c r="L710" s="8" t="s">
        <v>257</v>
      </c>
      <c r="M710" s="339" t="s">
        <v>306</v>
      </c>
      <c r="N710" s="3">
        <v>0.95</v>
      </c>
      <c r="O710" s="3">
        <v>0.1</v>
      </c>
      <c r="P710" s="3"/>
      <c r="Q710" s="3">
        <f t="shared" si="24"/>
        <v>0</v>
      </c>
      <c r="R710" s="4">
        <f t="shared" si="23"/>
        <v>0</v>
      </c>
      <c r="S710" s="3" t="s">
        <v>23</v>
      </c>
      <c r="T710" s="190"/>
    </row>
    <row r="711" spans="1:20" ht="21.6" hidden="1" x14ac:dyDescent="0.3">
      <c r="A711" s="182">
        <v>2074</v>
      </c>
      <c r="B711" s="42" t="s">
        <v>20</v>
      </c>
      <c r="C711" s="43" t="s">
        <v>267</v>
      </c>
      <c r="D711" s="50">
        <v>5289</v>
      </c>
      <c r="E711" s="52" t="s">
        <v>337</v>
      </c>
      <c r="F711" s="53" t="s">
        <v>143</v>
      </c>
      <c r="G711" s="52" t="s">
        <v>340</v>
      </c>
      <c r="H711" s="45" t="s">
        <v>418</v>
      </c>
      <c r="I711" s="47" t="s">
        <v>22</v>
      </c>
      <c r="J711" s="3">
        <v>0.7</v>
      </c>
      <c r="K711" s="47" t="s">
        <v>129</v>
      </c>
      <c r="L711" s="30" t="s">
        <v>130</v>
      </c>
      <c r="M711" s="47" t="s">
        <v>131</v>
      </c>
      <c r="N711" s="3">
        <v>0.9</v>
      </c>
      <c r="O711" s="10">
        <v>0.2</v>
      </c>
      <c r="P711" s="3"/>
      <c r="Q711" s="3">
        <f t="shared" si="24"/>
        <v>0</v>
      </c>
      <c r="R711" s="4">
        <f t="shared" si="23"/>
        <v>0</v>
      </c>
      <c r="S711" s="3" t="s">
        <v>23</v>
      </c>
      <c r="T711" s="190"/>
    </row>
    <row r="712" spans="1:20" ht="21.6" hidden="1" x14ac:dyDescent="0.3">
      <c r="A712" s="182">
        <v>2075</v>
      </c>
      <c r="B712" s="42" t="s">
        <v>20</v>
      </c>
      <c r="C712" s="43" t="s">
        <v>267</v>
      </c>
      <c r="D712" s="50">
        <v>5289</v>
      </c>
      <c r="E712" s="52" t="s">
        <v>337</v>
      </c>
      <c r="F712" s="53" t="s">
        <v>143</v>
      </c>
      <c r="G712" s="52" t="s">
        <v>340</v>
      </c>
      <c r="H712" s="45" t="s">
        <v>418</v>
      </c>
      <c r="I712" s="47" t="s">
        <v>22</v>
      </c>
      <c r="J712" s="3">
        <v>0.7</v>
      </c>
      <c r="K712" s="47" t="s">
        <v>132</v>
      </c>
      <c r="L712" s="30" t="s">
        <v>133</v>
      </c>
      <c r="M712" s="47" t="s">
        <v>134</v>
      </c>
      <c r="N712" s="4">
        <v>0</v>
      </c>
      <c r="O712" s="10">
        <v>0.1</v>
      </c>
      <c r="P712" s="3"/>
      <c r="Q712" s="3">
        <f t="shared" si="24"/>
        <v>0</v>
      </c>
      <c r="R712" s="48">
        <f t="shared" si="23"/>
        <v>0</v>
      </c>
      <c r="S712" s="10" t="s">
        <v>24</v>
      </c>
      <c r="T712" s="191"/>
    </row>
    <row r="713" spans="1:20" ht="21.6" hidden="1" x14ac:dyDescent="0.3">
      <c r="A713" s="182">
        <v>2076</v>
      </c>
      <c r="B713" s="42" t="s">
        <v>20</v>
      </c>
      <c r="C713" s="43" t="s">
        <v>267</v>
      </c>
      <c r="D713" s="50">
        <v>5289</v>
      </c>
      <c r="E713" s="52" t="s">
        <v>337</v>
      </c>
      <c r="F713" s="53" t="s">
        <v>143</v>
      </c>
      <c r="G713" s="52" t="s">
        <v>340</v>
      </c>
      <c r="H713" s="45" t="s">
        <v>418</v>
      </c>
      <c r="I713" s="47" t="s">
        <v>22</v>
      </c>
      <c r="J713" s="3">
        <v>0.7</v>
      </c>
      <c r="K713" s="47" t="s">
        <v>135</v>
      </c>
      <c r="L713" s="30" t="s">
        <v>136</v>
      </c>
      <c r="M713" s="47" t="s">
        <v>137</v>
      </c>
      <c r="N713" s="3">
        <v>0.9</v>
      </c>
      <c r="O713" s="10">
        <v>0.2</v>
      </c>
      <c r="P713" s="3"/>
      <c r="Q713" s="3">
        <f t="shared" si="24"/>
        <v>0</v>
      </c>
      <c r="R713" s="48">
        <f t="shared" si="23"/>
        <v>0</v>
      </c>
      <c r="S713" s="10" t="s">
        <v>23</v>
      </c>
      <c r="T713" s="191"/>
    </row>
    <row r="714" spans="1:20" ht="22.2" hidden="1" thickBot="1" x14ac:dyDescent="0.35">
      <c r="A714" s="267">
        <v>2077</v>
      </c>
      <c r="B714" s="268" t="s">
        <v>20</v>
      </c>
      <c r="C714" s="269" t="s">
        <v>267</v>
      </c>
      <c r="D714" s="290">
        <v>5289</v>
      </c>
      <c r="E714" s="298" t="s">
        <v>337</v>
      </c>
      <c r="F714" s="299" t="s">
        <v>143</v>
      </c>
      <c r="G714" s="298" t="s">
        <v>340</v>
      </c>
      <c r="H714" s="271" t="s">
        <v>418</v>
      </c>
      <c r="I714" s="272" t="s">
        <v>26</v>
      </c>
      <c r="J714" s="273">
        <v>0.3</v>
      </c>
      <c r="K714" s="272" t="s">
        <v>138</v>
      </c>
      <c r="L714" s="291" t="s">
        <v>139</v>
      </c>
      <c r="M714" s="272" t="s">
        <v>140</v>
      </c>
      <c r="N714" s="273">
        <v>1</v>
      </c>
      <c r="O714" s="276">
        <v>1</v>
      </c>
      <c r="P714" s="273"/>
      <c r="Q714" s="273">
        <f t="shared" si="24"/>
        <v>0</v>
      </c>
      <c r="R714" s="287">
        <f t="shared" si="23"/>
        <v>0</v>
      </c>
      <c r="S714" s="276" t="s">
        <v>23</v>
      </c>
      <c r="T714" s="277"/>
    </row>
    <row r="715" spans="1:20" ht="21.6" hidden="1" x14ac:dyDescent="0.3">
      <c r="A715" s="242">
        <v>2070</v>
      </c>
      <c r="B715" s="243" t="s">
        <v>20</v>
      </c>
      <c r="C715" s="244" t="s">
        <v>267</v>
      </c>
      <c r="D715" s="293">
        <v>5541</v>
      </c>
      <c r="E715" s="295" t="s">
        <v>338</v>
      </c>
      <c r="F715" s="296" t="s">
        <v>143</v>
      </c>
      <c r="G715" s="295" t="s">
        <v>340</v>
      </c>
      <c r="H715" s="246" t="s">
        <v>418</v>
      </c>
      <c r="I715" s="294" t="s">
        <v>22</v>
      </c>
      <c r="J715" s="248">
        <v>0.7</v>
      </c>
      <c r="K715" s="75" t="s">
        <v>513</v>
      </c>
      <c r="L715" s="105" t="s">
        <v>511</v>
      </c>
      <c r="M715" s="75" t="s">
        <v>411</v>
      </c>
      <c r="N715" s="248">
        <v>0.95</v>
      </c>
      <c r="O715" s="248">
        <v>0.15</v>
      </c>
      <c r="P715" s="248"/>
      <c r="Q715" s="248">
        <f t="shared" si="24"/>
        <v>0</v>
      </c>
      <c r="R715" s="250">
        <f t="shared" si="23"/>
        <v>0</v>
      </c>
      <c r="S715" s="248" t="s">
        <v>23</v>
      </c>
      <c r="T715" s="251">
        <f>SUM(R715:R722)%</f>
        <v>0</v>
      </c>
    </row>
    <row r="716" spans="1:20" ht="21.6" hidden="1" x14ac:dyDescent="0.3">
      <c r="A716" s="182">
        <v>2072</v>
      </c>
      <c r="B716" s="42" t="s">
        <v>20</v>
      </c>
      <c r="C716" s="43" t="s">
        <v>267</v>
      </c>
      <c r="D716" s="50">
        <v>5541</v>
      </c>
      <c r="E716" s="52" t="s">
        <v>338</v>
      </c>
      <c r="F716" s="53" t="s">
        <v>143</v>
      </c>
      <c r="G716" s="52" t="s">
        <v>340</v>
      </c>
      <c r="H716" s="45" t="s">
        <v>418</v>
      </c>
      <c r="I716" s="7" t="s">
        <v>22</v>
      </c>
      <c r="J716" s="3">
        <v>0.7</v>
      </c>
      <c r="K716" s="7" t="s">
        <v>124</v>
      </c>
      <c r="L716" s="8" t="s">
        <v>125</v>
      </c>
      <c r="M716" s="7" t="s">
        <v>126</v>
      </c>
      <c r="N716" s="3">
        <v>0.95</v>
      </c>
      <c r="O716" s="3">
        <v>0.15</v>
      </c>
      <c r="P716" s="6"/>
      <c r="Q716" s="3">
        <f t="shared" si="24"/>
        <v>0</v>
      </c>
      <c r="R716" s="4">
        <f t="shared" si="23"/>
        <v>0</v>
      </c>
      <c r="S716" s="3" t="s">
        <v>23</v>
      </c>
      <c r="T716" s="190"/>
    </row>
    <row r="717" spans="1:20" ht="21.6" hidden="1" x14ac:dyDescent="0.3">
      <c r="A717" s="182">
        <v>2073</v>
      </c>
      <c r="B717" s="42" t="s">
        <v>20</v>
      </c>
      <c r="C717" s="43" t="s">
        <v>267</v>
      </c>
      <c r="D717" s="50">
        <v>5541</v>
      </c>
      <c r="E717" s="52" t="s">
        <v>338</v>
      </c>
      <c r="F717" s="53" t="s">
        <v>143</v>
      </c>
      <c r="G717" s="52" t="s">
        <v>340</v>
      </c>
      <c r="H717" s="45" t="s">
        <v>418</v>
      </c>
      <c r="I717" s="7" t="s">
        <v>22</v>
      </c>
      <c r="J717" s="3">
        <v>0.7</v>
      </c>
      <c r="K717" s="7" t="s">
        <v>51</v>
      </c>
      <c r="L717" s="8" t="s">
        <v>127</v>
      </c>
      <c r="M717" s="7" t="s">
        <v>128</v>
      </c>
      <c r="N717" s="6">
        <v>0.05</v>
      </c>
      <c r="O717" s="3">
        <v>0.1</v>
      </c>
      <c r="P717" s="11"/>
      <c r="Q717" s="3">
        <f t="shared" si="24"/>
        <v>0</v>
      </c>
      <c r="R717" s="4">
        <f t="shared" si="23"/>
        <v>0</v>
      </c>
      <c r="S717" s="3" t="s">
        <v>24</v>
      </c>
      <c r="T717" s="190"/>
    </row>
    <row r="718" spans="1:20" ht="21.6" hidden="1" x14ac:dyDescent="0.3">
      <c r="A718" s="182">
        <v>2074</v>
      </c>
      <c r="B718" s="42" t="s">
        <v>20</v>
      </c>
      <c r="C718" s="43" t="s">
        <v>267</v>
      </c>
      <c r="D718" s="50">
        <v>5541</v>
      </c>
      <c r="E718" s="52" t="s">
        <v>338</v>
      </c>
      <c r="F718" s="53" t="s">
        <v>143</v>
      </c>
      <c r="G718" s="52" t="s">
        <v>340</v>
      </c>
      <c r="H718" s="45" t="s">
        <v>418</v>
      </c>
      <c r="I718" s="7" t="s">
        <v>22</v>
      </c>
      <c r="J718" s="3">
        <v>0.7</v>
      </c>
      <c r="K718" s="7" t="s">
        <v>305</v>
      </c>
      <c r="L718" s="8" t="s">
        <v>257</v>
      </c>
      <c r="M718" s="339" t="s">
        <v>306</v>
      </c>
      <c r="N718" s="3">
        <v>0.95</v>
      </c>
      <c r="O718" s="3">
        <v>0.1</v>
      </c>
      <c r="P718" s="3"/>
      <c r="Q718" s="3">
        <f t="shared" si="24"/>
        <v>0</v>
      </c>
      <c r="R718" s="4">
        <f t="shared" si="23"/>
        <v>0</v>
      </c>
      <c r="S718" s="3" t="s">
        <v>23</v>
      </c>
      <c r="T718" s="190"/>
    </row>
    <row r="719" spans="1:20" ht="21.6" hidden="1" x14ac:dyDescent="0.3">
      <c r="A719" s="182">
        <v>2075</v>
      </c>
      <c r="B719" s="42" t="s">
        <v>20</v>
      </c>
      <c r="C719" s="43" t="s">
        <v>267</v>
      </c>
      <c r="D719" s="50">
        <v>5541</v>
      </c>
      <c r="E719" s="52" t="s">
        <v>338</v>
      </c>
      <c r="F719" s="53" t="s">
        <v>143</v>
      </c>
      <c r="G719" s="52" t="s">
        <v>340</v>
      </c>
      <c r="H719" s="45" t="s">
        <v>418</v>
      </c>
      <c r="I719" s="47" t="s">
        <v>22</v>
      </c>
      <c r="J719" s="3">
        <v>0.7</v>
      </c>
      <c r="K719" s="47" t="s">
        <v>129</v>
      </c>
      <c r="L719" s="30" t="s">
        <v>130</v>
      </c>
      <c r="M719" s="47" t="s">
        <v>131</v>
      </c>
      <c r="N719" s="3">
        <v>0.9</v>
      </c>
      <c r="O719" s="10">
        <v>0.2</v>
      </c>
      <c r="P719" s="3"/>
      <c r="Q719" s="3">
        <f t="shared" si="24"/>
        <v>0</v>
      </c>
      <c r="R719" s="48">
        <f t="shared" si="23"/>
        <v>0</v>
      </c>
      <c r="S719" s="10" t="s">
        <v>23</v>
      </c>
      <c r="T719" s="191"/>
    </row>
    <row r="720" spans="1:20" ht="21.6" hidden="1" x14ac:dyDescent="0.3">
      <c r="A720" s="182">
        <v>2076</v>
      </c>
      <c r="B720" s="42" t="s">
        <v>20</v>
      </c>
      <c r="C720" s="43" t="s">
        <v>267</v>
      </c>
      <c r="D720" s="50">
        <v>5541</v>
      </c>
      <c r="E720" s="52" t="s">
        <v>338</v>
      </c>
      <c r="F720" s="53" t="s">
        <v>143</v>
      </c>
      <c r="G720" s="52" t="s">
        <v>340</v>
      </c>
      <c r="H720" s="45" t="s">
        <v>418</v>
      </c>
      <c r="I720" s="47" t="s">
        <v>22</v>
      </c>
      <c r="J720" s="3">
        <v>0.7</v>
      </c>
      <c r="K720" s="47" t="s">
        <v>132</v>
      </c>
      <c r="L720" s="30" t="s">
        <v>133</v>
      </c>
      <c r="M720" s="47" t="s">
        <v>134</v>
      </c>
      <c r="N720" s="4">
        <v>0</v>
      </c>
      <c r="O720" s="10">
        <v>0.1</v>
      </c>
      <c r="P720" s="3"/>
      <c r="Q720" s="3">
        <f t="shared" si="24"/>
        <v>0</v>
      </c>
      <c r="R720" s="48">
        <f t="shared" si="23"/>
        <v>0</v>
      </c>
      <c r="S720" s="10" t="s">
        <v>24</v>
      </c>
      <c r="T720" s="191"/>
    </row>
    <row r="721" spans="1:20" ht="21.6" hidden="1" x14ac:dyDescent="0.3">
      <c r="A721" s="182">
        <v>2077</v>
      </c>
      <c r="B721" s="42" t="s">
        <v>20</v>
      </c>
      <c r="C721" s="43" t="s">
        <v>267</v>
      </c>
      <c r="D721" s="50">
        <v>5541</v>
      </c>
      <c r="E721" s="52" t="s">
        <v>338</v>
      </c>
      <c r="F721" s="53" t="s">
        <v>143</v>
      </c>
      <c r="G721" s="52" t="s">
        <v>340</v>
      </c>
      <c r="H721" s="45" t="s">
        <v>418</v>
      </c>
      <c r="I721" s="47" t="s">
        <v>22</v>
      </c>
      <c r="J721" s="3">
        <v>0.7</v>
      </c>
      <c r="K721" s="47" t="s">
        <v>135</v>
      </c>
      <c r="L721" s="30" t="s">
        <v>136</v>
      </c>
      <c r="M721" s="47" t="s">
        <v>137</v>
      </c>
      <c r="N721" s="3">
        <v>0.9</v>
      </c>
      <c r="O721" s="10">
        <v>0.2</v>
      </c>
      <c r="P721" s="3"/>
      <c r="Q721" s="3">
        <f t="shared" si="24"/>
        <v>0</v>
      </c>
      <c r="R721" s="48">
        <f t="shared" si="23"/>
        <v>0</v>
      </c>
      <c r="S721" s="10" t="s">
        <v>23</v>
      </c>
      <c r="T721" s="191"/>
    </row>
    <row r="722" spans="1:20" ht="22.2" hidden="1" thickBot="1" x14ac:dyDescent="0.35">
      <c r="A722" s="267">
        <v>2078</v>
      </c>
      <c r="B722" s="268" t="s">
        <v>20</v>
      </c>
      <c r="C722" s="269" t="s">
        <v>267</v>
      </c>
      <c r="D722" s="290">
        <v>5541</v>
      </c>
      <c r="E722" s="298" t="s">
        <v>338</v>
      </c>
      <c r="F722" s="299" t="s">
        <v>143</v>
      </c>
      <c r="G722" s="298" t="s">
        <v>340</v>
      </c>
      <c r="H722" s="271" t="s">
        <v>418</v>
      </c>
      <c r="I722" s="272" t="s">
        <v>26</v>
      </c>
      <c r="J722" s="273">
        <v>0.3</v>
      </c>
      <c r="K722" s="272" t="s">
        <v>138</v>
      </c>
      <c r="L722" s="291" t="s">
        <v>139</v>
      </c>
      <c r="M722" s="272" t="s">
        <v>140</v>
      </c>
      <c r="N722" s="273">
        <v>1</v>
      </c>
      <c r="O722" s="276">
        <v>1</v>
      </c>
      <c r="P722" s="273"/>
      <c r="Q722" s="273">
        <f t="shared" si="24"/>
        <v>0</v>
      </c>
      <c r="R722" s="287">
        <f t="shared" si="23"/>
        <v>0</v>
      </c>
      <c r="S722" s="276" t="s">
        <v>23</v>
      </c>
      <c r="T722" s="277"/>
    </row>
    <row r="723" spans="1:20" ht="21.6" hidden="1" x14ac:dyDescent="0.3">
      <c r="A723" s="242">
        <v>2070</v>
      </c>
      <c r="B723" s="243" t="s">
        <v>20</v>
      </c>
      <c r="C723" s="244" t="s">
        <v>267</v>
      </c>
      <c r="D723" s="293">
        <v>3805</v>
      </c>
      <c r="E723" s="295" t="s">
        <v>332</v>
      </c>
      <c r="F723" s="296" t="s">
        <v>143</v>
      </c>
      <c r="G723" s="295" t="s">
        <v>340</v>
      </c>
      <c r="H723" s="246" t="s">
        <v>418</v>
      </c>
      <c r="I723" s="294" t="s">
        <v>22</v>
      </c>
      <c r="J723" s="248">
        <v>0.7</v>
      </c>
      <c r="K723" s="75" t="s">
        <v>513</v>
      </c>
      <c r="L723" s="105" t="s">
        <v>511</v>
      </c>
      <c r="M723" s="75" t="s">
        <v>411</v>
      </c>
      <c r="N723" s="248">
        <v>0.95</v>
      </c>
      <c r="O723" s="248">
        <v>0.15</v>
      </c>
      <c r="P723" s="248"/>
      <c r="Q723" s="248">
        <f t="shared" si="24"/>
        <v>0</v>
      </c>
      <c r="R723" s="250">
        <f t="shared" ref="R723:R786" si="25">IF(AND(Q723&gt;=60%,Q723&lt;100%),Q723*((O723*J723)),IF(Q723=100%,((O723*J723)*Q723)*100%,IF(Q723&gt;100%,((J723*O723)*100%)*100%,0)))*100</f>
        <v>0</v>
      </c>
      <c r="S723" s="248" t="s">
        <v>23</v>
      </c>
      <c r="T723" s="251">
        <f>SUM(R723:R730)%</f>
        <v>0</v>
      </c>
    </row>
    <row r="724" spans="1:20" ht="21.6" hidden="1" x14ac:dyDescent="0.3">
      <c r="A724" s="182">
        <v>2072</v>
      </c>
      <c r="B724" s="42" t="s">
        <v>20</v>
      </c>
      <c r="C724" s="43" t="s">
        <v>267</v>
      </c>
      <c r="D724" s="50">
        <v>3805</v>
      </c>
      <c r="E724" s="52" t="s">
        <v>332</v>
      </c>
      <c r="F724" s="53" t="s">
        <v>143</v>
      </c>
      <c r="G724" s="52" t="s">
        <v>340</v>
      </c>
      <c r="H724" s="45" t="s">
        <v>418</v>
      </c>
      <c r="I724" s="7" t="s">
        <v>22</v>
      </c>
      <c r="J724" s="3">
        <v>0.7</v>
      </c>
      <c r="K724" s="7" t="s">
        <v>124</v>
      </c>
      <c r="L724" s="8" t="s">
        <v>125</v>
      </c>
      <c r="M724" s="7" t="s">
        <v>126</v>
      </c>
      <c r="N724" s="3">
        <v>0.95</v>
      </c>
      <c r="O724" s="3">
        <v>0.15</v>
      </c>
      <c r="P724" s="6"/>
      <c r="Q724" s="3">
        <f t="shared" si="24"/>
        <v>0</v>
      </c>
      <c r="R724" s="4">
        <f t="shared" si="25"/>
        <v>0</v>
      </c>
      <c r="S724" s="3" t="s">
        <v>23</v>
      </c>
      <c r="T724" s="190"/>
    </row>
    <row r="725" spans="1:20" ht="21.6" hidden="1" x14ac:dyDescent="0.3">
      <c r="A725" s="182">
        <v>2073</v>
      </c>
      <c r="B725" s="42" t="s">
        <v>20</v>
      </c>
      <c r="C725" s="43" t="s">
        <v>267</v>
      </c>
      <c r="D725" s="50">
        <v>3805</v>
      </c>
      <c r="E725" s="52" t="s">
        <v>332</v>
      </c>
      <c r="F725" s="53" t="s">
        <v>143</v>
      </c>
      <c r="G725" s="52" t="s">
        <v>340</v>
      </c>
      <c r="H725" s="45" t="s">
        <v>418</v>
      </c>
      <c r="I725" s="7" t="s">
        <v>22</v>
      </c>
      <c r="J725" s="3">
        <v>0.7</v>
      </c>
      <c r="K725" s="7" t="s">
        <v>51</v>
      </c>
      <c r="L725" s="8" t="s">
        <v>127</v>
      </c>
      <c r="M725" s="7" t="s">
        <v>128</v>
      </c>
      <c r="N725" s="6">
        <v>0.05</v>
      </c>
      <c r="O725" s="3">
        <v>0.1</v>
      </c>
      <c r="P725" s="11"/>
      <c r="Q725" s="3">
        <f t="shared" si="24"/>
        <v>0</v>
      </c>
      <c r="R725" s="4">
        <f t="shared" si="25"/>
        <v>0</v>
      </c>
      <c r="S725" s="3" t="s">
        <v>24</v>
      </c>
      <c r="T725" s="190"/>
    </row>
    <row r="726" spans="1:20" ht="21.6" hidden="1" x14ac:dyDescent="0.3">
      <c r="A726" s="182">
        <v>2074</v>
      </c>
      <c r="B726" s="42" t="s">
        <v>20</v>
      </c>
      <c r="C726" s="43" t="s">
        <v>267</v>
      </c>
      <c r="D726" s="50">
        <v>3805</v>
      </c>
      <c r="E726" s="52" t="s">
        <v>332</v>
      </c>
      <c r="F726" s="53" t="s">
        <v>143</v>
      </c>
      <c r="G726" s="52" t="s">
        <v>340</v>
      </c>
      <c r="H726" s="45" t="s">
        <v>418</v>
      </c>
      <c r="I726" s="7" t="s">
        <v>22</v>
      </c>
      <c r="J726" s="3">
        <v>0.7</v>
      </c>
      <c r="K726" s="7" t="s">
        <v>305</v>
      </c>
      <c r="L726" s="8" t="s">
        <v>257</v>
      </c>
      <c r="M726" s="339" t="s">
        <v>306</v>
      </c>
      <c r="N726" s="3">
        <v>0.95</v>
      </c>
      <c r="O726" s="3">
        <v>0.1</v>
      </c>
      <c r="P726" s="3"/>
      <c r="Q726" s="3">
        <f t="shared" si="24"/>
        <v>0</v>
      </c>
      <c r="R726" s="4">
        <f t="shared" si="25"/>
        <v>0</v>
      </c>
      <c r="S726" s="3" t="s">
        <v>23</v>
      </c>
      <c r="T726" s="190"/>
    </row>
    <row r="727" spans="1:20" ht="21.6" hidden="1" x14ac:dyDescent="0.3">
      <c r="A727" s="182">
        <v>2075</v>
      </c>
      <c r="B727" s="42" t="s">
        <v>20</v>
      </c>
      <c r="C727" s="43" t="s">
        <v>267</v>
      </c>
      <c r="D727" s="50">
        <v>3805</v>
      </c>
      <c r="E727" s="52" t="s">
        <v>332</v>
      </c>
      <c r="F727" s="53" t="s">
        <v>143</v>
      </c>
      <c r="G727" s="52" t="s">
        <v>340</v>
      </c>
      <c r="H727" s="45" t="s">
        <v>418</v>
      </c>
      <c r="I727" s="47" t="s">
        <v>22</v>
      </c>
      <c r="J727" s="3">
        <v>0.7</v>
      </c>
      <c r="K727" s="47" t="s">
        <v>129</v>
      </c>
      <c r="L727" s="30" t="s">
        <v>130</v>
      </c>
      <c r="M727" s="47" t="s">
        <v>131</v>
      </c>
      <c r="N727" s="3">
        <v>0.9</v>
      </c>
      <c r="O727" s="10">
        <v>0.2</v>
      </c>
      <c r="P727" s="3"/>
      <c r="Q727" s="3">
        <f t="shared" si="24"/>
        <v>0</v>
      </c>
      <c r="R727" s="48">
        <f t="shared" si="25"/>
        <v>0</v>
      </c>
      <c r="S727" s="10" t="s">
        <v>23</v>
      </c>
      <c r="T727" s="191"/>
    </row>
    <row r="728" spans="1:20" ht="21.6" hidden="1" x14ac:dyDescent="0.3">
      <c r="A728" s="182">
        <v>2076</v>
      </c>
      <c r="B728" s="42" t="s">
        <v>20</v>
      </c>
      <c r="C728" s="43" t="s">
        <v>267</v>
      </c>
      <c r="D728" s="50">
        <v>3805</v>
      </c>
      <c r="E728" s="52" t="s">
        <v>332</v>
      </c>
      <c r="F728" s="53" t="s">
        <v>143</v>
      </c>
      <c r="G728" s="52" t="s">
        <v>340</v>
      </c>
      <c r="H728" s="45" t="s">
        <v>418</v>
      </c>
      <c r="I728" s="47" t="s">
        <v>22</v>
      </c>
      <c r="J728" s="3">
        <v>0.7</v>
      </c>
      <c r="K728" s="47" t="s">
        <v>132</v>
      </c>
      <c r="L728" s="30" t="s">
        <v>133</v>
      </c>
      <c r="M728" s="47" t="s">
        <v>134</v>
      </c>
      <c r="N728" s="4">
        <v>0</v>
      </c>
      <c r="O728" s="10">
        <v>0.1</v>
      </c>
      <c r="P728" s="3"/>
      <c r="Q728" s="3">
        <f t="shared" si="24"/>
        <v>0</v>
      </c>
      <c r="R728" s="48">
        <f t="shared" si="25"/>
        <v>0</v>
      </c>
      <c r="S728" s="10" t="s">
        <v>24</v>
      </c>
      <c r="T728" s="191"/>
    </row>
    <row r="729" spans="1:20" ht="21.6" hidden="1" x14ac:dyDescent="0.3">
      <c r="A729" s="182">
        <v>2077</v>
      </c>
      <c r="B729" s="42" t="s">
        <v>20</v>
      </c>
      <c r="C729" s="43" t="s">
        <v>267</v>
      </c>
      <c r="D729" s="50">
        <v>3805</v>
      </c>
      <c r="E729" s="52" t="s">
        <v>332</v>
      </c>
      <c r="F729" s="53" t="s">
        <v>143</v>
      </c>
      <c r="G729" s="52" t="s">
        <v>340</v>
      </c>
      <c r="H729" s="45" t="s">
        <v>418</v>
      </c>
      <c r="I729" s="47" t="s">
        <v>22</v>
      </c>
      <c r="J729" s="3">
        <v>0.7</v>
      </c>
      <c r="K729" s="47" t="s">
        <v>135</v>
      </c>
      <c r="L729" s="30" t="s">
        <v>136</v>
      </c>
      <c r="M729" s="47" t="s">
        <v>137</v>
      </c>
      <c r="N729" s="3">
        <v>0.9</v>
      </c>
      <c r="O729" s="10">
        <v>0.2</v>
      </c>
      <c r="P729" s="3"/>
      <c r="Q729" s="3">
        <f t="shared" si="24"/>
        <v>0</v>
      </c>
      <c r="R729" s="48">
        <f t="shared" si="25"/>
        <v>0</v>
      </c>
      <c r="S729" s="10" t="s">
        <v>23</v>
      </c>
      <c r="T729" s="191"/>
    </row>
    <row r="730" spans="1:20" ht="22.2" hidden="1" thickBot="1" x14ac:dyDescent="0.35">
      <c r="A730" s="267">
        <v>2078</v>
      </c>
      <c r="B730" s="268" t="s">
        <v>20</v>
      </c>
      <c r="C730" s="269" t="s">
        <v>267</v>
      </c>
      <c r="D730" s="290">
        <v>3805</v>
      </c>
      <c r="E730" s="298" t="s">
        <v>332</v>
      </c>
      <c r="F730" s="299" t="s">
        <v>143</v>
      </c>
      <c r="G730" s="298" t="s">
        <v>340</v>
      </c>
      <c r="H730" s="271" t="s">
        <v>418</v>
      </c>
      <c r="I730" s="272" t="s">
        <v>26</v>
      </c>
      <c r="J730" s="273">
        <v>0.3</v>
      </c>
      <c r="K730" s="272" t="s">
        <v>138</v>
      </c>
      <c r="L730" s="291" t="s">
        <v>139</v>
      </c>
      <c r="M730" s="272" t="s">
        <v>140</v>
      </c>
      <c r="N730" s="273">
        <v>1</v>
      </c>
      <c r="O730" s="276">
        <v>1</v>
      </c>
      <c r="P730" s="273"/>
      <c r="Q730" s="273">
        <f t="shared" si="24"/>
        <v>0</v>
      </c>
      <c r="R730" s="287">
        <f t="shared" si="25"/>
        <v>0</v>
      </c>
      <c r="S730" s="276" t="s">
        <v>23</v>
      </c>
      <c r="T730" s="277"/>
    </row>
    <row r="731" spans="1:20" ht="21.6" hidden="1" x14ac:dyDescent="0.3">
      <c r="A731" s="242">
        <v>2070</v>
      </c>
      <c r="B731" s="243" t="s">
        <v>20</v>
      </c>
      <c r="C731" s="244" t="s">
        <v>267</v>
      </c>
      <c r="D731" s="293">
        <v>5594</v>
      </c>
      <c r="E731" s="295" t="s">
        <v>333</v>
      </c>
      <c r="F731" s="296" t="s">
        <v>143</v>
      </c>
      <c r="G731" s="295" t="s">
        <v>340</v>
      </c>
      <c r="H731" s="246" t="s">
        <v>418</v>
      </c>
      <c r="I731" s="294" t="s">
        <v>22</v>
      </c>
      <c r="J731" s="248">
        <v>0.7</v>
      </c>
      <c r="K731" s="75" t="s">
        <v>513</v>
      </c>
      <c r="L731" s="105" t="s">
        <v>511</v>
      </c>
      <c r="M731" s="75" t="s">
        <v>411</v>
      </c>
      <c r="N731" s="248">
        <v>0.95</v>
      </c>
      <c r="O731" s="248">
        <v>0.15</v>
      </c>
      <c r="P731" s="248"/>
      <c r="Q731" s="248">
        <f t="shared" si="24"/>
        <v>0</v>
      </c>
      <c r="R731" s="250">
        <f t="shared" si="25"/>
        <v>0</v>
      </c>
      <c r="S731" s="248" t="s">
        <v>23</v>
      </c>
      <c r="T731" s="251">
        <f>SUM(R731:R738)%</f>
        <v>0</v>
      </c>
    </row>
    <row r="732" spans="1:20" ht="21.6" hidden="1" x14ac:dyDescent="0.3">
      <c r="A732" s="182">
        <v>2072</v>
      </c>
      <c r="B732" s="42" t="s">
        <v>20</v>
      </c>
      <c r="C732" s="43" t="s">
        <v>267</v>
      </c>
      <c r="D732" s="50">
        <v>5594</v>
      </c>
      <c r="E732" s="52" t="s">
        <v>333</v>
      </c>
      <c r="F732" s="53" t="s">
        <v>143</v>
      </c>
      <c r="G732" s="52" t="s">
        <v>340</v>
      </c>
      <c r="H732" s="45" t="s">
        <v>418</v>
      </c>
      <c r="I732" s="7" t="s">
        <v>22</v>
      </c>
      <c r="J732" s="3">
        <v>0.7</v>
      </c>
      <c r="K732" s="7" t="s">
        <v>124</v>
      </c>
      <c r="L732" s="8" t="s">
        <v>125</v>
      </c>
      <c r="M732" s="7" t="s">
        <v>126</v>
      </c>
      <c r="N732" s="3">
        <v>0.95</v>
      </c>
      <c r="O732" s="3">
        <v>0.15</v>
      </c>
      <c r="P732" s="6"/>
      <c r="Q732" s="3">
        <f t="shared" si="24"/>
        <v>0</v>
      </c>
      <c r="R732" s="4">
        <f t="shared" si="25"/>
        <v>0</v>
      </c>
      <c r="S732" s="3" t="s">
        <v>23</v>
      </c>
      <c r="T732" s="190"/>
    </row>
    <row r="733" spans="1:20" ht="21.6" hidden="1" x14ac:dyDescent="0.3">
      <c r="A733" s="182">
        <v>2073</v>
      </c>
      <c r="B733" s="42" t="s">
        <v>20</v>
      </c>
      <c r="C733" s="43" t="s">
        <v>267</v>
      </c>
      <c r="D733" s="50">
        <v>5594</v>
      </c>
      <c r="E733" s="52" t="s">
        <v>333</v>
      </c>
      <c r="F733" s="53" t="s">
        <v>143</v>
      </c>
      <c r="G733" s="52" t="s">
        <v>340</v>
      </c>
      <c r="H733" s="45" t="s">
        <v>418</v>
      </c>
      <c r="I733" s="7" t="s">
        <v>22</v>
      </c>
      <c r="J733" s="3">
        <v>0.7</v>
      </c>
      <c r="K733" s="7" t="s">
        <v>51</v>
      </c>
      <c r="L733" s="8" t="s">
        <v>127</v>
      </c>
      <c r="M733" s="7" t="s">
        <v>128</v>
      </c>
      <c r="N733" s="6">
        <v>0.05</v>
      </c>
      <c r="O733" s="3">
        <v>0.1</v>
      </c>
      <c r="P733" s="11"/>
      <c r="Q733" s="3">
        <f t="shared" si="24"/>
        <v>0</v>
      </c>
      <c r="R733" s="4">
        <f t="shared" si="25"/>
        <v>0</v>
      </c>
      <c r="S733" s="3" t="s">
        <v>24</v>
      </c>
      <c r="T733" s="190"/>
    </row>
    <row r="734" spans="1:20" ht="21.6" hidden="1" x14ac:dyDescent="0.3">
      <c r="A734" s="182">
        <v>2074</v>
      </c>
      <c r="B734" s="42" t="s">
        <v>20</v>
      </c>
      <c r="C734" s="43" t="s">
        <v>267</v>
      </c>
      <c r="D734" s="50">
        <v>5594</v>
      </c>
      <c r="E734" s="52" t="s">
        <v>333</v>
      </c>
      <c r="F734" s="53" t="s">
        <v>143</v>
      </c>
      <c r="G734" s="52" t="s">
        <v>340</v>
      </c>
      <c r="H734" s="45" t="s">
        <v>418</v>
      </c>
      <c r="I734" s="7" t="s">
        <v>22</v>
      </c>
      <c r="J734" s="3">
        <v>0.7</v>
      </c>
      <c r="K734" s="7" t="s">
        <v>305</v>
      </c>
      <c r="L734" s="8" t="s">
        <v>257</v>
      </c>
      <c r="M734" s="339" t="s">
        <v>306</v>
      </c>
      <c r="N734" s="3">
        <v>0.95</v>
      </c>
      <c r="O734" s="3">
        <v>0.1</v>
      </c>
      <c r="P734" s="3"/>
      <c r="Q734" s="3">
        <f t="shared" si="24"/>
        <v>0</v>
      </c>
      <c r="R734" s="4">
        <f t="shared" si="25"/>
        <v>0</v>
      </c>
      <c r="S734" s="3" t="s">
        <v>23</v>
      </c>
      <c r="T734" s="190"/>
    </row>
    <row r="735" spans="1:20" ht="21.6" hidden="1" x14ac:dyDescent="0.3">
      <c r="A735" s="182">
        <v>2075</v>
      </c>
      <c r="B735" s="42" t="s">
        <v>20</v>
      </c>
      <c r="C735" s="43" t="s">
        <v>267</v>
      </c>
      <c r="D735" s="50">
        <v>5594</v>
      </c>
      <c r="E735" s="52" t="s">
        <v>333</v>
      </c>
      <c r="F735" s="53" t="s">
        <v>143</v>
      </c>
      <c r="G735" s="52" t="s">
        <v>340</v>
      </c>
      <c r="H735" s="45" t="s">
        <v>418</v>
      </c>
      <c r="I735" s="47" t="s">
        <v>22</v>
      </c>
      <c r="J735" s="3">
        <v>0.7</v>
      </c>
      <c r="K735" s="47" t="s">
        <v>129</v>
      </c>
      <c r="L735" s="30" t="s">
        <v>130</v>
      </c>
      <c r="M735" s="47" t="s">
        <v>131</v>
      </c>
      <c r="N735" s="3">
        <v>0.9</v>
      </c>
      <c r="O735" s="10">
        <v>0.2</v>
      </c>
      <c r="P735" s="3"/>
      <c r="Q735" s="3">
        <f t="shared" si="24"/>
        <v>0</v>
      </c>
      <c r="R735" s="48">
        <f t="shared" si="25"/>
        <v>0</v>
      </c>
      <c r="S735" s="10" t="s">
        <v>23</v>
      </c>
      <c r="T735" s="191"/>
    </row>
    <row r="736" spans="1:20" ht="21.6" hidden="1" x14ac:dyDescent="0.3">
      <c r="A736" s="182">
        <v>2076</v>
      </c>
      <c r="B736" s="42" t="s">
        <v>20</v>
      </c>
      <c r="C736" s="43" t="s">
        <v>267</v>
      </c>
      <c r="D736" s="50">
        <v>5594</v>
      </c>
      <c r="E736" s="52" t="s">
        <v>333</v>
      </c>
      <c r="F736" s="53" t="s">
        <v>143</v>
      </c>
      <c r="G736" s="52" t="s">
        <v>340</v>
      </c>
      <c r="H736" s="45" t="s">
        <v>418</v>
      </c>
      <c r="I736" s="47" t="s">
        <v>22</v>
      </c>
      <c r="J736" s="3">
        <v>0.7</v>
      </c>
      <c r="K736" s="47" t="s">
        <v>132</v>
      </c>
      <c r="L736" s="30" t="s">
        <v>133</v>
      </c>
      <c r="M736" s="47" t="s">
        <v>134</v>
      </c>
      <c r="N736" s="4">
        <v>0</v>
      </c>
      <c r="O736" s="10">
        <v>0.1</v>
      </c>
      <c r="P736" s="3"/>
      <c r="Q736" s="3">
        <f t="shared" si="24"/>
        <v>0</v>
      </c>
      <c r="R736" s="48">
        <f t="shared" si="25"/>
        <v>0</v>
      </c>
      <c r="S736" s="10" t="s">
        <v>24</v>
      </c>
      <c r="T736" s="191"/>
    </row>
    <row r="737" spans="1:20" ht="21.6" hidden="1" x14ac:dyDescent="0.3">
      <c r="A737" s="182">
        <v>2077</v>
      </c>
      <c r="B737" s="42" t="s">
        <v>20</v>
      </c>
      <c r="C737" s="43" t="s">
        <v>267</v>
      </c>
      <c r="D737" s="50">
        <v>5594</v>
      </c>
      <c r="E737" s="52" t="s">
        <v>333</v>
      </c>
      <c r="F737" s="53" t="s">
        <v>143</v>
      </c>
      <c r="G737" s="52" t="s">
        <v>340</v>
      </c>
      <c r="H737" s="45" t="s">
        <v>418</v>
      </c>
      <c r="I737" s="47" t="s">
        <v>22</v>
      </c>
      <c r="J737" s="3">
        <v>0.7</v>
      </c>
      <c r="K737" s="47" t="s">
        <v>135</v>
      </c>
      <c r="L737" s="30" t="s">
        <v>136</v>
      </c>
      <c r="M737" s="47" t="s">
        <v>137</v>
      </c>
      <c r="N737" s="3">
        <v>0.9</v>
      </c>
      <c r="O737" s="10">
        <v>0.2</v>
      </c>
      <c r="P737" s="3"/>
      <c r="Q737" s="3">
        <f t="shared" si="24"/>
        <v>0</v>
      </c>
      <c r="R737" s="48">
        <f t="shared" si="25"/>
        <v>0</v>
      </c>
      <c r="S737" s="10" t="s">
        <v>23</v>
      </c>
      <c r="T737" s="191"/>
    </row>
    <row r="738" spans="1:20" ht="22.2" hidden="1" thickBot="1" x14ac:dyDescent="0.35">
      <c r="A738" s="267">
        <v>2078</v>
      </c>
      <c r="B738" s="268" t="s">
        <v>20</v>
      </c>
      <c r="C738" s="269" t="s">
        <v>267</v>
      </c>
      <c r="D738" s="290">
        <v>5594</v>
      </c>
      <c r="E738" s="298" t="s">
        <v>333</v>
      </c>
      <c r="F738" s="299" t="s">
        <v>143</v>
      </c>
      <c r="G738" s="298" t="s">
        <v>340</v>
      </c>
      <c r="H738" s="271" t="s">
        <v>418</v>
      </c>
      <c r="I738" s="272" t="s">
        <v>26</v>
      </c>
      <c r="J738" s="273">
        <v>0.3</v>
      </c>
      <c r="K738" s="272" t="s">
        <v>138</v>
      </c>
      <c r="L738" s="291" t="s">
        <v>139</v>
      </c>
      <c r="M738" s="272" t="s">
        <v>140</v>
      </c>
      <c r="N738" s="273">
        <v>1</v>
      </c>
      <c r="O738" s="276">
        <v>1</v>
      </c>
      <c r="P738" s="273"/>
      <c r="Q738" s="273">
        <f t="shared" si="24"/>
        <v>0</v>
      </c>
      <c r="R738" s="287">
        <f t="shared" si="25"/>
        <v>0</v>
      </c>
      <c r="S738" s="276" t="s">
        <v>23</v>
      </c>
      <c r="T738" s="277"/>
    </row>
    <row r="739" spans="1:20" ht="21.6" hidden="1" x14ac:dyDescent="0.3">
      <c r="A739" s="242">
        <v>2070</v>
      </c>
      <c r="B739" s="243" t="s">
        <v>20</v>
      </c>
      <c r="C739" s="244" t="s">
        <v>267</v>
      </c>
      <c r="D739" s="293">
        <v>6094</v>
      </c>
      <c r="E739" s="295" t="s">
        <v>508</v>
      </c>
      <c r="F739" s="296" t="s">
        <v>143</v>
      </c>
      <c r="G739" s="295" t="s">
        <v>340</v>
      </c>
      <c r="H739" s="246" t="s">
        <v>418</v>
      </c>
      <c r="I739" s="294" t="s">
        <v>22</v>
      </c>
      <c r="J739" s="248">
        <v>0.7</v>
      </c>
      <c r="K739" s="75" t="s">
        <v>513</v>
      </c>
      <c r="L739" s="105" t="s">
        <v>511</v>
      </c>
      <c r="M739" s="75" t="s">
        <v>411</v>
      </c>
      <c r="N739" s="248">
        <v>0.95</v>
      </c>
      <c r="O739" s="248">
        <v>0.15</v>
      </c>
      <c r="P739" s="248"/>
      <c r="Q739" s="248">
        <f t="shared" si="24"/>
        <v>0</v>
      </c>
      <c r="R739" s="250">
        <f t="shared" si="25"/>
        <v>0</v>
      </c>
      <c r="S739" s="248" t="s">
        <v>23</v>
      </c>
      <c r="T739" s="251">
        <f>SUM(R739:R746)%</f>
        <v>0</v>
      </c>
    </row>
    <row r="740" spans="1:20" ht="21.6" hidden="1" x14ac:dyDescent="0.3">
      <c r="A740" s="182">
        <v>2072</v>
      </c>
      <c r="B740" s="42" t="s">
        <v>20</v>
      </c>
      <c r="C740" s="43" t="s">
        <v>267</v>
      </c>
      <c r="D740" s="50">
        <v>6094</v>
      </c>
      <c r="E740" s="52" t="s">
        <v>508</v>
      </c>
      <c r="F740" s="53" t="s">
        <v>143</v>
      </c>
      <c r="G740" s="52" t="s">
        <v>340</v>
      </c>
      <c r="H740" s="45" t="s">
        <v>418</v>
      </c>
      <c r="I740" s="7" t="s">
        <v>22</v>
      </c>
      <c r="J740" s="3">
        <v>0.7</v>
      </c>
      <c r="K740" s="7" t="s">
        <v>124</v>
      </c>
      <c r="L740" s="8" t="s">
        <v>125</v>
      </c>
      <c r="M740" s="7" t="s">
        <v>126</v>
      </c>
      <c r="N740" s="3">
        <v>0.95</v>
      </c>
      <c r="O740" s="3">
        <v>0.15</v>
      </c>
      <c r="P740" s="6"/>
      <c r="Q740" s="3">
        <f t="shared" si="24"/>
        <v>0</v>
      </c>
      <c r="R740" s="4">
        <f t="shared" si="25"/>
        <v>0</v>
      </c>
      <c r="S740" s="3" t="s">
        <v>23</v>
      </c>
      <c r="T740" s="190"/>
    </row>
    <row r="741" spans="1:20" ht="21.6" hidden="1" x14ac:dyDescent="0.3">
      <c r="A741" s="182">
        <v>2073</v>
      </c>
      <c r="B741" s="42" t="s">
        <v>20</v>
      </c>
      <c r="C741" s="43" t="s">
        <v>267</v>
      </c>
      <c r="D741" s="50">
        <v>6094</v>
      </c>
      <c r="E741" s="52" t="s">
        <v>508</v>
      </c>
      <c r="F741" s="53" t="s">
        <v>143</v>
      </c>
      <c r="G741" s="52" t="s">
        <v>340</v>
      </c>
      <c r="H741" s="45" t="s">
        <v>418</v>
      </c>
      <c r="I741" s="7" t="s">
        <v>22</v>
      </c>
      <c r="J741" s="3">
        <v>0.7</v>
      </c>
      <c r="K741" s="7" t="s">
        <v>51</v>
      </c>
      <c r="L741" s="8" t="s">
        <v>127</v>
      </c>
      <c r="M741" s="7" t="s">
        <v>128</v>
      </c>
      <c r="N741" s="6">
        <v>0.05</v>
      </c>
      <c r="O741" s="3">
        <v>0.1</v>
      </c>
      <c r="P741" s="11"/>
      <c r="Q741" s="3">
        <f t="shared" si="24"/>
        <v>0</v>
      </c>
      <c r="R741" s="4">
        <f t="shared" si="25"/>
        <v>0</v>
      </c>
      <c r="S741" s="3" t="s">
        <v>24</v>
      </c>
      <c r="T741" s="190"/>
    </row>
    <row r="742" spans="1:20" ht="21.6" hidden="1" x14ac:dyDescent="0.3">
      <c r="A742" s="182">
        <v>2074</v>
      </c>
      <c r="B742" s="42" t="s">
        <v>20</v>
      </c>
      <c r="C742" s="43" t="s">
        <v>267</v>
      </c>
      <c r="D742" s="50">
        <v>6094</v>
      </c>
      <c r="E742" s="52" t="s">
        <v>508</v>
      </c>
      <c r="F742" s="53" t="s">
        <v>143</v>
      </c>
      <c r="G742" s="52" t="s">
        <v>340</v>
      </c>
      <c r="H742" s="45" t="s">
        <v>418</v>
      </c>
      <c r="I742" s="7" t="s">
        <v>22</v>
      </c>
      <c r="J742" s="3">
        <v>0.7</v>
      </c>
      <c r="K742" s="7" t="s">
        <v>305</v>
      </c>
      <c r="L742" s="8" t="s">
        <v>257</v>
      </c>
      <c r="M742" s="339" t="s">
        <v>306</v>
      </c>
      <c r="N742" s="3">
        <v>0.95</v>
      </c>
      <c r="O742" s="3">
        <v>0.1</v>
      </c>
      <c r="P742" s="3"/>
      <c r="Q742" s="3">
        <f t="shared" si="24"/>
        <v>0</v>
      </c>
      <c r="R742" s="4">
        <f t="shared" si="25"/>
        <v>0</v>
      </c>
      <c r="S742" s="3" t="s">
        <v>23</v>
      </c>
      <c r="T742" s="190"/>
    </row>
    <row r="743" spans="1:20" ht="21.6" hidden="1" x14ac:dyDescent="0.3">
      <c r="A743" s="182">
        <v>2075</v>
      </c>
      <c r="B743" s="42" t="s">
        <v>20</v>
      </c>
      <c r="C743" s="43" t="s">
        <v>267</v>
      </c>
      <c r="D743" s="50">
        <v>6094</v>
      </c>
      <c r="E743" s="52" t="s">
        <v>508</v>
      </c>
      <c r="F743" s="53" t="s">
        <v>143</v>
      </c>
      <c r="G743" s="52" t="s">
        <v>340</v>
      </c>
      <c r="H743" s="45" t="s">
        <v>418</v>
      </c>
      <c r="I743" s="47" t="s">
        <v>22</v>
      </c>
      <c r="J743" s="3">
        <v>0.7</v>
      </c>
      <c r="K743" s="47" t="s">
        <v>129</v>
      </c>
      <c r="L743" s="30" t="s">
        <v>130</v>
      </c>
      <c r="M743" s="47" t="s">
        <v>131</v>
      </c>
      <c r="N743" s="3">
        <v>0.9</v>
      </c>
      <c r="O743" s="10">
        <v>0.2</v>
      </c>
      <c r="P743" s="3"/>
      <c r="Q743" s="3">
        <f t="shared" si="24"/>
        <v>0</v>
      </c>
      <c r="R743" s="48">
        <f t="shared" si="25"/>
        <v>0</v>
      </c>
      <c r="S743" s="10" t="s">
        <v>23</v>
      </c>
      <c r="T743" s="191"/>
    </row>
    <row r="744" spans="1:20" ht="21.6" hidden="1" x14ac:dyDescent="0.3">
      <c r="A744" s="182">
        <v>2076</v>
      </c>
      <c r="B744" s="42" t="s">
        <v>20</v>
      </c>
      <c r="C744" s="43" t="s">
        <v>267</v>
      </c>
      <c r="D744" s="50">
        <v>6094</v>
      </c>
      <c r="E744" s="52" t="s">
        <v>508</v>
      </c>
      <c r="F744" s="53" t="s">
        <v>143</v>
      </c>
      <c r="G744" s="52" t="s">
        <v>340</v>
      </c>
      <c r="H744" s="45" t="s">
        <v>418</v>
      </c>
      <c r="I744" s="47" t="s">
        <v>22</v>
      </c>
      <c r="J744" s="3">
        <v>0.7</v>
      </c>
      <c r="K744" s="47" t="s">
        <v>132</v>
      </c>
      <c r="L744" s="30" t="s">
        <v>133</v>
      </c>
      <c r="M744" s="47" t="s">
        <v>134</v>
      </c>
      <c r="N744" s="4">
        <v>0</v>
      </c>
      <c r="O744" s="10">
        <v>0.1</v>
      </c>
      <c r="P744" s="3"/>
      <c r="Q744" s="3">
        <f t="shared" si="24"/>
        <v>0</v>
      </c>
      <c r="R744" s="48">
        <f t="shared" si="25"/>
        <v>0</v>
      </c>
      <c r="S744" s="10" t="s">
        <v>24</v>
      </c>
      <c r="T744" s="191"/>
    </row>
    <row r="745" spans="1:20" ht="21.6" hidden="1" x14ac:dyDescent="0.3">
      <c r="A745" s="182">
        <v>2077</v>
      </c>
      <c r="B745" s="42" t="s">
        <v>20</v>
      </c>
      <c r="C745" s="43" t="s">
        <v>267</v>
      </c>
      <c r="D745" s="50">
        <v>6094</v>
      </c>
      <c r="E745" s="52" t="s">
        <v>508</v>
      </c>
      <c r="F745" s="53" t="s">
        <v>143</v>
      </c>
      <c r="G745" s="52" t="s">
        <v>340</v>
      </c>
      <c r="H745" s="45" t="s">
        <v>418</v>
      </c>
      <c r="I745" s="47" t="s">
        <v>22</v>
      </c>
      <c r="J745" s="3">
        <v>0.7</v>
      </c>
      <c r="K745" s="47" t="s">
        <v>135</v>
      </c>
      <c r="L745" s="30" t="s">
        <v>136</v>
      </c>
      <c r="M745" s="47" t="s">
        <v>137</v>
      </c>
      <c r="N745" s="3">
        <v>0.9</v>
      </c>
      <c r="O745" s="10">
        <v>0.2</v>
      </c>
      <c r="P745" s="3"/>
      <c r="Q745" s="3">
        <f t="shared" si="24"/>
        <v>0</v>
      </c>
      <c r="R745" s="48">
        <f t="shared" si="25"/>
        <v>0</v>
      </c>
      <c r="S745" s="10" t="s">
        <v>23</v>
      </c>
      <c r="T745" s="191"/>
    </row>
    <row r="746" spans="1:20" ht="22.2" hidden="1" thickBot="1" x14ac:dyDescent="0.35">
      <c r="A746" s="267">
        <v>2078</v>
      </c>
      <c r="B746" s="268" t="s">
        <v>20</v>
      </c>
      <c r="C746" s="269" t="s">
        <v>267</v>
      </c>
      <c r="D746" s="290">
        <v>6094</v>
      </c>
      <c r="E746" s="298" t="s">
        <v>508</v>
      </c>
      <c r="F746" s="299" t="s">
        <v>143</v>
      </c>
      <c r="G746" s="298" t="s">
        <v>340</v>
      </c>
      <c r="H746" s="271" t="s">
        <v>418</v>
      </c>
      <c r="I746" s="272" t="s">
        <v>26</v>
      </c>
      <c r="J746" s="273">
        <v>0.3</v>
      </c>
      <c r="K746" s="272" t="s">
        <v>138</v>
      </c>
      <c r="L746" s="291" t="s">
        <v>139</v>
      </c>
      <c r="M746" s="272" t="s">
        <v>140</v>
      </c>
      <c r="N746" s="273">
        <v>1</v>
      </c>
      <c r="O746" s="276">
        <v>1</v>
      </c>
      <c r="P746" s="273"/>
      <c r="Q746" s="273">
        <f t="shared" si="24"/>
        <v>0</v>
      </c>
      <c r="R746" s="287">
        <f t="shared" si="25"/>
        <v>0</v>
      </c>
      <c r="S746" s="276" t="s">
        <v>23</v>
      </c>
      <c r="T746" s="277"/>
    </row>
    <row r="747" spans="1:20" ht="21.6" hidden="1" x14ac:dyDescent="0.3">
      <c r="A747" s="242">
        <v>2070</v>
      </c>
      <c r="B747" s="243" t="s">
        <v>20</v>
      </c>
      <c r="C747" s="244" t="s">
        <v>267</v>
      </c>
      <c r="D747" s="293">
        <v>6526</v>
      </c>
      <c r="E747" s="295" t="s">
        <v>339</v>
      </c>
      <c r="F747" s="296" t="s">
        <v>143</v>
      </c>
      <c r="G747" s="295" t="s">
        <v>340</v>
      </c>
      <c r="H747" s="246" t="s">
        <v>418</v>
      </c>
      <c r="I747" s="294" t="s">
        <v>22</v>
      </c>
      <c r="J747" s="248">
        <v>0.7</v>
      </c>
      <c r="K747" s="75" t="s">
        <v>513</v>
      </c>
      <c r="L747" s="105" t="s">
        <v>511</v>
      </c>
      <c r="M747" s="75" t="s">
        <v>411</v>
      </c>
      <c r="N747" s="248">
        <v>0.95</v>
      </c>
      <c r="O747" s="248">
        <v>0.15</v>
      </c>
      <c r="P747" s="248"/>
      <c r="Q747" s="248">
        <f t="shared" si="24"/>
        <v>0</v>
      </c>
      <c r="R747" s="250">
        <f t="shared" si="25"/>
        <v>0</v>
      </c>
      <c r="S747" s="248" t="s">
        <v>23</v>
      </c>
      <c r="T747" s="251">
        <f>SUM(R747:R754)%</f>
        <v>0</v>
      </c>
    </row>
    <row r="748" spans="1:20" ht="21.6" hidden="1" x14ac:dyDescent="0.3">
      <c r="A748" s="182">
        <v>2072</v>
      </c>
      <c r="B748" s="42" t="s">
        <v>20</v>
      </c>
      <c r="C748" s="43" t="s">
        <v>267</v>
      </c>
      <c r="D748" s="50">
        <v>6526</v>
      </c>
      <c r="E748" s="52" t="s">
        <v>339</v>
      </c>
      <c r="F748" s="53" t="s">
        <v>143</v>
      </c>
      <c r="G748" s="52" t="s">
        <v>340</v>
      </c>
      <c r="H748" s="45" t="s">
        <v>418</v>
      </c>
      <c r="I748" s="7" t="s">
        <v>22</v>
      </c>
      <c r="J748" s="3">
        <v>0.7</v>
      </c>
      <c r="K748" s="7" t="s">
        <v>124</v>
      </c>
      <c r="L748" s="8" t="s">
        <v>125</v>
      </c>
      <c r="M748" s="7" t="s">
        <v>126</v>
      </c>
      <c r="N748" s="3">
        <v>0.95</v>
      </c>
      <c r="O748" s="3">
        <v>0.15</v>
      </c>
      <c r="P748" s="6"/>
      <c r="Q748" s="3">
        <f t="shared" si="24"/>
        <v>0</v>
      </c>
      <c r="R748" s="4">
        <f t="shared" si="25"/>
        <v>0</v>
      </c>
      <c r="S748" s="3" t="s">
        <v>23</v>
      </c>
      <c r="T748" s="190"/>
    </row>
    <row r="749" spans="1:20" ht="21.6" hidden="1" x14ac:dyDescent="0.3">
      <c r="A749" s="182">
        <v>2073</v>
      </c>
      <c r="B749" s="42" t="s">
        <v>20</v>
      </c>
      <c r="C749" s="43" t="s">
        <v>267</v>
      </c>
      <c r="D749" s="50">
        <v>6526</v>
      </c>
      <c r="E749" s="52" t="s">
        <v>339</v>
      </c>
      <c r="F749" s="53" t="s">
        <v>143</v>
      </c>
      <c r="G749" s="52" t="s">
        <v>340</v>
      </c>
      <c r="H749" s="45" t="s">
        <v>418</v>
      </c>
      <c r="I749" s="7" t="s">
        <v>22</v>
      </c>
      <c r="J749" s="3">
        <v>0.7</v>
      </c>
      <c r="K749" s="7" t="s">
        <v>51</v>
      </c>
      <c r="L749" s="8" t="s">
        <v>127</v>
      </c>
      <c r="M749" s="7" t="s">
        <v>128</v>
      </c>
      <c r="N749" s="6">
        <v>0.05</v>
      </c>
      <c r="O749" s="3">
        <v>0.1</v>
      </c>
      <c r="P749" s="11"/>
      <c r="Q749" s="3">
        <f t="shared" si="24"/>
        <v>0</v>
      </c>
      <c r="R749" s="4">
        <f t="shared" si="25"/>
        <v>0</v>
      </c>
      <c r="S749" s="3" t="s">
        <v>24</v>
      </c>
      <c r="T749" s="190"/>
    </row>
    <row r="750" spans="1:20" ht="21.6" hidden="1" x14ac:dyDescent="0.3">
      <c r="A750" s="182">
        <v>2074</v>
      </c>
      <c r="B750" s="42" t="s">
        <v>20</v>
      </c>
      <c r="C750" s="43" t="s">
        <v>267</v>
      </c>
      <c r="D750" s="50">
        <v>6526</v>
      </c>
      <c r="E750" s="52" t="s">
        <v>339</v>
      </c>
      <c r="F750" s="53" t="s">
        <v>143</v>
      </c>
      <c r="G750" s="52" t="s">
        <v>340</v>
      </c>
      <c r="H750" s="45" t="s">
        <v>418</v>
      </c>
      <c r="I750" s="7" t="s">
        <v>22</v>
      </c>
      <c r="J750" s="3">
        <v>0.7</v>
      </c>
      <c r="K750" s="7" t="s">
        <v>305</v>
      </c>
      <c r="L750" s="8" t="s">
        <v>257</v>
      </c>
      <c r="M750" s="339" t="s">
        <v>306</v>
      </c>
      <c r="N750" s="3">
        <v>0.95</v>
      </c>
      <c r="O750" s="3">
        <v>0.1</v>
      </c>
      <c r="P750" s="3"/>
      <c r="Q750" s="3">
        <f t="shared" si="24"/>
        <v>0</v>
      </c>
      <c r="R750" s="4">
        <f t="shared" si="25"/>
        <v>0</v>
      </c>
      <c r="S750" s="3" t="s">
        <v>23</v>
      </c>
      <c r="T750" s="190"/>
    </row>
    <row r="751" spans="1:20" ht="21.6" hidden="1" x14ac:dyDescent="0.3">
      <c r="A751" s="182">
        <v>2075</v>
      </c>
      <c r="B751" s="42" t="s">
        <v>20</v>
      </c>
      <c r="C751" s="43" t="s">
        <v>267</v>
      </c>
      <c r="D751" s="50">
        <v>6526</v>
      </c>
      <c r="E751" s="52" t="s">
        <v>339</v>
      </c>
      <c r="F751" s="53" t="s">
        <v>143</v>
      </c>
      <c r="G751" s="52" t="s">
        <v>340</v>
      </c>
      <c r="H751" s="45" t="s">
        <v>418</v>
      </c>
      <c r="I751" s="47" t="s">
        <v>22</v>
      </c>
      <c r="J751" s="3">
        <v>0.7</v>
      </c>
      <c r="K751" s="47" t="s">
        <v>129</v>
      </c>
      <c r="L751" s="30" t="s">
        <v>130</v>
      </c>
      <c r="M751" s="47" t="s">
        <v>131</v>
      </c>
      <c r="N751" s="3">
        <v>0.9</v>
      </c>
      <c r="O751" s="10">
        <v>0.2</v>
      </c>
      <c r="P751" s="3"/>
      <c r="Q751" s="3">
        <f t="shared" si="24"/>
        <v>0</v>
      </c>
      <c r="R751" s="48">
        <f t="shared" si="25"/>
        <v>0</v>
      </c>
      <c r="S751" s="10" t="s">
        <v>23</v>
      </c>
      <c r="T751" s="191"/>
    </row>
    <row r="752" spans="1:20" ht="21.6" hidden="1" x14ac:dyDescent="0.3">
      <c r="A752" s="182">
        <v>2076</v>
      </c>
      <c r="B752" s="42" t="s">
        <v>20</v>
      </c>
      <c r="C752" s="43" t="s">
        <v>267</v>
      </c>
      <c r="D752" s="50">
        <v>6526</v>
      </c>
      <c r="E752" s="52" t="s">
        <v>339</v>
      </c>
      <c r="F752" s="53" t="s">
        <v>143</v>
      </c>
      <c r="G752" s="52" t="s">
        <v>340</v>
      </c>
      <c r="H752" s="45" t="s">
        <v>418</v>
      </c>
      <c r="I752" s="47" t="s">
        <v>22</v>
      </c>
      <c r="J752" s="3">
        <v>0.7</v>
      </c>
      <c r="K752" s="47" t="s">
        <v>132</v>
      </c>
      <c r="L752" s="30" t="s">
        <v>133</v>
      </c>
      <c r="M752" s="47" t="s">
        <v>134</v>
      </c>
      <c r="N752" s="4">
        <v>0</v>
      </c>
      <c r="O752" s="10">
        <v>0.1</v>
      </c>
      <c r="P752" s="3"/>
      <c r="Q752" s="3">
        <f t="shared" si="24"/>
        <v>0</v>
      </c>
      <c r="R752" s="48">
        <f t="shared" si="25"/>
        <v>0</v>
      </c>
      <c r="S752" s="10" t="s">
        <v>24</v>
      </c>
      <c r="T752" s="191"/>
    </row>
    <row r="753" spans="1:20" ht="21.6" hidden="1" x14ac:dyDescent="0.3">
      <c r="A753" s="182">
        <v>2077</v>
      </c>
      <c r="B753" s="42" t="s">
        <v>20</v>
      </c>
      <c r="C753" s="43" t="s">
        <v>267</v>
      </c>
      <c r="D753" s="50">
        <v>6526</v>
      </c>
      <c r="E753" s="52" t="s">
        <v>339</v>
      </c>
      <c r="F753" s="53" t="s">
        <v>143</v>
      </c>
      <c r="G753" s="52" t="s">
        <v>340</v>
      </c>
      <c r="H753" s="45" t="s">
        <v>418</v>
      </c>
      <c r="I753" s="47" t="s">
        <v>22</v>
      </c>
      <c r="J753" s="3">
        <v>0.7</v>
      </c>
      <c r="K753" s="47" t="s">
        <v>135</v>
      </c>
      <c r="L753" s="30" t="s">
        <v>136</v>
      </c>
      <c r="M753" s="47" t="s">
        <v>137</v>
      </c>
      <c r="N753" s="3">
        <v>0.9</v>
      </c>
      <c r="O753" s="10">
        <v>0.2</v>
      </c>
      <c r="P753" s="3"/>
      <c r="Q753" s="3">
        <f t="shared" si="24"/>
        <v>0</v>
      </c>
      <c r="R753" s="48">
        <f t="shared" si="25"/>
        <v>0</v>
      </c>
      <c r="S753" s="10" t="s">
        <v>23</v>
      </c>
      <c r="T753" s="191"/>
    </row>
    <row r="754" spans="1:20" ht="22.2" hidden="1" thickBot="1" x14ac:dyDescent="0.35">
      <c r="A754" s="267">
        <v>2078</v>
      </c>
      <c r="B754" s="268" t="s">
        <v>20</v>
      </c>
      <c r="C754" s="269" t="s">
        <v>267</v>
      </c>
      <c r="D754" s="290">
        <v>6526</v>
      </c>
      <c r="E754" s="298" t="s">
        <v>339</v>
      </c>
      <c r="F754" s="299" t="s">
        <v>143</v>
      </c>
      <c r="G754" s="298" t="s">
        <v>340</v>
      </c>
      <c r="H754" s="271" t="s">
        <v>418</v>
      </c>
      <c r="I754" s="272" t="s">
        <v>26</v>
      </c>
      <c r="J754" s="273">
        <v>0.3</v>
      </c>
      <c r="K754" s="272" t="s">
        <v>138</v>
      </c>
      <c r="L754" s="291" t="s">
        <v>139</v>
      </c>
      <c r="M754" s="272" t="s">
        <v>140</v>
      </c>
      <c r="N754" s="273">
        <v>1</v>
      </c>
      <c r="O754" s="276">
        <v>1</v>
      </c>
      <c r="P754" s="273"/>
      <c r="Q754" s="273">
        <f t="shared" si="24"/>
        <v>0</v>
      </c>
      <c r="R754" s="287">
        <f t="shared" si="25"/>
        <v>0</v>
      </c>
      <c r="S754" s="276" t="s">
        <v>23</v>
      </c>
      <c r="T754" s="277"/>
    </row>
    <row r="755" spans="1:20" ht="21.6" hidden="1" x14ac:dyDescent="0.3">
      <c r="A755" s="242">
        <v>2070</v>
      </c>
      <c r="B755" s="243" t="s">
        <v>20</v>
      </c>
      <c r="C755" s="244" t="s">
        <v>267</v>
      </c>
      <c r="D755" s="245" t="s">
        <v>237</v>
      </c>
      <c r="E755" s="243" t="s">
        <v>238</v>
      </c>
      <c r="F755" s="243" t="s">
        <v>143</v>
      </c>
      <c r="G755" s="243" t="s">
        <v>29</v>
      </c>
      <c r="H755" s="246" t="s">
        <v>422</v>
      </c>
      <c r="I755" s="294" t="s">
        <v>22</v>
      </c>
      <c r="J755" s="248">
        <v>0.7</v>
      </c>
      <c r="K755" s="75" t="s">
        <v>513</v>
      </c>
      <c r="L755" s="105" t="s">
        <v>511</v>
      </c>
      <c r="M755" s="75" t="s">
        <v>411</v>
      </c>
      <c r="N755" s="248">
        <v>0.95</v>
      </c>
      <c r="O755" s="248">
        <v>0.15</v>
      </c>
      <c r="P755" s="297"/>
      <c r="Q755" s="248">
        <f t="shared" si="24"/>
        <v>0</v>
      </c>
      <c r="R755" s="250">
        <f t="shared" si="25"/>
        <v>0</v>
      </c>
      <c r="S755" s="248" t="s">
        <v>23</v>
      </c>
      <c r="T755" s="251">
        <f>SUM(R755:R762)%</f>
        <v>0</v>
      </c>
    </row>
    <row r="756" spans="1:20" ht="21.6" hidden="1" x14ac:dyDescent="0.3">
      <c r="A756" s="182">
        <v>2072</v>
      </c>
      <c r="B756" s="42" t="s">
        <v>20</v>
      </c>
      <c r="C756" s="43" t="s">
        <v>267</v>
      </c>
      <c r="D756" s="44" t="s">
        <v>237</v>
      </c>
      <c r="E756" s="42" t="s">
        <v>238</v>
      </c>
      <c r="F756" s="42" t="s">
        <v>143</v>
      </c>
      <c r="G756" s="42" t="s">
        <v>29</v>
      </c>
      <c r="H756" s="45" t="s">
        <v>422</v>
      </c>
      <c r="I756" s="7" t="s">
        <v>22</v>
      </c>
      <c r="J756" s="3">
        <v>0.7</v>
      </c>
      <c r="K756" s="7" t="s">
        <v>124</v>
      </c>
      <c r="L756" s="8" t="s">
        <v>125</v>
      </c>
      <c r="M756" s="7" t="s">
        <v>126</v>
      </c>
      <c r="N756" s="3">
        <v>0.95</v>
      </c>
      <c r="O756" s="3">
        <v>0.15</v>
      </c>
      <c r="P756" s="6"/>
      <c r="Q756" s="3">
        <f t="shared" si="24"/>
        <v>0</v>
      </c>
      <c r="R756" s="4">
        <f t="shared" si="25"/>
        <v>0</v>
      </c>
      <c r="S756" s="3" t="s">
        <v>23</v>
      </c>
      <c r="T756" s="190"/>
    </row>
    <row r="757" spans="1:20" ht="21.6" hidden="1" x14ac:dyDescent="0.3">
      <c r="A757" s="182">
        <v>2073</v>
      </c>
      <c r="B757" s="42" t="s">
        <v>20</v>
      </c>
      <c r="C757" s="43" t="s">
        <v>267</v>
      </c>
      <c r="D757" s="44" t="s">
        <v>237</v>
      </c>
      <c r="E757" s="42" t="s">
        <v>238</v>
      </c>
      <c r="F757" s="42" t="s">
        <v>143</v>
      </c>
      <c r="G757" s="42" t="s">
        <v>29</v>
      </c>
      <c r="H757" s="45" t="s">
        <v>422</v>
      </c>
      <c r="I757" s="7" t="s">
        <v>22</v>
      </c>
      <c r="J757" s="3">
        <v>0.7</v>
      </c>
      <c r="K757" s="7" t="s">
        <v>51</v>
      </c>
      <c r="L757" s="8" t="s">
        <v>127</v>
      </c>
      <c r="M757" s="7" t="s">
        <v>128</v>
      </c>
      <c r="N757" s="6">
        <v>0.05</v>
      </c>
      <c r="O757" s="3">
        <v>0.1</v>
      </c>
      <c r="P757" s="11"/>
      <c r="Q757" s="3">
        <f t="shared" si="24"/>
        <v>0</v>
      </c>
      <c r="R757" s="4">
        <f t="shared" si="25"/>
        <v>0</v>
      </c>
      <c r="S757" s="3" t="s">
        <v>24</v>
      </c>
      <c r="T757" s="190"/>
    </row>
    <row r="758" spans="1:20" ht="21.6" hidden="1" x14ac:dyDescent="0.3">
      <c r="A758" s="182">
        <v>2074</v>
      </c>
      <c r="B758" s="42" t="s">
        <v>20</v>
      </c>
      <c r="C758" s="43" t="s">
        <v>267</v>
      </c>
      <c r="D758" s="44" t="s">
        <v>237</v>
      </c>
      <c r="E758" s="42" t="s">
        <v>238</v>
      </c>
      <c r="F758" s="42" t="s">
        <v>143</v>
      </c>
      <c r="G758" s="42" t="s">
        <v>29</v>
      </c>
      <c r="H758" s="45" t="s">
        <v>422</v>
      </c>
      <c r="I758" s="7" t="s">
        <v>22</v>
      </c>
      <c r="J758" s="3">
        <v>0.7</v>
      </c>
      <c r="K758" s="7" t="s">
        <v>305</v>
      </c>
      <c r="L758" s="8" t="s">
        <v>257</v>
      </c>
      <c r="M758" s="339" t="s">
        <v>306</v>
      </c>
      <c r="N758" s="3">
        <v>0.95</v>
      </c>
      <c r="O758" s="3">
        <v>0.1</v>
      </c>
      <c r="P758" s="3"/>
      <c r="Q758" s="3">
        <f t="shared" si="24"/>
        <v>0</v>
      </c>
      <c r="R758" s="4">
        <f t="shared" si="25"/>
        <v>0</v>
      </c>
      <c r="S758" s="3" t="s">
        <v>23</v>
      </c>
      <c r="T758" s="190"/>
    </row>
    <row r="759" spans="1:20" ht="21.6" hidden="1" x14ac:dyDescent="0.3">
      <c r="A759" s="182">
        <v>2075</v>
      </c>
      <c r="B759" s="42" t="s">
        <v>20</v>
      </c>
      <c r="C759" s="43" t="s">
        <v>267</v>
      </c>
      <c r="D759" s="44" t="s">
        <v>237</v>
      </c>
      <c r="E759" s="42" t="s">
        <v>238</v>
      </c>
      <c r="F759" s="42" t="s">
        <v>143</v>
      </c>
      <c r="G759" s="42" t="s">
        <v>29</v>
      </c>
      <c r="H759" s="45" t="s">
        <v>422</v>
      </c>
      <c r="I759" s="47" t="s">
        <v>22</v>
      </c>
      <c r="J759" s="3">
        <v>0.7</v>
      </c>
      <c r="K759" s="47" t="s">
        <v>129</v>
      </c>
      <c r="L759" s="30" t="s">
        <v>130</v>
      </c>
      <c r="M759" s="47" t="s">
        <v>131</v>
      </c>
      <c r="N759" s="3">
        <v>0.9</v>
      </c>
      <c r="O759" s="10">
        <v>0.2</v>
      </c>
      <c r="P759" s="3"/>
      <c r="Q759" s="3">
        <f t="shared" si="24"/>
        <v>0</v>
      </c>
      <c r="R759" s="48">
        <f t="shared" si="25"/>
        <v>0</v>
      </c>
      <c r="S759" s="10" t="s">
        <v>23</v>
      </c>
      <c r="T759" s="191"/>
    </row>
    <row r="760" spans="1:20" ht="21.6" hidden="1" x14ac:dyDescent="0.3">
      <c r="A760" s="182">
        <v>2076</v>
      </c>
      <c r="B760" s="42" t="s">
        <v>20</v>
      </c>
      <c r="C760" s="43" t="s">
        <v>267</v>
      </c>
      <c r="D760" s="44" t="s">
        <v>237</v>
      </c>
      <c r="E760" s="42" t="s">
        <v>238</v>
      </c>
      <c r="F760" s="42" t="s">
        <v>143</v>
      </c>
      <c r="G760" s="42" t="s">
        <v>29</v>
      </c>
      <c r="H760" s="45" t="s">
        <v>422</v>
      </c>
      <c r="I760" s="47" t="s">
        <v>22</v>
      </c>
      <c r="J760" s="3">
        <v>0.7</v>
      </c>
      <c r="K760" s="47" t="s">
        <v>132</v>
      </c>
      <c r="L760" s="30" t="s">
        <v>133</v>
      </c>
      <c r="M760" s="47" t="s">
        <v>134</v>
      </c>
      <c r="N760" s="4">
        <v>0</v>
      </c>
      <c r="O760" s="10">
        <v>0.1</v>
      </c>
      <c r="P760" s="3"/>
      <c r="Q760" s="3">
        <f t="shared" si="24"/>
        <v>0</v>
      </c>
      <c r="R760" s="48">
        <f t="shared" si="25"/>
        <v>0</v>
      </c>
      <c r="S760" s="10" t="s">
        <v>24</v>
      </c>
      <c r="T760" s="191"/>
    </row>
    <row r="761" spans="1:20" ht="21.6" hidden="1" x14ac:dyDescent="0.3">
      <c r="A761" s="182">
        <v>2077</v>
      </c>
      <c r="B761" s="42" t="s">
        <v>20</v>
      </c>
      <c r="C761" s="43" t="s">
        <v>267</v>
      </c>
      <c r="D761" s="44" t="s">
        <v>237</v>
      </c>
      <c r="E761" s="42" t="s">
        <v>238</v>
      </c>
      <c r="F761" s="42" t="s">
        <v>143</v>
      </c>
      <c r="G761" s="42" t="s">
        <v>29</v>
      </c>
      <c r="H761" s="45" t="s">
        <v>422</v>
      </c>
      <c r="I761" s="47" t="s">
        <v>22</v>
      </c>
      <c r="J761" s="3">
        <v>0.7</v>
      </c>
      <c r="K761" s="47" t="s">
        <v>135</v>
      </c>
      <c r="L761" s="30" t="s">
        <v>136</v>
      </c>
      <c r="M761" s="47" t="s">
        <v>137</v>
      </c>
      <c r="N761" s="3">
        <v>0.9</v>
      </c>
      <c r="O761" s="10">
        <v>0.2</v>
      </c>
      <c r="P761" s="51"/>
      <c r="Q761" s="3">
        <f t="shared" ref="Q761:Q824" si="26">ROUND(IF(OR(N761="",P761=""),0,IF(AND(N761=0,P761=0),1,IF(S761="+",P761/N761,N761/P761))),2)</f>
        <v>0</v>
      </c>
      <c r="R761" s="48">
        <f t="shared" si="25"/>
        <v>0</v>
      </c>
      <c r="S761" s="10" t="s">
        <v>23</v>
      </c>
      <c r="T761" s="191"/>
    </row>
    <row r="762" spans="1:20" ht="22.2" hidden="1" thickBot="1" x14ac:dyDescent="0.35">
      <c r="A762" s="267">
        <v>2078</v>
      </c>
      <c r="B762" s="268" t="s">
        <v>20</v>
      </c>
      <c r="C762" s="269" t="s">
        <v>267</v>
      </c>
      <c r="D762" s="270" t="s">
        <v>237</v>
      </c>
      <c r="E762" s="268" t="s">
        <v>238</v>
      </c>
      <c r="F762" s="268" t="s">
        <v>143</v>
      </c>
      <c r="G762" s="268" t="s">
        <v>29</v>
      </c>
      <c r="H762" s="271" t="s">
        <v>422</v>
      </c>
      <c r="I762" s="272" t="s">
        <v>26</v>
      </c>
      <c r="J762" s="273">
        <v>0.3</v>
      </c>
      <c r="K762" s="272" t="s">
        <v>138</v>
      </c>
      <c r="L762" s="291" t="s">
        <v>139</v>
      </c>
      <c r="M762" s="272" t="s">
        <v>140</v>
      </c>
      <c r="N762" s="273">
        <v>1</v>
      </c>
      <c r="O762" s="276">
        <v>1</v>
      </c>
      <c r="P762" s="273"/>
      <c r="Q762" s="273">
        <f t="shared" si="26"/>
        <v>0</v>
      </c>
      <c r="R762" s="287">
        <f t="shared" si="25"/>
        <v>0</v>
      </c>
      <c r="S762" s="276" t="s">
        <v>23</v>
      </c>
      <c r="T762" s="277"/>
    </row>
    <row r="763" spans="1:20" ht="21.6" hidden="1" x14ac:dyDescent="0.3">
      <c r="A763" s="242">
        <v>2079</v>
      </c>
      <c r="B763" s="243" t="s">
        <v>20</v>
      </c>
      <c r="C763" s="244" t="s">
        <v>267</v>
      </c>
      <c r="D763" s="245" t="s">
        <v>239</v>
      </c>
      <c r="E763" s="243" t="s">
        <v>240</v>
      </c>
      <c r="F763" s="243" t="s">
        <v>143</v>
      </c>
      <c r="G763" s="243" t="s">
        <v>29</v>
      </c>
      <c r="H763" s="246" t="s">
        <v>422</v>
      </c>
      <c r="I763" s="294" t="s">
        <v>22</v>
      </c>
      <c r="J763" s="248">
        <v>0.7</v>
      </c>
      <c r="K763" s="75" t="s">
        <v>513</v>
      </c>
      <c r="L763" s="105" t="s">
        <v>511</v>
      </c>
      <c r="M763" s="75" t="s">
        <v>411</v>
      </c>
      <c r="N763" s="248">
        <v>0.95</v>
      </c>
      <c r="O763" s="248">
        <v>0.15</v>
      </c>
      <c r="P763" s="248"/>
      <c r="Q763" s="248">
        <f t="shared" si="26"/>
        <v>0</v>
      </c>
      <c r="R763" s="250">
        <f t="shared" si="25"/>
        <v>0</v>
      </c>
      <c r="S763" s="248" t="s">
        <v>23</v>
      </c>
      <c r="T763" s="251">
        <f>SUM(R763:R770)%</f>
        <v>0</v>
      </c>
    </row>
    <row r="764" spans="1:20" ht="21.6" hidden="1" x14ac:dyDescent="0.3">
      <c r="A764" s="182">
        <v>2081</v>
      </c>
      <c r="B764" s="42" t="s">
        <v>20</v>
      </c>
      <c r="C764" s="43" t="s">
        <v>267</v>
      </c>
      <c r="D764" s="44" t="s">
        <v>239</v>
      </c>
      <c r="E764" s="42" t="s">
        <v>240</v>
      </c>
      <c r="F764" s="42" t="s">
        <v>143</v>
      </c>
      <c r="G764" s="42" t="s">
        <v>29</v>
      </c>
      <c r="H764" s="45" t="s">
        <v>422</v>
      </c>
      <c r="I764" s="7" t="s">
        <v>22</v>
      </c>
      <c r="J764" s="3">
        <v>0.7</v>
      </c>
      <c r="K764" s="7" t="s">
        <v>124</v>
      </c>
      <c r="L764" s="8" t="s">
        <v>125</v>
      </c>
      <c r="M764" s="7" t="s">
        <v>126</v>
      </c>
      <c r="N764" s="3">
        <v>0.95</v>
      </c>
      <c r="O764" s="3">
        <v>0.15</v>
      </c>
      <c r="P764" s="6"/>
      <c r="Q764" s="3">
        <f t="shared" si="26"/>
        <v>0</v>
      </c>
      <c r="R764" s="4">
        <f t="shared" si="25"/>
        <v>0</v>
      </c>
      <c r="S764" s="3" t="s">
        <v>23</v>
      </c>
      <c r="T764" s="190"/>
    </row>
    <row r="765" spans="1:20" ht="21.6" hidden="1" x14ac:dyDescent="0.3">
      <c r="A765" s="182">
        <v>2082</v>
      </c>
      <c r="B765" s="42" t="s">
        <v>20</v>
      </c>
      <c r="C765" s="43" t="s">
        <v>267</v>
      </c>
      <c r="D765" s="44" t="s">
        <v>239</v>
      </c>
      <c r="E765" s="42" t="s">
        <v>240</v>
      </c>
      <c r="F765" s="42" t="s">
        <v>143</v>
      </c>
      <c r="G765" s="42" t="s">
        <v>29</v>
      </c>
      <c r="H765" s="45" t="s">
        <v>422</v>
      </c>
      <c r="I765" s="7" t="s">
        <v>22</v>
      </c>
      <c r="J765" s="3">
        <v>0.7</v>
      </c>
      <c r="K765" s="7" t="s">
        <v>51</v>
      </c>
      <c r="L765" s="8" t="s">
        <v>127</v>
      </c>
      <c r="M765" s="7" t="s">
        <v>128</v>
      </c>
      <c r="N765" s="6">
        <v>0.05</v>
      </c>
      <c r="O765" s="3">
        <v>0.1</v>
      </c>
      <c r="P765" s="11"/>
      <c r="Q765" s="3">
        <f t="shared" si="26"/>
        <v>0</v>
      </c>
      <c r="R765" s="4">
        <f t="shared" si="25"/>
        <v>0</v>
      </c>
      <c r="S765" s="3" t="s">
        <v>24</v>
      </c>
      <c r="T765" s="190"/>
    </row>
    <row r="766" spans="1:20" ht="21.6" hidden="1" x14ac:dyDescent="0.3">
      <c r="A766" s="182">
        <v>2083</v>
      </c>
      <c r="B766" s="42" t="s">
        <v>20</v>
      </c>
      <c r="C766" s="43" t="s">
        <v>267</v>
      </c>
      <c r="D766" s="44" t="s">
        <v>239</v>
      </c>
      <c r="E766" s="42" t="s">
        <v>240</v>
      </c>
      <c r="F766" s="42" t="s">
        <v>143</v>
      </c>
      <c r="G766" s="42" t="s">
        <v>29</v>
      </c>
      <c r="H766" s="45" t="s">
        <v>422</v>
      </c>
      <c r="I766" s="7" t="s">
        <v>22</v>
      </c>
      <c r="J766" s="3">
        <v>0.7</v>
      </c>
      <c r="K766" s="7" t="s">
        <v>305</v>
      </c>
      <c r="L766" s="8" t="s">
        <v>257</v>
      </c>
      <c r="M766" s="339" t="s">
        <v>306</v>
      </c>
      <c r="N766" s="3">
        <v>0.95</v>
      </c>
      <c r="O766" s="3">
        <v>0.1</v>
      </c>
      <c r="P766" s="3"/>
      <c r="Q766" s="3">
        <f t="shared" si="26"/>
        <v>0</v>
      </c>
      <c r="R766" s="4">
        <f t="shared" si="25"/>
        <v>0</v>
      </c>
      <c r="S766" s="3" t="s">
        <v>23</v>
      </c>
      <c r="T766" s="190"/>
    </row>
    <row r="767" spans="1:20" ht="21.6" hidden="1" x14ac:dyDescent="0.3">
      <c r="A767" s="182">
        <v>2084</v>
      </c>
      <c r="B767" s="42" t="s">
        <v>20</v>
      </c>
      <c r="C767" s="43" t="s">
        <v>267</v>
      </c>
      <c r="D767" s="44" t="s">
        <v>239</v>
      </c>
      <c r="E767" s="42" t="s">
        <v>240</v>
      </c>
      <c r="F767" s="42" t="s">
        <v>143</v>
      </c>
      <c r="G767" s="42" t="s">
        <v>29</v>
      </c>
      <c r="H767" s="45" t="s">
        <v>422</v>
      </c>
      <c r="I767" s="47" t="s">
        <v>22</v>
      </c>
      <c r="J767" s="3">
        <v>0.7</v>
      </c>
      <c r="K767" s="47" t="s">
        <v>129</v>
      </c>
      <c r="L767" s="30" t="s">
        <v>130</v>
      </c>
      <c r="M767" s="47" t="s">
        <v>131</v>
      </c>
      <c r="N767" s="3">
        <v>0.9</v>
      </c>
      <c r="O767" s="10">
        <v>0.2</v>
      </c>
      <c r="P767" s="3"/>
      <c r="Q767" s="3">
        <f t="shared" si="26"/>
        <v>0</v>
      </c>
      <c r="R767" s="48">
        <f t="shared" si="25"/>
        <v>0</v>
      </c>
      <c r="S767" s="10" t="s">
        <v>23</v>
      </c>
      <c r="T767" s="191"/>
    </row>
    <row r="768" spans="1:20" ht="21.6" hidden="1" x14ac:dyDescent="0.3">
      <c r="A768" s="182">
        <v>2085</v>
      </c>
      <c r="B768" s="42" t="s">
        <v>20</v>
      </c>
      <c r="C768" s="43" t="s">
        <v>267</v>
      </c>
      <c r="D768" s="44" t="s">
        <v>239</v>
      </c>
      <c r="E768" s="42" t="s">
        <v>240</v>
      </c>
      <c r="F768" s="42" t="s">
        <v>143</v>
      </c>
      <c r="G768" s="42" t="s">
        <v>29</v>
      </c>
      <c r="H768" s="45" t="s">
        <v>422</v>
      </c>
      <c r="I768" s="47" t="s">
        <v>22</v>
      </c>
      <c r="J768" s="3">
        <v>0.7</v>
      </c>
      <c r="K768" s="47" t="s">
        <v>132</v>
      </c>
      <c r="L768" s="30" t="s">
        <v>133</v>
      </c>
      <c r="M768" s="47" t="s">
        <v>134</v>
      </c>
      <c r="N768" s="4">
        <v>0</v>
      </c>
      <c r="O768" s="10">
        <v>0.1</v>
      </c>
      <c r="P768" s="3"/>
      <c r="Q768" s="3">
        <f t="shared" si="26"/>
        <v>0</v>
      </c>
      <c r="R768" s="48">
        <f t="shared" si="25"/>
        <v>0</v>
      </c>
      <c r="S768" s="10" t="s">
        <v>24</v>
      </c>
      <c r="T768" s="191"/>
    </row>
    <row r="769" spans="1:20" ht="21.6" hidden="1" x14ac:dyDescent="0.3">
      <c r="A769" s="182">
        <v>2086</v>
      </c>
      <c r="B769" s="42" t="s">
        <v>20</v>
      </c>
      <c r="C769" s="43" t="s">
        <v>267</v>
      </c>
      <c r="D769" s="44" t="s">
        <v>239</v>
      </c>
      <c r="E769" s="42" t="s">
        <v>240</v>
      </c>
      <c r="F769" s="42" t="s">
        <v>143</v>
      </c>
      <c r="G769" s="42" t="s">
        <v>29</v>
      </c>
      <c r="H769" s="45" t="s">
        <v>422</v>
      </c>
      <c r="I769" s="47" t="s">
        <v>22</v>
      </c>
      <c r="J769" s="3">
        <v>0.7</v>
      </c>
      <c r="K769" s="47" t="s">
        <v>135</v>
      </c>
      <c r="L769" s="30" t="s">
        <v>136</v>
      </c>
      <c r="M769" s="47" t="s">
        <v>137</v>
      </c>
      <c r="N769" s="3">
        <v>0.9</v>
      </c>
      <c r="O769" s="10">
        <v>0.2</v>
      </c>
      <c r="P769" s="51"/>
      <c r="Q769" s="3">
        <f t="shared" si="26"/>
        <v>0</v>
      </c>
      <c r="R769" s="48">
        <f t="shared" si="25"/>
        <v>0</v>
      </c>
      <c r="S769" s="10" t="s">
        <v>23</v>
      </c>
      <c r="T769" s="191"/>
    </row>
    <row r="770" spans="1:20" ht="22.2" hidden="1" thickBot="1" x14ac:dyDescent="0.35">
      <c r="A770" s="267">
        <v>2087</v>
      </c>
      <c r="B770" s="268" t="s">
        <v>20</v>
      </c>
      <c r="C770" s="269" t="s">
        <v>267</v>
      </c>
      <c r="D770" s="270" t="s">
        <v>239</v>
      </c>
      <c r="E770" s="268" t="s">
        <v>240</v>
      </c>
      <c r="F770" s="268" t="s">
        <v>143</v>
      </c>
      <c r="G770" s="268" t="s">
        <v>29</v>
      </c>
      <c r="H770" s="271" t="s">
        <v>422</v>
      </c>
      <c r="I770" s="272" t="s">
        <v>26</v>
      </c>
      <c r="J770" s="273">
        <v>0.3</v>
      </c>
      <c r="K770" s="272" t="s">
        <v>138</v>
      </c>
      <c r="L770" s="291" t="s">
        <v>139</v>
      </c>
      <c r="M770" s="272" t="s">
        <v>140</v>
      </c>
      <c r="N770" s="273">
        <v>1</v>
      </c>
      <c r="O770" s="276">
        <v>1</v>
      </c>
      <c r="P770" s="273"/>
      <c r="Q770" s="273">
        <f t="shared" si="26"/>
        <v>0</v>
      </c>
      <c r="R770" s="287">
        <f t="shared" si="25"/>
        <v>0</v>
      </c>
      <c r="S770" s="276" t="s">
        <v>23</v>
      </c>
      <c r="T770" s="277"/>
    </row>
    <row r="771" spans="1:20" ht="21.6" hidden="1" x14ac:dyDescent="0.3">
      <c r="A771" s="242">
        <v>2088</v>
      </c>
      <c r="B771" s="243" t="s">
        <v>20</v>
      </c>
      <c r="C771" s="244" t="s">
        <v>267</v>
      </c>
      <c r="D771" s="245" t="s">
        <v>241</v>
      </c>
      <c r="E771" s="243" t="s">
        <v>242</v>
      </c>
      <c r="F771" s="243" t="s">
        <v>145</v>
      </c>
      <c r="G771" s="243" t="s">
        <v>29</v>
      </c>
      <c r="H771" s="246" t="s">
        <v>422</v>
      </c>
      <c r="I771" s="294" t="s">
        <v>22</v>
      </c>
      <c r="J771" s="248">
        <v>0.7</v>
      </c>
      <c r="K771" s="75" t="s">
        <v>513</v>
      </c>
      <c r="L771" s="105" t="s">
        <v>511</v>
      </c>
      <c r="M771" s="75" t="s">
        <v>411</v>
      </c>
      <c r="N771" s="248">
        <v>0.95</v>
      </c>
      <c r="O771" s="248">
        <v>0.15</v>
      </c>
      <c r="P771" s="248"/>
      <c r="Q771" s="248">
        <f t="shared" si="26"/>
        <v>0</v>
      </c>
      <c r="R771" s="250">
        <f t="shared" si="25"/>
        <v>0</v>
      </c>
      <c r="S771" s="248" t="s">
        <v>23</v>
      </c>
      <c r="T771" s="251">
        <f>SUM(R771:R778)%</f>
        <v>0</v>
      </c>
    </row>
    <row r="772" spans="1:20" ht="21.6" hidden="1" x14ac:dyDescent="0.3">
      <c r="A772" s="182">
        <v>2090</v>
      </c>
      <c r="B772" s="42" t="s">
        <v>20</v>
      </c>
      <c r="C772" s="43" t="s">
        <v>267</v>
      </c>
      <c r="D772" s="44" t="s">
        <v>241</v>
      </c>
      <c r="E772" s="42" t="s">
        <v>242</v>
      </c>
      <c r="F772" s="42" t="s">
        <v>145</v>
      </c>
      <c r="G772" s="42" t="s">
        <v>29</v>
      </c>
      <c r="H772" s="45" t="s">
        <v>422</v>
      </c>
      <c r="I772" s="7" t="s">
        <v>22</v>
      </c>
      <c r="J772" s="3">
        <v>0.7</v>
      </c>
      <c r="K772" s="7" t="s">
        <v>124</v>
      </c>
      <c r="L772" s="8" t="s">
        <v>125</v>
      </c>
      <c r="M772" s="7" t="s">
        <v>126</v>
      </c>
      <c r="N772" s="3">
        <v>0.95</v>
      </c>
      <c r="O772" s="3">
        <v>0.15</v>
      </c>
      <c r="P772" s="6"/>
      <c r="Q772" s="3">
        <f t="shared" si="26"/>
        <v>0</v>
      </c>
      <c r="R772" s="4">
        <f t="shared" si="25"/>
        <v>0</v>
      </c>
      <c r="S772" s="3" t="s">
        <v>23</v>
      </c>
      <c r="T772" s="190"/>
    </row>
    <row r="773" spans="1:20" ht="21.6" hidden="1" x14ac:dyDescent="0.3">
      <c r="A773" s="182">
        <v>2091</v>
      </c>
      <c r="B773" s="42" t="s">
        <v>20</v>
      </c>
      <c r="C773" s="43" t="s">
        <v>267</v>
      </c>
      <c r="D773" s="44" t="s">
        <v>241</v>
      </c>
      <c r="E773" s="42" t="s">
        <v>242</v>
      </c>
      <c r="F773" s="42" t="s">
        <v>145</v>
      </c>
      <c r="G773" s="42" t="s">
        <v>29</v>
      </c>
      <c r="H773" s="45" t="s">
        <v>422</v>
      </c>
      <c r="I773" s="7" t="s">
        <v>22</v>
      </c>
      <c r="J773" s="3">
        <v>0.7</v>
      </c>
      <c r="K773" s="7" t="s">
        <v>51</v>
      </c>
      <c r="L773" s="8" t="s">
        <v>127</v>
      </c>
      <c r="M773" s="7" t="s">
        <v>128</v>
      </c>
      <c r="N773" s="6">
        <v>0.05</v>
      </c>
      <c r="O773" s="3">
        <v>0.1</v>
      </c>
      <c r="P773" s="11"/>
      <c r="Q773" s="3">
        <f t="shared" si="26"/>
        <v>0</v>
      </c>
      <c r="R773" s="4">
        <f t="shared" si="25"/>
        <v>0</v>
      </c>
      <c r="S773" s="3" t="s">
        <v>24</v>
      </c>
      <c r="T773" s="190"/>
    </row>
    <row r="774" spans="1:20" ht="21.6" hidden="1" x14ac:dyDescent="0.3">
      <c r="A774" s="182">
        <v>2092</v>
      </c>
      <c r="B774" s="42" t="s">
        <v>20</v>
      </c>
      <c r="C774" s="43" t="s">
        <v>267</v>
      </c>
      <c r="D774" s="44" t="s">
        <v>241</v>
      </c>
      <c r="E774" s="42" t="s">
        <v>242</v>
      </c>
      <c r="F774" s="42" t="s">
        <v>145</v>
      </c>
      <c r="G774" s="42" t="s">
        <v>29</v>
      </c>
      <c r="H774" s="45" t="s">
        <v>422</v>
      </c>
      <c r="I774" s="7" t="s">
        <v>22</v>
      </c>
      <c r="J774" s="3">
        <v>0.7</v>
      </c>
      <c r="K774" s="7" t="s">
        <v>305</v>
      </c>
      <c r="L774" s="8" t="s">
        <v>257</v>
      </c>
      <c r="M774" s="339" t="s">
        <v>306</v>
      </c>
      <c r="N774" s="3">
        <v>0.95</v>
      </c>
      <c r="O774" s="3">
        <v>0.1</v>
      </c>
      <c r="P774" s="3"/>
      <c r="Q774" s="3">
        <f t="shared" si="26"/>
        <v>0</v>
      </c>
      <c r="R774" s="4">
        <f t="shared" si="25"/>
        <v>0</v>
      </c>
      <c r="S774" s="3" t="s">
        <v>23</v>
      </c>
      <c r="T774" s="190"/>
    </row>
    <row r="775" spans="1:20" ht="21.6" hidden="1" x14ac:dyDescent="0.3">
      <c r="A775" s="182">
        <v>2093</v>
      </c>
      <c r="B775" s="42" t="s">
        <v>20</v>
      </c>
      <c r="C775" s="43" t="s">
        <v>267</v>
      </c>
      <c r="D775" s="44" t="s">
        <v>241</v>
      </c>
      <c r="E775" s="42" t="s">
        <v>242</v>
      </c>
      <c r="F775" s="42" t="s">
        <v>145</v>
      </c>
      <c r="G775" s="42" t="s">
        <v>29</v>
      </c>
      <c r="H775" s="45" t="s">
        <v>422</v>
      </c>
      <c r="I775" s="47" t="s">
        <v>22</v>
      </c>
      <c r="J775" s="3">
        <v>0.7</v>
      </c>
      <c r="K775" s="47" t="s">
        <v>129</v>
      </c>
      <c r="L775" s="30" t="s">
        <v>130</v>
      </c>
      <c r="M775" s="47" t="s">
        <v>131</v>
      </c>
      <c r="N775" s="3">
        <v>0.9</v>
      </c>
      <c r="O775" s="10">
        <v>0.2</v>
      </c>
      <c r="P775" s="3"/>
      <c r="Q775" s="3">
        <f t="shared" si="26"/>
        <v>0</v>
      </c>
      <c r="R775" s="48">
        <f t="shared" si="25"/>
        <v>0</v>
      </c>
      <c r="S775" s="10" t="s">
        <v>23</v>
      </c>
      <c r="T775" s="191"/>
    </row>
    <row r="776" spans="1:20" ht="21.6" hidden="1" x14ac:dyDescent="0.3">
      <c r="A776" s="182">
        <v>2094</v>
      </c>
      <c r="B776" s="42" t="s">
        <v>20</v>
      </c>
      <c r="C776" s="43" t="s">
        <v>267</v>
      </c>
      <c r="D776" s="44" t="s">
        <v>241</v>
      </c>
      <c r="E776" s="42" t="s">
        <v>242</v>
      </c>
      <c r="F776" s="42" t="s">
        <v>145</v>
      </c>
      <c r="G776" s="42" t="s">
        <v>29</v>
      </c>
      <c r="H776" s="45" t="s">
        <v>422</v>
      </c>
      <c r="I776" s="47" t="s">
        <v>22</v>
      </c>
      <c r="J776" s="3">
        <v>0.7</v>
      </c>
      <c r="K776" s="47" t="s">
        <v>132</v>
      </c>
      <c r="L776" s="30" t="s">
        <v>133</v>
      </c>
      <c r="M776" s="47" t="s">
        <v>134</v>
      </c>
      <c r="N776" s="4">
        <v>0</v>
      </c>
      <c r="O776" s="10">
        <v>0.1</v>
      </c>
      <c r="P776" s="3"/>
      <c r="Q776" s="3">
        <f t="shared" si="26"/>
        <v>0</v>
      </c>
      <c r="R776" s="48">
        <f t="shared" si="25"/>
        <v>0</v>
      </c>
      <c r="S776" s="10" t="s">
        <v>24</v>
      </c>
      <c r="T776" s="191"/>
    </row>
    <row r="777" spans="1:20" ht="21.6" hidden="1" x14ac:dyDescent="0.3">
      <c r="A777" s="182">
        <v>2095</v>
      </c>
      <c r="B777" s="42" t="s">
        <v>20</v>
      </c>
      <c r="C777" s="43" t="s">
        <v>267</v>
      </c>
      <c r="D777" s="44" t="s">
        <v>241</v>
      </c>
      <c r="E777" s="42" t="s">
        <v>242</v>
      </c>
      <c r="F777" s="42" t="s">
        <v>145</v>
      </c>
      <c r="G777" s="42" t="s">
        <v>29</v>
      </c>
      <c r="H777" s="45" t="s">
        <v>422</v>
      </c>
      <c r="I777" s="47" t="s">
        <v>22</v>
      </c>
      <c r="J777" s="3">
        <v>0.7</v>
      </c>
      <c r="K777" s="47" t="s">
        <v>135</v>
      </c>
      <c r="L777" s="30" t="s">
        <v>136</v>
      </c>
      <c r="M777" s="47" t="s">
        <v>137</v>
      </c>
      <c r="N777" s="3">
        <v>0.9</v>
      </c>
      <c r="O777" s="10">
        <v>0.2</v>
      </c>
      <c r="P777" s="51"/>
      <c r="Q777" s="3">
        <f t="shared" si="26"/>
        <v>0</v>
      </c>
      <c r="R777" s="48">
        <f t="shared" si="25"/>
        <v>0</v>
      </c>
      <c r="S777" s="10" t="s">
        <v>23</v>
      </c>
      <c r="T777" s="191"/>
    </row>
    <row r="778" spans="1:20" ht="22.2" hidden="1" thickBot="1" x14ac:dyDescent="0.35">
      <c r="A778" s="267">
        <v>2096</v>
      </c>
      <c r="B778" s="268" t="s">
        <v>20</v>
      </c>
      <c r="C778" s="269" t="s">
        <v>267</v>
      </c>
      <c r="D778" s="270" t="s">
        <v>241</v>
      </c>
      <c r="E778" s="268" t="s">
        <v>242</v>
      </c>
      <c r="F778" s="268" t="s">
        <v>145</v>
      </c>
      <c r="G778" s="268" t="s">
        <v>29</v>
      </c>
      <c r="H778" s="271" t="s">
        <v>422</v>
      </c>
      <c r="I778" s="272" t="s">
        <v>26</v>
      </c>
      <c r="J778" s="273">
        <v>0.3</v>
      </c>
      <c r="K778" s="272" t="s">
        <v>138</v>
      </c>
      <c r="L778" s="291" t="s">
        <v>139</v>
      </c>
      <c r="M778" s="272" t="s">
        <v>140</v>
      </c>
      <c r="N778" s="273">
        <v>1</v>
      </c>
      <c r="O778" s="276">
        <v>1</v>
      </c>
      <c r="P778" s="273"/>
      <c r="Q778" s="273">
        <f t="shared" si="26"/>
        <v>0</v>
      </c>
      <c r="R778" s="287">
        <f t="shared" si="25"/>
        <v>0</v>
      </c>
      <c r="S778" s="276" t="s">
        <v>23</v>
      </c>
      <c r="T778" s="277"/>
    </row>
    <row r="779" spans="1:20" ht="21.6" hidden="1" x14ac:dyDescent="0.3">
      <c r="A779" s="242">
        <v>2097</v>
      </c>
      <c r="B779" s="243" t="s">
        <v>20</v>
      </c>
      <c r="C779" s="244" t="s">
        <v>267</v>
      </c>
      <c r="D779" s="245" t="s">
        <v>243</v>
      </c>
      <c r="E779" s="243" t="s">
        <v>244</v>
      </c>
      <c r="F779" s="243" t="s">
        <v>143</v>
      </c>
      <c r="G779" s="243" t="s">
        <v>29</v>
      </c>
      <c r="H779" s="246" t="s">
        <v>422</v>
      </c>
      <c r="I779" s="294" t="s">
        <v>22</v>
      </c>
      <c r="J779" s="248">
        <v>0.7</v>
      </c>
      <c r="K779" s="75" t="s">
        <v>513</v>
      </c>
      <c r="L779" s="105" t="s">
        <v>511</v>
      </c>
      <c r="M779" s="75" t="s">
        <v>411</v>
      </c>
      <c r="N779" s="248">
        <v>0.95</v>
      </c>
      <c r="O779" s="248">
        <v>0.15</v>
      </c>
      <c r="P779" s="248"/>
      <c r="Q779" s="248">
        <f t="shared" si="26"/>
        <v>0</v>
      </c>
      <c r="R779" s="250">
        <f t="shared" si="25"/>
        <v>0</v>
      </c>
      <c r="S779" s="248" t="s">
        <v>23</v>
      </c>
      <c r="T779" s="251">
        <f>SUM(R779:R786)%</f>
        <v>0</v>
      </c>
    </row>
    <row r="780" spans="1:20" ht="21.6" hidden="1" x14ac:dyDescent="0.3">
      <c r="A780" s="182">
        <v>2099</v>
      </c>
      <c r="B780" s="42" t="s">
        <v>20</v>
      </c>
      <c r="C780" s="43" t="s">
        <v>267</v>
      </c>
      <c r="D780" s="44" t="s">
        <v>243</v>
      </c>
      <c r="E780" s="42" t="s">
        <v>244</v>
      </c>
      <c r="F780" s="42" t="s">
        <v>143</v>
      </c>
      <c r="G780" s="42" t="s">
        <v>29</v>
      </c>
      <c r="H780" s="45" t="s">
        <v>422</v>
      </c>
      <c r="I780" s="7" t="s">
        <v>22</v>
      </c>
      <c r="J780" s="3">
        <v>0.7</v>
      </c>
      <c r="K780" s="7" t="s">
        <v>124</v>
      </c>
      <c r="L780" s="8" t="s">
        <v>125</v>
      </c>
      <c r="M780" s="7" t="s">
        <v>126</v>
      </c>
      <c r="N780" s="3">
        <v>0.95</v>
      </c>
      <c r="O780" s="3">
        <v>0.15</v>
      </c>
      <c r="P780" s="6"/>
      <c r="Q780" s="3">
        <f t="shared" si="26"/>
        <v>0</v>
      </c>
      <c r="R780" s="4">
        <f t="shared" si="25"/>
        <v>0</v>
      </c>
      <c r="S780" s="3" t="s">
        <v>23</v>
      </c>
      <c r="T780" s="190"/>
    </row>
    <row r="781" spans="1:20" ht="21.6" hidden="1" x14ac:dyDescent="0.3">
      <c r="A781" s="182">
        <v>2100</v>
      </c>
      <c r="B781" s="42" t="s">
        <v>20</v>
      </c>
      <c r="C781" s="43" t="s">
        <v>267</v>
      </c>
      <c r="D781" s="44" t="s">
        <v>243</v>
      </c>
      <c r="E781" s="42" t="s">
        <v>244</v>
      </c>
      <c r="F781" s="42" t="s">
        <v>143</v>
      </c>
      <c r="G781" s="42" t="s">
        <v>29</v>
      </c>
      <c r="H781" s="45" t="s">
        <v>422</v>
      </c>
      <c r="I781" s="7" t="s">
        <v>22</v>
      </c>
      <c r="J781" s="3">
        <v>0.7</v>
      </c>
      <c r="K781" s="7" t="s">
        <v>51</v>
      </c>
      <c r="L781" s="8" t="s">
        <v>127</v>
      </c>
      <c r="M781" s="7" t="s">
        <v>128</v>
      </c>
      <c r="N781" s="6">
        <v>0.05</v>
      </c>
      <c r="O781" s="3">
        <v>0.1</v>
      </c>
      <c r="P781" s="11"/>
      <c r="Q781" s="3">
        <f t="shared" si="26"/>
        <v>0</v>
      </c>
      <c r="R781" s="4">
        <f t="shared" si="25"/>
        <v>0</v>
      </c>
      <c r="S781" s="3" t="s">
        <v>24</v>
      </c>
      <c r="T781" s="190"/>
    </row>
    <row r="782" spans="1:20" ht="21.6" hidden="1" x14ac:dyDescent="0.3">
      <c r="A782" s="182">
        <v>2101</v>
      </c>
      <c r="B782" s="42" t="s">
        <v>20</v>
      </c>
      <c r="C782" s="43" t="s">
        <v>267</v>
      </c>
      <c r="D782" s="44" t="s">
        <v>243</v>
      </c>
      <c r="E782" s="42" t="s">
        <v>244</v>
      </c>
      <c r="F782" s="42" t="s">
        <v>143</v>
      </c>
      <c r="G782" s="42" t="s">
        <v>29</v>
      </c>
      <c r="H782" s="45" t="s">
        <v>422</v>
      </c>
      <c r="I782" s="7" t="s">
        <v>22</v>
      </c>
      <c r="J782" s="3">
        <v>0.7</v>
      </c>
      <c r="K782" s="7" t="s">
        <v>305</v>
      </c>
      <c r="L782" s="8" t="s">
        <v>257</v>
      </c>
      <c r="M782" s="339" t="s">
        <v>306</v>
      </c>
      <c r="N782" s="3">
        <v>0.95</v>
      </c>
      <c r="O782" s="3">
        <v>0.1</v>
      </c>
      <c r="P782" s="3"/>
      <c r="Q782" s="3">
        <f t="shared" si="26"/>
        <v>0</v>
      </c>
      <c r="R782" s="4">
        <f t="shared" si="25"/>
        <v>0</v>
      </c>
      <c r="S782" s="3" t="s">
        <v>23</v>
      </c>
      <c r="T782" s="190"/>
    </row>
    <row r="783" spans="1:20" ht="21.6" hidden="1" x14ac:dyDescent="0.3">
      <c r="A783" s="182">
        <v>2102</v>
      </c>
      <c r="B783" s="42" t="s">
        <v>20</v>
      </c>
      <c r="C783" s="43" t="s">
        <v>267</v>
      </c>
      <c r="D783" s="44" t="s">
        <v>243</v>
      </c>
      <c r="E783" s="42" t="s">
        <v>244</v>
      </c>
      <c r="F783" s="42" t="s">
        <v>143</v>
      </c>
      <c r="G783" s="42" t="s">
        <v>29</v>
      </c>
      <c r="H783" s="45" t="s">
        <v>422</v>
      </c>
      <c r="I783" s="47" t="s">
        <v>22</v>
      </c>
      <c r="J783" s="3">
        <v>0.7</v>
      </c>
      <c r="K783" s="47" t="s">
        <v>129</v>
      </c>
      <c r="L783" s="30" t="s">
        <v>130</v>
      </c>
      <c r="M783" s="47" t="s">
        <v>131</v>
      </c>
      <c r="N783" s="3">
        <v>0.9</v>
      </c>
      <c r="O783" s="10">
        <v>0.2</v>
      </c>
      <c r="P783" s="3"/>
      <c r="Q783" s="3">
        <f t="shared" si="26"/>
        <v>0</v>
      </c>
      <c r="R783" s="48">
        <f t="shared" si="25"/>
        <v>0</v>
      </c>
      <c r="S783" s="10" t="s">
        <v>23</v>
      </c>
      <c r="T783" s="191"/>
    </row>
    <row r="784" spans="1:20" ht="21.6" hidden="1" x14ac:dyDescent="0.3">
      <c r="A784" s="182">
        <v>2103</v>
      </c>
      <c r="B784" s="42" t="s">
        <v>20</v>
      </c>
      <c r="C784" s="43" t="s">
        <v>267</v>
      </c>
      <c r="D784" s="44" t="s">
        <v>243</v>
      </c>
      <c r="E784" s="42" t="s">
        <v>244</v>
      </c>
      <c r="F784" s="42" t="s">
        <v>143</v>
      </c>
      <c r="G784" s="42" t="s">
        <v>29</v>
      </c>
      <c r="H784" s="45" t="s">
        <v>422</v>
      </c>
      <c r="I784" s="47" t="s">
        <v>22</v>
      </c>
      <c r="J784" s="3">
        <v>0.7</v>
      </c>
      <c r="K784" s="47" t="s">
        <v>132</v>
      </c>
      <c r="L784" s="30" t="s">
        <v>133</v>
      </c>
      <c r="M784" s="47" t="s">
        <v>134</v>
      </c>
      <c r="N784" s="4">
        <v>0</v>
      </c>
      <c r="O784" s="10">
        <v>0.1</v>
      </c>
      <c r="P784" s="3"/>
      <c r="Q784" s="3">
        <f t="shared" si="26"/>
        <v>0</v>
      </c>
      <c r="R784" s="48">
        <f t="shared" si="25"/>
        <v>0</v>
      </c>
      <c r="S784" s="10" t="s">
        <v>24</v>
      </c>
      <c r="T784" s="191"/>
    </row>
    <row r="785" spans="1:20" ht="21.6" hidden="1" x14ac:dyDescent="0.3">
      <c r="A785" s="182">
        <v>2104</v>
      </c>
      <c r="B785" s="42" t="s">
        <v>20</v>
      </c>
      <c r="C785" s="43" t="s">
        <v>267</v>
      </c>
      <c r="D785" s="44" t="s">
        <v>243</v>
      </c>
      <c r="E785" s="42" t="s">
        <v>244</v>
      </c>
      <c r="F785" s="42" t="s">
        <v>143</v>
      </c>
      <c r="G785" s="42" t="s">
        <v>29</v>
      </c>
      <c r="H785" s="45" t="s">
        <v>422</v>
      </c>
      <c r="I785" s="47" t="s">
        <v>22</v>
      </c>
      <c r="J785" s="3">
        <v>0.7</v>
      </c>
      <c r="K785" s="47" t="s">
        <v>135</v>
      </c>
      <c r="L785" s="30" t="s">
        <v>136</v>
      </c>
      <c r="M785" s="47" t="s">
        <v>137</v>
      </c>
      <c r="N785" s="3">
        <v>0.9</v>
      </c>
      <c r="O785" s="10">
        <v>0.2</v>
      </c>
      <c r="P785" s="51"/>
      <c r="Q785" s="3">
        <f t="shared" si="26"/>
        <v>0</v>
      </c>
      <c r="R785" s="48">
        <f t="shared" si="25"/>
        <v>0</v>
      </c>
      <c r="S785" s="10" t="s">
        <v>23</v>
      </c>
      <c r="T785" s="191"/>
    </row>
    <row r="786" spans="1:20" ht="22.2" hidden="1" thickBot="1" x14ac:dyDescent="0.35">
      <c r="A786" s="267">
        <v>2105</v>
      </c>
      <c r="B786" s="268" t="s">
        <v>20</v>
      </c>
      <c r="C786" s="269" t="s">
        <v>267</v>
      </c>
      <c r="D786" s="270" t="s">
        <v>243</v>
      </c>
      <c r="E786" s="268" t="s">
        <v>244</v>
      </c>
      <c r="F786" s="268" t="s">
        <v>143</v>
      </c>
      <c r="G786" s="268" t="s">
        <v>29</v>
      </c>
      <c r="H786" s="271" t="s">
        <v>422</v>
      </c>
      <c r="I786" s="272" t="s">
        <v>26</v>
      </c>
      <c r="J786" s="273">
        <v>0.3</v>
      </c>
      <c r="K786" s="272" t="s">
        <v>138</v>
      </c>
      <c r="L786" s="291" t="s">
        <v>139</v>
      </c>
      <c r="M786" s="272" t="s">
        <v>140</v>
      </c>
      <c r="N786" s="273">
        <v>1</v>
      </c>
      <c r="O786" s="276">
        <v>1</v>
      </c>
      <c r="P786" s="273"/>
      <c r="Q786" s="273">
        <f t="shared" si="26"/>
        <v>0</v>
      </c>
      <c r="R786" s="287">
        <f t="shared" si="25"/>
        <v>0</v>
      </c>
      <c r="S786" s="276" t="s">
        <v>23</v>
      </c>
      <c r="T786" s="277"/>
    </row>
    <row r="787" spans="1:20" ht="21.6" hidden="1" x14ac:dyDescent="0.3">
      <c r="A787" s="242">
        <v>2106</v>
      </c>
      <c r="B787" s="243" t="s">
        <v>20</v>
      </c>
      <c r="C787" s="244" t="s">
        <v>267</v>
      </c>
      <c r="D787" s="245" t="s">
        <v>245</v>
      </c>
      <c r="E787" s="243" t="s">
        <v>246</v>
      </c>
      <c r="F787" s="243" t="s">
        <v>123</v>
      </c>
      <c r="G787" s="243" t="s">
        <v>29</v>
      </c>
      <c r="H787" s="246" t="s">
        <v>422</v>
      </c>
      <c r="I787" s="294" t="s">
        <v>22</v>
      </c>
      <c r="J787" s="248">
        <v>0.7</v>
      </c>
      <c r="K787" s="75" t="s">
        <v>513</v>
      </c>
      <c r="L787" s="105" t="s">
        <v>511</v>
      </c>
      <c r="M787" s="75" t="s">
        <v>411</v>
      </c>
      <c r="N787" s="248">
        <v>0.95</v>
      </c>
      <c r="O787" s="248">
        <v>0.15</v>
      </c>
      <c r="P787" s="248"/>
      <c r="Q787" s="248">
        <f t="shared" si="26"/>
        <v>0</v>
      </c>
      <c r="R787" s="250">
        <f t="shared" ref="R787:R850" si="27">IF(AND(Q787&gt;=60%,Q787&lt;100%),Q787*((O787*J787)),IF(Q787=100%,((O787*J787)*Q787)*100%,IF(Q787&gt;100%,((J787*O787)*100%)*100%,0)))*100</f>
        <v>0</v>
      </c>
      <c r="S787" s="248" t="s">
        <v>23</v>
      </c>
      <c r="T787" s="251">
        <f>SUM(R787:R794)%</f>
        <v>0</v>
      </c>
    </row>
    <row r="788" spans="1:20" ht="21.6" hidden="1" x14ac:dyDescent="0.3">
      <c r="A788" s="182">
        <v>2108</v>
      </c>
      <c r="B788" s="42" t="s">
        <v>20</v>
      </c>
      <c r="C788" s="43" t="s">
        <v>267</v>
      </c>
      <c r="D788" s="44" t="s">
        <v>245</v>
      </c>
      <c r="E788" s="42" t="s">
        <v>246</v>
      </c>
      <c r="F788" s="42" t="s">
        <v>123</v>
      </c>
      <c r="G788" s="42" t="s">
        <v>29</v>
      </c>
      <c r="H788" s="45" t="s">
        <v>422</v>
      </c>
      <c r="I788" s="7" t="s">
        <v>22</v>
      </c>
      <c r="J788" s="3">
        <v>0.7</v>
      </c>
      <c r="K788" s="7" t="s">
        <v>124</v>
      </c>
      <c r="L788" s="8" t="s">
        <v>125</v>
      </c>
      <c r="M788" s="7" t="s">
        <v>126</v>
      </c>
      <c r="N788" s="3">
        <v>0.95</v>
      </c>
      <c r="O788" s="3">
        <v>0.15</v>
      </c>
      <c r="P788" s="6"/>
      <c r="Q788" s="3">
        <f t="shared" si="26"/>
        <v>0</v>
      </c>
      <c r="R788" s="4">
        <f t="shared" si="27"/>
        <v>0</v>
      </c>
      <c r="S788" s="3" t="s">
        <v>23</v>
      </c>
      <c r="T788" s="190"/>
    </row>
    <row r="789" spans="1:20" ht="21.6" hidden="1" x14ac:dyDescent="0.3">
      <c r="A789" s="182">
        <v>2109</v>
      </c>
      <c r="B789" s="42" t="s">
        <v>20</v>
      </c>
      <c r="C789" s="43" t="s">
        <v>267</v>
      </c>
      <c r="D789" s="44" t="s">
        <v>245</v>
      </c>
      <c r="E789" s="42" t="s">
        <v>246</v>
      </c>
      <c r="F789" s="42" t="s">
        <v>123</v>
      </c>
      <c r="G789" s="42" t="s">
        <v>29</v>
      </c>
      <c r="H789" s="45" t="s">
        <v>422</v>
      </c>
      <c r="I789" s="7" t="s">
        <v>22</v>
      </c>
      <c r="J789" s="3">
        <v>0.7</v>
      </c>
      <c r="K789" s="7" t="s">
        <v>51</v>
      </c>
      <c r="L789" s="8" t="s">
        <v>127</v>
      </c>
      <c r="M789" s="7" t="s">
        <v>128</v>
      </c>
      <c r="N789" s="6">
        <v>0.05</v>
      </c>
      <c r="O789" s="3">
        <v>0.1</v>
      </c>
      <c r="P789" s="11"/>
      <c r="Q789" s="3">
        <f t="shared" si="26"/>
        <v>0</v>
      </c>
      <c r="R789" s="4">
        <f t="shared" si="27"/>
        <v>0</v>
      </c>
      <c r="S789" s="3" t="s">
        <v>24</v>
      </c>
      <c r="T789" s="190"/>
    </row>
    <row r="790" spans="1:20" ht="21.6" hidden="1" x14ac:dyDescent="0.3">
      <c r="A790" s="182">
        <v>2110</v>
      </c>
      <c r="B790" s="42" t="s">
        <v>20</v>
      </c>
      <c r="C790" s="43" t="s">
        <v>267</v>
      </c>
      <c r="D790" s="44" t="s">
        <v>245</v>
      </c>
      <c r="E790" s="42" t="s">
        <v>246</v>
      </c>
      <c r="F790" s="42" t="s">
        <v>123</v>
      </c>
      <c r="G790" s="42" t="s">
        <v>29</v>
      </c>
      <c r="H790" s="45" t="s">
        <v>422</v>
      </c>
      <c r="I790" s="7" t="s">
        <v>22</v>
      </c>
      <c r="J790" s="3">
        <v>0.7</v>
      </c>
      <c r="K790" s="7" t="s">
        <v>305</v>
      </c>
      <c r="L790" s="8" t="s">
        <v>257</v>
      </c>
      <c r="M790" s="339" t="s">
        <v>306</v>
      </c>
      <c r="N790" s="3">
        <v>0.95</v>
      </c>
      <c r="O790" s="3">
        <v>0.1</v>
      </c>
      <c r="P790" s="3"/>
      <c r="Q790" s="3">
        <f t="shared" si="26"/>
        <v>0</v>
      </c>
      <c r="R790" s="4">
        <f t="shared" si="27"/>
        <v>0</v>
      </c>
      <c r="S790" s="3" t="s">
        <v>23</v>
      </c>
      <c r="T790" s="190"/>
    </row>
    <row r="791" spans="1:20" ht="21.6" hidden="1" x14ac:dyDescent="0.3">
      <c r="A791" s="182">
        <v>2111</v>
      </c>
      <c r="B791" s="42" t="s">
        <v>20</v>
      </c>
      <c r="C791" s="43" t="s">
        <v>267</v>
      </c>
      <c r="D791" s="44" t="s">
        <v>245</v>
      </c>
      <c r="E791" s="42" t="s">
        <v>246</v>
      </c>
      <c r="F791" s="42" t="s">
        <v>123</v>
      </c>
      <c r="G791" s="42" t="s">
        <v>29</v>
      </c>
      <c r="H791" s="45" t="s">
        <v>422</v>
      </c>
      <c r="I791" s="47" t="s">
        <v>22</v>
      </c>
      <c r="J791" s="3">
        <v>0.7</v>
      </c>
      <c r="K791" s="47" t="s">
        <v>129</v>
      </c>
      <c r="L791" s="30" t="s">
        <v>130</v>
      </c>
      <c r="M791" s="47" t="s">
        <v>131</v>
      </c>
      <c r="N791" s="3">
        <v>0.9</v>
      </c>
      <c r="O791" s="10">
        <v>0.2</v>
      </c>
      <c r="P791" s="3"/>
      <c r="Q791" s="3">
        <f t="shared" si="26"/>
        <v>0</v>
      </c>
      <c r="R791" s="48">
        <f t="shared" si="27"/>
        <v>0</v>
      </c>
      <c r="S791" s="10" t="s">
        <v>23</v>
      </c>
      <c r="T791" s="191"/>
    </row>
    <row r="792" spans="1:20" ht="21.6" hidden="1" x14ac:dyDescent="0.3">
      <c r="A792" s="182">
        <v>2112</v>
      </c>
      <c r="B792" s="42" t="s">
        <v>20</v>
      </c>
      <c r="C792" s="43" t="s">
        <v>267</v>
      </c>
      <c r="D792" s="44" t="s">
        <v>245</v>
      </c>
      <c r="E792" s="42" t="s">
        <v>246</v>
      </c>
      <c r="F792" s="42" t="s">
        <v>123</v>
      </c>
      <c r="G792" s="42" t="s">
        <v>29</v>
      </c>
      <c r="H792" s="45" t="s">
        <v>422</v>
      </c>
      <c r="I792" s="47" t="s">
        <v>22</v>
      </c>
      <c r="J792" s="3">
        <v>0.7</v>
      </c>
      <c r="K792" s="47" t="s">
        <v>132</v>
      </c>
      <c r="L792" s="30" t="s">
        <v>133</v>
      </c>
      <c r="M792" s="47" t="s">
        <v>134</v>
      </c>
      <c r="N792" s="4">
        <v>0</v>
      </c>
      <c r="O792" s="10">
        <v>0.1</v>
      </c>
      <c r="P792" s="3"/>
      <c r="Q792" s="3">
        <f t="shared" si="26"/>
        <v>0</v>
      </c>
      <c r="R792" s="48">
        <f t="shared" si="27"/>
        <v>0</v>
      </c>
      <c r="S792" s="10" t="s">
        <v>24</v>
      </c>
      <c r="T792" s="191"/>
    </row>
    <row r="793" spans="1:20" ht="21.6" hidden="1" x14ac:dyDescent="0.3">
      <c r="A793" s="182">
        <v>2113</v>
      </c>
      <c r="B793" s="42" t="s">
        <v>20</v>
      </c>
      <c r="C793" s="43" t="s">
        <v>267</v>
      </c>
      <c r="D793" s="44" t="s">
        <v>245</v>
      </c>
      <c r="E793" s="42" t="s">
        <v>246</v>
      </c>
      <c r="F793" s="42" t="s">
        <v>123</v>
      </c>
      <c r="G793" s="42" t="s">
        <v>29</v>
      </c>
      <c r="H793" s="45" t="s">
        <v>422</v>
      </c>
      <c r="I793" s="47" t="s">
        <v>22</v>
      </c>
      <c r="J793" s="3">
        <v>0.7</v>
      </c>
      <c r="K793" s="47" t="s">
        <v>135</v>
      </c>
      <c r="L793" s="30" t="s">
        <v>136</v>
      </c>
      <c r="M793" s="47" t="s">
        <v>137</v>
      </c>
      <c r="N793" s="3">
        <v>0.9</v>
      </c>
      <c r="O793" s="10">
        <v>0.2</v>
      </c>
      <c r="P793" s="51"/>
      <c r="Q793" s="3">
        <f t="shared" si="26"/>
        <v>0</v>
      </c>
      <c r="R793" s="48">
        <f t="shared" si="27"/>
        <v>0</v>
      </c>
      <c r="S793" s="10" t="s">
        <v>23</v>
      </c>
      <c r="T793" s="191"/>
    </row>
    <row r="794" spans="1:20" ht="22.2" hidden="1" thickBot="1" x14ac:dyDescent="0.35">
      <c r="A794" s="267">
        <v>2114</v>
      </c>
      <c r="B794" s="268" t="s">
        <v>20</v>
      </c>
      <c r="C794" s="269" t="s">
        <v>267</v>
      </c>
      <c r="D794" s="270" t="s">
        <v>245</v>
      </c>
      <c r="E794" s="268" t="s">
        <v>246</v>
      </c>
      <c r="F794" s="268" t="s">
        <v>123</v>
      </c>
      <c r="G794" s="268" t="s">
        <v>29</v>
      </c>
      <c r="H794" s="271" t="s">
        <v>422</v>
      </c>
      <c r="I794" s="272" t="s">
        <v>26</v>
      </c>
      <c r="J794" s="273">
        <v>0.3</v>
      </c>
      <c r="K794" s="272" t="s">
        <v>138</v>
      </c>
      <c r="L794" s="291" t="s">
        <v>139</v>
      </c>
      <c r="M794" s="272" t="s">
        <v>140</v>
      </c>
      <c r="N794" s="273">
        <v>1</v>
      </c>
      <c r="O794" s="276">
        <v>1</v>
      </c>
      <c r="P794" s="273"/>
      <c r="Q794" s="273">
        <f t="shared" si="26"/>
        <v>0</v>
      </c>
      <c r="R794" s="287">
        <f t="shared" si="27"/>
        <v>0</v>
      </c>
      <c r="S794" s="276" t="s">
        <v>23</v>
      </c>
      <c r="T794" s="277"/>
    </row>
    <row r="795" spans="1:20" ht="21.6" hidden="1" x14ac:dyDescent="0.3">
      <c r="A795" s="242">
        <v>2115</v>
      </c>
      <c r="B795" s="243" t="s">
        <v>20</v>
      </c>
      <c r="C795" s="244" t="s">
        <v>267</v>
      </c>
      <c r="D795" s="245" t="s">
        <v>247</v>
      </c>
      <c r="E795" s="243" t="s">
        <v>248</v>
      </c>
      <c r="F795" s="243" t="s">
        <v>123</v>
      </c>
      <c r="G795" s="243" t="s">
        <v>29</v>
      </c>
      <c r="H795" s="246" t="s">
        <v>422</v>
      </c>
      <c r="I795" s="294" t="s">
        <v>22</v>
      </c>
      <c r="J795" s="248">
        <v>0.7</v>
      </c>
      <c r="K795" s="75" t="s">
        <v>513</v>
      </c>
      <c r="L795" s="105" t="s">
        <v>511</v>
      </c>
      <c r="M795" s="75" t="s">
        <v>411</v>
      </c>
      <c r="N795" s="248">
        <v>0.95</v>
      </c>
      <c r="O795" s="248">
        <v>0.15</v>
      </c>
      <c r="P795" s="248"/>
      <c r="Q795" s="248">
        <f t="shared" si="26"/>
        <v>0</v>
      </c>
      <c r="R795" s="250">
        <f t="shared" si="27"/>
        <v>0</v>
      </c>
      <c r="S795" s="248" t="s">
        <v>23</v>
      </c>
      <c r="T795" s="251">
        <f>SUM(R795:R802)%</f>
        <v>0</v>
      </c>
    </row>
    <row r="796" spans="1:20" ht="21.6" hidden="1" x14ac:dyDescent="0.3">
      <c r="A796" s="182">
        <v>2117</v>
      </c>
      <c r="B796" s="42" t="s">
        <v>20</v>
      </c>
      <c r="C796" s="43" t="s">
        <v>267</v>
      </c>
      <c r="D796" s="44" t="s">
        <v>247</v>
      </c>
      <c r="E796" s="42" t="s">
        <v>248</v>
      </c>
      <c r="F796" s="42" t="s">
        <v>123</v>
      </c>
      <c r="G796" s="42" t="s">
        <v>29</v>
      </c>
      <c r="H796" s="45" t="s">
        <v>422</v>
      </c>
      <c r="I796" s="7" t="s">
        <v>22</v>
      </c>
      <c r="J796" s="3">
        <v>0.7</v>
      </c>
      <c r="K796" s="7" t="s">
        <v>124</v>
      </c>
      <c r="L796" s="8" t="s">
        <v>125</v>
      </c>
      <c r="M796" s="7" t="s">
        <v>126</v>
      </c>
      <c r="N796" s="3">
        <v>0.95</v>
      </c>
      <c r="O796" s="3">
        <v>0.15</v>
      </c>
      <c r="P796" s="6"/>
      <c r="Q796" s="3">
        <f t="shared" si="26"/>
        <v>0</v>
      </c>
      <c r="R796" s="4">
        <f t="shared" si="27"/>
        <v>0</v>
      </c>
      <c r="S796" s="3" t="s">
        <v>23</v>
      </c>
      <c r="T796" s="190"/>
    </row>
    <row r="797" spans="1:20" ht="21.6" hidden="1" x14ac:dyDescent="0.3">
      <c r="A797" s="182">
        <v>2118</v>
      </c>
      <c r="B797" s="42" t="s">
        <v>20</v>
      </c>
      <c r="C797" s="43" t="s">
        <v>267</v>
      </c>
      <c r="D797" s="44" t="s">
        <v>247</v>
      </c>
      <c r="E797" s="42" t="s">
        <v>248</v>
      </c>
      <c r="F797" s="42" t="s">
        <v>123</v>
      </c>
      <c r="G797" s="42" t="s">
        <v>29</v>
      </c>
      <c r="H797" s="45" t="s">
        <v>422</v>
      </c>
      <c r="I797" s="7" t="s">
        <v>22</v>
      </c>
      <c r="J797" s="3">
        <v>0.7</v>
      </c>
      <c r="K797" s="7" t="s">
        <v>51</v>
      </c>
      <c r="L797" s="8" t="s">
        <v>127</v>
      </c>
      <c r="M797" s="7" t="s">
        <v>128</v>
      </c>
      <c r="N797" s="6">
        <v>0.05</v>
      </c>
      <c r="O797" s="3">
        <v>0.1</v>
      </c>
      <c r="P797" s="11"/>
      <c r="Q797" s="3">
        <f t="shared" si="26"/>
        <v>0</v>
      </c>
      <c r="R797" s="4">
        <f t="shared" si="27"/>
        <v>0</v>
      </c>
      <c r="S797" s="3" t="s">
        <v>24</v>
      </c>
      <c r="T797" s="190"/>
    </row>
    <row r="798" spans="1:20" ht="21.6" hidden="1" x14ac:dyDescent="0.3">
      <c r="A798" s="182">
        <v>2119</v>
      </c>
      <c r="B798" s="42" t="s">
        <v>20</v>
      </c>
      <c r="C798" s="43" t="s">
        <v>267</v>
      </c>
      <c r="D798" s="44" t="s">
        <v>247</v>
      </c>
      <c r="E798" s="42" t="s">
        <v>248</v>
      </c>
      <c r="F798" s="42" t="s">
        <v>123</v>
      </c>
      <c r="G798" s="42" t="s">
        <v>29</v>
      </c>
      <c r="H798" s="45" t="s">
        <v>422</v>
      </c>
      <c r="I798" s="7" t="s">
        <v>22</v>
      </c>
      <c r="J798" s="3">
        <v>0.7</v>
      </c>
      <c r="K798" s="7" t="s">
        <v>305</v>
      </c>
      <c r="L798" s="8" t="s">
        <v>257</v>
      </c>
      <c r="M798" s="339" t="s">
        <v>306</v>
      </c>
      <c r="N798" s="3">
        <v>0.95</v>
      </c>
      <c r="O798" s="3">
        <v>0.1</v>
      </c>
      <c r="P798" s="3"/>
      <c r="Q798" s="3">
        <f t="shared" si="26"/>
        <v>0</v>
      </c>
      <c r="R798" s="4">
        <f t="shared" si="27"/>
        <v>0</v>
      </c>
      <c r="S798" s="3" t="s">
        <v>23</v>
      </c>
      <c r="T798" s="190"/>
    </row>
    <row r="799" spans="1:20" ht="21.6" hidden="1" x14ac:dyDescent="0.3">
      <c r="A799" s="182">
        <v>2120</v>
      </c>
      <c r="B799" s="42" t="s">
        <v>20</v>
      </c>
      <c r="C799" s="43" t="s">
        <v>267</v>
      </c>
      <c r="D799" s="44" t="s">
        <v>247</v>
      </c>
      <c r="E799" s="42" t="s">
        <v>248</v>
      </c>
      <c r="F799" s="42" t="s">
        <v>123</v>
      </c>
      <c r="G799" s="42" t="s">
        <v>29</v>
      </c>
      <c r="H799" s="45" t="s">
        <v>422</v>
      </c>
      <c r="I799" s="47" t="s">
        <v>22</v>
      </c>
      <c r="J799" s="3">
        <v>0.7</v>
      </c>
      <c r="K799" s="47" t="s">
        <v>129</v>
      </c>
      <c r="L799" s="30" t="s">
        <v>130</v>
      </c>
      <c r="M799" s="47" t="s">
        <v>131</v>
      </c>
      <c r="N799" s="3">
        <v>0.9</v>
      </c>
      <c r="O799" s="10">
        <v>0.2</v>
      </c>
      <c r="P799" s="3"/>
      <c r="Q799" s="3">
        <f t="shared" si="26"/>
        <v>0</v>
      </c>
      <c r="R799" s="48">
        <f t="shared" si="27"/>
        <v>0</v>
      </c>
      <c r="S799" s="10" t="s">
        <v>23</v>
      </c>
      <c r="T799" s="191"/>
    </row>
    <row r="800" spans="1:20" ht="21.6" hidden="1" x14ac:dyDescent="0.3">
      <c r="A800" s="182">
        <v>2121</v>
      </c>
      <c r="B800" s="42" t="s">
        <v>20</v>
      </c>
      <c r="C800" s="43" t="s">
        <v>267</v>
      </c>
      <c r="D800" s="44" t="s">
        <v>247</v>
      </c>
      <c r="E800" s="42" t="s">
        <v>248</v>
      </c>
      <c r="F800" s="42" t="s">
        <v>123</v>
      </c>
      <c r="G800" s="42" t="s">
        <v>29</v>
      </c>
      <c r="H800" s="45" t="s">
        <v>422</v>
      </c>
      <c r="I800" s="47" t="s">
        <v>22</v>
      </c>
      <c r="J800" s="3">
        <v>0.7</v>
      </c>
      <c r="K800" s="47" t="s">
        <v>132</v>
      </c>
      <c r="L800" s="30" t="s">
        <v>133</v>
      </c>
      <c r="M800" s="47" t="s">
        <v>134</v>
      </c>
      <c r="N800" s="4">
        <v>0</v>
      </c>
      <c r="O800" s="10">
        <v>0.1</v>
      </c>
      <c r="P800" s="3"/>
      <c r="Q800" s="3">
        <f t="shared" si="26"/>
        <v>0</v>
      </c>
      <c r="R800" s="48">
        <f t="shared" si="27"/>
        <v>0</v>
      </c>
      <c r="S800" s="10" t="s">
        <v>24</v>
      </c>
      <c r="T800" s="191"/>
    </row>
    <row r="801" spans="1:20" ht="21.6" hidden="1" x14ac:dyDescent="0.3">
      <c r="A801" s="182">
        <v>2122</v>
      </c>
      <c r="B801" s="42" t="s">
        <v>20</v>
      </c>
      <c r="C801" s="43" t="s">
        <v>267</v>
      </c>
      <c r="D801" s="44" t="s">
        <v>247</v>
      </c>
      <c r="E801" s="42" t="s">
        <v>248</v>
      </c>
      <c r="F801" s="42" t="s">
        <v>123</v>
      </c>
      <c r="G801" s="42" t="s">
        <v>29</v>
      </c>
      <c r="H801" s="45" t="s">
        <v>422</v>
      </c>
      <c r="I801" s="47" t="s">
        <v>22</v>
      </c>
      <c r="J801" s="3">
        <v>0.7</v>
      </c>
      <c r="K801" s="47" t="s">
        <v>135</v>
      </c>
      <c r="L801" s="30" t="s">
        <v>136</v>
      </c>
      <c r="M801" s="47" t="s">
        <v>137</v>
      </c>
      <c r="N801" s="3">
        <v>0.9</v>
      </c>
      <c r="O801" s="10">
        <v>0.2</v>
      </c>
      <c r="P801" s="51"/>
      <c r="Q801" s="3">
        <f t="shared" si="26"/>
        <v>0</v>
      </c>
      <c r="R801" s="48">
        <f t="shared" si="27"/>
        <v>0</v>
      </c>
      <c r="S801" s="10" t="s">
        <v>23</v>
      </c>
      <c r="T801" s="191"/>
    </row>
    <row r="802" spans="1:20" ht="22.2" hidden="1" thickBot="1" x14ac:dyDescent="0.35">
      <c r="A802" s="267">
        <v>2123</v>
      </c>
      <c r="B802" s="268" t="s">
        <v>20</v>
      </c>
      <c r="C802" s="269" t="s">
        <v>267</v>
      </c>
      <c r="D802" s="270" t="s">
        <v>247</v>
      </c>
      <c r="E802" s="268" t="s">
        <v>248</v>
      </c>
      <c r="F802" s="268" t="s">
        <v>123</v>
      </c>
      <c r="G802" s="268" t="s">
        <v>29</v>
      </c>
      <c r="H802" s="271" t="s">
        <v>422</v>
      </c>
      <c r="I802" s="272" t="s">
        <v>26</v>
      </c>
      <c r="J802" s="273">
        <v>0.3</v>
      </c>
      <c r="K802" s="272" t="s">
        <v>138</v>
      </c>
      <c r="L802" s="291" t="s">
        <v>139</v>
      </c>
      <c r="M802" s="272" t="s">
        <v>140</v>
      </c>
      <c r="N802" s="273">
        <v>1</v>
      </c>
      <c r="O802" s="276">
        <v>1</v>
      </c>
      <c r="P802" s="273"/>
      <c r="Q802" s="273">
        <f t="shared" si="26"/>
        <v>0</v>
      </c>
      <c r="R802" s="287">
        <f t="shared" si="27"/>
        <v>0</v>
      </c>
      <c r="S802" s="276" t="s">
        <v>23</v>
      </c>
      <c r="T802" s="277"/>
    </row>
    <row r="803" spans="1:20" ht="21.6" hidden="1" x14ac:dyDescent="0.3">
      <c r="A803" s="242">
        <v>2124</v>
      </c>
      <c r="B803" s="243" t="s">
        <v>20</v>
      </c>
      <c r="C803" s="244" t="s">
        <v>267</v>
      </c>
      <c r="D803" s="245" t="s">
        <v>249</v>
      </c>
      <c r="E803" s="243" t="s">
        <v>235</v>
      </c>
      <c r="F803" s="243" t="s">
        <v>123</v>
      </c>
      <c r="G803" s="243" t="s">
        <v>29</v>
      </c>
      <c r="H803" s="246" t="s">
        <v>422</v>
      </c>
      <c r="I803" s="294" t="s">
        <v>22</v>
      </c>
      <c r="J803" s="248">
        <v>0.7</v>
      </c>
      <c r="K803" s="75" t="s">
        <v>513</v>
      </c>
      <c r="L803" s="105" t="s">
        <v>511</v>
      </c>
      <c r="M803" s="75" t="s">
        <v>411</v>
      </c>
      <c r="N803" s="248">
        <v>0.95</v>
      </c>
      <c r="O803" s="248">
        <v>0.15</v>
      </c>
      <c r="P803" s="248"/>
      <c r="Q803" s="248">
        <f t="shared" si="26"/>
        <v>0</v>
      </c>
      <c r="R803" s="250">
        <f t="shared" si="27"/>
        <v>0</v>
      </c>
      <c r="S803" s="248" t="s">
        <v>23</v>
      </c>
      <c r="T803" s="251">
        <f>SUM(R803:R810)%</f>
        <v>0</v>
      </c>
    </row>
    <row r="804" spans="1:20" ht="21.6" hidden="1" x14ac:dyDescent="0.3">
      <c r="A804" s="182">
        <v>2126</v>
      </c>
      <c r="B804" s="42" t="s">
        <v>20</v>
      </c>
      <c r="C804" s="43" t="s">
        <v>267</v>
      </c>
      <c r="D804" s="44" t="s">
        <v>249</v>
      </c>
      <c r="E804" s="42" t="s">
        <v>235</v>
      </c>
      <c r="F804" s="42" t="s">
        <v>123</v>
      </c>
      <c r="G804" s="42" t="s">
        <v>29</v>
      </c>
      <c r="H804" s="45" t="s">
        <v>422</v>
      </c>
      <c r="I804" s="7" t="s">
        <v>22</v>
      </c>
      <c r="J804" s="3">
        <v>0.7</v>
      </c>
      <c r="K804" s="7" t="s">
        <v>124</v>
      </c>
      <c r="L804" s="8" t="s">
        <v>125</v>
      </c>
      <c r="M804" s="7" t="s">
        <v>126</v>
      </c>
      <c r="N804" s="3">
        <v>0.95</v>
      </c>
      <c r="O804" s="3">
        <v>0.15</v>
      </c>
      <c r="P804" s="6"/>
      <c r="Q804" s="3">
        <f t="shared" si="26"/>
        <v>0</v>
      </c>
      <c r="R804" s="4">
        <f t="shared" si="27"/>
        <v>0</v>
      </c>
      <c r="S804" s="3" t="s">
        <v>23</v>
      </c>
      <c r="T804" s="190"/>
    </row>
    <row r="805" spans="1:20" ht="21.6" hidden="1" x14ac:dyDescent="0.3">
      <c r="A805" s="182">
        <v>2127</v>
      </c>
      <c r="B805" s="42" t="s">
        <v>20</v>
      </c>
      <c r="C805" s="43" t="s">
        <v>267</v>
      </c>
      <c r="D805" s="44" t="s">
        <v>249</v>
      </c>
      <c r="E805" s="42" t="s">
        <v>235</v>
      </c>
      <c r="F805" s="42" t="s">
        <v>123</v>
      </c>
      <c r="G805" s="42" t="s">
        <v>29</v>
      </c>
      <c r="H805" s="45" t="s">
        <v>422</v>
      </c>
      <c r="I805" s="7" t="s">
        <v>22</v>
      </c>
      <c r="J805" s="3">
        <v>0.7</v>
      </c>
      <c r="K805" s="7" t="s">
        <v>51</v>
      </c>
      <c r="L805" s="8" t="s">
        <v>127</v>
      </c>
      <c r="M805" s="7" t="s">
        <v>128</v>
      </c>
      <c r="N805" s="6">
        <v>0.05</v>
      </c>
      <c r="O805" s="3">
        <v>0.1</v>
      </c>
      <c r="P805" s="11"/>
      <c r="Q805" s="3">
        <f t="shared" si="26"/>
        <v>0</v>
      </c>
      <c r="R805" s="4">
        <f t="shared" si="27"/>
        <v>0</v>
      </c>
      <c r="S805" s="3" t="s">
        <v>24</v>
      </c>
      <c r="T805" s="190"/>
    </row>
    <row r="806" spans="1:20" ht="21.6" hidden="1" x14ac:dyDescent="0.3">
      <c r="A806" s="182">
        <v>2128</v>
      </c>
      <c r="B806" s="42" t="s">
        <v>20</v>
      </c>
      <c r="C806" s="43" t="s">
        <v>267</v>
      </c>
      <c r="D806" s="44" t="s">
        <v>249</v>
      </c>
      <c r="E806" s="42" t="s">
        <v>235</v>
      </c>
      <c r="F806" s="42" t="s">
        <v>123</v>
      </c>
      <c r="G806" s="42" t="s">
        <v>29</v>
      </c>
      <c r="H806" s="45" t="s">
        <v>422</v>
      </c>
      <c r="I806" s="7" t="s">
        <v>22</v>
      </c>
      <c r="J806" s="3">
        <v>0.7</v>
      </c>
      <c r="K806" s="7" t="s">
        <v>305</v>
      </c>
      <c r="L806" s="8" t="s">
        <v>257</v>
      </c>
      <c r="M806" s="339" t="s">
        <v>306</v>
      </c>
      <c r="N806" s="3">
        <v>0.95</v>
      </c>
      <c r="O806" s="3">
        <v>0.1</v>
      </c>
      <c r="P806" s="3"/>
      <c r="Q806" s="3">
        <f t="shared" si="26"/>
        <v>0</v>
      </c>
      <c r="R806" s="4">
        <f t="shared" si="27"/>
        <v>0</v>
      </c>
      <c r="S806" s="3" t="s">
        <v>23</v>
      </c>
      <c r="T806" s="190"/>
    </row>
    <row r="807" spans="1:20" ht="21.6" hidden="1" x14ac:dyDescent="0.3">
      <c r="A807" s="182">
        <v>2129</v>
      </c>
      <c r="B807" s="42" t="s">
        <v>20</v>
      </c>
      <c r="C807" s="43" t="s">
        <v>267</v>
      </c>
      <c r="D807" s="44" t="s">
        <v>249</v>
      </c>
      <c r="E807" s="42" t="s">
        <v>235</v>
      </c>
      <c r="F807" s="42" t="s">
        <v>123</v>
      </c>
      <c r="G807" s="42" t="s">
        <v>29</v>
      </c>
      <c r="H807" s="45" t="s">
        <v>422</v>
      </c>
      <c r="I807" s="47" t="s">
        <v>22</v>
      </c>
      <c r="J807" s="3">
        <v>0.7</v>
      </c>
      <c r="K807" s="47" t="s">
        <v>129</v>
      </c>
      <c r="L807" s="30" t="s">
        <v>130</v>
      </c>
      <c r="M807" s="47" t="s">
        <v>131</v>
      </c>
      <c r="N807" s="3">
        <v>0.9</v>
      </c>
      <c r="O807" s="10">
        <v>0.2</v>
      </c>
      <c r="P807" s="3"/>
      <c r="Q807" s="3">
        <f t="shared" si="26"/>
        <v>0</v>
      </c>
      <c r="R807" s="48">
        <f t="shared" si="27"/>
        <v>0</v>
      </c>
      <c r="S807" s="10" t="s">
        <v>23</v>
      </c>
      <c r="T807" s="191"/>
    </row>
    <row r="808" spans="1:20" ht="21.6" hidden="1" x14ac:dyDescent="0.3">
      <c r="A808" s="182">
        <v>2130</v>
      </c>
      <c r="B808" s="42" t="s">
        <v>20</v>
      </c>
      <c r="C808" s="43" t="s">
        <v>267</v>
      </c>
      <c r="D808" s="44" t="s">
        <v>249</v>
      </c>
      <c r="E808" s="42" t="s">
        <v>235</v>
      </c>
      <c r="F808" s="42" t="s">
        <v>123</v>
      </c>
      <c r="G808" s="42" t="s">
        <v>29</v>
      </c>
      <c r="H808" s="45" t="s">
        <v>422</v>
      </c>
      <c r="I808" s="47" t="s">
        <v>22</v>
      </c>
      <c r="J808" s="3">
        <v>0.7</v>
      </c>
      <c r="K808" s="47" t="s">
        <v>132</v>
      </c>
      <c r="L808" s="30" t="s">
        <v>133</v>
      </c>
      <c r="M808" s="47" t="s">
        <v>134</v>
      </c>
      <c r="N808" s="4">
        <v>0</v>
      </c>
      <c r="O808" s="10">
        <v>0.1</v>
      </c>
      <c r="P808" s="3"/>
      <c r="Q808" s="3">
        <f t="shared" si="26"/>
        <v>0</v>
      </c>
      <c r="R808" s="48">
        <f t="shared" si="27"/>
        <v>0</v>
      </c>
      <c r="S808" s="10" t="s">
        <v>24</v>
      </c>
      <c r="T808" s="191"/>
    </row>
    <row r="809" spans="1:20" ht="21.6" hidden="1" x14ac:dyDescent="0.3">
      <c r="A809" s="182">
        <v>2131</v>
      </c>
      <c r="B809" s="42" t="s">
        <v>20</v>
      </c>
      <c r="C809" s="43" t="s">
        <v>267</v>
      </c>
      <c r="D809" s="44" t="s">
        <v>249</v>
      </c>
      <c r="E809" s="42" t="s">
        <v>235</v>
      </c>
      <c r="F809" s="42" t="s">
        <v>123</v>
      </c>
      <c r="G809" s="42" t="s">
        <v>29</v>
      </c>
      <c r="H809" s="45" t="s">
        <v>422</v>
      </c>
      <c r="I809" s="47" t="s">
        <v>22</v>
      </c>
      <c r="J809" s="3">
        <v>0.7</v>
      </c>
      <c r="K809" s="47" t="s">
        <v>135</v>
      </c>
      <c r="L809" s="30" t="s">
        <v>136</v>
      </c>
      <c r="M809" s="47" t="s">
        <v>137</v>
      </c>
      <c r="N809" s="3">
        <v>0.9</v>
      </c>
      <c r="O809" s="10">
        <v>0.2</v>
      </c>
      <c r="P809" s="51"/>
      <c r="Q809" s="3">
        <f t="shared" si="26"/>
        <v>0</v>
      </c>
      <c r="R809" s="48">
        <f t="shared" si="27"/>
        <v>0</v>
      </c>
      <c r="S809" s="10" t="s">
        <v>23</v>
      </c>
      <c r="T809" s="191"/>
    </row>
    <row r="810" spans="1:20" ht="22.2" hidden="1" thickBot="1" x14ac:dyDescent="0.35">
      <c r="A810" s="267">
        <v>2132</v>
      </c>
      <c r="B810" s="268" t="s">
        <v>20</v>
      </c>
      <c r="C810" s="269" t="s">
        <v>267</v>
      </c>
      <c r="D810" s="270" t="s">
        <v>249</v>
      </c>
      <c r="E810" s="268" t="s">
        <v>235</v>
      </c>
      <c r="F810" s="268" t="s">
        <v>123</v>
      </c>
      <c r="G810" s="268" t="s">
        <v>29</v>
      </c>
      <c r="H810" s="271" t="s">
        <v>422</v>
      </c>
      <c r="I810" s="272" t="s">
        <v>26</v>
      </c>
      <c r="J810" s="273">
        <v>0.3</v>
      </c>
      <c r="K810" s="272" t="s">
        <v>138</v>
      </c>
      <c r="L810" s="291" t="s">
        <v>139</v>
      </c>
      <c r="M810" s="272" t="s">
        <v>140</v>
      </c>
      <c r="N810" s="273">
        <v>1</v>
      </c>
      <c r="O810" s="276">
        <v>1</v>
      </c>
      <c r="P810" s="273"/>
      <c r="Q810" s="273">
        <f t="shared" si="26"/>
        <v>0</v>
      </c>
      <c r="R810" s="287">
        <f t="shared" si="27"/>
        <v>0</v>
      </c>
      <c r="S810" s="276" t="s">
        <v>23</v>
      </c>
      <c r="T810" s="277"/>
    </row>
    <row r="811" spans="1:20" ht="21.6" hidden="1" x14ac:dyDescent="0.3">
      <c r="A811" s="242">
        <v>2142</v>
      </c>
      <c r="B811" s="243" t="s">
        <v>20</v>
      </c>
      <c r="C811" s="244" t="s">
        <v>267</v>
      </c>
      <c r="D811" s="245" t="s">
        <v>251</v>
      </c>
      <c r="E811" s="243" t="s">
        <v>252</v>
      </c>
      <c r="F811" s="243" t="s">
        <v>145</v>
      </c>
      <c r="G811" s="243" t="s">
        <v>29</v>
      </c>
      <c r="H811" s="246" t="s">
        <v>422</v>
      </c>
      <c r="I811" s="294" t="s">
        <v>22</v>
      </c>
      <c r="J811" s="248">
        <v>0.7</v>
      </c>
      <c r="K811" s="75" t="s">
        <v>513</v>
      </c>
      <c r="L811" s="105" t="s">
        <v>511</v>
      </c>
      <c r="M811" s="75" t="s">
        <v>411</v>
      </c>
      <c r="N811" s="248">
        <v>0.95</v>
      </c>
      <c r="O811" s="248">
        <v>0.15</v>
      </c>
      <c r="P811" s="248"/>
      <c r="Q811" s="248">
        <f t="shared" si="26"/>
        <v>0</v>
      </c>
      <c r="R811" s="250">
        <f t="shared" si="27"/>
        <v>0</v>
      </c>
      <c r="S811" s="248" t="s">
        <v>23</v>
      </c>
      <c r="T811" s="251">
        <f>SUM(R811:R818)%</f>
        <v>0</v>
      </c>
    </row>
    <row r="812" spans="1:20" ht="21.6" hidden="1" x14ac:dyDescent="0.3">
      <c r="A812" s="182">
        <v>2144</v>
      </c>
      <c r="B812" s="42" t="s">
        <v>20</v>
      </c>
      <c r="C812" s="43" t="s">
        <v>267</v>
      </c>
      <c r="D812" s="44" t="s">
        <v>251</v>
      </c>
      <c r="E812" s="42" t="s">
        <v>252</v>
      </c>
      <c r="F812" s="42" t="s">
        <v>145</v>
      </c>
      <c r="G812" s="42" t="s">
        <v>29</v>
      </c>
      <c r="H812" s="45" t="s">
        <v>422</v>
      </c>
      <c r="I812" s="7" t="s">
        <v>22</v>
      </c>
      <c r="J812" s="3">
        <v>0.7</v>
      </c>
      <c r="K812" s="7" t="s">
        <v>124</v>
      </c>
      <c r="L812" s="8" t="s">
        <v>125</v>
      </c>
      <c r="M812" s="7" t="s">
        <v>126</v>
      </c>
      <c r="N812" s="3">
        <v>0.95</v>
      </c>
      <c r="O812" s="3">
        <v>0.15</v>
      </c>
      <c r="P812" s="6"/>
      <c r="Q812" s="3">
        <f t="shared" si="26"/>
        <v>0</v>
      </c>
      <c r="R812" s="4">
        <f t="shared" si="27"/>
        <v>0</v>
      </c>
      <c r="S812" s="3" t="s">
        <v>23</v>
      </c>
      <c r="T812" s="190"/>
    </row>
    <row r="813" spans="1:20" ht="21.6" hidden="1" x14ac:dyDescent="0.3">
      <c r="A813" s="182">
        <v>2145</v>
      </c>
      <c r="B813" s="42" t="s">
        <v>20</v>
      </c>
      <c r="C813" s="43" t="s">
        <v>267</v>
      </c>
      <c r="D813" s="44" t="s">
        <v>251</v>
      </c>
      <c r="E813" s="42" t="s">
        <v>252</v>
      </c>
      <c r="F813" s="42" t="s">
        <v>145</v>
      </c>
      <c r="G813" s="42" t="s">
        <v>29</v>
      </c>
      <c r="H813" s="45" t="s">
        <v>422</v>
      </c>
      <c r="I813" s="7" t="s">
        <v>22</v>
      </c>
      <c r="J813" s="3">
        <v>0.7</v>
      </c>
      <c r="K813" s="7" t="s">
        <v>51</v>
      </c>
      <c r="L813" s="8" t="s">
        <v>127</v>
      </c>
      <c r="M813" s="7" t="s">
        <v>128</v>
      </c>
      <c r="N813" s="6">
        <v>0.05</v>
      </c>
      <c r="O813" s="3">
        <v>0.1</v>
      </c>
      <c r="P813" s="11"/>
      <c r="Q813" s="3">
        <f t="shared" si="26"/>
        <v>0</v>
      </c>
      <c r="R813" s="4">
        <f t="shared" si="27"/>
        <v>0</v>
      </c>
      <c r="S813" s="3" t="s">
        <v>24</v>
      </c>
      <c r="T813" s="190"/>
    </row>
    <row r="814" spans="1:20" ht="21.6" hidden="1" x14ac:dyDescent="0.3">
      <c r="A814" s="182">
        <v>2146</v>
      </c>
      <c r="B814" s="42" t="s">
        <v>20</v>
      </c>
      <c r="C814" s="43" t="s">
        <v>267</v>
      </c>
      <c r="D814" s="44" t="s">
        <v>251</v>
      </c>
      <c r="E814" s="42" t="s">
        <v>252</v>
      </c>
      <c r="F814" s="42" t="s">
        <v>145</v>
      </c>
      <c r="G814" s="42" t="s">
        <v>29</v>
      </c>
      <c r="H814" s="45" t="s">
        <v>422</v>
      </c>
      <c r="I814" s="7" t="s">
        <v>22</v>
      </c>
      <c r="J814" s="3">
        <v>0.7</v>
      </c>
      <c r="K814" s="7" t="s">
        <v>305</v>
      </c>
      <c r="L814" s="8" t="s">
        <v>257</v>
      </c>
      <c r="M814" s="339" t="s">
        <v>306</v>
      </c>
      <c r="N814" s="3">
        <v>0.95</v>
      </c>
      <c r="O814" s="3">
        <v>0.1</v>
      </c>
      <c r="P814" s="3"/>
      <c r="Q814" s="3">
        <f t="shared" si="26"/>
        <v>0</v>
      </c>
      <c r="R814" s="4">
        <f t="shared" si="27"/>
        <v>0</v>
      </c>
      <c r="S814" s="3" t="s">
        <v>23</v>
      </c>
      <c r="T814" s="190"/>
    </row>
    <row r="815" spans="1:20" ht="21.6" hidden="1" x14ac:dyDescent="0.3">
      <c r="A815" s="182">
        <v>2147</v>
      </c>
      <c r="B815" s="42" t="s">
        <v>20</v>
      </c>
      <c r="C815" s="43" t="s">
        <v>267</v>
      </c>
      <c r="D815" s="44" t="s">
        <v>251</v>
      </c>
      <c r="E815" s="42" t="s">
        <v>252</v>
      </c>
      <c r="F815" s="42" t="s">
        <v>145</v>
      </c>
      <c r="G815" s="42" t="s">
        <v>29</v>
      </c>
      <c r="H815" s="45" t="s">
        <v>422</v>
      </c>
      <c r="I815" s="47" t="s">
        <v>22</v>
      </c>
      <c r="J815" s="3">
        <v>0.7</v>
      </c>
      <c r="K815" s="47" t="s">
        <v>129</v>
      </c>
      <c r="L815" s="30" t="s">
        <v>130</v>
      </c>
      <c r="M815" s="47" t="s">
        <v>131</v>
      </c>
      <c r="N815" s="3">
        <v>0.9</v>
      </c>
      <c r="O815" s="10">
        <v>0.2</v>
      </c>
      <c r="P815" s="3"/>
      <c r="Q815" s="3">
        <f t="shared" si="26"/>
        <v>0</v>
      </c>
      <c r="R815" s="48">
        <f t="shared" si="27"/>
        <v>0</v>
      </c>
      <c r="S815" s="10" t="s">
        <v>23</v>
      </c>
      <c r="T815" s="191"/>
    </row>
    <row r="816" spans="1:20" ht="21.6" hidden="1" x14ac:dyDescent="0.3">
      <c r="A816" s="182">
        <v>2148</v>
      </c>
      <c r="B816" s="42" t="s">
        <v>20</v>
      </c>
      <c r="C816" s="43" t="s">
        <v>267</v>
      </c>
      <c r="D816" s="44" t="s">
        <v>251</v>
      </c>
      <c r="E816" s="42" t="s">
        <v>252</v>
      </c>
      <c r="F816" s="42" t="s">
        <v>145</v>
      </c>
      <c r="G816" s="42" t="s">
        <v>29</v>
      </c>
      <c r="H816" s="45" t="s">
        <v>422</v>
      </c>
      <c r="I816" s="47" t="s">
        <v>22</v>
      </c>
      <c r="J816" s="3">
        <v>0.7</v>
      </c>
      <c r="K816" s="47" t="s">
        <v>132</v>
      </c>
      <c r="L816" s="30" t="s">
        <v>133</v>
      </c>
      <c r="M816" s="47" t="s">
        <v>134</v>
      </c>
      <c r="N816" s="4">
        <v>0</v>
      </c>
      <c r="O816" s="10">
        <v>0.1</v>
      </c>
      <c r="P816" s="3"/>
      <c r="Q816" s="3">
        <f t="shared" si="26"/>
        <v>0</v>
      </c>
      <c r="R816" s="48">
        <f t="shared" si="27"/>
        <v>0</v>
      </c>
      <c r="S816" s="10" t="s">
        <v>24</v>
      </c>
      <c r="T816" s="191"/>
    </row>
    <row r="817" spans="1:20" ht="21.6" hidden="1" x14ac:dyDescent="0.3">
      <c r="A817" s="182">
        <v>2149</v>
      </c>
      <c r="B817" s="42" t="s">
        <v>20</v>
      </c>
      <c r="C817" s="43" t="s">
        <v>267</v>
      </c>
      <c r="D817" s="44" t="s">
        <v>251</v>
      </c>
      <c r="E817" s="42" t="s">
        <v>252</v>
      </c>
      <c r="F817" s="42" t="s">
        <v>145</v>
      </c>
      <c r="G817" s="42" t="s">
        <v>29</v>
      </c>
      <c r="H817" s="45" t="s">
        <v>422</v>
      </c>
      <c r="I817" s="47" t="s">
        <v>22</v>
      </c>
      <c r="J817" s="3">
        <v>0.7</v>
      </c>
      <c r="K817" s="47" t="s">
        <v>135</v>
      </c>
      <c r="L817" s="30" t="s">
        <v>136</v>
      </c>
      <c r="M817" s="47" t="s">
        <v>137</v>
      </c>
      <c r="N817" s="3">
        <v>0.9</v>
      </c>
      <c r="O817" s="10">
        <v>0.2</v>
      </c>
      <c r="P817" s="51"/>
      <c r="Q817" s="3">
        <f t="shared" si="26"/>
        <v>0</v>
      </c>
      <c r="R817" s="48">
        <f t="shared" si="27"/>
        <v>0</v>
      </c>
      <c r="S817" s="10" t="s">
        <v>23</v>
      </c>
      <c r="T817" s="191"/>
    </row>
    <row r="818" spans="1:20" ht="22.2" hidden="1" thickBot="1" x14ac:dyDescent="0.35">
      <c r="A818" s="267">
        <v>2150</v>
      </c>
      <c r="B818" s="268" t="s">
        <v>20</v>
      </c>
      <c r="C818" s="269" t="s">
        <v>267</v>
      </c>
      <c r="D818" s="270" t="s">
        <v>251</v>
      </c>
      <c r="E818" s="268" t="s">
        <v>252</v>
      </c>
      <c r="F818" s="268" t="s">
        <v>145</v>
      </c>
      <c r="G818" s="268" t="s">
        <v>29</v>
      </c>
      <c r="H818" s="271" t="s">
        <v>422</v>
      </c>
      <c r="I818" s="272" t="s">
        <v>26</v>
      </c>
      <c r="J818" s="273">
        <v>0.3</v>
      </c>
      <c r="K818" s="272" t="s">
        <v>138</v>
      </c>
      <c r="L818" s="291" t="s">
        <v>139</v>
      </c>
      <c r="M818" s="272" t="s">
        <v>140</v>
      </c>
      <c r="N818" s="273">
        <v>1</v>
      </c>
      <c r="O818" s="276">
        <v>1</v>
      </c>
      <c r="P818" s="273"/>
      <c r="Q818" s="273">
        <f t="shared" si="26"/>
        <v>0</v>
      </c>
      <c r="R818" s="287">
        <f t="shared" si="27"/>
        <v>0</v>
      </c>
      <c r="S818" s="276" t="s">
        <v>23</v>
      </c>
      <c r="T818" s="277"/>
    </row>
    <row r="819" spans="1:20" ht="21.6" hidden="1" x14ac:dyDescent="0.3">
      <c r="A819" s="242">
        <v>2142</v>
      </c>
      <c r="B819" s="243" t="s">
        <v>20</v>
      </c>
      <c r="C819" s="244" t="s">
        <v>267</v>
      </c>
      <c r="D819" s="245" t="s">
        <v>292</v>
      </c>
      <c r="E819" s="243" t="s">
        <v>291</v>
      </c>
      <c r="F819" s="243" t="s">
        <v>123</v>
      </c>
      <c r="G819" s="243" t="s">
        <v>29</v>
      </c>
      <c r="H819" s="246" t="s">
        <v>422</v>
      </c>
      <c r="I819" s="294" t="s">
        <v>22</v>
      </c>
      <c r="J819" s="248">
        <v>0.7</v>
      </c>
      <c r="K819" s="75" t="s">
        <v>513</v>
      </c>
      <c r="L819" s="105" t="s">
        <v>511</v>
      </c>
      <c r="M819" s="75" t="s">
        <v>411</v>
      </c>
      <c r="N819" s="248">
        <v>0.95</v>
      </c>
      <c r="O819" s="248">
        <v>0.15</v>
      </c>
      <c r="P819" s="248"/>
      <c r="Q819" s="248">
        <f t="shared" si="26"/>
        <v>0</v>
      </c>
      <c r="R819" s="250">
        <f t="shared" si="27"/>
        <v>0</v>
      </c>
      <c r="S819" s="248" t="s">
        <v>23</v>
      </c>
      <c r="T819" s="251">
        <f>SUM(R819:R826)%</f>
        <v>0</v>
      </c>
    </row>
    <row r="820" spans="1:20" ht="21.6" hidden="1" x14ac:dyDescent="0.3">
      <c r="A820" s="182">
        <v>2144</v>
      </c>
      <c r="B820" s="42" t="s">
        <v>20</v>
      </c>
      <c r="C820" s="43" t="s">
        <v>267</v>
      </c>
      <c r="D820" s="44" t="s">
        <v>292</v>
      </c>
      <c r="E820" s="42" t="s">
        <v>291</v>
      </c>
      <c r="F820" s="42" t="s">
        <v>123</v>
      </c>
      <c r="G820" s="42" t="s">
        <v>29</v>
      </c>
      <c r="H820" s="45" t="s">
        <v>422</v>
      </c>
      <c r="I820" s="7" t="s">
        <v>22</v>
      </c>
      <c r="J820" s="3">
        <v>0.7</v>
      </c>
      <c r="K820" s="7" t="s">
        <v>124</v>
      </c>
      <c r="L820" s="8" t="s">
        <v>125</v>
      </c>
      <c r="M820" s="7" t="s">
        <v>126</v>
      </c>
      <c r="N820" s="3">
        <v>0.95</v>
      </c>
      <c r="O820" s="3">
        <v>0.15</v>
      </c>
      <c r="P820" s="6"/>
      <c r="Q820" s="3">
        <f t="shared" si="26"/>
        <v>0</v>
      </c>
      <c r="R820" s="4">
        <f t="shared" si="27"/>
        <v>0</v>
      </c>
      <c r="S820" s="3" t="s">
        <v>23</v>
      </c>
      <c r="T820" s="190"/>
    </row>
    <row r="821" spans="1:20" ht="21.6" hidden="1" x14ac:dyDescent="0.3">
      <c r="A821" s="182">
        <v>2145</v>
      </c>
      <c r="B821" s="42" t="s">
        <v>20</v>
      </c>
      <c r="C821" s="43" t="s">
        <v>267</v>
      </c>
      <c r="D821" s="44" t="s">
        <v>292</v>
      </c>
      <c r="E821" s="42" t="s">
        <v>291</v>
      </c>
      <c r="F821" s="42" t="s">
        <v>123</v>
      </c>
      <c r="G821" s="42" t="s">
        <v>29</v>
      </c>
      <c r="H821" s="45" t="s">
        <v>422</v>
      </c>
      <c r="I821" s="7" t="s">
        <v>22</v>
      </c>
      <c r="J821" s="3">
        <v>0.7</v>
      </c>
      <c r="K821" s="7" t="s">
        <v>51</v>
      </c>
      <c r="L821" s="8" t="s">
        <v>127</v>
      </c>
      <c r="M821" s="7" t="s">
        <v>128</v>
      </c>
      <c r="N821" s="6">
        <v>0.05</v>
      </c>
      <c r="O821" s="3">
        <v>0.1</v>
      </c>
      <c r="P821" s="11"/>
      <c r="Q821" s="3">
        <f t="shared" si="26"/>
        <v>0</v>
      </c>
      <c r="R821" s="4">
        <f t="shared" si="27"/>
        <v>0</v>
      </c>
      <c r="S821" s="3" t="s">
        <v>24</v>
      </c>
      <c r="T821" s="190"/>
    </row>
    <row r="822" spans="1:20" ht="21.6" hidden="1" x14ac:dyDescent="0.3">
      <c r="A822" s="182">
        <v>2146</v>
      </c>
      <c r="B822" s="42" t="s">
        <v>20</v>
      </c>
      <c r="C822" s="43" t="s">
        <v>267</v>
      </c>
      <c r="D822" s="44" t="s">
        <v>292</v>
      </c>
      <c r="E822" s="42" t="s">
        <v>291</v>
      </c>
      <c r="F822" s="42" t="s">
        <v>123</v>
      </c>
      <c r="G822" s="42" t="s">
        <v>29</v>
      </c>
      <c r="H822" s="45" t="s">
        <v>422</v>
      </c>
      <c r="I822" s="7" t="s">
        <v>22</v>
      </c>
      <c r="J822" s="3">
        <v>0.7</v>
      </c>
      <c r="K822" s="7" t="s">
        <v>305</v>
      </c>
      <c r="L822" s="8" t="s">
        <v>257</v>
      </c>
      <c r="M822" s="339" t="s">
        <v>306</v>
      </c>
      <c r="N822" s="3">
        <v>0.95</v>
      </c>
      <c r="O822" s="3">
        <v>0.1</v>
      </c>
      <c r="P822" s="3"/>
      <c r="Q822" s="3">
        <f t="shared" si="26"/>
        <v>0</v>
      </c>
      <c r="R822" s="4">
        <f t="shared" si="27"/>
        <v>0</v>
      </c>
      <c r="S822" s="3" t="s">
        <v>23</v>
      </c>
      <c r="T822" s="190"/>
    </row>
    <row r="823" spans="1:20" ht="21.6" hidden="1" x14ac:dyDescent="0.3">
      <c r="A823" s="182">
        <v>2147</v>
      </c>
      <c r="B823" s="42" t="s">
        <v>20</v>
      </c>
      <c r="C823" s="43" t="s">
        <v>267</v>
      </c>
      <c r="D823" s="44" t="s">
        <v>292</v>
      </c>
      <c r="E823" s="42" t="s">
        <v>291</v>
      </c>
      <c r="F823" s="42" t="s">
        <v>123</v>
      </c>
      <c r="G823" s="42" t="s">
        <v>29</v>
      </c>
      <c r="H823" s="45" t="s">
        <v>422</v>
      </c>
      <c r="I823" s="47" t="s">
        <v>22</v>
      </c>
      <c r="J823" s="3">
        <v>0.7</v>
      </c>
      <c r="K823" s="47" t="s">
        <v>129</v>
      </c>
      <c r="L823" s="30" t="s">
        <v>130</v>
      </c>
      <c r="M823" s="47" t="s">
        <v>131</v>
      </c>
      <c r="N823" s="3">
        <v>0.9</v>
      </c>
      <c r="O823" s="10">
        <v>0.2</v>
      </c>
      <c r="P823" s="3"/>
      <c r="Q823" s="3">
        <f t="shared" si="26"/>
        <v>0</v>
      </c>
      <c r="R823" s="48">
        <f t="shared" si="27"/>
        <v>0</v>
      </c>
      <c r="S823" s="10" t="s">
        <v>23</v>
      </c>
      <c r="T823" s="191"/>
    </row>
    <row r="824" spans="1:20" ht="21.6" hidden="1" x14ac:dyDescent="0.3">
      <c r="A824" s="182">
        <v>2148</v>
      </c>
      <c r="B824" s="42" t="s">
        <v>20</v>
      </c>
      <c r="C824" s="43" t="s">
        <v>267</v>
      </c>
      <c r="D824" s="44" t="s">
        <v>292</v>
      </c>
      <c r="E824" s="42" t="s">
        <v>291</v>
      </c>
      <c r="F824" s="42" t="s">
        <v>123</v>
      </c>
      <c r="G824" s="42" t="s">
        <v>29</v>
      </c>
      <c r="H824" s="45" t="s">
        <v>422</v>
      </c>
      <c r="I824" s="47" t="s">
        <v>22</v>
      </c>
      <c r="J824" s="3">
        <v>0.7</v>
      </c>
      <c r="K824" s="47" t="s">
        <v>132</v>
      </c>
      <c r="L824" s="30" t="s">
        <v>133</v>
      </c>
      <c r="M824" s="47" t="s">
        <v>134</v>
      </c>
      <c r="N824" s="4">
        <v>0</v>
      </c>
      <c r="O824" s="10">
        <v>0.1</v>
      </c>
      <c r="P824" s="3"/>
      <c r="Q824" s="3">
        <f t="shared" si="26"/>
        <v>0</v>
      </c>
      <c r="R824" s="48">
        <f t="shared" si="27"/>
        <v>0</v>
      </c>
      <c r="S824" s="10" t="s">
        <v>24</v>
      </c>
      <c r="T824" s="191"/>
    </row>
    <row r="825" spans="1:20" ht="21.6" hidden="1" x14ac:dyDescent="0.3">
      <c r="A825" s="182">
        <v>2149</v>
      </c>
      <c r="B825" s="42" t="s">
        <v>20</v>
      </c>
      <c r="C825" s="43" t="s">
        <v>267</v>
      </c>
      <c r="D825" s="44" t="s">
        <v>292</v>
      </c>
      <c r="E825" s="42" t="s">
        <v>291</v>
      </c>
      <c r="F825" s="42" t="s">
        <v>123</v>
      </c>
      <c r="G825" s="42" t="s">
        <v>29</v>
      </c>
      <c r="H825" s="45" t="s">
        <v>422</v>
      </c>
      <c r="I825" s="47" t="s">
        <v>22</v>
      </c>
      <c r="J825" s="3">
        <v>0.7</v>
      </c>
      <c r="K825" s="47" t="s">
        <v>135</v>
      </c>
      <c r="L825" s="30" t="s">
        <v>136</v>
      </c>
      <c r="M825" s="47" t="s">
        <v>137</v>
      </c>
      <c r="N825" s="3">
        <v>0.9</v>
      </c>
      <c r="O825" s="10">
        <v>0.2</v>
      </c>
      <c r="P825" s="51"/>
      <c r="Q825" s="3">
        <f t="shared" ref="Q825:Q888" si="28">ROUND(IF(OR(N825="",P825=""),0,IF(AND(N825=0,P825=0),1,IF(S825="+",P825/N825,N825/P825))),2)</f>
        <v>0</v>
      </c>
      <c r="R825" s="48">
        <f t="shared" si="27"/>
        <v>0</v>
      </c>
      <c r="S825" s="10" t="s">
        <v>23</v>
      </c>
      <c r="T825" s="191"/>
    </row>
    <row r="826" spans="1:20" ht="22.2" hidden="1" thickBot="1" x14ac:dyDescent="0.35">
      <c r="A826" s="267">
        <v>2150</v>
      </c>
      <c r="B826" s="268" t="s">
        <v>20</v>
      </c>
      <c r="C826" s="269" t="s">
        <v>267</v>
      </c>
      <c r="D826" s="270" t="s">
        <v>292</v>
      </c>
      <c r="E826" s="268" t="s">
        <v>291</v>
      </c>
      <c r="F826" s="268" t="s">
        <v>123</v>
      </c>
      <c r="G826" s="268" t="s">
        <v>29</v>
      </c>
      <c r="H826" s="271" t="s">
        <v>422</v>
      </c>
      <c r="I826" s="272" t="s">
        <v>26</v>
      </c>
      <c r="J826" s="273">
        <v>0.3</v>
      </c>
      <c r="K826" s="272" t="s">
        <v>138</v>
      </c>
      <c r="L826" s="291" t="s">
        <v>139</v>
      </c>
      <c r="M826" s="272" t="s">
        <v>140</v>
      </c>
      <c r="N826" s="273">
        <v>1</v>
      </c>
      <c r="O826" s="276">
        <v>1</v>
      </c>
      <c r="P826" s="273"/>
      <c r="Q826" s="273">
        <f t="shared" si="28"/>
        <v>0</v>
      </c>
      <c r="R826" s="287">
        <f t="shared" si="27"/>
        <v>0</v>
      </c>
      <c r="S826" s="276" t="s">
        <v>23</v>
      </c>
      <c r="T826" s="277"/>
    </row>
    <row r="827" spans="1:20" ht="21.6" hidden="1" x14ac:dyDescent="0.3">
      <c r="A827" s="242">
        <v>2142</v>
      </c>
      <c r="B827" s="243" t="s">
        <v>20</v>
      </c>
      <c r="C827" s="244" t="s">
        <v>267</v>
      </c>
      <c r="D827" s="245" t="s">
        <v>294</v>
      </c>
      <c r="E827" s="243" t="s">
        <v>293</v>
      </c>
      <c r="F827" s="243" t="s">
        <v>123</v>
      </c>
      <c r="G827" s="243" t="s">
        <v>29</v>
      </c>
      <c r="H827" s="246" t="s">
        <v>422</v>
      </c>
      <c r="I827" s="294" t="s">
        <v>22</v>
      </c>
      <c r="J827" s="248">
        <v>0.7</v>
      </c>
      <c r="K827" s="75" t="s">
        <v>513</v>
      </c>
      <c r="L827" s="105" t="s">
        <v>511</v>
      </c>
      <c r="M827" s="75" t="s">
        <v>411</v>
      </c>
      <c r="N827" s="248">
        <v>0.95</v>
      </c>
      <c r="O827" s="248">
        <v>0.15</v>
      </c>
      <c r="P827" s="248"/>
      <c r="Q827" s="248">
        <f t="shared" si="28"/>
        <v>0</v>
      </c>
      <c r="R827" s="250">
        <f t="shared" si="27"/>
        <v>0</v>
      </c>
      <c r="S827" s="248" t="s">
        <v>23</v>
      </c>
      <c r="T827" s="251">
        <f>SUM(R827:R834)%</f>
        <v>0</v>
      </c>
    </row>
    <row r="828" spans="1:20" ht="21.6" hidden="1" x14ac:dyDescent="0.3">
      <c r="A828" s="182">
        <v>2144</v>
      </c>
      <c r="B828" s="42" t="s">
        <v>20</v>
      </c>
      <c r="C828" s="43" t="s">
        <v>267</v>
      </c>
      <c r="D828" s="44" t="s">
        <v>294</v>
      </c>
      <c r="E828" s="42" t="s">
        <v>293</v>
      </c>
      <c r="F828" s="42" t="s">
        <v>123</v>
      </c>
      <c r="G828" s="42" t="s">
        <v>29</v>
      </c>
      <c r="H828" s="45" t="s">
        <v>422</v>
      </c>
      <c r="I828" s="7" t="s">
        <v>22</v>
      </c>
      <c r="J828" s="3">
        <v>0.7</v>
      </c>
      <c r="K828" s="7" t="s">
        <v>124</v>
      </c>
      <c r="L828" s="8" t="s">
        <v>125</v>
      </c>
      <c r="M828" s="7" t="s">
        <v>126</v>
      </c>
      <c r="N828" s="3">
        <v>0.95</v>
      </c>
      <c r="O828" s="3">
        <v>0.15</v>
      </c>
      <c r="P828" s="6"/>
      <c r="Q828" s="3">
        <f t="shared" si="28"/>
        <v>0</v>
      </c>
      <c r="R828" s="4">
        <f t="shared" si="27"/>
        <v>0</v>
      </c>
      <c r="S828" s="3" t="s">
        <v>23</v>
      </c>
      <c r="T828" s="190"/>
    </row>
    <row r="829" spans="1:20" ht="21.6" hidden="1" x14ac:dyDescent="0.3">
      <c r="A829" s="182">
        <v>2145</v>
      </c>
      <c r="B829" s="42" t="s">
        <v>20</v>
      </c>
      <c r="C829" s="43" t="s">
        <v>267</v>
      </c>
      <c r="D829" s="44" t="s">
        <v>294</v>
      </c>
      <c r="E829" s="42" t="s">
        <v>293</v>
      </c>
      <c r="F829" s="42" t="s">
        <v>123</v>
      </c>
      <c r="G829" s="42" t="s">
        <v>29</v>
      </c>
      <c r="H829" s="45" t="s">
        <v>422</v>
      </c>
      <c r="I829" s="7" t="s">
        <v>22</v>
      </c>
      <c r="J829" s="3">
        <v>0.7</v>
      </c>
      <c r="K829" s="7" t="s">
        <v>51</v>
      </c>
      <c r="L829" s="8" t="s">
        <v>127</v>
      </c>
      <c r="M829" s="7" t="s">
        <v>128</v>
      </c>
      <c r="N829" s="6">
        <v>0.05</v>
      </c>
      <c r="O829" s="3">
        <v>0.1</v>
      </c>
      <c r="P829" s="11"/>
      <c r="Q829" s="3">
        <f t="shared" si="28"/>
        <v>0</v>
      </c>
      <c r="R829" s="4">
        <f t="shared" si="27"/>
        <v>0</v>
      </c>
      <c r="S829" s="3" t="s">
        <v>24</v>
      </c>
      <c r="T829" s="190"/>
    </row>
    <row r="830" spans="1:20" ht="21.6" hidden="1" x14ac:dyDescent="0.3">
      <c r="A830" s="182">
        <v>2146</v>
      </c>
      <c r="B830" s="42" t="s">
        <v>20</v>
      </c>
      <c r="C830" s="43" t="s">
        <v>267</v>
      </c>
      <c r="D830" s="44" t="s">
        <v>294</v>
      </c>
      <c r="E830" s="42" t="s">
        <v>293</v>
      </c>
      <c r="F830" s="42" t="s">
        <v>123</v>
      </c>
      <c r="G830" s="42" t="s">
        <v>29</v>
      </c>
      <c r="H830" s="45" t="s">
        <v>422</v>
      </c>
      <c r="I830" s="7" t="s">
        <v>22</v>
      </c>
      <c r="J830" s="3">
        <v>0.7</v>
      </c>
      <c r="K830" s="7" t="s">
        <v>305</v>
      </c>
      <c r="L830" s="8" t="s">
        <v>257</v>
      </c>
      <c r="M830" s="339" t="s">
        <v>306</v>
      </c>
      <c r="N830" s="3">
        <v>0.95</v>
      </c>
      <c r="O830" s="3">
        <v>0.1</v>
      </c>
      <c r="P830" s="3"/>
      <c r="Q830" s="3">
        <f t="shared" si="28"/>
        <v>0</v>
      </c>
      <c r="R830" s="4">
        <f t="shared" si="27"/>
        <v>0</v>
      </c>
      <c r="S830" s="3" t="s">
        <v>23</v>
      </c>
      <c r="T830" s="190"/>
    </row>
    <row r="831" spans="1:20" ht="21.6" hidden="1" x14ac:dyDescent="0.3">
      <c r="A831" s="182">
        <v>2147</v>
      </c>
      <c r="B831" s="42" t="s">
        <v>20</v>
      </c>
      <c r="C831" s="43" t="s">
        <v>267</v>
      </c>
      <c r="D831" s="44" t="s">
        <v>294</v>
      </c>
      <c r="E831" s="42" t="s">
        <v>293</v>
      </c>
      <c r="F831" s="42" t="s">
        <v>123</v>
      </c>
      <c r="G831" s="42" t="s">
        <v>29</v>
      </c>
      <c r="H831" s="45" t="s">
        <v>422</v>
      </c>
      <c r="I831" s="47" t="s">
        <v>22</v>
      </c>
      <c r="J831" s="3">
        <v>0.7</v>
      </c>
      <c r="K831" s="47" t="s">
        <v>129</v>
      </c>
      <c r="L831" s="30" t="s">
        <v>130</v>
      </c>
      <c r="M831" s="47" t="s">
        <v>131</v>
      </c>
      <c r="N831" s="3">
        <v>0.9</v>
      </c>
      <c r="O831" s="10">
        <v>0.2</v>
      </c>
      <c r="P831" s="3"/>
      <c r="Q831" s="3">
        <f t="shared" si="28"/>
        <v>0</v>
      </c>
      <c r="R831" s="48">
        <f t="shared" si="27"/>
        <v>0</v>
      </c>
      <c r="S831" s="10" t="s">
        <v>23</v>
      </c>
      <c r="T831" s="191"/>
    </row>
    <row r="832" spans="1:20" ht="21.6" hidden="1" x14ac:dyDescent="0.3">
      <c r="A832" s="182">
        <v>2148</v>
      </c>
      <c r="B832" s="42" t="s">
        <v>20</v>
      </c>
      <c r="C832" s="43" t="s">
        <v>267</v>
      </c>
      <c r="D832" s="44" t="s">
        <v>294</v>
      </c>
      <c r="E832" s="42" t="s">
        <v>293</v>
      </c>
      <c r="F832" s="42" t="s">
        <v>123</v>
      </c>
      <c r="G832" s="42" t="s">
        <v>29</v>
      </c>
      <c r="H832" s="45" t="s">
        <v>422</v>
      </c>
      <c r="I832" s="47" t="s">
        <v>22</v>
      </c>
      <c r="J832" s="3">
        <v>0.7</v>
      </c>
      <c r="K832" s="47" t="s">
        <v>132</v>
      </c>
      <c r="L832" s="30" t="s">
        <v>133</v>
      </c>
      <c r="M832" s="47" t="s">
        <v>134</v>
      </c>
      <c r="N832" s="4">
        <v>0</v>
      </c>
      <c r="O832" s="10">
        <v>0.1</v>
      </c>
      <c r="P832" s="3"/>
      <c r="Q832" s="3">
        <f t="shared" si="28"/>
        <v>0</v>
      </c>
      <c r="R832" s="48">
        <f t="shared" si="27"/>
        <v>0</v>
      </c>
      <c r="S832" s="10" t="s">
        <v>24</v>
      </c>
      <c r="T832" s="191"/>
    </row>
    <row r="833" spans="1:20" ht="21.6" hidden="1" x14ac:dyDescent="0.3">
      <c r="A833" s="182">
        <v>2149</v>
      </c>
      <c r="B833" s="42" t="s">
        <v>20</v>
      </c>
      <c r="C833" s="43" t="s">
        <v>267</v>
      </c>
      <c r="D833" s="44" t="s">
        <v>294</v>
      </c>
      <c r="E833" s="42" t="s">
        <v>293</v>
      </c>
      <c r="F833" s="42" t="s">
        <v>123</v>
      </c>
      <c r="G833" s="42" t="s">
        <v>29</v>
      </c>
      <c r="H833" s="45" t="s">
        <v>422</v>
      </c>
      <c r="I833" s="47" t="s">
        <v>22</v>
      </c>
      <c r="J833" s="3">
        <v>0.7</v>
      </c>
      <c r="K833" s="47" t="s">
        <v>135</v>
      </c>
      <c r="L833" s="30" t="s">
        <v>136</v>
      </c>
      <c r="M833" s="47" t="s">
        <v>137</v>
      </c>
      <c r="N833" s="3">
        <v>0.9</v>
      </c>
      <c r="O833" s="10">
        <v>0.2</v>
      </c>
      <c r="P833" s="51"/>
      <c r="Q833" s="3">
        <f t="shared" si="28"/>
        <v>0</v>
      </c>
      <c r="R833" s="48">
        <f t="shared" si="27"/>
        <v>0</v>
      </c>
      <c r="S833" s="10" t="s">
        <v>23</v>
      </c>
      <c r="T833" s="191"/>
    </row>
    <row r="834" spans="1:20" ht="22.2" hidden="1" thickBot="1" x14ac:dyDescent="0.35">
      <c r="A834" s="267">
        <v>2150</v>
      </c>
      <c r="B834" s="268" t="s">
        <v>20</v>
      </c>
      <c r="C834" s="269" t="s">
        <v>267</v>
      </c>
      <c r="D834" s="270" t="s">
        <v>294</v>
      </c>
      <c r="E834" s="268" t="s">
        <v>293</v>
      </c>
      <c r="F834" s="268" t="s">
        <v>123</v>
      </c>
      <c r="G834" s="268" t="s">
        <v>29</v>
      </c>
      <c r="H834" s="271" t="s">
        <v>422</v>
      </c>
      <c r="I834" s="272" t="s">
        <v>26</v>
      </c>
      <c r="J834" s="273">
        <v>0.3</v>
      </c>
      <c r="K834" s="272" t="s">
        <v>138</v>
      </c>
      <c r="L834" s="291" t="s">
        <v>139</v>
      </c>
      <c r="M834" s="272" t="s">
        <v>140</v>
      </c>
      <c r="N834" s="273">
        <v>1</v>
      </c>
      <c r="O834" s="276">
        <v>1</v>
      </c>
      <c r="P834" s="273"/>
      <c r="Q834" s="273">
        <f t="shared" si="28"/>
        <v>0</v>
      </c>
      <c r="R834" s="287">
        <f t="shared" si="27"/>
        <v>0</v>
      </c>
      <c r="S834" s="276" t="s">
        <v>23</v>
      </c>
      <c r="T834" s="277"/>
    </row>
    <row r="835" spans="1:20" ht="21.6" hidden="1" x14ac:dyDescent="0.3">
      <c r="A835" s="242">
        <v>2142</v>
      </c>
      <c r="B835" s="243" t="s">
        <v>20</v>
      </c>
      <c r="C835" s="244" t="s">
        <v>267</v>
      </c>
      <c r="D835" s="245" t="s">
        <v>290</v>
      </c>
      <c r="E835" s="243" t="s">
        <v>289</v>
      </c>
      <c r="F835" s="243" t="s">
        <v>123</v>
      </c>
      <c r="G835" s="243" t="s">
        <v>29</v>
      </c>
      <c r="H835" s="246" t="s">
        <v>422</v>
      </c>
      <c r="I835" s="294" t="s">
        <v>22</v>
      </c>
      <c r="J835" s="248">
        <v>0.7</v>
      </c>
      <c r="K835" s="75" t="s">
        <v>513</v>
      </c>
      <c r="L835" s="105" t="s">
        <v>511</v>
      </c>
      <c r="M835" s="75" t="s">
        <v>411</v>
      </c>
      <c r="N835" s="248">
        <v>0.95</v>
      </c>
      <c r="O835" s="248">
        <v>0.15</v>
      </c>
      <c r="P835" s="248"/>
      <c r="Q835" s="248">
        <f t="shared" si="28"/>
        <v>0</v>
      </c>
      <c r="R835" s="250">
        <f t="shared" si="27"/>
        <v>0</v>
      </c>
      <c r="S835" s="248" t="s">
        <v>23</v>
      </c>
      <c r="T835" s="251">
        <f>SUM(R835:R842)%</f>
        <v>0</v>
      </c>
    </row>
    <row r="836" spans="1:20" ht="21.6" hidden="1" x14ac:dyDescent="0.3">
      <c r="A836" s="182">
        <v>2144</v>
      </c>
      <c r="B836" s="42" t="s">
        <v>20</v>
      </c>
      <c r="C836" s="43" t="s">
        <v>267</v>
      </c>
      <c r="D836" s="44" t="s">
        <v>290</v>
      </c>
      <c r="E836" s="42" t="s">
        <v>289</v>
      </c>
      <c r="F836" s="42" t="s">
        <v>123</v>
      </c>
      <c r="G836" s="42" t="s">
        <v>29</v>
      </c>
      <c r="H836" s="45" t="s">
        <v>422</v>
      </c>
      <c r="I836" s="7" t="s">
        <v>22</v>
      </c>
      <c r="J836" s="3">
        <v>0.7</v>
      </c>
      <c r="K836" s="7" t="s">
        <v>124</v>
      </c>
      <c r="L836" s="8" t="s">
        <v>125</v>
      </c>
      <c r="M836" s="7" t="s">
        <v>126</v>
      </c>
      <c r="N836" s="3">
        <v>0.95</v>
      </c>
      <c r="O836" s="3">
        <v>0.15</v>
      </c>
      <c r="P836" s="6"/>
      <c r="Q836" s="3">
        <f t="shared" si="28"/>
        <v>0</v>
      </c>
      <c r="R836" s="4">
        <f t="shared" si="27"/>
        <v>0</v>
      </c>
      <c r="S836" s="3" t="s">
        <v>23</v>
      </c>
      <c r="T836" s="190"/>
    </row>
    <row r="837" spans="1:20" ht="21.6" hidden="1" x14ac:dyDescent="0.3">
      <c r="A837" s="182">
        <v>2145</v>
      </c>
      <c r="B837" s="42" t="s">
        <v>20</v>
      </c>
      <c r="C837" s="43" t="s">
        <v>267</v>
      </c>
      <c r="D837" s="44" t="s">
        <v>290</v>
      </c>
      <c r="E837" s="42" t="s">
        <v>289</v>
      </c>
      <c r="F837" s="42" t="s">
        <v>123</v>
      </c>
      <c r="G837" s="42" t="s">
        <v>29</v>
      </c>
      <c r="H837" s="45" t="s">
        <v>422</v>
      </c>
      <c r="I837" s="7" t="s">
        <v>22</v>
      </c>
      <c r="J837" s="3">
        <v>0.7</v>
      </c>
      <c r="K837" s="7" t="s">
        <v>51</v>
      </c>
      <c r="L837" s="8" t="s">
        <v>127</v>
      </c>
      <c r="M837" s="7" t="s">
        <v>128</v>
      </c>
      <c r="N837" s="6">
        <v>0.05</v>
      </c>
      <c r="O837" s="3">
        <v>0.1</v>
      </c>
      <c r="P837" s="11"/>
      <c r="Q837" s="3">
        <f t="shared" si="28"/>
        <v>0</v>
      </c>
      <c r="R837" s="4">
        <f t="shared" si="27"/>
        <v>0</v>
      </c>
      <c r="S837" s="3" t="s">
        <v>24</v>
      </c>
      <c r="T837" s="190"/>
    </row>
    <row r="838" spans="1:20" ht="21.6" hidden="1" x14ac:dyDescent="0.3">
      <c r="A838" s="182">
        <v>2146</v>
      </c>
      <c r="B838" s="42" t="s">
        <v>20</v>
      </c>
      <c r="C838" s="43" t="s">
        <v>267</v>
      </c>
      <c r="D838" s="44" t="s">
        <v>290</v>
      </c>
      <c r="E838" s="42" t="s">
        <v>289</v>
      </c>
      <c r="F838" s="42" t="s">
        <v>123</v>
      </c>
      <c r="G838" s="42" t="s">
        <v>29</v>
      </c>
      <c r="H838" s="45" t="s">
        <v>422</v>
      </c>
      <c r="I838" s="7" t="s">
        <v>22</v>
      </c>
      <c r="J838" s="3">
        <v>0.7</v>
      </c>
      <c r="K838" s="7" t="s">
        <v>305</v>
      </c>
      <c r="L838" s="8" t="s">
        <v>257</v>
      </c>
      <c r="M838" s="339" t="s">
        <v>306</v>
      </c>
      <c r="N838" s="3">
        <v>0.95</v>
      </c>
      <c r="O838" s="3">
        <v>0.1</v>
      </c>
      <c r="P838" s="3"/>
      <c r="Q838" s="3">
        <f t="shared" si="28"/>
        <v>0</v>
      </c>
      <c r="R838" s="4">
        <f t="shared" si="27"/>
        <v>0</v>
      </c>
      <c r="S838" s="3" t="s">
        <v>23</v>
      </c>
      <c r="T838" s="190"/>
    </row>
    <row r="839" spans="1:20" ht="21.6" hidden="1" x14ac:dyDescent="0.3">
      <c r="A839" s="182">
        <v>2147</v>
      </c>
      <c r="B839" s="42" t="s">
        <v>20</v>
      </c>
      <c r="C839" s="43" t="s">
        <v>267</v>
      </c>
      <c r="D839" s="44" t="s">
        <v>290</v>
      </c>
      <c r="E839" s="42" t="s">
        <v>289</v>
      </c>
      <c r="F839" s="42" t="s">
        <v>123</v>
      </c>
      <c r="G839" s="42" t="s">
        <v>29</v>
      </c>
      <c r="H839" s="45" t="s">
        <v>422</v>
      </c>
      <c r="I839" s="47" t="s">
        <v>22</v>
      </c>
      <c r="J839" s="3">
        <v>0.7</v>
      </c>
      <c r="K839" s="47" t="s">
        <v>129</v>
      </c>
      <c r="L839" s="30" t="s">
        <v>130</v>
      </c>
      <c r="M839" s="47" t="s">
        <v>131</v>
      </c>
      <c r="N839" s="3">
        <v>0.9</v>
      </c>
      <c r="O839" s="10">
        <v>0.2</v>
      </c>
      <c r="P839" s="3"/>
      <c r="Q839" s="3">
        <f t="shared" si="28"/>
        <v>0</v>
      </c>
      <c r="R839" s="48">
        <f t="shared" si="27"/>
        <v>0</v>
      </c>
      <c r="S839" s="10" t="s">
        <v>23</v>
      </c>
      <c r="T839" s="191"/>
    </row>
    <row r="840" spans="1:20" ht="21.6" hidden="1" x14ac:dyDescent="0.3">
      <c r="A840" s="182">
        <v>2148</v>
      </c>
      <c r="B840" s="42" t="s">
        <v>20</v>
      </c>
      <c r="C840" s="43" t="s">
        <v>267</v>
      </c>
      <c r="D840" s="44" t="s">
        <v>290</v>
      </c>
      <c r="E840" s="42" t="s">
        <v>289</v>
      </c>
      <c r="F840" s="42" t="s">
        <v>123</v>
      </c>
      <c r="G840" s="42" t="s">
        <v>29</v>
      </c>
      <c r="H840" s="45" t="s">
        <v>422</v>
      </c>
      <c r="I840" s="47" t="s">
        <v>22</v>
      </c>
      <c r="J840" s="3">
        <v>0.7</v>
      </c>
      <c r="K840" s="47" t="s">
        <v>132</v>
      </c>
      <c r="L840" s="30" t="s">
        <v>133</v>
      </c>
      <c r="M840" s="47" t="s">
        <v>134</v>
      </c>
      <c r="N840" s="4">
        <v>0</v>
      </c>
      <c r="O840" s="10">
        <v>0.1</v>
      </c>
      <c r="P840" s="3"/>
      <c r="Q840" s="3">
        <f t="shared" si="28"/>
        <v>0</v>
      </c>
      <c r="R840" s="48">
        <f t="shared" si="27"/>
        <v>0</v>
      </c>
      <c r="S840" s="10" t="s">
        <v>24</v>
      </c>
      <c r="T840" s="191"/>
    </row>
    <row r="841" spans="1:20" ht="21.6" hidden="1" x14ac:dyDescent="0.3">
      <c r="A841" s="182">
        <v>2149</v>
      </c>
      <c r="B841" s="42" t="s">
        <v>20</v>
      </c>
      <c r="C841" s="43" t="s">
        <v>267</v>
      </c>
      <c r="D841" s="44" t="s">
        <v>290</v>
      </c>
      <c r="E841" s="42" t="s">
        <v>289</v>
      </c>
      <c r="F841" s="42" t="s">
        <v>123</v>
      </c>
      <c r="G841" s="42" t="s">
        <v>29</v>
      </c>
      <c r="H841" s="45" t="s">
        <v>422</v>
      </c>
      <c r="I841" s="47" t="s">
        <v>22</v>
      </c>
      <c r="J841" s="3">
        <v>0.7</v>
      </c>
      <c r="K841" s="47" t="s">
        <v>135</v>
      </c>
      <c r="L841" s="30" t="s">
        <v>136</v>
      </c>
      <c r="M841" s="47" t="s">
        <v>137</v>
      </c>
      <c r="N841" s="3">
        <v>0.9</v>
      </c>
      <c r="O841" s="10">
        <v>0.2</v>
      </c>
      <c r="P841" s="51"/>
      <c r="Q841" s="3">
        <f t="shared" si="28"/>
        <v>0</v>
      </c>
      <c r="R841" s="48">
        <f t="shared" si="27"/>
        <v>0</v>
      </c>
      <c r="S841" s="10" t="s">
        <v>23</v>
      </c>
      <c r="T841" s="191"/>
    </row>
    <row r="842" spans="1:20" ht="22.2" hidden="1" thickBot="1" x14ac:dyDescent="0.35">
      <c r="A842" s="267">
        <v>2150</v>
      </c>
      <c r="B842" s="268" t="s">
        <v>20</v>
      </c>
      <c r="C842" s="269" t="s">
        <v>267</v>
      </c>
      <c r="D842" s="270" t="s">
        <v>290</v>
      </c>
      <c r="E842" s="268" t="s">
        <v>289</v>
      </c>
      <c r="F842" s="268" t="s">
        <v>123</v>
      </c>
      <c r="G842" s="268" t="s">
        <v>29</v>
      </c>
      <c r="H842" s="271" t="s">
        <v>422</v>
      </c>
      <c r="I842" s="272" t="s">
        <v>26</v>
      </c>
      <c r="J842" s="273">
        <v>0.3</v>
      </c>
      <c r="K842" s="272" t="s">
        <v>138</v>
      </c>
      <c r="L842" s="291" t="s">
        <v>139</v>
      </c>
      <c r="M842" s="272" t="s">
        <v>140</v>
      </c>
      <c r="N842" s="273">
        <v>1</v>
      </c>
      <c r="O842" s="276">
        <v>1</v>
      </c>
      <c r="P842" s="273"/>
      <c r="Q842" s="273">
        <f t="shared" si="28"/>
        <v>0</v>
      </c>
      <c r="R842" s="287">
        <f t="shared" si="27"/>
        <v>0</v>
      </c>
      <c r="S842" s="276" t="s">
        <v>23</v>
      </c>
      <c r="T842" s="277"/>
    </row>
    <row r="843" spans="1:20" ht="21.6" hidden="1" x14ac:dyDescent="0.3">
      <c r="A843" s="242">
        <v>2151</v>
      </c>
      <c r="B843" s="243" t="s">
        <v>20</v>
      </c>
      <c r="C843" s="244" t="s">
        <v>267</v>
      </c>
      <c r="D843" s="245" t="s">
        <v>253</v>
      </c>
      <c r="E843" s="243" t="s">
        <v>254</v>
      </c>
      <c r="F843" s="243" t="s">
        <v>145</v>
      </c>
      <c r="G843" s="243" t="s">
        <v>29</v>
      </c>
      <c r="H843" s="246" t="s">
        <v>422</v>
      </c>
      <c r="I843" s="294" t="s">
        <v>22</v>
      </c>
      <c r="J843" s="248">
        <v>0.7</v>
      </c>
      <c r="K843" s="75" t="s">
        <v>513</v>
      </c>
      <c r="L843" s="105" t="s">
        <v>511</v>
      </c>
      <c r="M843" s="75" t="s">
        <v>411</v>
      </c>
      <c r="N843" s="248">
        <v>0.95</v>
      </c>
      <c r="O843" s="248">
        <v>0.15</v>
      </c>
      <c r="P843" s="248"/>
      <c r="Q843" s="248">
        <f t="shared" si="28"/>
        <v>0</v>
      </c>
      <c r="R843" s="250">
        <f t="shared" si="27"/>
        <v>0</v>
      </c>
      <c r="S843" s="248" t="s">
        <v>23</v>
      </c>
      <c r="T843" s="251">
        <f>SUM(R843:R850)%</f>
        <v>0</v>
      </c>
    </row>
    <row r="844" spans="1:20" ht="21.6" hidden="1" x14ac:dyDescent="0.3">
      <c r="A844" s="182">
        <v>2153</v>
      </c>
      <c r="B844" s="42" t="s">
        <v>20</v>
      </c>
      <c r="C844" s="43" t="s">
        <v>267</v>
      </c>
      <c r="D844" s="44" t="s">
        <v>253</v>
      </c>
      <c r="E844" s="42" t="s">
        <v>254</v>
      </c>
      <c r="F844" s="42" t="s">
        <v>145</v>
      </c>
      <c r="G844" s="42" t="s">
        <v>29</v>
      </c>
      <c r="H844" s="45" t="s">
        <v>422</v>
      </c>
      <c r="I844" s="7" t="s">
        <v>22</v>
      </c>
      <c r="J844" s="3">
        <v>0.7</v>
      </c>
      <c r="K844" s="7" t="s">
        <v>124</v>
      </c>
      <c r="L844" s="8" t="s">
        <v>125</v>
      </c>
      <c r="M844" s="7" t="s">
        <v>126</v>
      </c>
      <c r="N844" s="3">
        <v>0.95</v>
      </c>
      <c r="O844" s="3">
        <v>0.15</v>
      </c>
      <c r="P844" s="6"/>
      <c r="Q844" s="3">
        <f t="shared" si="28"/>
        <v>0</v>
      </c>
      <c r="R844" s="4">
        <f t="shared" si="27"/>
        <v>0</v>
      </c>
      <c r="S844" s="3" t="s">
        <v>23</v>
      </c>
      <c r="T844" s="190"/>
    </row>
    <row r="845" spans="1:20" ht="21.6" hidden="1" x14ac:dyDescent="0.3">
      <c r="A845" s="182">
        <v>2154</v>
      </c>
      <c r="B845" s="42" t="s">
        <v>20</v>
      </c>
      <c r="C845" s="43" t="s">
        <v>267</v>
      </c>
      <c r="D845" s="44" t="s">
        <v>253</v>
      </c>
      <c r="E845" s="42" t="s">
        <v>254</v>
      </c>
      <c r="F845" s="42" t="s">
        <v>145</v>
      </c>
      <c r="G845" s="42" t="s">
        <v>29</v>
      </c>
      <c r="H845" s="45" t="s">
        <v>422</v>
      </c>
      <c r="I845" s="7" t="s">
        <v>22</v>
      </c>
      <c r="J845" s="3">
        <v>0.7</v>
      </c>
      <c r="K845" s="7" t="s">
        <v>51</v>
      </c>
      <c r="L845" s="8" t="s">
        <v>127</v>
      </c>
      <c r="M845" s="7" t="s">
        <v>128</v>
      </c>
      <c r="N845" s="6">
        <v>0.05</v>
      </c>
      <c r="O845" s="3">
        <v>0.1</v>
      </c>
      <c r="P845" s="11"/>
      <c r="Q845" s="3">
        <f t="shared" si="28"/>
        <v>0</v>
      </c>
      <c r="R845" s="4">
        <f t="shared" si="27"/>
        <v>0</v>
      </c>
      <c r="S845" s="3" t="s">
        <v>24</v>
      </c>
      <c r="T845" s="190"/>
    </row>
    <row r="846" spans="1:20" ht="21.6" hidden="1" x14ac:dyDescent="0.3">
      <c r="A846" s="182">
        <v>2155</v>
      </c>
      <c r="B846" s="42" t="s">
        <v>20</v>
      </c>
      <c r="C846" s="43" t="s">
        <v>267</v>
      </c>
      <c r="D846" s="44" t="s">
        <v>253</v>
      </c>
      <c r="E846" s="42" t="s">
        <v>254</v>
      </c>
      <c r="F846" s="42" t="s">
        <v>145</v>
      </c>
      <c r="G846" s="42" t="s">
        <v>29</v>
      </c>
      <c r="H846" s="45" t="s">
        <v>422</v>
      </c>
      <c r="I846" s="7" t="s">
        <v>22</v>
      </c>
      <c r="J846" s="3">
        <v>0.7</v>
      </c>
      <c r="K846" s="7" t="s">
        <v>305</v>
      </c>
      <c r="L846" s="8" t="s">
        <v>257</v>
      </c>
      <c r="M846" s="339" t="s">
        <v>306</v>
      </c>
      <c r="N846" s="3">
        <v>0.95</v>
      </c>
      <c r="O846" s="3">
        <v>0.1</v>
      </c>
      <c r="P846" s="3"/>
      <c r="Q846" s="3">
        <f t="shared" si="28"/>
        <v>0</v>
      </c>
      <c r="R846" s="4">
        <f t="shared" si="27"/>
        <v>0</v>
      </c>
      <c r="S846" s="3" t="s">
        <v>23</v>
      </c>
      <c r="T846" s="190"/>
    </row>
    <row r="847" spans="1:20" ht="21.6" hidden="1" x14ac:dyDescent="0.3">
      <c r="A847" s="182">
        <v>2156</v>
      </c>
      <c r="B847" s="42" t="s">
        <v>20</v>
      </c>
      <c r="C847" s="43" t="s">
        <v>267</v>
      </c>
      <c r="D847" s="44" t="s">
        <v>253</v>
      </c>
      <c r="E847" s="42" t="s">
        <v>254</v>
      </c>
      <c r="F847" s="42" t="s">
        <v>145</v>
      </c>
      <c r="G847" s="42" t="s">
        <v>29</v>
      </c>
      <c r="H847" s="45" t="s">
        <v>422</v>
      </c>
      <c r="I847" s="47" t="s">
        <v>22</v>
      </c>
      <c r="J847" s="3">
        <v>0.7</v>
      </c>
      <c r="K847" s="47" t="s">
        <v>129</v>
      </c>
      <c r="L847" s="30" t="s">
        <v>130</v>
      </c>
      <c r="M847" s="47" t="s">
        <v>131</v>
      </c>
      <c r="N847" s="3">
        <v>0.9</v>
      </c>
      <c r="O847" s="10">
        <v>0.2</v>
      </c>
      <c r="P847" s="3"/>
      <c r="Q847" s="3">
        <f t="shared" si="28"/>
        <v>0</v>
      </c>
      <c r="R847" s="48">
        <f t="shared" si="27"/>
        <v>0</v>
      </c>
      <c r="S847" s="10" t="s">
        <v>23</v>
      </c>
      <c r="T847" s="191"/>
    </row>
    <row r="848" spans="1:20" ht="21.6" hidden="1" x14ac:dyDescent="0.3">
      <c r="A848" s="182">
        <v>2157</v>
      </c>
      <c r="B848" s="42" t="s">
        <v>20</v>
      </c>
      <c r="C848" s="43" t="s">
        <v>267</v>
      </c>
      <c r="D848" s="44" t="s">
        <v>253</v>
      </c>
      <c r="E848" s="42" t="s">
        <v>254</v>
      </c>
      <c r="F848" s="42" t="s">
        <v>145</v>
      </c>
      <c r="G848" s="42" t="s">
        <v>29</v>
      </c>
      <c r="H848" s="45" t="s">
        <v>422</v>
      </c>
      <c r="I848" s="47" t="s">
        <v>22</v>
      </c>
      <c r="J848" s="3">
        <v>0.7</v>
      </c>
      <c r="K848" s="47" t="s">
        <v>132</v>
      </c>
      <c r="L848" s="30" t="s">
        <v>133</v>
      </c>
      <c r="M848" s="47" t="s">
        <v>134</v>
      </c>
      <c r="N848" s="4">
        <v>0</v>
      </c>
      <c r="O848" s="10">
        <v>0.1</v>
      </c>
      <c r="P848" s="3"/>
      <c r="Q848" s="3">
        <f t="shared" si="28"/>
        <v>0</v>
      </c>
      <c r="R848" s="48">
        <f t="shared" si="27"/>
        <v>0</v>
      </c>
      <c r="S848" s="10" t="s">
        <v>24</v>
      </c>
      <c r="T848" s="191"/>
    </row>
    <row r="849" spans="1:20" ht="21.6" hidden="1" x14ac:dyDescent="0.3">
      <c r="A849" s="182">
        <v>2158</v>
      </c>
      <c r="B849" s="42" t="s">
        <v>20</v>
      </c>
      <c r="C849" s="43" t="s">
        <v>267</v>
      </c>
      <c r="D849" s="44" t="s">
        <v>253</v>
      </c>
      <c r="E849" s="42" t="s">
        <v>254</v>
      </c>
      <c r="F849" s="42" t="s">
        <v>145</v>
      </c>
      <c r="G849" s="42" t="s">
        <v>29</v>
      </c>
      <c r="H849" s="45" t="s">
        <v>422</v>
      </c>
      <c r="I849" s="47" t="s">
        <v>22</v>
      </c>
      <c r="J849" s="3">
        <v>0.7</v>
      </c>
      <c r="K849" s="47" t="s">
        <v>135</v>
      </c>
      <c r="L849" s="30" t="s">
        <v>136</v>
      </c>
      <c r="M849" s="47" t="s">
        <v>137</v>
      </c>
      <c r="N849" s="3">
        <v>0.9</v>
      </c>
      <c r="O849" s="10">
        <v>0.2</v>
      </c>
      <c r="P849" s="51"/>
      <c r="Q849" s="3">
        <f t="shared" si="28"/>
        <v>0</v>
      </c>
      <c r="R849" s="48">
        <f t="shared" si="27"/>
        <v>0</v>
      </c>
      <c r="S849" s="10" t="s">
        <v>23</v>
      </c>
      <c r="T849" s="191"/>
    </row>
    <row r="850" spans="1:20" ht="22.2" hidden="1" thickBot="1" x14ac:dyDescent="0.35">
      <c r="A850" s="267">
        <v>2159</v>
      </c>
      <c r="B850" s="268" t="s">
        <v>20</v>
      </c>
      <c r="C850" s="269" t="s">
        <v>267</v>
      </c>
      <c r="D850" s="270" t="s">
        <v>253</v>
      </c>
      <c r="E850" s="268" t="s">
        <v>254</v>
      </c>
      <c r="F850" s="268" t="s">
        <v>145</v>
      </c>
      <c r="G850" s="268" t="s">
        <v>29</v>
      </c>
      <c r="H850" s="271" t="s">
        <v>422</v>
      </c>
      <c r="I850" s="272" t="s">
        <v>26</v>
      </c>
      <c r="J850" s="273">
        <v>0.3</v>
      </c>
      <c r="K850" s="272" t="s">
        <v>138</v>
      </c>
      <c r="L850" s="291" t="s">
        <v>139</v>
      </c>
      <c r="M850" s="272" t="s">
        <v>140</v>
      </c>
      <c r="N850" s="273">
        <v>1</v>
      </c>
      <c r="O850" s="276">
        <v>1</v>
      </c>
      <c r="P850" s="273"/>
      <c r="Q850" s="273">
        <f t="shared" si="28"/>
        <v>0</v>
      </c>
      <c r="R850" s="287">
        <f t="shared" si="27"/>
        <v>0</v>
      </c>
      <c r="S850" s="276" t="s">
        <v>23</v>
      </c>
      <c r="T850" s="277"/>
    </row>
    <row r="851" spans="1:20" ht="21.6" hidden="1" x14ac:dyDescent="0.3">
      <c r="A851" s="242">
        <v>2169</v>
      </c>
      <c r="B851" s="243" t="s">
        <v>20</v>
      </c>
      <c r="C851" s="244" t="s">
        <v>267</v>
      </c>
      <c r="D851" s="245" t="s">
        <v>255</v>
      </c>
      <c r="E851" s="243" t="s">
        <v>256</v>
      </c>
      <c r="F851" s="243" t="s">
        <v>123</v>
      </c>
      <c r="G851" s="243" t="s">
        <v>29</v>
      </c>
      <c r="H851" s="246" t="s">
        <v>422</v>
      </c>
      <c r="I851" s="294" t="s">
        <v>22</v>
      </c>
      <c r="J851" s="248">
        <v>0.7</v>
      </c>
      <c r="K851" s="75" t="s">
        <v>513</v>
      </c>
      <c r="L851" s="105" t="s">
        <v>511</v>
      </c>
      <c r="M851" s="75" t="s">
        <v>411</v>
      </c>
      <c r="N851" s="248">
        <v>0.95</v>
      </c>
      <c r="O851" s="248">
        <v>0.15</v>
      </c>
      <c r="P851" s="248"/>
      <c r="Q851" s="248">
        <f t="shared" si="28"/>
        <v>0</v>
      </c>
      <c r="R851" s="250">
        <f t="shared" ref="R851:R914" si="29">IF(AND(Q851&gt;=60%,Q851&lt;100%),Q851*((O851*J851)),IF(Q851=100%,((O851*J851)*Q851)*100%,IF(Q851&gt;100%,((J851*O851)*100%)*100%,0)))*100</f>
        <v>0</v>
      </c>
      <c r="S851" s="248" t="s">
        <v>23</v>
      </c>
      <c r="T851" s="251">
        <f>SUM(R851:R858)%</f>
        <v>0</v>
      </c>
    </row>
    <row r="852" spans="1:20" ht="21.6" hidden="1" x14ac:dyDescent="0.3">
      <c r="A852" s="182">
        <v>2171</v>
      </c>
      <c r="B852" s="42" t="s">
        <v>20</v>
      </c>
      <c r="C852" s="43" t="s">
        <v>267</v>
      </c>
      <c r="D852" s="44" t="s">
        <v>255</v>
      </c>
      <c r="E852" s="42" t="s">
        <v>256</v>
      </c>
      <c r="F852" s="42" t="s">
        <v>123</v>
      </c>
      <c r="G852" s="42" t="s">
        <v>29</v>
      </c>
      <c r="H852" s="45" t="s">
        <v>422</v>
      </c>
      <c r="I852" s="7" t="s">
        <v>22</v>
      </c>
      <c r="J852" s="3">
        <v>0.7</v>
      </c>
      <c r="K852" s="7" t="s">
        <v>124</v>
      </c>
      <c r="L852" s="8" t="s">
        <v>125</v>
      </c>
      <c r="M852" s="7" t="s">
        <v>126</v>
      </c>
      <c r="N852" s="3">
        <v>0.95</v>
      </c>
      <c r="O852" s="3">
        <v>0.15</v>
      </c>
      <c r="P852" s="6"/>
      <c r="Q852" s="3">
        <f t="shared" si="28"/>
        <v>0</v>
      </c>
      <c r="R852" s="4">
        <f t="shared" si="29"/>
        <v>0</v>
      </c>
      <c r="S852" s="3" t="s">
        <v>23</v>
      </c>
      <c r="T852" s="190"/>
    </row>
    <row r="853" spans="1:20" ht="21.6" hidden="1" x14ac:dyDescent="0.3">
      <c r="A853" s="182">
        <v>2172</v>
      </c>
      <c r="B853" s="42" t="s">
        <v>20</v>
      </c>
      <c r="C853" s="43" t="s">
        <v>267</v>
      </c>
      <c r="D853" s="44" t="s">
        <v>255</v>
      </c>
      <c r="E853" s="42" t="s">
        <v>256</v>
      </c>
      <c r="F853" s="42" t="s">
        <v>123</v>
      </c>
      <c r="G853" s="42" t="s">
        <v>29</v>
      </c>
      <c r="H853" s="45" t="s">
        <v>422</v>
      </c>
      <c r="I853" s="7" t="s">
        <v>22</v>
      </c>
      <c r="J853" s="3">
        <v>0.7</v>
      </c>
      <c r="K853" s="7" t="s">
        <v>51</v>
      </c>
      <c r="L853" s="8" t="s">
        <v>127</v>
      </c>
      <c r="M853" s="7" t="s">
        <v>128</v>
      </c>
      <c r="N853" s="6">
        <v>0.05</v>
      </c>
      <c r="O853" s="3">
        <v>0.1</v>
      </c>
      <c r="P853" s="11"/>
      <c r="Q853" s="3">
        <f t="shared" si="28"/>
        <v>0</v>
      </c>
      <c r="R853" s="4">
        <f t="shared" si="29"/>
        <v>0</v>
      </c>
      <c r="S853" s="3" t="s">
        <v>24</v>
      </c>
      <c r="T853" s="190"/>
    </row>
    <row r="854" spans="1:20" ht="21.6" hidden="1" x14ac:dyDescent="0.3">
      <c r="A854" s="182">
        <v>2173</v>
      </c>
      <c r="B854" s="42" t="s">
        <v>20</v>
      </c>
      <c r="C854" s="43" t="s">
        <v>267</v>
      </c>
      <c r="D854" s="44" t="s">
        <v>255</v>
      </c>
      <c r="E854" s="42" t="s">
        <v>256</v>
      </c>
      <c r="F854" s="42" t="s">
        <v>123</v>
      </c>
      <c r="G854" s="42" t="s">
        <v>29</v>
      </c>
      <c r="H854" s="45" t="s">
        <v>422</v>
      </c>
      <c r="I854" s="7" t="s">
        <v>22</v>
      </c>
      <c r="J854" s="3">
        <v>0.7</v>
      </c>
      <c r="K854" s="7" t="s">
        <v>305</v>
      </c>
      <c r="L854" s="8" t="s">
        <v>257</v>
      </c>
      <c r="M854" s="339" t="s">
        <v>306</v>
      </c>
      <c r="N854" s="3">
        <v>0.95</v>
      </c>
      <c r="O854" s="3">
        <v>0.1</v>
      </c>
      <c r="P854" s="3"/>
      <c r="Q854" s="3">
        <f t="shared" si="28"/>
        <v>0</v>
      </c>
      <c r="R854" s="4">
        <f t="shared" si="29"/>
        <v>0</v>
      </c>
      <c r="S854" s="3" t="s">
        <v>23</v>
      </c>
      <c r="T854" s="190"/>
    </row>
    <row r="855" spans="1:20" ht="21.6" hidden="1" x14ac:dyDescent="0.3">
      <c r="A855" s="182">
        <v>2174</v>
      </c>
      <c r="B855" s="42" t="s">
        <v>20</v>
      </c>
      <c r="C855" s="43" t="s">
        <v>267</v>
      </c>
      <c r="D855" s="44" t="s">
        <v>255</v>
      </c>
      <c r="E855" s="42" t="s">
        <v>256</v>
      </c>
      <c r="F855" s="42" t="s">
        <v>123</v>
      </c>
      <c r="G855" s="42" t="s">
        <v>29</v>
      </c>
      <c r="H855" s="45" t="s">
        <v>422</v>
      </c>
      <c r="I855" s="47" t="s">
        <v>22</v>
      </c>
      <c r="J855" s="3">
        <v>0.7</v>
      </c>
      <c r="K855" s="47" t="s">
        <v>129</v>
      </c>
      <c r="L855" s="30" t="s">
        <v>130</v>
      </c>
      <c r="M855" s="47" t="s">
        <v>131</v>
      </c>
      <c r="N855" s="3">
        <v>0.9</v>
      </c>
      <c r="O855" s="10">
        <v>0.2</v>
      </c>
      <c r="P855" s="3"/>
      <c r="Q855" s="3">
        <f t="shared" si="28"/>
        <v>0</v>
      </c>
      <c r="R855" s="48">
        <f t="shared" si="29"/>
        <v>0</v>
      </c>
      <c r="S855" s="10" t="s">
        <v>23</v>
      </c>
      <c r="T855" s="191"/>
    </row>
    <row r="856" spans="1:20" ht="21.6" hidden="1" x14ac:dyDescent="0.3">
      <c r="A856" s="182">
        <v>2175</v>
      </c>
      <c r="B856" s="42" t="s">
        <v>20</v>
      </c>
      <c r="C856" s="43" t="s">
        <v>267</v>
      </c>
      <c r="D856" s="44" t="s">
        <v>255</v>
      </c>
      <c r="E856" s="42" t="s">
        <v>256</v>
      </c>
      <c r="F856" s="42" t="s">
        <v>123</v>
      </c>
      <c r="G856" s="42" t="s">
        <v>29</v>
      </c>
      <c r="H856" s="45" t="s">
        <v>422</v>
      </c>
      <c r="I856" s="47" t="s">
        <v>22</v>
      </c>
      <c r="J856" s="3">
        <v>0.7</v>
      </c>
      <c r="K856" s="47" t="s">
        <v>132</v>
      </c>
      <c r="L856" s="30" t="s">
        <v>133</v>
      </c>
      <c r="M856" s="47" t="s">
        <v>134</v>
      </c>
      <c r="N856" s="4">
        <v>0</v>
      </c>
      <c r="O856" s="10">
        <v>0.1</v>
      </c>
      <c r="P856" s="3"/>
      <c r="Q856" s="3">
        <f t="shared" si="28"/>
        <v>0</v>
      </c>
      <c r="R856" s="48">
        <f t="shared" si="29"/>
        <v>0</v>
      </c>
      <c r="S856" s="10" t="s">
        <v>24</v>
      </c>
      <c r="T856" s="191"/>
    </row>
    <row r="857" spans="1:20" ht="21.6" hidden="1" x14ac:dyDescent="0.3">
      <c r="A857" s="182">
        <v>2176</v>
      </c>
      <c r="B857" s="42" t="s">
        <v>20</v>
      </c>
      <c r="C857" s="43" t="s">
        <v>267</v>
      </c>
      <c r="D857" s="44" t="s">
        <v>255</v>
      </c>
      <c r="E857" s="42" t="s">
        <v>256</v>
      </c>
      <c r="F857" s="42" t="s">
        <v>123</v>
      </c>
      <c r="G857" s="42" t="s">
        <v>29</v>
      </c>
      <c r="H857" s="45" t="s">
        <v>422</v>
      </c>
      <c r="I857" s="47" t="s">
        <v>22</v>
      </c>
      <c r="J857" s="3">
        <v>0.7</v>
      </c>
      <c r="K857" s="47" t="s">
        <v>135</v>
      </c>
      <c r="L857" s="30" t="s">
        <v>136</v>
      </c>
      <c r="M857" s="47" t="s">
        <v>137</v>
      </c>
      <c r="N857" s="3">
        <v>0.9</v>
      </c>
      <c r="O857" s="10">
        <v>0.2</v>
      </c>
      <c r="P857" s="51"/>
      <c r="Q857" s="3">
        <f t="shared" si="28"/>
        <v>0</v>
      </c>
      <c r="R857" s="48">
        <f t="shared" si="29"/>
        <v>0</v>
      </c>
      <c r="S857" s="10" t="s">
        <v>23</v>
      </c>
      <c r="T857" s="191"/>
    </row>
    <row r="858" spans="1:20" ht="22.2" hidden="1" thickBot="1" x14ac:dyDescent="0.35">
      <c r="A858" s="267">
        <v>2177</v>
      </c>
      <c r="B858" s="268" t="s">
        <v>20</v>
      </c>
      <c r="C858" s="269" t="s">
        <v>267</v>
      </c>
      <c r="D858" s="270" t="s">
        <v>255</v>
      </c>
      <c r="E858" s="268" t="s">
        <v>256</v>
      </c>
      <c r="F858" s="268" t="s">
        <v>123</v>
      </c>
      <c r="G858" s="268" t="s">
        <v>29</v>
      </c>
      <c r="H858" s="271" t="s">
        <v>422</v>
      </c>
      <c r="I858" s="272" t="s">
        <v>26</v>
      </c>
      <c r="J858" s="273">
        <v>0.3</v>
      </c>
      <c r="K858" s="272" t="s">
        <v>138</v>
      </c>
      <c r="L858" s="291" t="s">
        <v>139</v>
      </c>
      <c r="M858" s="272" t="s">
        <v>140</v>
      </c>
      <c r="N858" s="273">
        <v>1</v>
      </c>
      <c r="O858" s="276">
        <v>1</v>
      </c>
      <c r="P858" s="273"/>
      <c r="Q858" s="273">
        <f t="shared" si="28"/>
        <v>0</v>
      </c>
      <c r="R858" s="287">
        <f t="shared" si="29"/>
        <v>0</v>
      </c>
      <c r="S858" s="276" t="s">
        <v>23</v>
      </c>
      <c r="T858" s="277"/>
    </row>
    <row r="859" spans="1:20" ht="21.6" hidden="1" x14ac:dyDescent="0.3">
      <c r="A859" s="242">
        <v>2169</v>
      </c>
      <c r="B859" s="243" t="s">
        <v>20</v>
      </c>
      <c r="C859" s="244" t="s">
        <v>267</v>
      </c>
      <c r="D859" s="245" t="s">
        <v>288</v>
      </c>
      <c r="E859" s="243" t="s">
        <v>287</v>
      </c>
      <c r="F859" s="243" t="s">
        <v>264</v>
      </c>
      <c r="G859" s="243" t="s">
        <v>29</v>
      </c>
      <c r="H859" s="246" t="s">
        <v>422</v>
      </c>
      <c r="I859" s="294" t="s">
        <v>22</v>
      </c>
      <c r="J859" s="248">
        <v>0.7</v>
      </c>
      <c r="K859" s="75" t="s">
        <v>513</v>
      </c>
      <c r="L859" s="105" t="s">
        <v>511</v>
      </c>
      <c r="M859" s="75" t="s">
        <v>411</v>
      </c>
      <c r="N859" s="248">
        <v>0.95</v>
      </c>
      <c r="O859" s="248">
        <v>0.15</v>
      </c>
      <c r="P859" s="248"/>
      <c r="Q859" s="248">
        <f t="shared" si="28"/>
        <v>0</v>
      </c>
      <c r="R859" s="250">
        <f t="shared" si="29"/>
        <v>0</v>
      </c>
      <c r="S859" s="248" t="s">
        <v>23</v>
      </c>
      <c r="T859" s="251">
        <f>SUM(R859:R866)%</f>
        <v>0</v>
      </c>
    </row>
    <row r="860" spans="1:20" ht="21.6" hidden="1" x14ac:dyDescent="0.3">
      <c r="A860" s="182">
        <v>2171</v>
      </c>
      <c r="B860" s="42" t="s">
        <v>20</v>
      </c>
      <c r="C860" s="43" t="s">
        <v>267</v>
      </c>
      <c r="D860" s="44" t="s">
        <v>288</v>
      </c>
      <c r="E860" s="42" t="s">
        <v>287</v>
      </c>
      <c r="F860" s="42" t="s">
        <v>264</v>
      </c>
      <c r="G860" s="42" t="s">
        <v>29</v>
      </c>
      <c r="H860" s="45" t="s">
        <v>422</v>
      </c>
      <c r="I860" s="7" t="s">
        <v>22</v>
      </c>
      <c r="J860" s="3">
        <v>0.7</v>
      </c>
      <c r="K860" s="7" t="s">
        <v>124</v>
      </c>
      <c r="L860" s="8" t="s">
        <v>125</v>
      </c>
      <c r="M860" s="7" t="s">
        <v>126</v>
      </c>
      <c r="N860" s="3">
        <v>0.95</v>
      </c>
      <c r="O860" s="3">
        <v>0.15</v>
      </c>
      <c r="P860" s="6"/>
      <c r="Q860" s="3">
        <f t="shared" si="28"/>
        <v>0</v>
      </c>
      <c r="R860" s="4">
        <f t="shared" si="29"/>
        <v>0</v>
      </c>
      <c r="S860" s="3" t="s">
        <v>23</v>
      </c>
      <c r="T860" s="190"/>
    </row>
    <row r="861" spans="1:20" ht="21.6" hidden="1" x14ac:dyDescent="0.3">
      <c r="A861" s="182">
        <v>2172</v>
      </c>
      <c r="B861" s="42" t="s">
        <v>20</v>
      </c>
      <c r="C861" s="43" t="s">
        <v>267</v>
      </c>
      <c r="D861" s="44" t="s">
        <v>288</v>
      </c>
      <c r="E861" s="42" t="s">
        <v>287</v>
      </c>
      <c r="F861" s="42" t="s">
        <v>264</v>
      </c>
      <c r="G861" s="42" t="s">
        <v>29</v>
      </c>
      <c r="H861" s="45" t="s">
        <v>422</v>
      </c>
      <c r="I861" s="7" t="s">
        <v>22</v>
      </c>
      <c r="J861" s="3">
        <v>0.7</v>
      </c>
      <c r="K861" s="7" t="s">
        <v>51</v>
      </c>
      <c r="L861" s="8" t="s">
        <v>127</v>
      </c>
      <c r="M861" s="7" t="s">
        <v>128</v>
      </c>
      <c r="N861" s="6">
        <v>0.05</v>
      </c>
      <c r="O861" s="3">
        <v>0.1</v>
      </c>
      <c r="P861" s="11"/>
      <c r="Q861" s="3">
        <f t="shared" si="28"/>
        <v>0</v>
      </c>
      <c r="R861" s="4">
        <f t="shared" si="29"/>
        <v>0</v>
      </c>
      <c r="S861" s="3" t="s">
        <v>24</v>
      </c>
      <c r="T861" s="190"/>
    </row>
    <row r="862" spans="1:20" ht="21.6" hidden="1" x14ac:dyDescent="0.3">
      <c r="A862" s="182">
        <v>2173</v>
      </c>
      <c r="B862" s="42" t="s">
        <v>20</v>
      </c>
      <c r="C862" s="43" t="s">
        <v>267</v>
      </c>
      <c r="D862" s="44" t="s">
        <v>288</v>
      </c>
      <c r="E862" s="42" t="s">
        <v>287</v>
      </c>
      <c r="F862" s="42" t="s">
        <v>264</v>
      </c>
      <c r="G862" s="42" t="s">
        <v>29</v>
      </c>
      <c r="H862" s="45" t="s">
        <v>422</v>
      </c>
      <c r="I862" s="7" t="s">
        <v>22</v>
      </c>
      <c r="J862" s="3">
        <v>0.7</v>
      </c>
      <c r="K862" s="7" t="s">
        <v>305</v>
      </c>
      <c r="L862" s="8" t="s">
        <v>257</v>
      </c>
      <c r="M862" s="339" t="s">
        <v>306</v>
      </c>
      <c r="N862" s="3">
        <v>0.95</v>
      </c>
      <c r="O862" s="3">
        <v>0.1</v>
      </c>
      <c r="P862" s="3"/>
      <c r="Q862" s="3">
        <f t="shared" si="28"/>
        <v>0</v>
      </c>
      <c r="R862" s="4">
        <f t="shared" si="29"/>
        <v>0</v>
      </c>
      <c r="S862" s="3" t="s">
        <v>23</v>
      </c>
      <c r="T862" s="190"/>
    </row>
    <row r="863" spans="1:20" ht="21.6" hidden="1" x14ac:dyDescent="0.3">
      <c r="A863" s="182">
        <v>2174</v>
      </c>
      <c r="B863" s="42" t="s">
        <v>20</v>
      </c>
      <c r="C863" s="43" t="s">
        <v>267</v>
      </c>
      <c r="D863" s="44" t="s">
        <v>288</v>
      </c>
      <c r="E863" s="42" t="s">
        <v>287</v>
      </c>
      <c r="F863" s="42" t="s">
        <v>264</v>
      </c>
      <c r="G863" s="42" t="s">
        <v>29</v>
      </c>
      <c r="H863" s="45" t="s">
        <v>422</v>
      </c>
      <c r="I863" s="47" t="s">
        <v>22</v>
      </c>
      <c r="J863" s="3">
        <v>0.7</v>
      </c>
      <c r="K863" s="47" t="s">
        <v>129</v>
      </c>
      <c r="L863" s="30" t="s">
        <v>130</v>
      </c>
      <c r="M863" s="47" t="s">
        <v>131</v>
      </c>
      <c r="N863" s="3">
        <v>0.9</v>
      </c>
      <c r="O863" s="10">
        <v>0.2</v>
      </c>
      <c r="P863" s="3"/>
      <c r="Q863" s="3">
        <f t="shared" si="28"/>
        <v>0</v>
      </c>
      <c r="R863" s="48">
        <f t="shared" si="29"/>
        <v>0</v>
      </c>
      <c r="S863" s="10" t="s">
        <v>23</v>
      </c>
      <c r="T863" s="191"/>
    </row>
    <row r="864" spans="1:20" ht="21.6" hidden="1" x14ac:dyDescent="0.3">
      <c r="A864" s="182">
        <v>2175</v>
      </c>
      <c r="B864" s="42" t="s">
        <v>20</v>
      </c>
      <c r="C864" s="43" t="s">
        <v>267</v>
      </c>
      <c r="D864" s="44" t="s">
        <v>288</v>
      </c>
      <c r="E864" s="42" t="s">
        <v>287</v>
      </c>
      <c r="F864" s="42" t="s">
        <v>264</v>
      </c>
      <c r="G864" s="42" t="s">
        <v>29</v>
      </c>
      <c r="H864" s="45" t="s">
        <v>422</v>
      </c>
      <c r="I864" s="47" t="s">
        <v>22</v>
      </c>
      <c r="J864" s="3">
        <v>0.7</v>
      </c>
      <c r="K864" s="47" t="s">
        <v>132</v>
      </c>
      <c r="L864" s="30" t="s">
        <v>133</v>
      </c>
      <c r="M864" s="47" t="s">
        <v>134</v>
      </c>
      <c r="N864" s="4">
        <v>0</v>
      </c>
      <c r="O864" s="10">
        <v>0.1</v>
      </c>
      <c r="P864" s="3"/>
      <c r="Q864" s="3">
        <f t="shared" si="28"/>
        <v>0</v>
      </c>
      <c r="R864" s="48">
        <f t="shared" si="29"/>
        <v>0</v>
      </c>
      <c r="S864" s="10" t="s">
        <v>24</v>
      </c>
      <c r="T864" s="191"/>
    </row>
    <row r="865" spans="1:20" ht="21.6" hidden="1" x14ac:dyDescent="0.3">
      <c r="A865" s="182">
        <v>2176</v>
      </c>
      <c r="B865" s="42" t="s">
        <v>20</v>
      </c>
      <c r="C865" s="43" t="s">
        <v>267</v>
      </c>
      <c r="D865" s="44" t="s">
        <v>288</v>
      </c>
      <c r="E865" s="42" t="s">
        <v>287</v>
      </c>
      <c r="F865" s="42" t="s">
        <v>264</v>
      </c>
      <c r="G865" s="42" t="s">
        <v>29</v>
      </c>
      <c r="H865" s="45" t="s">
        <v>422</v>
      </c>
      <c r="I865" s="47" t="s">
        <v>22</v>
      </c>
      <c r="J865" s="3">
        <v>0.7</v>
      </c>
      <c r="K865" s="47" t="s">
        <v>135</v>
      </c>
      <c r="L865" s="30" t="s">
        <v>136</v>
      </c>
      <c r="M865" s="47" t="s">
        <v>137</v>
      </c>
      <c r="N865" s="3">
        <v>0.9</v>
      </c>
      <c r="O865" s="10">
        <v>0.2</v>
      </c>
      <c r="P865" s="51"/>
      <c r="Q865" s="3">
        <f t="shared" si="28"/>
        <v>0</v>
      </c>
      <c r="R865" s="48">
        <f t="shared" si="29"/>
        <v>0</v>
      </c>
      <c r="S865" s="10" t="s">
        <v>23</v>
      </c>
      <c r="T865" s="191"/>
    </row>
    <row r="866" spans="1:20" ht="22.2" hidden="1" thickBot="1" x14ac:dyDescent="0.35">
      <c r="A866" s="267">
        <v>2177</v>
      </c>
      <c r="B866" s="268" t="s">
        <v>20</v>
      </c>
      <c r="C866" s="269" t="s">
        <v>267</v>
      </c>
      <c r="D866" s="270" t="s">
        <v>288</v>
      </c>
      <c r="E866" s="268" t="s">
        <v>287</v>
      </c>
      <c r="F866" s="268" t="s">
        <v>264</v>
      </c>
      <c r="G866" s="268" t="s">
        <v>29</v>
      </c>
      <c r="H866" s="271" t="s">
        <v>422</v>
      </c>
      <c r="I866" s="272" t="s">
        <v>26</v>
      </c>
      <c r="J866" s="273">
        <v>0.3</v>
      </c>
      <c r="K866" s="272" t="s">
        <v>138</v>
      </c>
      <c r="L866" s="291" t="s">
        <v>139</v>
      </c>
      <c r="M866" s="272" t="s">
        <v>140</v>
      </c>
      <c r="N866" s="273">
        <v>1</v>
      </c>
      <c r="O866" s="276">
        <v>1</v>
      </c>
      <c r="P866" s="273"/>
      <c r="Q866" s="273">
        <f t="shared" si="28"/>
        <v>0</v>
      </c>
      <c r="R866" s="287">
        <f t="shared" si="29"/>
        <v>0</v>
      </c>
      <c r="S866" s="276" t="s">
        <v>23</v>
      </c>
      <c r="T866" s="277"/>
    </row>
    <row r="867" spans="1:20" ht="21.6" hidden="1" x14ac:dyDescent="0.3">
      <c r="A867" s="242">
        <v>2070</v>
      </c>
      <c r="B867" s="243" t="s">
        <v>20</v>
      </c>
      <c r="C867" s="244" t="s">
        <v>267</v>
      </c>
      <c r="D867" s="245" t="s">
        <v>342</v>
      </c>
      <c r="E867" s="243" t="s">
        <v>341</v>
      </c>
      <c r="F867" s="243" t="s">
        <v>143</v>
      </c>
      <c r="G867" s="243" t="s">
        <v>367</v>
      </c>
      <c r="H867" s="246" t="s">
        <v>469</v>
      </c>
      <c r="I867" s="294" t="s">
        <v>22</v>
      </c>
      <c r="J867" s="248">
        <v>0.7</v>
      </c>
      <c r="K867" s="75" t="s">
        <v>513</v>
      </c>
      <c r="L867" s="105" t="s">
        <v>511</v>
      </c>
      <c r="M867" s="75" t="s">
        <v>411</v>
      </c>
      <c r="N867" s="248">
        <v>0.95</v>
      </c>
      <c r="O867" s="248">
        <v>0.15</v>
      </c>
      <c r="P867" s="248"/>
      <c r="Q867" s="248">
        <f t="shared" si="28"/>
        <v>0</v>
      </c>
      <c r="R867" s="250">
        <f t="shared" si="29"/>
        <v>0</v>
      </c>
      <c r="S867" s="248" t="s">
        <v>23</v>
      </c>
      <c r="T867" s="251">
        <f>SUM(R867:R874)%</f>
        <v>0</v>
      </c>
    </row>
    <row r="868" spans="1:20" ht="21.6" hidden="1" x14ac:dyDescent="0.3">
      <c r="A868" s="182">
        <v>2072</v>
      </c>
      <c r="B868" s="42" t="s">
        <v>20</v>
      </c>
      <c r="C868" s="43" t="s">
        <v>267</v>
      </c>
      <c r="D868" s="44" t="s">
        <v>342</v>
      </c>
      <c r="E868" s="42" t="s">
        <v>341</v>
      </c>
      <c r="F868" s="42" t="s">
        <v>143</v>
      </c>
      <c r="G868" s="42" t="s">
        <v>367</v>
      </c>
      <c r="H868" s="45" t="s">
        <v>469</v>
      </c>
      <c r="I868" s="7" t="s">
        <v>22</v>
      </c>
      <c r="J868" s="3">
        <v>0.7</v>
      </c>
      <c r="K868" s="7" t="s">
        <v>124</v>
      </c>
      <c r="L868" s="8" t="s">
        <v>125</v>
      </c>
      <c r="M868" s="7" t="s">
        <v>126</v>
      </c>
      <c r="N868" s="3">
        <v>0.95</v>
      </c>
      <c r="O868" s="3">
        <v>0.15</v>
      </c>
      <c r="P868" s="6"/>
      <c r="Q868" s="3">
        <f t="shared" si="28"/>
        <v>0</v>
      </c>
      <c r="R868" s="4">
        <f t="shared" si="29"/>
        <v>0</v>
      </c>
      <c r="S868" s="3" t="s">
        <v>23</v>
      </c>
      <c r="T868" s="190"/>
    </row>
    <row r="869" spans="1:20" ht="21.6" hidden="1" x14ac:dyDescent="0.3">
      <c r="A869" s="182">
        <v>2073</v>
      </c>
      <c r="B869" s="42" t="s">
        <v>20</v>
      </c>
      <c r="C869" s="43" t="s">
        <v>267</v>
      </c>
      <c r="D869" s="44" t="s">
        <v>342</v>
      </c>
      <c r="E869" s="42" t="s">
        <v>341</v>
      </c>
      <c r="F869" s="42" t="s">
        <v>143</v>
      </c>
      <c r="G869" s="42" t="s">
        <v>367</v>
      </c>
      <c r="H869" s="45" t="s">
        <v>469</v>
      </c>
      <c r="I869" s="7" t="s">
        <v>22</v>
      </c>
      <c r="J869" s="3">
        <v>0.7</v>
      </c>
      <c r="K869" s="7" t="s">
        <v>51</v>
      </c>
      <c r="L869" s="8" t="s">
        <v>127</v>
      </c>
      <c r="M869" s="7" t="s">
        <v>128</v>
      </c>
      <c r="N869" s="6">
        <v>0.05</v>
      </c>
      <c r="O869" s="3">
        <v>0.1</v>
      </c>
      <c r="P869" s="11"/>
      <c r="Q869" s="3">
        <f t="shared" si="28"/>
        <v>0</v>
      </c>
      <c r="R869" s="4">
        <f t="shared" si="29"/>
        <v>0</v>
      </c>
      <c r="S869" s="3" t="s">
        <v>24</v>
      </c>
      <c r="T869" s="190"/>
    </row>
    <row r="870" spans="1:20" ht="21.6" hidden="1" x14ac:dyDescent="0.3">
      <c r="A870" s="182">
        <v>2074</v>
      </c>
      <c r="B870" s="42" t="s">
        <v>20</v>
      </c>
      <c r="C870" s="43" t="s">
        <v>267</v>
      </c>
      <c r="D870" s="44" t="s">
        <v>342</v>
      </c>
      <c r="E870" s="42" t="s">
        <v>341</v>
      </c>
      <c r="F870" s="42" t="s">
        <v>143</v>
      </c>
      <c r="G870" s="42" t="s">
        <v>367</v>
      </c>
      <c r="H870" s="45" t="s">
        <v>469</v>
      </c>
      <c r="I870" s="7" t="s">
        <v>22</v>
      </c>
      <c r="J870" s="3">
        <v>0.7</v>
      </c>
      <c r="K870" s="7" t="s">
        <v>305</v>
      </c>
      <c r="L870" s="8" t="s">
        <v>257</v>
      </c>
      <c r="M870" s="339" t="s">
        <v>306</v>
      </c>
      <c r="N870" s="3">
        <v>0.95</v>
      </c>
      <c r="O870" s="3">
        <v>0.1</v>
      </c>
      <c r="P870" s="3"/>
      <c r="Q870" s="3">
        <f t="shared" si="28"/>
        <v>0</v>
      </c>
      <c r="R870" s="4">
        <f t="shared" si="29"/>
        <v>0</v>
      </c>
      <c r="S870" s="3" t="s">
        <v>23</v>
      </c>
      <c r="T870" s="190"/>
    </row>
    <row r="871" spans="1:20" ht="21.6" hidden="1" x14ac:dyDescent="0.3">
      <c r="A871" s="182">
        <v>2075</v>
      </c>
      <c r="B871" s="42" t="s">
        <v>20</v>
      </c>
      <c r="C871" s="43" t="s">
        <v>267</v>
      </c>
      <c r="D871" s="44" t="s">
        <v>342</v>
      </c>
      <c r="E871" s="42" t="s">
        <v>341</v>
      </c>
      <c r="F871" s="42" t="s">
        <v>143</v>
      </c>
      <c r="G871" s="42" t="s">
        <v>367</v>
      </c>
      <c r="H871" s="45" t="s">
        <v>469</v>
      </c>
      <c r="I871" s="47" t="s">
        <v>22</v>
      </c>
      <c r="J871" s="3">
        <v>0.7</v>
      </c>
      <c r="K871" s="47" t="s">
        <v>129</v>
      </c>
      <c r="L871" s="30" t="s">
        <v>130</v>
      </c>
      <c r="M871" s="47" t="s">
        <v>131</v>
      </c>
      <c r="N871" s="3">
        <v>0.9</v>
      </c>
      <c r="O871" s="10">
        <v>0.2</v>
      </c>
      <c r="P871" s="3"/>
      <c r="Q871" s="3">
        <f t="shared" si="28"/>
        <v>0</v>
      </c>
      <c r="R871" s="48">
        <f t="shared" si="29"/>
        <v>0</v>
      </c>
      <c r="S871" s="10" t="s">
        <v>23</v>
      </c>
      <c r="T871" s="191"/>
    </row>
    <row r="872" spans="1:20" ht="21.6" hidden="1" x14ac:dyDescent="0.3">
      <c r="A872" s="182">
        <v>2076</v>
      </c>
      <c r="B872" s="42" t="s">
        <v>20</v>
      </c>
      <c r="C872" s="43" t="s">
        <v>267</v>
      </c>
      <c r="D872" s="44" t="s">
        <v>342</v>
      </c>
      <c r="E872" s="42" t="s">
        <v>341</v>
      </c>
      <c r="F872" s="42" t="s">
        <v>143</v>
      </c>
      <c r="G872" s="42" t="s">
        <v>367</v>
      </c>
      <c r="H872" s="45" t="s">
        <v>469</v>
      </c>
      <c r="I872" s="47" t="s">
        <v>22</v>
      </c>
      <c r="J872" s="3">
        <v>0.7</v>
      </c>
      <c r="K872" s="47" t="s">
        <v>132</v>
      </c>
      <c r="L872" s="30" t="s">
        <v>133</v>
      </c>
      <c r="M872" s="47" t="s">
        <v>134</v>
      </c>
      <c r="N872" s="4">
        <v>0</v>
      </c>
      <c r="O872" s="10">
        <v>0.1</v>
      </c>
      <c r="P872" s="3"/>
      <c r="Q872" s="3">
        <f t="shared" si="28"/>
        <v>0</v>
      </c>
      <c r="R872" s="48">
        <f t="shared" si="29"/>
        <v>0</v>
      </c>
      <c r="S872" s="10" t="s">
        <v>24</v>
      </c>
      <c r="T872" s="191"/>
    </row>
    <row r="873" spans="1:20" ht="21.6" hidden="1" x14ac:dyDescent="0.3">
      <c r="A873" s="182">
        <v>2077</v>
      </c>
      <c r="B873" s="42" t="s">
        <v>20</v>
      </c>
      <c r="C873" s="43" t="s">
        <v>267</v>
      </c>
      <c r="D873" s="44" t="s">
        <v>342</v>
      </c>
      <c r="E873" s="42" t="s">
        <v>341</v>
      </c>
      <c r="F873" s="42" t="s">
        <v>143</v>
      </c>
      <c r="G873" s="42" t="s">
        <v>367</v>
      </c>
      <c r="H873" s="45" t="s">
        <v>469</v>
      </c>
      <c r="I873" s="47" t="s">
        <v>22</v>
      </c>
      <c r="J873" s="3">
        <v>0.7</v>
      </c>
      <c r="K873" s="47" t="s">
        <v>135</v>
      </c>
      <c r="L873" s="30" t="s">
        <v>136</v>
      </c>
      <c r="M873" s="47" t="s">
        <v>137</v>
      </c>
      <c r="N873" s="3">
        <v>0.9</v>
      </c>
      <c r="O873" s="10">
        <v>0.2</v>
      </c>
      <c r="P873" s="51"/>
      <c r="Q873" s="3">
        <f t="shared" si="28"/>
        <v>0</v>
      </c>
      <c r="R873" s="48">
        <f t="shared" si="29"/>
        <v>0</v>
      </c>
      <c r="S873" s="10" t="s">
        <v>23</v>
      </c>
      <c r="T873" s="191"/>
    </row>
    <row r="874" spans="1:20" ht="22.2" hidden="1" thickBot="1" x14ac:dyDescent="0.35">
      <c r="A874" s="267">
        <v>2078</v>
      </c>
      <c r="B874" s="268" t="s">
        <v>20</v>
      </c>
      <c r="C874" s="269" t="s">
        <v>267</v>
      </c>
      <c r="D874" s="270" t="s">
        <v>342</v>
      </c>
      <c r="E874" s="268" t="s">
        <v>341</v>
      </c>
      <c r="F874" s="268" t="s">
        <v>143</v>
      </c>
      <c r="G874" s="268" t="s">
        <v>367</v>
      </c>
      <c r="H874" s="271" t="s">
        <v>469</v>
      </c>
      <c r="I874" s="272" t="s">
        <v>26</v>
      </c>
      <c r="J874" s="273">
        <v>0.3</v>
      </c>
      <c r="K874" s="272" t="s">
        <v>138</v>
      </c>
      <c r="L874" s="291" t="s">
        <v>139</v>
      </c>
      <c r="M874" s="272" t="s">
        <v>140</v>
      </c>
      <c r="N874" s="273">
        <v>1</v>
      </c>
      <c r="O874" s="276">
        <v>1</v>
      </c>
      <c r="P874" s="273"/>
      <c r="Q874" s="273">
        <f t="shared" si="28"/>
        <v>0</v>
      </c>
      <c r="R874" s="287">
        <f t="shared" si="29"/>
        <v>0</v>
      </c>
      <c r="S874" s="276" t="s">
        <v>23</v>
      </c>
      <c r="T874" s="277"/>
    </row>
    <row r="875" spans="1:20" ht="21.6" hidden="1" x14ac:dyDescent="0.3">
      <c r="A875" s="242">
        <v>2079</v>
      </c>
      <c r="B875" s="243" t="s">
        <v>20</v>
      </c>
      <c r="C875" s="244" t="s">
        <v>267</v>
      </c>
      <c r="D875" s="245" t="s">
        <v>344</v>
      </c>
      <c r="E875" s="243" t="s">
        <v>343</v>
      </c>
      <c r="F875" s="243" t="s">
        <v>143</v>
      </c>
      <c r="G875" s="243" t="s">
        <v>367</v>
      </c>
      <c r="H875" s="246" t="s">
        <v>469</v>
      </c>
      <c r="I875" s="294" t="s">
        <v>22</v>
      </c>
      <c r="J875" s="248">
        <v>0.7</v>
      </c>
      <c r="K875" s="75" t="s">
        <v>513</v>
      </c>
      <c r="L875" s="105" t="s">
        <v>511</v>
      </c>
      <c r="M875" s="75" t="s">
        <v>411</v>
      </c>
      <c r="N875" s="248">
        <v>0.95</v>
      </c>
      <c r="O875" s="248">
        <v>0.15</v>
      </c>
      <c r="P875" s="248"/>
      <c r="Q875" s="248">
        <f t="shared" si="28"/>
        <v>0</v>
      </c>
      <c r="R875" s="250">
        <f t="shared" si="29"/>
        <v>0</v>
      </c>
      <c r="S875" s="248" t="s">
        <v>23</v>
      </c>
      <c r="T875" s="251">
        <f>SUM(R875:R882)%</f>
        <v>0</v>
      </c>
    </row>
    <row r="876" spans="1:20" ht="21.6" hidden="1" x14ac:dyDescent="0.3">
      <c r="A876" s="182">
        <v>2081</v>
      </c>
      <c r="B876" s="42" t="s">
        <v>20</v>
      </c>
      <c r="C876" s="43" t="s">
        <v>267</v>
      </c>
      <c r="D876" s="44" t="s">
        <v>344</v>
      </c>
      <c r="E876" s="42" t="s">
        <v>343</v>
      </c>
      <c r="F876" s="42" t="s">
        <v>143</v>
      </c>
      <c r="G876" s="42" t="s">
        <v>367</v>
      </c>
      <c r="H876" s="45" t="s">
        <v>469</v>
      </c>
      <c r="I876" s="7" t="s">
        <v>22</v>
      </c>
      <c r="J876" s="3">
        <v>0.7</v>
      </c>
      <c r="K876" s="7" t="s">
        <v>124</v>
      </c>
      <c r="L876" s="8" t="s">
        <v>125</v>
      </c>
      <c r="M876" s="7" t="s">
        <v>126</v>
      </c>
      <c r="N876" s="3">
        <v>0.95</v>
      </c>
      <c r="O876" s="3">
        <v>0.15</v>
      </c>
      <c r="P876" s="6"/>
      <c r="Q876" s="3">
        <f t="shared" si="28"/>
        <v>0</v>
      </c>
      <c r="R876" s="4">
        <f t="shared" si="29"/>
        <v>0</v>
      </c>
      <c r="S876" s="3" t="s">
        <v>23</v>
      </c>
      <c r="T876" s="190"/>
    </row>
    <row r="877" spans="1:20" ht="21.6" hidden="1" x14ac:dyDescent="0.3">
      <c r="A877" s="182">
        <v>2082</v>
      </c>
      <c r="B877" s="42" t="s">
        <v>20</v>
      </c>
      <c r="C877" s="43" t="s">
        <v>267</v>
      </c>
      <c r="D877" s="44" t="s">
        <v>344</v>
      </c>
      <c r="E877" s="42" t="s">
        <v>343</v>
      </c>
      <c r="F877" s="42" t="s">
        <v>143</v>
      </c>
      <c r="G877" s="42" t="s">
        <v>367</v>
      </c>
      <c r="H877" s="45" t="s">
        <v>469</v>
      </c>
      <c r="I877" s="7" t="s">
        <v>22</v>
      </c>
      <c r="J877" s="3">
        <v>0.7</v>
      </c>
      <c r="K877" s="7" t="s">
        <v>51</v>
      </c>
      <c r="L877" s="8" t="s">
        <v>127</v>
      </c>
      <c r="M877" s="7" t="s">
        <v>128</v>
      </c>
      <c r="N877" s="6">
        <v>0.05</v>
      </c>
      <c r="O877" s="3">
        <v>0.1</v>
      </c>
      <c r="P877" s="11"/>
      <c r="Q877" s="3">
        <f t="shared" si="28"/>
        <v>0</v>
      </c>
      <c r="R877" s="4">
        <f t="shared" si="29"/>
        <v>0</v>
      </c>
      <c r="S877" s="3" t="s">
        <v>24</v>
      </c>
      <c r="T877" s="190"/>
    </row>
    <row r="878" spans="1:20" ht="21.6" hidden="1" x14ac:dyDescent="0.3">
      <c r="A878" s="182">
        <v>2083</v>
      </c>
      <c r="B878" s="42" t="s">
        <v>20</v>
      </c>
      <c r="C878" s="43" t="s">
        <v>267</v>
      </c>
      <c r="D878" s="44" t="s">
        <v>344</v>
      </c>
      <c r="E878" s="42" t="s">
        <v>343</v>
      </c>
      <c r="F878" s="42" t="s">
        <v>143</v>
      </c>
      <c r="G878" s="42" t="s">
        <v>367</v>
      </c>
      <c r="H878" s="45" t="s">
        <v>469</v>
      </c>
      <c r="I878" s="7" t="s">
        <v>22</v>
      </c>
      <c r="J878" s="3">
        <v>0.7</v>
      </c>
      <c r="K878" s="7" t="s">
        <v>305</v>
      </c>
      <c r="L878" s="8" t="s">
        <v>257</v>
      </c>
      <c r="M878" s="339" t="s">
        <v>306</v>
      </c>
      <c r="N878" s="3">
        <v>0.95</v>
      </c>
      <c r="O878" s="3">
        <v>0.1</v>
      </c>
      <c r="P878" s="3"/>
      <c r="Q878" s="3">
        <f t="shared" si="28"/>
        <v>0</v>
      </c>
      <c r="R878" s="4">
        <f t="shared" si="29"/>
        <v>0</v>
      </c>
      <c r="S878" s="3" t="s">
        <v>23</v>
      </c>
      <c r="T878" s="190"/>
    </row>
    <row r="879" spans="1:20" ht="21.6" hidden="1" x14ac:dyDescent="0.3">
      <c r="A879" s="182">
        <v>2084</v>
      </c>
      <c r="B879" s="42" t="s">
        <v>20</v>
      </c>
      <c r="C879" s="43" t="s">
        <v>267</v>
      </c>
      <c r="D879" s="44" t="s">
        <v>344</v>
      </c>
      <c r="E879" s="42" t="s">
        <v>343</v>
      </c>
      <c r="F879" s="42" t="s">
        <v>143</v>
      </c>
      <c r="G879" s="42" t="s">
        <v>367</v>
      </c>
      <c r="H879" s="45" t="s">
        <v>469</v>
      </c>
      <c r="I879" s="47" t="s">
        <v>22</v>
      </c>
      <c r="J879" s="3">
        <v>0.7</v>
      </c>
      <c r="K879" s="47" t="s">
        <v>129</v>
      </c>
      <c r="L879" s="30" t="s">
        <v>130</v>
      </c>
      <c r="M879" s="47" t="s">
        <v>131</v>
      </c>
      <c r="N879" s="3">
        <v>0.9</v>
      </c>
      <c r="O879" s="10">
        <v>0.2</v>
      </c>
      <c r="P879" s="3"/>
      <c r="Q879" s="3">
        <f t="shared" si="28"/>
        <v>0</v>
      </c>
      <c r="R879" s="48">
        <f t="shared" si="29"/>
        <v>0</v>
      </c>
      <c r="S879" s="10" t="s">
        <v>23</v>
      </c>
      <c r="T879" s="191"/>
    </row>
    <row r="880" spans="1:20" ht="21.6" hidden="1" x14ac:dyDescent="0.3">
      <c r="A880" s="182">
        <v>2085</v>
      </c>
      <c r="B880" s="42" t="s">
        <v>20</v>
      </c>
      <c r="C880" s="43" t="s">
        <v>267</v>
      </c>
      <c r="D880" s="44" t="s">
        <v>344</v>
      </c>
      <c r="E880" s="42" t="s">
        <v>343</v>
      </c>
      <c r="F880" s="42" t="s">
        <v>143</v>
      </c>
      <c r="G880" s="42" t="s">
        <v>367</v>
      </c>
      <c r="H880" s="45" t="s">
        <v>469</v>
      </c>
      <c r="I880" s="47" t="s">
        <v>22</v>
      </c>
      <c r="J880" s="3">
        <v>0.7</v>
      </c>
      <c r="K880" s="47" t="s">
        <v>132</v>
      </c>
      <c r="L880" s="30" t="s">
        <v>133</v>
      </c>
      <c r="M880" s="47" t="s">
        <v>134</v>
      </c>
      <c r="N880" s="4">
        <v>0</v>
      </c>
      <c r="O880" s="10">
        <v>0.1</v>
      </c>
      <c r="P880" s="3"/>
      <c r="Q880" s="3">
        <f t="shared" si="28"/>
        <v>0</v>
      </c>
      <c r="R880" s="48">
        <f t="shared" si="29"/>
        <v>0</v>
      </c>
      <c r="S880" s="10" t="s">
        <v>24</v>
      </c>
      <c r="T880" s="191"/>
    </row>
    <row r="881" spans="1:20" ht="21.6" hidden="1" x14ac:dyDescent="0.3">
      <c r="A881" s="182">
        <v>2086</v>
      </c>
      <c r="B881" s="42" t="s">
        <v>20</v>
      </c>
      <c r="C881" s="43" t="s">
        <v>267</v>
      </c>
      <c r="D881" s="44" t="s">
        <v>344</v>
      </c>
      <c r="E881" s="42" t="s">
        <v>343</v>
      </c>
      <c r="F881" s="42" t="s">
        <v>143</v>
      </c>
      <c r="G881" s="42" t="s">
        <v>367</v>
      </c>
      <c r="H881" s="45" t="s">
        <v>469</v>
      </c>
      <c r="I881" s="47" t="s">
        <v>22</v>
      </c>
      <c r="J881" s="3">
        <v>0.7</v>
      </c>
      <c r="K881" s="47" t="s">
        <v>135</v>
      </c>
      <c r="L881" s="30" t="s">
        <v>136</v>
      </c>
      <c r="M881" s="47" t="s">
        <v>137</v>
      </c>
      <c r="N881" s="3">
        <v>0.9</v>
      </c>
      <c r="O881" s="10">
        <v>0.2</v>
      </c>
      <c r="P881" s="51"/>
      <c r="Q881" s="3">
        <f t="shared" si="28"/>
        <v>0</v>
      </c>
      <c r="R881" s="48">
        <f t="shared" si="29"/>
        <v>0</v>
      </c>
      <c r="S881" s="10" t="s">
        <v>23</v>
      </c>
      <c r="T881" s="191"/>
    </row>
    <row r="882" spans="1:20" ht="22.2" hidden="1" thickBot="1" x14ac:dyDescent="0.35">
      <c r="A882" s="267">
        <v>2087</v>
      </c>
      <c r="B882" s="268" t="s">
        <v>20</v>
      </c>
      <c r="C882" s="269" t="s">
        <v>267</v>
      </c>
      <c r="D882" s="270" t="s">
        <v>344</v>
      </c>
      <c r="E882" s="268" t="s">
        <v>343</v>
      </c>
      <c r="F882" s="268" t="s">
        <v>143</v>
      </c>
      <c r="G882" s="268" t="s">
        <v>367</v>
      </c>
      <c r="H882" s="271" t="s">
        <v>469</v>
      </c>
      <c r="I882" s="272" t="s">
        <v>26</v>
      </c>
      <c r="J882" s="273">
        <v>0.3</v>
      </c>
      <c r="K882" s="272" t="s">
        <v>138</v>
      </c>
      <c r="L882" s="291" t="s">
        <v>139</v>
      </c>
      <c r="M882" s="272" t="s">
        <v>140</v>
      </c>
      <c r="N882" s="273">
        <v>1</v>
      </c>
      <c r="O882" s="276">
        <v>1</v>
      </c>
      <c r="P882" s="273"/>
      <c r="Q882" s="273">
        <f t="shared" si="28"/>
        <v>0</v>
      </c>
      <c r="R882" s="287">
        <f t="shared" si="29"/>
        <v>0</v>
      </c>
      <c r="S882" s="276" t="s">
        <v>23</v>
      </c>
      <c r="T882" s="277"/>
    </row>
    <row r="883" spans="1:20" ht="21.6" hidden="1" x14ac:dyDescent="0.3">
      <c r="A883" s="242">
        <v>2088</v>
      </c>
      <c r="B883" s="243" t="s">
        <v>20</v>
      </c>
      <c r="C883" s="244" t="s">
        <v>267</v>
      </c>
      <c r="D883" s="245" t="s">
        <v>348</v>
      </c>
      <c r="E883" s="243" t="s">
        <v>347</v>
      </c>
      <c r="F883" s="243" t="s">
        <v>145</v>
      </c>
      <c r="G883" s="243" t="s">
        <v>367</v>
      </c>
      <c r="H883" s="246" t="s">
        <v>469</v>
      </c>
      <c r="I883" s="294" t="s">
        <v>22</v>
      </c>
      <c r="J883" s="248">
        <v>0.7</v>
      </c>
      <c r="K883" s="75" t="s">
        <v>513</v>
      </c>
      <c r="L883" s="105" t="s">
        <v>511</v>
      </c>
      <c r="M883" s="75" t="s">
        <v>411</v>
      </c>
      <c r="N883" s="248">
        <v>0.95</v>
      </c>
      <c r="O883" s="248">
        <v>0.15</v>
      </c>
      <c r="P883" s="248"/>
      <c r="Q883" s="248">
        <f t="shared" si="28"/>
        <v>0</v>
      </c>
      <c r="R883" s="250">
        <f t="shared" si="29"/>
        <v>0</v>
      </c>
      <c r="S883" s="248" t="s">
        <v>23</v>
      </c>
      <c r="T883" s="251">
        <f>SUM(R883:R890)%</f>
        <v>0</v>
      </c>
    </row>
    <row r="884" spans="1:20" ht="21.6" hidden="1" x14ac:dyDescent="0.3">
      <c r="A884" s="182">
        <v>2090</v>
      </c>
      <c r="B884" s="42" t="s">
        <v>20</v>
      </c>
      <c r="C884" s="43" t="s">
        <v>267</v>
      </c>
      <c r="D884" s="44" t="s">
        <v>348</v>
      </c>
      <c r="E884" s="42" t="s">
        <v>347</v>
      </c>
      <c r="F884" s="42" t="s">
        <v>145</v>
      </c>
      <c r="G884" s="42" t="s">
        <v>367</v>
      </c>
      <c r="H884" s="45" t="s">
        <v>469</v>
      </c>
      <c r="I884" s="7" t="s">
        <v>22</v>
      </c>
      <c r="J884" s="3">
        <v>0.7</v>
      </c>
      <c r="K884" s="7" t="s">
        <v>124</v>
      </c>
      <c r="L884" s="8" t="s">
        <v>125</v>
      </c>
      <c r="M884" s="7" t="s">
        <v>126</v>
      </c>
      <c r="N884" s="3">
        <v>0.95</v>
      </c>
      <c r="O884" s="3">
        <v>0.15</v>
      </c>
      <c r="P884" s="6"/>
      <c r="Q884" s="3">
        <f t="shared" si="28"/>
        <v>0</v>
      </c>
      <c r="R884" s="4">
        <f t="shared" si="29"/>
        <v>0</v>
      </c>
      <c r="S884" s="3" t="s">
        <v>23</v>
      </c>
      <c r="T884" s="190"/>
    </row>
    <row r="885" spans="1:20" ht="21.6" hidden="1" x14ac:dyDescent="0.3">
      <c r="A885" s="182">
        <v>2091</v>
      </c>
      <c r="B885" s="42" t="s">
        <v>20</v>
      </c>
      <c r="C885" s="43" t="s">
        <v>267</v>
      </c>
      <c r="D885" s="44" t="s">
        <v>348</v>
      </c>
      <c r="E885" s="42" t="s">
        <v>347</v>
      </c>
      <c r="F885" s="42" t="s">
        <v>145</v>
      </c>
      <c r="G885" s="42" t="s">
        <v>367</v>
      </c>
      <c r="H885" s="45" t="s">
        <v>469</v>
      </c>
      <c r="I885" s="7" t="s">
        <v>22</v>
      </c>
      <c r="J885" s="3">
        <v>0.7</v>
      </c>
      <c r="K885" s="7" t="s">
        <v>51</v>
      </c>
      <c r="L885" s="8" t="s">
        <v>127</v>
      </c>
      <c r="M885" s="7" t="s">
        <v>128</v>
      </c>
      <c r="N885" s="6">
        <v>0.05</v>
      </c>
      <c r="O885" s="3">
        <v>0.1</v>
      </c>
      <c r="P885" s="11"/>
      <c r="Q885" s="3">
        <f t="shared" si="28"/>
        <v>0</v>
      </c>
      <c r="R885" s="4">
        <f t="shared" si="29"/>
        <v>0</v>
      </c>
      <c r="S885" s="3" t="s">
        <v>24</v>
      </c>
      <c r="T885" s="190"/>
    </row>
    <row r="886" spans="1:20" ht="21.6" hidden="1" x14ac:dyDescent="0.3">
      <c r="A886" s="182">
        <v>2092</v>
      </c>
      <c r="B886" s="42" t="s">
        <v>20</v>
      </c>
      <c r="C886" s="43" t="s">
        <v>267</v>
      </c>
      <c r="D886" s="44" t="s">
        <v>348</v>
      </c>
      <c r="E886" s="42" t="s">
        <v>347</v>
      </c>
      <c r="F886" s="42" t="s">
        <v>145</v>
      </c>
      <c r="G886" s="42" t="s">
        <v>367</v>
      </c>
      <c r="H886" s="45" t="s">
        <v>469</v>
      </c>
      <c r="I886" s="7" t="s">
        <v>22</v>
      </c>
      <c r="J886" s="3">
        <v>0.7</v>
      </c>
      <c r="K886" s="7" t="s">
        <v>305</v>
      </c>
      <c r="L886" s="8" t="s">
        <v>257</v>
      </c>
      <c r="M886" s="339" t="s">
        <v>306</v>
      </c>
      <c r="N886" s="3">
        <v>0.95</v>
      </c>
      <c r="O886" s="3">
        <v>0.1</v>
      </c>
      <c r="P886" s="3"/>
      <c r="Q886" s="3">
        <f t="shared" si="28"/>
        <v>0</v>
      </c>
      <c r="R886" s="4">
        <f t="shared" si="29"/>
        <v>0</v>
      </c>
      <c r="S886" s="3" t="s">
        <v>23</v>
      </c>
      <c r="T886" s="190"/>
    </row>
    <row r="887" spans="1:20" ht="21.6" hidden="1" x14ac:dyDescent="0.3">
      <c r="A887" s="182">
        <v>2093</v>
      </c>
      <c r="B887" s="42" t="s">
        <v>20</v>
      </c>
      <c r="C887" s="43" t="s">
        <v>267</v>
      </c>
      <c r="D887" s="44" t="s">
        <v>348</v>
      </c>
      <c r="E887" s="42" t="s">
        <v>347</v>
      </c>
      <c r="F887" s="42" t="s">
        <v>145</v>
      </c>
      <c r="G887" s="42" t="s">
        <v>367</v>
      </c>
      <c r="H887" s="45" t="s">
        <v>469</v>
      </c>
      <c r="I887" s="47" t="s">
        <v>22</v>
      </c>
      <c r="J887" s="3">
        <v>0.7</v>
      </c>
      <c r="K887" s="47" t="s">
        <v>129</v>
      </c>
      <c r="L887" s="30" t="s">
        <v>130</v>
      </c>
      <c r="M887" s="47" t="s">
        <v>131</v>
      </c>
      <c r="N887" s="3">
        <v>0.9</v>
      </c>
      <c r="O887" s="10">
        <v>0.2</v>
      </c>
      <c r="P887" s="3"/>
      <c r="Q887" s="3">
        <f t="shared" si="28"/>
        <v>0</v>
      </c>
      <c r="R887" s="48">
        <f t="shared" si="29"/>
        <v>0</v>
      </c>
      <c r="S887" s="10" t="s">
        <v>23</v>
      </c>
      <c r="T887" s="191"/>
    </row>
    <row r="888" spans="1:20" ht="21.6" hidden="1" x14ac:dyDescent="0.3">
      <c r="A888" s="182">
        <v>2094</v>
      </c>
      <c r="B888" s="42" t="s">
        <v>20</v>
      </c>
      <c r="C888" s="43" t="s">
        <v>267</v>
      </c>
      <c r="D888" s="44" t="s">
        <v>348</v>
      </c>
      <c r="E888" s="42" t="s">
        <v>347</v>
      </c>
      <c r="F888" s="42" t="s">
        <v>145</v>
      </c>
      <c r="G888" s="42" t="s">
        <v>367</v>
      </c>
      <c r="H888" s="45" t="s">
        <v>469</v>
      </c>
      <c r="I888" s="47" t="s">
        <v>22</v>
      </c>
      <c r="J888" s="3">
        <v>0.7</v>
      </c>
      <c r="K888" s="47" t="s">
        <v>132</v>
      </c>
      <c r="L888" s="30" t="s">
        <v>133</v>
      </c>
      <c r="M888" s="47" t="s">
        <v>134</v>
      </c>
      <c r="N888" s="4">
        <v>0</v>
      </c>
      <c r="O888" s="10">
        <v>0.1</v>
      </c>
      <c r="P888" s="3"/>
      <c r="Q888" s="3">
        <f t="shared" si="28"/>
        <v>0</v>
      </c>
      <c r="R888" s="48">
        <f t="shared" si="29"/>
        <v>0</v>
      </c>
      <c r="S888" s="10" t="s">
        <v>24</v>
      </c>
      <c r="T888" s="191"/>
    </row>
    <row r="889" spans="1:20" ht="21.6" hidden="1" x14ac:dyDescent="0.3">
      <c r="A889" s="182">
        <v>2095</v>
      </c>
      <c r="B889" s="42" t="s">
        <v>20</v>
      </c>
      <c r="C889" s="43" t="s">
        <v>267</v>
      </c>
      <c r="D889" s="44" t="s">
        <v>348</v>
      </c>
      <c r="E889" s="42" t="s">
        <v>347</v>
      </c>
      <c r="F889" s="42" t="s">
        <v>145</v>
      </c>
      <c r="G889" s="42" t="s">
        <v>367</v>
      </c>
      <c r="H889" s="45" t="s">
        <v>469</v>
      </c>
      <c r="I889" s="47" t="s">
        <v>22</v>
      </c>
      <c r="J889" s="3">
        <v>0.7</v>
      </c>
      <c r="K889" s="47" t="s">
        <v>135</v>
      </c>
      <c r="L889" s="30" t="s">
        <v>136</v>
      </c>
      <c r="M889" s="47" t="s">
        <v>137</v>
      </c>
      <c r="N889" s="3">
        <v>0.9</v>
      </c>
      <c r="O889" s="10">
        <v>0.2</v>
      </c>
      <c r="P889" s="51"/>
      <c r="Q889" s="3">
        <f t="shared" ref="Q889:Q952" si="30">ROUND(IF(OR(N889="",P889=""),0,IF(AND(N889=0,P889=0),1,IF(S889="+",P889/N889,N889/P889))),2)</f>
        <v>0</v>
      </c>
      <c r="R889" s="48">
        <f t="shared" si="29"/>
        <v>0</v>
      </c>
      <c r="S889" s="10" t="s">
        <v>23</v>
      </c>
      <c r="T889" s="191"/>
    </row>
    <row r="890" spans="1:20" ht="22.2" hidden="1" thickBot="1" x14ac:dyDescent="0.35">
      <c r="A890" s="267">
        <v>2096</v>
      </c>
      <c r="B890" s="268" t="s">
        <v>20</v>
      </c>
      <c r="C890" s="269" t="s">
        <v>267</v>
      </c>
      <c r="D890" s="270" t="s">
        <v>348</v>
      </c>
      <c r="E890" s="268" t="s">
        <v>347</v>
      </c>
      <c r="F890" s="268" t="s">
        <v>145</v>
      </c>
      <c r="G890" s="268" t="s">
        <v>367</v>
      </c>
      <c r="H890" s="271" t="s">
        <v>469</v>
      </c>
      <c r="I890" s="272" t="s">
        <v>26</v>
      </c>
      <c r="J890" s="273">
        <v>0.3</v>
      </c>
      <c r="K890" s="272" t="s">
        <v>138</v>
      </c>
      <c r="L890" s="291" t="s">
        <v>139</v>
      </c>
      <c r="M890" s="272" t="s">
        <v>140</v>
      </c>
      <c r="N890" s="273">
        <v>1</v>
      </c>
      <c r="O890" s="276">
        <v>1</v>
      </c>
      <c r="P890" s="273"/>
      <c r="Q890" s="273">
        <f t="shared" si="30"/>
        <v>0</v>
      </c>
      <c r="R890" s="287">
        <f t="shared" si="29"/>
        <v>0</v>
      </c>
      <c r="S890" s="276" t="s">
        <v>23</v>
      </c>
      <c r="T890" s="277"/>
    </row>
    <row r="891" spans="1:20" ht="21.6" hidden="1" x14ac:dyDescent="0.3">
      <c r="A891" s="242">
        <v>2097</v>
      </c>
      <c r="B891" s="243" t="s">
        <v>20</v>
      </c>
      <c r="C891" s="244" t="s">
        <v>267</v>
      </c>
      <c r="D891" s="245" t="s">
        <v>346</v>
      </c>
      <c r="E891" s="243" t="s">
        <v>345</v>
      </c>
      <c r="F891" s="243" t="s">
        <v>143</v>
      </c>
      <c r="G891" s="243" t="s">
        <v>367</v>
      </c>
      <c r="H891" s="246" t="s">
        <v>469</v>
      </c>
      <c r="I891" s="294" t="s">
        <v>22</v>
      </c>
      <c r="J891" s="248">
        <v>0.7</v>
      </c>
      <c r="K891" s="75" t="s">
        <v>513</v>
      </c>
      <c r="L891" s="105" t="s">
        <v>511</v>
      </c>
      <c r="M891" s="75" t="s">
        <v>411</v>
      </c>
      <c r="N891" s="248">
        <v>0.95</v>
      </c>
      <c r="O891" s="248">
        <v>0.15</v>
      </c>
      <c r="P891" s="248"/>
      <c r="Q891" s="248">
        <f t="shared" si="30"/>
        <v>0</v>
      </c>
      <c r="R891" s="250">
        <f t="shared" si="29"/>
        <v>0</v>
      </c>
      <c r="S891" s="248" t="s">
        <v>23</v>
      </c>
      <c r="T891" s="251">
        <f>SUM(R891:R898)%</f>
        <v>0</v>
      </c>
    </row>
    <row r="892" spans="1:20" ht="21.6" hidden="1" x14ac:dyDescent="0.3">
      <c r="A892" s="182">
        <v>2099</v>
      </c>
      <c r="B892" s="42" t="s">
        <v>20</v>
      </c>
      <c r="C892" s="43" t="s">
        <v>267</v>
      </c>
      <c r="D892" s="44" t="s">
        <v>346</v>
      </c>
      <c r="E892" s="42" t="s">
        <v>345</v>
      </c>
      <c r="F892" s="42" t="s">
        <v>143</v>
      </c>
      <c r="G892" s="42" t="s">
        <v>367</v>
      </c>
      <c r="H892" s="45" t="s">
        <v>469</v>
      </c>
      <c r="I892" s="7" t="s">
        <v>22</v>
      </c>
      <c r="J892" s="3">
        <v>0.7</v>
      </c>
      <c r="K892" s="7" t="s">
        <v>124</v>
      </c>
      <c r="L892" s="8" t="s">
        <v>125</v>
      </c>
      <c r="M892" s="7" t="s">
        <v>126</v>
      </c>
      <c r="N892" s="3">
        <v>0.95</v>
      </c>
      <c r="O892" s="3">
        <v>0.15</v>
      </c>
      <c r="P892" s="6"/>
      <c r="Q892" s="3">
        <f t="shared" si="30"/>
        <v>0</v>
      </c>
      <c r="R892" s="4">
        <f t="shared" si="29"/>
        <v>0</v>
      </c>
      <c r="S892" s="3" t="s">
        <v>23</v>
      </c>
      <c r="T892" s="190"/>
    </row>
    <row r="893" spans="1:20" ht="21.6" hidden="1" x14ac:dyDescent="0.3">
      <c r="A893" s="182">
        <v>2100</v>
      </c>
      <c r="B893" s="42" t="s">
        <v>20</v>
      </c>
      <c r="C893" s="43" t="s">
        <v>267</v>
      </c>
      <c r="D893" s="44" t="s">
        <v>346</v>
      </c>
      <c r="E893" s="42" t="s">
        <v>345</v>
      </c>
      <c r="F893" s="42" t="s">
        <v>143</v>
      </c>
      <c r="G893" s="42" t="s">
        <v>367</v>
      </c>
      <c r="H893" s="45" t="s">
        <v>469</v>
      </c>
      <c r="I893" s="7" t="s">
        <v>22</v>
      </c>
      <c r="J893" s="3">
        <v>0.7</v>
      </c>
      <c r="K893" s="7" t="s">
        <v>51</v>
      </c>
      <c r="L893" s="8" t="s">
        <v>127</v>
      </c>
      <c r="M893" s="7" t="s">
        <v>128</v>
      </c>
      <c r="N893" s="6">
        <v>0.05</v>
      </c>
      <c r="O893" s="3">
        <v>0.1</v>
      </c>
      <c r="P893" s="11"/>
      <c r="Q893" s="3">
        <f t="shared" si="30"/>
        <v>0</v>
      </c>
      <c r="R893" s="4">
        <f t="shared" si="29"/>
        <v>0</v>
      </c>
      <c r="S893" s="3" t="s">
        <v>24</v>
      </c>
      <c r="T893" s="190"/>
    </row>
    <row r="894" spans="1:20" ht="21.6" hidden="1" x14ac:dyDescent="0.3">
      <c r="A894" s="182">
        <v>2101</v>
      </c>
      <c r="B894" s="42" t="s">
        <v>20</v>
      </c>
      <c r="C894" s="43" t="s">
        <v>267</v>
      </c>
      <c r="D894" s="44" t="s">
        <v>346</v>
      </c>
      <c r="E894" s="42" t="s">
        <v>345</v>
      </c>
      <c r="F894" s="42" t="s">
        <v>143</v>
      </c>
      <c r="G894" s="42" t="s">
        <v>367</v>
      </c>
      <c r="H894" s="45" t="s">
        <v>469</v>
      </c>
      <c r="I894" s="7" t="s">
        <v>22</v>
      </c>
      <c r="J894" s="3">
        <v>0.7</v>
      </c>
      <c r="K894" s="7" t="s">
        <v>305</v>
      </c>
      <c r="L894" s="8" t="s">
        <v>257</v>
      </c>
      <c r="M894" s="339" t="s">
        <v>306</v>
      </c>
      <c r="N894" s="3">
        <v>0.95</v>
      </c>
      <c r="O894" s="3">
        <v>0.1</v>
      </c>
      <c r="P894" s="3"/>
      <c r="Q894" s="3">
        <f t="shared" si="30"/>
        <v>0</v>
      </c>
      <c r="R894" s="4">
        <f t="shared" si="29"/>
        <v>0</v>
      </c>
      <c r="S894" s="3" t="s">
        <v>23</v>
      </c>
      <c r="T894" s="190"/>
    </row>
    <row r="895" spans="1:20" ht="21.6" hidden="1" x14ac:dyDescent="0.3">
      <c r="A895" s="182">
        <v>2102</v>
      </c>
      <c r="B895" s="42" t="s">
        <v>20</v>
      </c>
      <c r="C895" s="43" t="s">
        <v>267</v>
      </c>
      <c r="D895" s="44" t="s">
        <v>346</v>
      </c>
      <c r="E895" s="42" t="s">
        <v>345</v>
      </c>
      <c r="F895" s="42" t="s">
        <v>143</v>
      </c>
      <c r="G895" s="42" t="s">
        <v>367</v>
      </c>
      <c r="H895" s="45" t="s">
        <v>469</v>
      </c>
      <c r="I895" s="47" t="s">
        <v>22</v>
      </c>
      <c r="J895" s="3">
        <v>0.7</v>
      </c>
      <c r="K895" s="47" t="s">
        <v>129</v>
      </c>
      <c r="L895" s="30" t="s">
        <v>130</v>
      </c>
      <c r="M895" s="47" t="s">
        <v>131</v>
      </c>
      <c r="N895" s="3">
        <v>0.9</v>
      </c>
      <c r="O895" s="10">
        <v>0.2</v>
      </c>
      <c r="P895" s="3"/>
      <c r="Q895" s="3">
        <f t="shared" si="30"/>
        <v>0</v>
      </c>
      <c r="R895" s="48">
        <f t="shared" si="29"/>
        <v>0</v>
      </c>
      <c r="S895" s="10" t="s">
        <v>23</v>
      </c>
      <c r="T895" s="191"/>
    </row>
    <row r="896" spans="1:20" ht="21.6" hidden="1" x14ac:dyDescent="0.3">
      <c r="A896" s="182">
        <v>2103</v>
      </c>
      <c r="B896" s="42" t="s">
        <v>20</v>
      </c>
      <c r="C896" s="43" t="s">
        <v>267</v>
      </c>
      <c r="D896" s="44" t="s">
        <v>346</v>
      </c>
      <c r="E896" s="42" t="s">
        <v>345</v>
      </c>
      <c r="F896" s="42" t="s">
        <v>143</v>
      </c>
      <c r="G896" s="42" t="s">
        <v>367</v>
      </c>
      <c r="H896" s="45" t="s">
        <v>469</v>
      </c>
      <c r="I896" s="47" t="s">
        <v>22</v>
      </c>
      <c r="J896" s="3">
        <v>0.7</v>
      </c>
      <c r="K896" s="47" t="s">
        <v>132</v>
      </c>
      <c r="L896" s="30" t="s">
        <v>133</v>
      </c>
      <c r="M896" s="47" t="s">
        <v>134</v>
      </c>
      <c r="N896" s="4">
        <v>0</v>
      </c>
      <c r="O896" s="10">
        <v>0.1</v>
      </c>
      <c r="P896" s="3"/>
      <c r="Q896" s="3">
        <f t="shared" si="30"/>
        <v>0</v>
      </c>
      <c r="R896" s="48">
        <f t="shared" si="29"/>
        <v>0</v>
      </c>
      <c r="S896" s="10" t="s">
        <v>24</v>
      </c>
      <c r="T896" s="191"/>
    </row>
    <row r="897" spans="1:20" ht="21.6" hidden="1" x14ac:dyDescent="0.3">
      <c r="A897" s="182">
        <v>2104</v>
      </c>
      <c r="B897" s="42" t="s">
        <v>20</v>
      </c>
      <c r="C897" s="43" t="s">
        <v>267</v>
      </c>
      <c r="D897" s="44" t="s">
        <v>346</v>
      </c>
      <c r="E897" s="42" t="s">
        <v>345</v>
      </c>
      <c r="F897" s="42" t="s">
        <v>143</v>
      </c>
      <c r="G897" s="42" t="s">
        <v>367</v>
      </c>
      <c r="H897" s="45" t="s">
        <v>469</v>
      </c>
      <c r="I897" s="47" t="s">
        <v>22</v>
      </c>
      <c r="J897" s="3">
        <v>0.7</v>
      </c>
      <c r="K897" s="47" t="s">
        <v>135</v>
      </c>
      <c r="L897" s="30" t="s">
        <v>136</v>
      </c>
      <c r="M897" s="47" t="s">
        <v>137</v>
      </c>
      <c r="N897" s="3">
        <v>0.9</v>
      </c>
      <c r="O897" s="10">
        <v>0.2</v>
      </c>
      <c r="P897" s="51"/>
      <c r="Q897" s="3">
        <f t="shared" si="30"/>
        <v>0</v>
      </c>
      <c r="R897" s="48">
        <f t="shared" si="29"/>
        <v>0</v>
      </c>
      <c r="S897" s="10" t="s">
        <v>23</v>
      </c>
      <c r="T897" s="191"/>
    </row>
    <row r="898" spans="1:20" ht="22.2" hidden="1" thickBot="1" x14ac:dyDescent="0.35">
      <c r="A898" s="267">
        <v>2105</v>
      </c>
      <c r="B898" s="268" t="s">
        <v>20</v>
      </c>
      <c r="C898" s="269" t="s">
        <v>267</v>
      </c>
      <c r="D898" s="270" t="s">
        <v>346</v>
      </c>
      <c r="E898" s="268" t="s">
        <v>345</v>
      </c>
      <c r="F898" s="268" t="s">
        <v>143</v>
      </c>
      <c r="G898" s="268" t="s">
        <v>367</v>
      </c>
      <c r="H898" s="271" t="s">
        <v>469</v>
      </c>
      <c r="I898" s="272" t="s">
        <v>26</v>
      </c>
      <c r="J898" s="273">
        <v>0.3</v>
      </c>
      <c r="K898" s="272" t="s">
        <v>138</v>
      </c>
      <c r="L898" s="291" t="s">
        <v>139</v>
      </c>
      <c r="M898" s="272" t="s">
        <v>140</v>
      </c>
      <c r="N898" s="273">
        <v>1</v>
      </c>
      <c r="O898" s="276">
        <v>1</v>
      </c>
      <c r="P898" s="273"/>
      <c r="Q898" s="273">
        <f t="shared" si="30"/>
        <v>0</v>
      </c>
      <c r="R898" s="287">
        <f t="shared" si="29"/>
        <v>0</v>
      </c>
      <c r="S898" s="276" t="s">
        <v>23</v>
      </c>
      <c r="T898" s="277"/>
    </row>
    <row r="899" spans="1:20" ht="21.6" hidden="1" x14ac:dyDescent="0.3">
      <c r="A899" s="242">
        <v>2106</v>
      </c>
      <c r="B899" s="243" t="s">
        <v>20</v>
      </c>
      <c r="C899" s="244" t="s">
        <v>267</v>
      </c>
      <c r="D899" s="245" t="s">
        <v>358</v>
      </c>
      <c r="E899" s="243" t="s">
        <v>357</v>
      </c>
      <c r="F899" s="243" t="s">
        <v>123</v>
      </c>
      <c r="G899" s="243" t="s">
        <v>367</v>
      </c>
      <c r="H899" s="246" t="s">
        <v>469</v>
      </c>
      <c r="I899" s="294" t="s">
        <v>22</v>
      </c>
      <c r="J899" s="248">
        <v>0.7</v>
      </c>
      <c r="K899" s="75" t="s">
        <v>513</v>
      </c>
      <c r="L899" s="105" t="s">
        <v>511</v>
      </c>
      <c r="M899" s="75" t="s">
        <v>411</v>
      </c>
      <c r="N899" s="248">
        <v>0.95</v>
      </c>
      <c r="O899" s="248">
        <v>0.15</v>
      </c>
      <c r="P899" s="248"/>
      <c r="Q899" s="248">
        <f t="shared" si="30"/>
        <v>0</v>
      </c>
      <c r="R899" s="250">
        <f t="shared" si="29"/>
        <v>0</v>
      </c>
      <c r="S899" s="248" t="s">
        <v>23</v>
      </c>
      <c r="T899" s="251">
        <f>SUM(R899:R906)%</f>
        <v>0</v>
      </c>
    </row>
    <row r="900" spans="1:20" ht="21.6" hidden="1" x14ac:dyDescent="0.3">
      <c r="A900" s="182">
        <v>2108</v>
      </c>
      <c r="B900" s="42" t="s">
        <v>20</v>
      </c>
      <c r="C900" s="43" t="s">
        <v>267</v>
      </c>
      <c r="D900" s="44" t="s">
        <v>358</v>
      </c>
      <c r="E900" s="42" t="s">
        <v>357</v>
      </c>
      <c r="F900" s="42" t="s">
        <v>123</v>
      </c>
      <c r="G900" s="42" t="s">
        <v>367</v>
      </c>
      <c r="H900" s="45" t="s">
        <v>469</v>
      </c>
      <c r="I900" s="7" t="s">
        <v>22</v>
      </c>
      <c r="J900" s="3">
        <v>0.7</v>
      </c>
      <c r="K900" s="7" t="s">
        <v>124</v>
      </c>
      <c r="L900" s="8" t="s">
        <v>125</v>
      </c>
      <c r="M900" s="7" t="s">
        <v>126</v>
      </c>
      <c r="N900" s="3">
        <v>0.95</v>
      </c>
      <c r="O900" s="3">
        <v>0.15</v>
      </c>
      <c r="P900" s="6"/>
      <c r="Q900" s="3">
        <f t="shared" si="30"/>
        <v>0</v>
      </c>
      <c r="R900" s="4">
        <f t="shared" si="29"/>
        <v>0</v>
      </c>
      <c r="S900" s="3" t="s">
        <v>23</v>
      </c>
      <c r="T900" s="190"/>
    </row>
    <row r="901" spans="1:20" ht="21.6" hidden="1" x14ac:dyDescent="0.3">
      <c r="A901" s="182">
        <v>2109</v>
      </c>
      <c r="B901" s="42" t="s">
        <v>20</v>
      </c>
      <c r="C901" s="43" t="s">
        <v>267</v>
      </c>
      <c r="D901" s="44" t="s">
        <v>358</v>
      </c>
      <c r="E901" s="42" t="s">
        <v>357</v>
      </c>
      <c r="F901" s="42" t="s">
        <v>123</v>
      </c>
      <c r="G901" s="42" t="s">
        <v>367</v>
      </c>
      <c r="H901" s="45" t="s">
        <v>469</v>
      </c>
      <c r="I901" s="7" t="s">
        <v>22</v>
      </c>
      <c r="J901" s="3">
        <v>0.7</v>
      </c>
      <c r="K901" s="7" t="s">
        <v>51</v>
      </c>
      <c r="L901" s="8" t="s">
        <v>127</v>
      </c>
      <c r="M901" s="7" t="s">
        <v>128</v>
      </c>
      <c r="N901" s="6">
        <v>0.05</v>
      </c>
      <c r="O901" s="3">
        <v>0.1</v>
      </c>
      <c r="P901" s="11"/>
      <c r="Q901" s="3">
        <f t="shared" si="30"/>
        <v>0</v>
      </c>
      <c r="R901" s="4">
        <f t="shared" si="29"/>
        <v>0</v>
      </c>
      <c r="S901" s="3" t="s">
        <v>24</v>
      </c>
      <c r="T901" s="190"/>
    </row>
    <row r="902" spans="1:20" ht="21.6" hidden="1" x14ac:dyDescent="0.3">
      <c r="A902" s="182">
        <v>2110</v>
      </c>
      <c r="B902" s="42" t="s">
        <v>20</v>
      </c>
      <c r="C902" s="43" t="s">
        <v>267</v>
      </c>
      <c r="D902" s="44" t="s">
        <v>358</v>
      </c>
      <c r="E902" s="42" t="s">
        <v>357</v>
      </c>
      <c r="F902" s="42" t="s">
        <v>123</v>
      </c>
      <c r="G902" s="42" t="s">
        <v>367</v>
      </c>
      <c r="H902" s="45" t="s">
        <v>469</v>
      </c>
      <c r="I902" s="7" t="s">
        <v>22</v>
      </c>
      <c r="J902" s="3">
        <v>0.7</v>
      </c>
      <c r="K902" s="7" t="s">
        <v>305</v>
      </c>
      <c r="L902" s="8" t="s">
        <v>257</v>
      </c>
      <c r="M902" s="339" t="s">
        <v>306</v>
      </c>
      <c r="N902" s="3">
        <v>0.95</v>
      </c>
      <c r="O902" s="3">
        <v>0.1</v>
      </c>
      <c r="P902" s="3"/>
      <c r="Q902" s="3">
        <f t="shared" si="30"/>
        <v>0</v>
      </c>
      <c r="R902" s="4">
        <f t="shared" si="29"/>
        <v>0</v>
      </c>
      <c r="S902" s="3" t="s">
        <v>23</v>
      </c>
      <c r="T902" s="190"/>
    </row>
    <row r="903" spans="1:20" ht="21.6" hidden="1" x14ac:dyDescent="0.3">
      <c r="A903" s="182">
        <v>2111</v>
      </c>
      <c r="B903" s="42" t="s">
        <v>20</v>
      </c>
      <c r="C903" s="43" t="s">
        <v>267</v>
      </c>
      <c r="D903" s="44" t="s">
        <v>358</v>
      </c>
      <c r="E903" s="42" t="s">
        <v>357</v>
      </c>
      <c r="F903" s="42" t="s">
        <v>123</v>
      </c>
      <c r="G903" s="42" t="s">
        <v>367</v>
      </c>
      <c r="H903" s="45" t="s">
        <v>469</v>
      </c>
      <c r="I903" s="47" t="s">
        <v>22</v>
      </c>
      <c r="J903" s="3">
        <v>0.7</v>
      </c>
      <c r="K903" s="47" t="s">
        <v>129</v>
      </c>
      <c r="L903" s="30" t="s">
        <v>130</v>
      </c>
      <c r="M903" s="47" t="s">
        <v>131</v>
      </c>
      <c r="N903" s="3">
        <v>0.9</v>
      </c>
      <c r="O903" s="10">
        <v>0.2</v>
      </c>
      <c r="P903" s="3"/>
      <c r="Q903" s="3">
        <f t="shared" si="30"/>
        <v>0</v>
      </c>
      <c r="R903" s="48">
        <f t="shared" si="29"/>
        <v>0</v>
      </c>
      <c r="S903" s="10" t="s">
        <v>23</v>
      </c>
      <c r="T903" s="191"/>
    </row>
    <row r="904" spans="1:20" ht="21.6" hidden="1" x14ac:dyDescent="0.3">
      <c r="A904" s="182">
        <v>2112</v>
      </c>
      <c r="B904" s="42" t="s">
        <v>20</v>
      </c>
      <c r="C904" s="43" t="s">
        <v>267</v>
      </c>
      <c r="D904" s="44" t="s">
        <v>358</v>
      </c>
      <c r="E904" s="42" t="s">
        <v>357</v>
      </c>
      <c r="F904" s="42" t="s">
        <v>123</v>
      </c>
      <c r="G904" s="42" t="s">
        <v>367</v>
      </c>
      <c r="H904" s="45" t="s">
        <v>469</v>
      </c>
      <c r="I904" s="47" t="s">
        <v>22</v>
      </c>
      <c r="J904" s="3">
        <v>0.7</v>
      </c>
      <c r="K904" s="47" t="s">
        <v>132</v>
      </c>
      <c r="L904" s="30" t="s">
        <v>133</v>
      </c>
      <c r="M904" s="47" t="s">
        <v>134</v>
      </c>
      <c r="N904" s="4">
        <v>0</v>
      </c>
      <c r="O904" s="10">
        <v>0.1</v>
      </c>
      <c r="P904" s="3"/>
      <c r="Q904" s="3">
        <f t="shared" si="30"/>
        <v>0</v>
      </c>
      <c r="R904" s="48">
        <f t="shared" si="29"/>
        <v>0</v>
      </c>
      <c r="S904" s="10" t="s">
        <v>24</v>
      </c>
      <c r="T904" s="191"/>
    </row>
    <row r="905" spans="1:20" ht="21.6" hidden="1" x14ac:dyDescent="0.3">
      <c r="A905" s="182">
        <v>2113</v>
      </c>
      <c r="B905" s="42" t="s">
        <v>20</v>
      </c>
      <c r="C905" s="43" t="s">
        <v>267</v>
      </c>
      <c r="D905" s="44" t="s">
        <v>358</v>
      </c>
      <c r="E905" s="42" t="s">
        <v>357</v>
      </c>
      <c r="F905" s="42" t="s">
        <v>123</v>
      </c>
      <c r="G905" s="42" t="s">
        <v>367</v>
      </c>
      <c r="H905" s="45" t="s">
        <v>469</v>
      </c>
      <c r="I905" s="47" t="s">
        <v>22</v>
      </c>
      <c r="J905" s="3">
        <v>0.7</v>
      </c>
      <c r="K905" s="47" t="s">
        <v>135</v>
      </c>
      <c r="L905" s="30" t="s">
        <v>136</v>
      </c>
      <c r="M905" s="47" t="s">
        <v>137</v>
      </c>
      <c r="N905" s="3">
        <v>0.9</v>
      </c>
      <c r="O905" s="10">
        <v>0.2</v>
      </c>
      <c r="P905" s="51"/>
      <c r="Q905" s="3">
        <f t="shared" si="30"/>
        <v>0</v>
      </c>
      <c r="R905" s="48">
        <f t="shared" si="29"/>
        <v>0</v>
      </c>
      <c r="S905" s="10" t="s">
        <v>23</v>
      </c>
      <c r="T905" s="191"/>
    </row>
    <row r="906" spans="1:20" ht="22.2" hidden="1" thickBot="1" x14ac:dyDescent="0.35">
      <c r="A906" s="267">
        <v>2114</v>
      </c>
      <c r="B906" s="268" t="s">
        <v>20</v>
      </c>
      <c r="C906" s="269" t="s">
        <v>267</v>
      </c>
      <c r="D906" s="270" t="s">
        <v>358</v>
      </c>
      <c r="E906" s="268" t="s">
        <v>357</v>
      </c>
      <c r="F906" s="268" t="s">
        <v>123</v>
      </c>
      <c r="G906" s="268" t="s">
        <v>367</v>
      </c>
      <c r="H906" s="271" t="s">
        <v>469</v>
      </c>
      <c r="I906" s="272" t="s">
        <v>26</v>
      </c>
      <c r="J906" s="273">
        <v>0.3</v>
      </c>
      <c r="K906" s="272" t="s">
        <v>138</v>
      </c>
      <c r="L906" s="291" t="s">
        <v>139</v>
      </c>
      <c r="M906" s="272" t="s">
        <v>140</v>
      </c>
      <c r="N906" s="273">
        <v>1</v>
      </c>
      <c r="O906" s="276">
        <v>1</v>
      </c>
      <c r="P906" s="273"/>
      <c r="Q906" s="273">
        <f t="shared" si="30"/>
        <v>0</v>
      </c>
      <c r="R906" s="287">
        <f t="shared" si="29"/>
        <v>0</v>
      </c>
      <c r="S906" s="276" t="s">
        <v>23</v>
      </c>
      <c r="T906" s="277"/>
    </row>
    <row r="907" spans="1:20" ht="21.6" hidden="1" x14ac:dyDescent="0.3">
      <c r="A907" s="242">
        <v>2115</v>
      </c>
      <c r="B907" s="243" t="s">
        <v>20</v>
      </c>
      <c r="C907" s="244" t="s">
        <v>267</v>
      </c>
      <c r="D907" s="245" t="s">
        <v>360</v>
      </c>
      <c r="E907" s="243" t="s">
        <v>359</v>
      </c>
      <c r="F907" s="243" t="s">
        <v>123</v>
      </c>
      <c r="G907" s="243" t="s">
        <v>367</v>
      </c>
      <c r="H907" s="246" t="s">
        <v>469</v>
      </c>
      <c r="I907" s="294" t="s">
        <v>22</v>
      </c>
      <c r="J907" s="248">
        <v>0.7</v>
      </c>
      <c r="K907" s="75" t="s">
        <v>513</v>
      </c>
      <c r="L907" s="105" t="s">
        <v>511</v>
      </c>
      <c r="M907" s="75" t="s">
        <v>411</v>
      </c>
      <c r="N907" s="248">
        <v>0.95</v>
      </c>
      <c r="O907" s="248">
        <v>0.15</v>
      </c>
      <c r="P907" s="248"/>
      <c r="Q907" s="248">
        <f t="shared" si="30"/>
        <v>0</v>
      </c>
      <c r="R907" s="250">
        <f t="shared" si="29"/>
        <v>0</v>
      </c>
      <c r="S907" s="248" t="s">
        <v>23</v>
      </c>
      <c r="T907" s="251">
        <f>SUM(R907:R914)%</f>
        <v>0</v>
      </c>
    </row>
    <row r="908" spans="1:20" ht="21.6" hidden="1" x14ac:dyDescent="0.3">
      <c r="A908" s="182">
        <v>2117</v>
      </c>
      <c r="B908" s="42" t="s">
        <v>20</v>
      </c>
      <c r="C908" s="43" t="s">
        <v>267</v>
      </c>
      <c r="D908" s="44" t="s">
        <v>360</v>
      </c>
      <c r="E908" s="42" t="s">
        <v>359</v>
      </c>
      <c r="F908" s="42" t="s">
        <v>123</v>
      </c>
      <c r="G908" s="42" t="s">
        <v>367</v>
      </c>
      <c r="H908" s="45" t="s">
        <v>469</v>
      </c>
      <c r="I908" s="7" t="s">
        <v>22</v>
      </c>
      <c r="J908" s="3">
        <v>0.7</v>
      </c>
      <c r="K908" s="7" t="s">
        <v>124</v>
      </c>
      <c r="L908" s="8" t="s">
        <v>125</v>
      </c>
      <c r="M908" s="7" t="s">
        <v>126</v>
      </c>
      <c r="N908" s="3">
        <v>0.95</v>
      </c>
      <c r="O908" s="3">
        <v>0.15</v>
      </c>
      <c r="P908" s="6"/>
      <c r="Q908" s="3">
        <f t="shared" si="30"/>
        <v>0</v>
      </c>
      <c r="R908" s="4">
        <f t="shared" si="29"/>
        <v>0</v>
      </c>
      <c r="S908" s="3" t="s">
        <v>23</v>
      </c>
      <c r="T908" s="190"/>
    </row>
    <row r="909" spans="1:20" ht="21.6" hidden="1" x14ac:dyDescent="0.3">
      <c r="A909" s="182">
        <v>2118</v>
      </c>
      <c r="B909" s="42" t="s">
        <v>20</v>
      </c>
      <c r="C909" s="43" t="s">
        <v>267</v>
      </c>
      <c r="D909" s="44" t="s">
        <v>360</v>
      </c>
      <c r="E909" s="42" t="s">
        <v>359</v>
      </c>
      <c r="F909" s="42" t="s">
        <v>123</v>
      </c>
      <c r="G909" s="42" t="s">
        <v>367</v>
      </c>
      <c r="H909" s="45" t="s">
        <v>469</v>
      </c>
      <c r="I909" s="7" t="s">
        <v>22</v>
      </c>
      <c r="J909" s="3">
        <v>0.7</v>
      </c>
      <c r="K909" s="7" t="s">
        <v>51</v>
      </c>
      <c r="L909" s="8" t="s">
        <v>127</v>
      </c>
      <c r="M909" s="7" t="s">
        <v>128</v>
      </c>
      <c r="N909" s="6">
        <v>0.05</v>
      </c>
      <c r="O909" s="3">
        <v>0.1</v>
      </c>
      <c r="P909" s="11"/>
      <c r="Q909" s="3">
        <f t="shared" si="30"/>
        <v>0</v>
      </c>
      <c r="R909" s="4">
        <f t="shared" si="29"/>
        <v>0</v>
      </c>
      <c r="S909" s="3" t="s">
        <v>24</v>
      </c>
      <c r="T909" s="190"/>
    </row>
    <row r="910" spans="1:20" ht="21.6" hidden="1" x14ac:dyDescent="0.3">
      <c r="A910" s="182">
        <v>2119</v>
      </c>
      <c r="B910" s="42" t="s">
        <v>20</v>
      </c>
      <c r="C910" s="43" t="s">
        <v>267</v>
      </c>
      <c r="D910" s="44" t="s">
        <v>360</v>
      </c>
      <c r="E910" s="42" t="s">
        <v>359</v>
      </c>
      <c r="F910" s="42" t="s">
        <v>123</v>
      </c>
      <c r="G910" s="42" t="s">
        <v>367</v>
      </c>
      <c r="H910" s="45" t="s">
        <v>469</v>
      </c>
      <c r="I910" s="7" t="s">
        <v>22</v>
      </c>
      <c r="J910" s="3">
        <v>0.7</v>
      </c>
      <c r="K910" s="7" t="s">
        <v>305</v>
      </c>
      <c r="L910" s="8" t="s">
        <v>257</v>
      </c>
      <c r="M910" s="339" t="s">
        <v>306</v>
      </c>
      <c r="N910" s="3">
        <v>0.95</v>
      </c>
      <c r="O910" s="3">
        <v>0.1</v>
      </c>
      <c r="P910" s="3"/>
      <c r="Q910" s="3">
        <f t="shared" si="30"/>
        <v>0</v>
      </c>
      <c r="R910" s="4">
        <f t="shared" si="29"/>
        <v>0</v>
      </c>
      <c r="S910" s="3" t="s">
        <v>23</v>
      </c>
      <c r="T910" s="190"/>
    </row>
    <row r="911" spans="1:20" ht="21.6" hidden="1" x14ac:dyDescent="0.3">
      <c r="A911" s="182">
        <v>2120</v>
      </c>
      <c r="B911" s="42" t="s">
        <v>20</v>
      </c>
      <c r="C911" s="43" t="s">
        <v>267</v>
      </c>
      <c r="D911" s="44" t="s">
        <v>360</v>
      </c>
      <c r="E911" s="42" t="s">
        <v>359</v>
      </c>
      <c r="F911" s="42" t="s">
        <v>123</v>
      </c>
      <c r="G911" s="42" t="s">
        <v>367</v>
      </c>
      <c r="H911" s="45" t="s">
        <v>469</v>
      </c>
      <c r="I911" s="47" t="s">
        <v>22</v>
      </c>
      <c r="J911" s="3">
        <v>0.7</v>
      </c>
      <c r="K911" s="47" t="s">
        <v>129</v>
      </c>
      <c r="L911" s="30" t="s">
        <v>130</v>
      </c>
      <c r="M911" s="47" t="s">
        <v>131</v>
      </c>
      <c r="N911" s="3">
        <v>0.9</v>
      </c>
      <c r="O911" s="10">
        <v>0.2</v>
      </c>
      <c r="P911" s="3"/>
      <c r="Q911" s="3">
        <f t="shared" si="30"/>
        <v>0</v>
      </c>
      <c r="R911" s="48">
        <f t="shared" si="29"/>
        <v>0</v>
      </c>
      <c r="S911" s="10" t="s">
        <v>23</v>
      </c>
      <c r="T911" s="191"/>
    </row>
    <row r="912" spans="1:20" ht="21.6" hidden="1" x14ac:dyDescent="0.3">
      <c r="A912" s="182">
        <v>2121</v>
      </c>
      <c r="B912" s="42" t="s">
        <v>20</v>
      </c>
      <c r="C912" s="43" t="s">
        <v>267</v>
      </c>
      <c r="D912" s="44" t="s">
        <v>360</v>
      </c>
      <c r="E912" s="42" t="s">
        <v>359</v>
      </c>
      <c r="F912" s="42" t="s">
        <v>123</v>
      </c>
      <c r="G912" s="42" t="s">
        <v>367</v>
      </c>
      <c r="H912" s="45" t="s">
        <v>469</v>
      </c>
      <c r="I912" s="47" t="s">
        <v>22</v>
      </c>
      <c r="J912" s="3">
        <v>0.7</v>
      </c>
      <c r="K912" s="47" t="s">
        <v>132</v>
      </c>
      <c r="L912" s="30" t="s">
        <v>133</v>
      </c>
      <c r="M912" s="47" t="s">
        <v>134</v>
      </c>
      <c r="N912" s="4">
        <v>0</v>
      </c>
      <c r="O912" s="10">
        <v>0.1</v>
      </c>
      <c r="P912" s="3"/>
      <c r="Q912" s="3">
        <f t="shared" si="30"/>
        <v>0</v>
      </c>
      <c r="R912" s="48">
        <f t="shared" si="29"/>
        <v>0</v>
      </c>
      <c r="S912" s="10" t="s">
        <v>24</v>
      </c>
      <c r="T912" s="191"/>
    </row>
    <row r="913" spans="1:20" ht="21.6" hidden="1" x14ac:dyDescent="0.3">
      <c r="A913" s="182">
        <v>2122</v>
      </c>
      <c r="B913" s="42" t="s">
        <v>20</v>
      </c>
      <c r="C913" s="43" t="s">
        <v>267</v>
      </c>
      <c r="D913" s="44" t="s">
        <v>360</v>
      </c>
      <c r="E913" s="42" t="s">
        <v>359</v>
      </c>
      <c r="F913" s="42" t="s">
        <v>123</v>
      </c>
      <c r="G913" s="42" t="s">
        <v>367</v>
      </c>
      <c r="H913" s="45" t="s">
        <v>469</v>
      </c>
      <c r="I913" s="47" t="s">
        <v>22</v>
      </c>
      <c r="J913" s="3">
        <v>0.7</v>
      </c>
      <c r="K913" s="47" t="s">
        <v>135</v>
      </c>
      <c r="L913" s="30" t="s">
        <v>136</v>
      </c>
      <c r="M913" s="47" t="s">
        <v>137</v>
      </c>
      <c r="N913" s="3">
        <v>0.9</v>
      </c>
      <c r="O913" s="10">
        <v>0.2</v>
      </c>
      <c r="P913" s="51"/>
      <c r="Q913" s="3">
        <f t="shared" si="30"/>
        <v>0</v>
      </c>
      <c r="R913" s="48">
        <f t="shared" si="29"/>
        <v>0</v>
      </c>
      <c r="S913" s="10" t="s">
        <v>23</v>
      </c>
      <c r="T913" s="191"/>
    </row>
    <row r="914" spans="1:20" ht="22.2" hidden="1" thickBot="1" x14ac:dyDescent="0.35">
      <c r="A914" s="267">
        <v>2123</v>
      </c>
      <c r="B914" s="268" t="s">
        <v>20</v>
      </c>
      <c r="C914" s="269" t="s">
        <v>267</v>
      </c>
      <c r="D914" s="270" t="s">
        <v>360</v>
      </c>
      <c r="E914" s="268" t="s">
        <v>359</v>
      </c>
      <c r="F914" s="268" t="s">
        <v>123</v>
      </c>
      <c r="G914" s="268" t="s">
        <v>367</v>
      </c>
      <c r="H914" s="271" t="s">
        <v>469</v>
      </c>
      <c r="I914" s="272" t="s">
        <v>26</v>
      </c>
      <c r="J914" s="273">
        <v>0.3</v>
      </c>
      <c r="K914" s="272" t="s">
        <v>138</v>
      </c>
      <c r="L914" s="291" t="s">
        <v>139</v>
      </c>
      <c r="M914" s="272" t="s">
        <v>140</v>
      </c>
      <c r="N914" s="273">
        <v>1</v>
      </c>
      <c r="O914" s="276">
        <v>1</v>
      </c>
      <c r="P914" s="273"/>
      <c r="Q914" s="273">
        <f t="shared" si="30"/>
        <v>0</v>
      </c>
      <c r="R914" s="287">
        <f t="shared" si="29"/>
        <v>0</v>
      </c>
      <c r="S914" s="276" t="s">
        <v>23</v>
      </c>
      <c r="T914" s="277"/>
    </row>
    <row r="915" spans="1:20" ht="21.6" hidden="1" x14ac:dyDescent="0.3">
      <c r="A915" s="242">
        <v>2124</v>
      </c>
      <c r="B915" s="243" t="s">
        <v>20</v>
      </c>
      <c r="C915" s="244" t="s">
        <v>267</v>
      </c>
      <c r="D915" s="245" t="s">
        <v>362</v>
      </c>
      <c r="E915" s="243" t="s">
        <v>361</v>
      </c>
      <c r="F915" s="243" t="s">
        <v>123</v>
      </c>
      <c r="G915" s="243" t="s">
        <v>367</v>
      </c>
      <c r="H915" s="246" t="s">
        <v>469</v>
      </c>
      <c r="I915" s="294" t="s">
        <v>22</v>
      </c>
      <c r="J915" s="248">
        <v>0.7</v>
      </c>
      <c r="K915" s="75" t="s">
        <v>513</v>
      </c>
      <c r="L915" s="105" t="s">
        <v>511</v>
      </c>
      <c r="M915" s="75" t="s">
        <v>411</v>
      </c>
      <c r="N915" s="248">
        <v>0.95</v>
      </c>
      <c r="O915" s="248">
        <v>0.15</v>
      </c>
      <c r="P915" s="248"/>
      <c r="Q915" s="248">
        <f t="shared" si="30"/>
        <v>0</v>
      </c>
      <c r="R915" s="250">
        <f t="shared" ref="R915:R978" si="31">IF(AND(Q915&gt;=60%,Q915&lt;100%),Q915*((O915*J915)),IF(Q915=100%,((O915*J915)*Q915)*100%,IF(Q915&gt;100%,((J915*O915)*100%)*100%,0)))*100</f>
        <v>0</v>
      </c>
      <c r="S915" s="248" t="s">
        <v>23</v>
      </c>
      <c r="T915" s="251">
        <f>SUM(R915:R922)%</f>
        <v>0</v>
      </c>
    </row>
    <row r="916" spans="1:20" ht="21.6" hidden="1" x14ac:dyDescent="0.3">
      <c r="A916" s="182">
        <v>2126</v>
      </c>
      <c r="B916" s="42" t="s">
        <v>20</v>
      </c>
      <c r="C916" s="43" t="s">
        <v>267</v>
      </c>
      <c r="D916" s="44" t="s">
        <v>362</v>
      </c>
      <c r="E916" s="42" t="s">
        <v>361</v>
      </c>
      <c r="F916" s="42" t="s">
        <v>123</v>
      </c>
      <c r="G916" s="42" t="s">
        <v>367</v>
      </c>
      <c r="H916" s="45" t="s">
        <v>469</v>
      </c>
      <c r="I916" s="7" t="s">
        <v>22</v>
      </c>
      <c r="J916" s="3">
        <v>0.7</v>
      </c>
      <c r="K916" s="7" t="s">
        <v>124</v>
      </c>
      <c r="L916" s="8" t="s">
        <v>125</v>
      </c>
      <c r="M916" s="7" t="s">
        <v>126</v>
      </c>
      <c r="N916" s="3">
        <v>0.95</v>
      </c>
      <c r="O916" s="3">
        <v>0.15</v>
      </c>
      <c r="P916" s="6"/>
      <c r="Q916" s="3">
        <f t="shared" si="30"/>
        <v>0</v>
      </c>
      <c r="R916" s="4">
        <f t="shared" si="31"/>
        <v>0</v>
      </c>
      <c r="S916" s="3" t="s">
        <v>23</v>
      </c>
      <c r="T916" s="190"/>
    </row>
    <row r="917" spans="1:20" ht="21.6" hidden="1" x14ac:dyDescent="0.3">
      <c r="A917" s="182">
        <v>2127</v>
      </c>
      <c r="B917" s="42" t="s">
        <v>20</v>
      </c>
      <c r="C917" s="43" t="s">
        <v>267</v>
      </c>
      <c r="D917" s="44" t="s">
        <v>362</v>
      </c>
      <c r="E917" s="42" t="s">
        <v>361</v>
      </c>
      <c r="F917" s="42" t="s">
        <v>123</v>
      </c>
      <c r="G917" s="42" t="s">
        <v>367</v>
      </c>
      <c r="H917" s="45" t="s">
        <v>469</v>
      </c>
      <c r="I917" s="7" t="s">
        <v>22</v>
      </c>
      <c r="J917" s="3">
        <v>0.7</v>
      </c>
      <c r="K917" s="7" t="s">
        <v>51</v>
      </c>
      <c r="L917" s="8" t="s">
        <v>127</v>
      </c>
      <c r="M917" s="7" t="s">
        <v>128</v>
      </c>
      <c r="N917" s="6">
        <v>0.05</v>
      </c>
      <c r="O917" s="3">
        <v>0.1</v>
      </c>
      <c r="P917" s="11"/>
      <c r="Q917" s="3">
        <f t="shared" si="30"/>
        <v>0</v>
      </c>
      <c r="R917" s="4">
        <f t="shared" si="31"/>
        <v>0</v>
      </c>
      <c r="S917" s="3" t="s">
        <v>24</v>
      </c>
      <c r="T917" s="190"/>
    </row>
    <row r="918" spans="1:20" ht="21.6" hidden="1" x14ac:dyDescent="0.3">
      <c r="A918" s="182">
        <v>2128</v>
      </c>
      <c r="B918" s="42" t="s">
        <v>20</v>
      </c>
      <c r="C918" s="43" t="s">
        <v>267</v>
      </c>
      <c r="D918" s="44" t="s">
        <v>362</v>
      </c>
      <c r="E918" s="42" t="s">
        <v>361</v>
      </c>
      <c r="F918" s="42" t="s">
        <v>123</v>
      </c>
      <c r="G918" s="42" t="s">
        <v>367</v>
      </c>
      <c r="H918" s="45" t="s">
        <v>469</v>
      </c>
      <c r="I918" s="7" t="s">
        <v>22</v>
      </c>
      <c r="J918" s="3">
        <v>0.7</v>
      </c>
      <c r="K918" s="7" t="s">
        <v>305</v>
      </c>
      <c r="L918" s="8" t="s">
        <v>257</v>
      </c>
      <c r="M918" s="339" t="s">
        <v>306</v>
      </c>
      <c r="N918" s="3">
        <v>0.95</v>
      </c>
      <c r="O918" s="3">
        <v>0.1</v>
      </c>
      <c r="P918" s="3"/>
      <c r="Q918" s="3">
        <f t="shared" si="30"/>
        <v>0</v>
      </c>
      <c r="R918" s="4">
        <f t="shared" si="31"/>
        <v>0</v>
      </c>
      <c r="S918" s="3" t="s">
        <v>23</v>
      </c>
      <c r="T918" s="190"/>
    </row>
    <row r="919" spans="1:20" ht="21.6" hidden="1" x14ac:dyDescent="0.3">
      <c r="A919" s="182">
        <v>2129</v>
      </c>
      <c r="B919" s="42" t="s">
        <v>20</v>
      </c>
      <c r="C919" s="43" t="s">
        <v>267</v>
      </c>
      <c r="D919" s="44" t="s">
        <v>362</v>
      </c>
      <c r="E919" s="42" t="s">
        <v>361</v>
      </c>
      <c r="F919" s="42" t="s">
        <v>123</v>
      </c>
      <c r="G919" s="42" t="s">
        <v>367</v>
      </c>
      <c r="H919" s="45" t="s">
        <v>469</v>
      </c>
      <c r="I919" s="47" t="s">
        <v>22</v>
      </c>
      <c r="J919" s="3">
        <v>0.7</v>
      </c>
      <c r="K919" s="47" t="s">
        <v>129</v>
      </c>
      <c r="L919" s="30" t="s">
        <v>130</v>
      </c>
      <c r="M919" s="47" t="s">
        <v>131</v>
      </c>
      <c r="N919" s="3">
        <v>0.9</v>
      </c>
      <c r="O919" s="10">
        <v>0.2</v>
      </c>
      <c r="P919" s="3"/>
      <c r="Q919" s="3">
        <f t="shared" si="30"/>
        <v>0</v>
      </c>
      <c r="R919" s="48">
        <f t="shared" si="31"/>
        <v>0</v>
      </c>
      <c r="S919" s="10" t="s">
        <v>23</v>
      </c>
      <c r="T919" s="191"/>
    </row>
    <row r="920" spans="1:20" ht="21.6" hidden="1" x14ac:dyDescent="0.3">
      <c r="A920" s="182">
        <v>2130</v>
      </c>
      <c r="B920" s="42" t="s">
        <v>20</v>
      </c>
      <c r="C920" s="43" t="s">
        <v>267</v>
      </c>
      <c r="D920" s="44" t="s">
        <v>362</v>
      </c>
      <c r="E920" s="42" t="s">
        <v>361</v>
      </c>
      <c r="F920" s="42" t="s">
        <v>123</v>
      </c>
      <c r="G920" s="42" t="s">
        <v>367</v>
      </c>
      <c r="H920" s="45" t="s">
        <v>469</v>
      </c>
      <c r="I920" s="47" t="s">
        <v>22</v>
      </c>
      <c r="J920" s="3">
        <v>0.7</v>
      </c>
      <c r="K920" s="47" t="s">
        <v>132</v>
      </c>
      <c r="L920" s="30" t="s">
        <v>133</v>
      </c>
      <c r="M920" s="47" t="s">
        <v>134</v>
      </c>
      <c r="N920" s="4">
        <v>0</v>
      </c>
      <c r="O920" s="10">
        <v>0.1</v>
      </c>
      <c r="P920" s="3"/>
      <c r="Q920" s="3">
        <f t="shared" si="30"/>
        <v>0</v>
      </c>
      <c r="R920" s="48">
        <f t="shared" si="31"/>
        <v>0</v>
      </c>
      <c r="S920" s="10" t="s">
        <v>24</v>
      </c>
      <c r="T920" s="191"/>
    </row>
    <row r="921" spans="1:20" ht="21.6" hidden="1" x14ac:dyDescent="0.3">
      <c r="A921" s="182">
        <v>2131</v>
      </c>
      <c r="B921" s="42" t="s">
        <v>20</v>
      </c>
      <c r="C921" s="43" t="s">
        <v>267</v>
      </c>
      <c r="D921" s="44" t="s">
        <v>362</v>
      </c>
      <c r="E921" s="42" t="s">
        <v>361</v>
      </c>
      <c r="F921" s="42" t="s">
        <v>123</v>
      </c>
      <c r="G921" s="42" t="s">
        <v>367</v>
      </c>
      <c r="H921" s="45" t="s">
        <v>469</v>
      </c>
      <c r="I921" s="47" t="s">
        <v>22</v>
      </c>
      <c r="J921" s="3">
        <v>0.7</v>
      </c>
      <c r="K921" s="47" t="s">
        <v>135</v>
      </c>
      <c r="L921" s="30" t="s">
        <v>136</v>
      </c>
      <c r="M921" s="47" t="s">
        <v>137</v>
      </c>
      <c r="N921" s="3">
        <v>0.9</v>
      </c>
      <c r="O921" s="10">
        <v>0.2</v>
      </c>
      <c r="P921" s="51"/>
      <c r="Q921" s="3">
        <f t="shared" si="30"/>
        <v>0</v>
      </c>
      <c r="R921" s="48">
        <f t="shared" si="31"/>
        <v>0</v>
      </c>
      <c r="S921" s="10" t="s">
        <v>23</v>
      </c>
      <c r="T921" s="191"/>
    </row>
    <row r="922" spans="1:20" ht="22.2" hidden="1" thickBot="1" x14ac:dyDescent="0.35">
      <c r="A922" s="267">
        <v>2132</v>
      </c>
      <c r="B922" s="268" t="s">
        <v>20</v>
      </c>
      <c r="C922" s="269" t="s">
        <v>267</v>
      </c>
      <c r="D922" s="270" t="s">
        <v>362</v>
      </c>
      <c r="E922" s="268" t="s">
        <v>361</v>
      </c>
      <c r="F922" s="268" t="s">
        <v>123</v>
      </c>
      <c r="G922" s="268" t="s">
        <v>367</v>
      </c>
      <c r="H922" s="271" t="s">
        <v>469</v>
      </c>
      <c r="I922" s="272" t="s">
        <v>26</v>
      </c>
      <c r="J922" s="273">
        <v>0.3</v>
      </c>
      <c r="K922" s="272" t="s">
        <v>138</v>
      </c>
      <c r="L922" s="291" t="s">
        <v>139</v>
      </c>
      <c r="M922" s="272" t="s">
        <v>140</v>
      </c>
      <c r="N922" s="273">
        <v>1</v>
      </c>
      <c r="O922" s="276">
        <v>1</v>
      </c>
      <c r="P922" s="273"/>
      <c r="Q922" s="273">
        <f t="shared" si="30"/>
        <v>0</v>
      </c>
      <c r="R922" s="287">
        <f t="shared" si="31"/>
        <v>0</v>
      </c>
      <c r="S922" s="276" t="s">
        <v>23</v>
      </c>
      <c r="T922" s="277"/>
    </row>
    <row r="923" spans="1:20" ht="21.6" hidden="1" x14ac:dyDescent="0.3">
      <c r="A923" s="242">
        <v>2142</v>
      </c>
      <c r="B923" s="243" t="s">
        <v>20</v>
      </c>
      <c r="C923" s="244" t="s">
        <v>267</v>
      </c>
      <c r="D923" s="245" t="s">
        <v>350</v>
      </c>
      <c r="E923" s="243" t="s">
        <v>349</v>
      </c>
      <c r="F923" s="243" t="s">
        <v>145</v>
      </c>
      <c r="G923" s="243" t="s">
        <v>367</v>
      </c>
      <c r="H923" s="246" t="s">
        <v>469</v>
      </c>
      <c r="I923" s="294" t="s">
        <v>22</v>
      </c>
      <c r="J923" s="248">
        <v>0.7</v>
      </c>
      <c r="K923" s="75" t="s">
        <v>513</v>
      </c>
      <c r="L923" s="105" t="s">
        <v>511</v>
      </c>
      <c r="M923" s="75" t="s">
        <v>411</v>
      </c>
      <c r="N923" s="248">
        <v>0.95</v>
      </c>
      <c r="O923" s="248">
        <v>0.15</v>
      </c>
      <c r="P923" s="248"/>
      <c r="Q923" s="248">
        <f t="shared" si="30"/>
        <v>0</v>
      </c>
      <c r="R923" s="250">
        <f t="shared" si="31"/>
        <v>0</v>
      </c>
      <c r="S923" s="248" t="s">
        <v>23</v>
      </c>
      <c r="T923" s="251">
        <f>SUM(R923:R930)%</f>
        <v>0</v>
      </c>
    </row>
    <row r="924" spans="1:20" ht="21.6" hidden="1" x14ac:dyDescent="0.3">
      <c r="A924" s="182">
        <v>2144</v>
      </c>
      <c r="B924" s="42" t="s">
        <v>20</v>
      </c>
      <c r="C924" s="43" t="s">
        <v>267</v>
      </c>
      <c r="D924" s="44" t="s">
        <v>350</v>
      </c>
      <c r="E924" s="42" t="s">
        <v>349</v>
      </c>
      <c r="F924" s="42" t="s">
        <v>145</v>
      </c>
      <c r="G924" s="42" t="s">
        <v>367</v>
      </c>
      <c r="H924" s="45" t="s">
        <v>469</v>
      </c>
      <c r="I924" s="7" t="s">
        <v>22</v>
      </c>
      <c r="J924" s="3">
        <v>0.7</v>
      </c>
      <c r="K924" s="7" t="s">
        <v>124</v>
      </c>
      <c r="L924" s="8" t="s">
        <v>125</v>
      </c>
      <c r="M924" s="7" t="s">
        <v>126</v>
      </c>
      <c r="N924" s="3">
        <v>0.95</v>
      </c>
      <c r="O924" s="3">
        <v>0.15</v>
      </c>
      <c r="P924" s="6"/>
      <c r="Q924" s="3">
        <f t="shared" si="30"/>
        <v>0</v>
      </c>
      <c r="R924" s="4">
        <f t="shared" si="31"/>
        <v>0</v>
      </c>
      <c r="S924" s="3" t="s">
        <v>23</v>
      </c>
      <c r="T924" s="190"/>
    </row>
    <row r="925" spans="1:20" ht="21.6" hidden="1" x14ac:dyDescent="0.3">
      <c r="A925" s="182">
        <v>2145</v>
      </c>
      <c r="B925" s="42" t="s">
        <v>20</v>
      </c>
      <c r="C925" s="43" t="s">
        <v>267</v>
      </c>
      <c r="D925" s="44" t="s">
        <v>350</v>
      </c>
      <c r="E925" s="42" t="s">
        <v>349</v>
      </c>
      <c r="F925" s="42" t="s">
        <v>145</v>
      </c>
      <c r="G925" s="42" t="s">
        <v>367</v>
      </c>
      <c r="H925" s="45" t="s">
        <v>469</v>
      </c>
      <c r="I925" s="7" t="s">
        <v>22</v>
      </c>
      <c r="J925" s="3">
        <v>0.7</v>
      </c>
      <c r="K925" s="7" t="s">
        <v>51</v>
      </c>
      <c r="L925" s="8" t="s">
        <v>127</v>
      </c>
      <c r="M925" s="7" t="s">
        <v>128</v>
      </c>
      <c r="N925" s="6">
        <v>0.05</v>
      </c>
      <c r="O925" s="3">
        <v>0.1</v>
      </c>
      <c r="P925" s="11"/>
      <c r="Q925" s="3">
        <f t="shared" si="30"/>
        <v>0</v>
      </c>
      <c r="R925" s="4">
        <f t="shared" si="31"/>
        <v>0</v>
      </c>
      <c r="S925" s="3" t="s">
        <v>24</v>
      </c>
      <c r="T925" s="190"/>
    </row>
    <row r="926" spans="1:20" ht="21.6" hidden="1" x14ac:dyDescent="0.3">
      <c r="A926" s="182">
        <v>2146</v>
      </c>
      <c r="B926" s="42" t="s">
        <v>20</v>
      </c>
      <c r="C926" s="43" t="s">
        <v>267</v>
      </c>
      <c r="D926" s="44" t="s">
        <v>350</v>
      </c>
      <c r="E926" s="42" t="s">
        <v>349</v>
      </c>
      <c r="F926" s="42" t="s">
        <v>145</v>
      </c>
      <c r="G926" s="42" t="s">
        <v>367</v>
      </c>
      <c r="H926" s="45" t="s">
        <v>469</v>
      </c>
      <c r="I926" s="7" t="s">
        <v>22</v>
      </c>
      <c r="J926" s="3">
        <v>0.7</v>
      </c>
      <c r="K926" s="7" t="s">
        <v>305</v>
      </c>
      <c r="L926" s="8" t="s">
        <v>257</v>
      </c>
      <c r="M926" s="339" t="s">
        <v>306</v>
      </c>
      <c r="N926" s="3">
        <v>0.95</v>
      </c>
      <c r="O926" s="3">
        <v>0.1</v>
      </c>
      <c r="P926" s="3"/>
      <c r="Q926" s="3">
        <f t="shared" si="30"/>
        <v>0</v>
      </c>
      <c r="R926" s="4">
        <f t="shared" si="31"/>
        <v>0</v>
      </c>
      <c r="S926" s="3" t="s">
        <v>23</v>
      </c>
      <c r="T926" s="190"/>
    </row>
    <row r="927" spans="1:20" ht="21.6" hidden="1" x14ac:dyDescent="0.3">
      <c r="A927" s="182">
        <v>2147</v>
      </c>
      <c r="B927" s="42" t="s">
        <v>20</v>
      </c>
      <c r="C927" s="43" t="s">
        <v>267</v>
      </c>
      <c r="D927" s="44" t="s">
        <v>350</v>
      </c>
      <c r="E927" s="42" t="s">
        <v>349</v>
      </c>
      <c r="F927" s="42" t="s">
        <v>145</v>
      </c>
      <c r="G927" s="42" t="s">
        <v>367</v>
      </c>
      <c r="H927" s="45" t="s">
        <v>469</v>
      </c>
      <c r="I927" s="47" t="s">
        <v>22</v>
      </c>
      <c r="J927" s="3">
        <v>0.7</v>
      </c>
      <c r="K927" s="47" t="s">
        <v>129</v>
      </c>
      <c r="L927" s="30" t="s">
        <v>130</v>
      </c>
      <c r="M927" s="47" t="s">
        <v>131</v>
      </c>
      <c r="N927" s="3">
        <v>0.9</v>
      </c>
      <c r="O927" s="10">
        <v>0.2</v>
      </c>
      <c r="P927" s="3"/>
      <c r="Q927" s="3">
        <f t="shared" si="30"/>
        <v>0</v>
      </c>
      <c r="R927" s="48">
        <f t="shared" si="31"/>
        <v>0</v>
      </c>
      <c r="S927" s="10" t="s">
        <v>23</v>
      </c>
      <c r="T927" s="191"/>
    </row>
    <row r="928" spans="1:20" ht="21.6" hidden="1" x14ac:dyDescent="0.3">
      <c r="A928" s="182">
        <v>2148</v>
      </c>
      <c r="B928" s="42" t="s">
        <v>20</v>
      </c>
      <c r="C928" s="43" t="s">
        <v>267</v>
      </c>
      <c r="D928" s="44" t="s">
        <v>350</v>
      </c>
      <c r="E928" s="42" t="s">
        <v>349</v>
      </c>
      <c r="F928" s="42" t="s">
        <v>145</v>
      </c>
      <c r="G928" s="42" t="s">
        <v>367</v>
      </c>
      <c r="H928" s="45" t="s">
        <v>469</v>
      </c>
      <c r="I928" s="47" t="s">
        <v>22</v>
      </c>
      <c r="J928" s="3">
        <v>0.7</v>
      </c>
      <c r="K928" s="47" t="s">
        <v>132</v>
      </c>
      <c r="L928" s="30" t="s">
        <v>133</v>
      </c>
      <c r="M928" s="47" t="s">
        <v>134</v>
      </c>
      <c r="N928" s="4">
        <v>0</v>
      </c>
      <c r="O928" s="10">
        <v>0.1</v>
      </c>
      <c r="P928" s="3"/>
      <c r="Q928" s="3">
        <f t="shared" si="30"/>
        <v>0</v>
      </c>
      <c r="R928" s="48">
        <f t="shared" si="31"/>
        <v>0</v>
      </c>
      <c r="S928" s="10" t="s">
        <v>24</v>
      </c>
      <c r="T928" s="191"/>
    </row>
    <row r="929" spans="1:20" ht="21.6" hidden="1" x14ac:dyDescent="0.3">
      <c r="A929" s="182">
        <v>2149</v>
      </c>
      <c r="B929" s="42" t="s">
        <v>20</v>
      </c>
      <c r="C929" s="43" t="s">
        <v>267</v>
      </c>
      <c r="D929" s="44" t="s">
        <v>350</v>
      </c>
      <c r="E929" s="42" t="s">
        <v>349</v>
      </c>
      <c r="F929" s="42" t="s">
        <v>145</v>
      </c>
      <c r="G929" s="42" t="s">
        <v>367</v>
      </c>
      <c r="H929" s="45" t="s">
        <v>469</v>
      </c>
      <c r="I929" s="47" t="s">
        <v>22</v>
      </c>
      <c r="J929" s="3">
        <v>0.7</v>
      </c>
      <c r="K929" s="47" t="s">
        <v>135</v>
      </c>
      <c r="L929" s="30" t="s">
        <v>136</v>
      </c>
      <c r="M929" s="47" t="s">
        <v>137</v>
      </c>
      <c r="N929" s="3">
        <v>0.9</v>
      </c>
      <c r="O929" s="10">
        <v>0.2</v>
      </c>
      <c r="P929" s="51"/>
      <c r="Q929" s="3">
        <f t="shared" si="30"/>
        <v>0</v>
      </c>
      <c r="R929" s="48">
        <f t="shared" si="31"/>
        <v>0</v>
      </c>
      <c r="S929" s="10" t="s">
        <v>23</v>
      </c>
      <c r="T929" s="191"/>
    </row>
    <row r="930" spans="1:20" ht="22.2" hidden="1" thickBot="1" x14ac:dyDescent="0.35">
      <c r="A930" s="267">
        <v>2150</v>
      </c>
      <c r="B930" s="268" t="s">
        <v>20</v>
      </c>
      <c r="C930" s="269" t="s">
        <v>267</v>
      </c>
      <c r="D930" s="270" t="s">
        <v>350</v>
      </c>
      <c r="E930" s="268" t="s">
        <v>349</v>
      </c>
      <c r="F930" s="268" t="s">
        <v>145</v>
      </c>
      <c r="G930" s="268" t="s">
        <v>367</v>
      </c>
      <c r="H930" s="271" t="s">
        <v>469</v>
      </c>
      <c r="I930" s="272" t="s">
        <v>26</v>
      </c>
      <c r="J930" s="273">
        <v>0.3</v>
      </c>
      <c r="K930" s="272" t="s">
        <v>138</v>
      </c>
      <c r="L930" s="291" t="s">
        <v>139</v>
      </c>
      <c r="M930" s="272" t="s">
        <v>140</v>
      </c>
      <c r="N930" s="273">
        <v>1</v>
      </c>
      <c r="O930" s="276">
        <v>1</v>
      </c>
      <c r="P930" s="273"/>
      <c r="Q930" s="273">
        <f t="shared" si="30"/>
        <v>0</v>
      </c>
      <c r="R930" s="287">
        <f t="shared" si="31"/>
        <v>0</v>
      </c>
      <c r="S930" s="276" t="s">
        <v>23</v>
      </c>
      <c r="T930" s="277"/>
    </row>
    <row r="931" spans="1:20" ht="21.6" hidden="1" x14ac:dyDescent="0.3">
      <c r="A931" s="242">
        <v>2142</v>
      </c>
      <c r="B931" s="243" t="s">
        <v>20</v>
      </c>
      <c r="C931" s="244" t="s">
        <v>267</v>
      </c>
      <c r="D931" s="245" t="s">
        <v>364</v>
      </c>
      <c r="E931" s="243" t="s">
        <v>363</v>
      </c>
      <c r="F931" s="243" t="s">
        <v>123</v>
      </c>
      <c r="G931" s="243" t="s">
        <v>367</v>
      </c>
      <c r="H931" s="246" t="s">
        <v>469</v>
      </c>
      <c r="I931" s="294" t="s">
        <v>22</v>
      </c>
      <c r="J931" s="248">
        <v>0.7</v>
      </c>
      <c r="K931" s="75" t="s">
        <v>513</v>
      </c>
      <c r="L931" s="105" t="s">
        <v>511</v>
      </c>
      <c r="M931" s="75" t="s">
        <v>411</v>
      </c>
      <c r="N931" s="248">
        <v>0.95</v>
      </c>
      <c r="O931" s="248">
        <v>0.15</v>
      </c>
      <c r="P931" s="248"/>
      <c r="Q931" s="248">
        <f t="shared" si="30"/>
        <v>0</v>
      </c>
      <c r="R931" s="250">
        <f t="shared" si="31"/>
        <v>0</v>
      </c>
      <c r="S931" s="248" t="s">
        <v>23</v>
      </c>
      <c r="T931" s="251">
        <f>SUM(R931:R938)%</f>
        <v>0</v>
      </c>
    </row>
    <row r="932" spans="1:20" ht="21.6" hidden="1" x14ac:dyDescent="0.3">
      <c r="A932" s="182">
        <v>2144</v>
      </c>
      <c r="B932" s="42" t="s">
        <v>20</v>
      </c>
      <c r="C932" s="43" t="s">
        <v>267</v>
      </c>
      <c r="D932" s="44" t="s">
        <v>364</v>
      </c>
      <c r="E932" s="42" t="s">
        <v>363</v>
      </c>
      <c r="F932" s="42" t="s">
        <v>123</v>
      </c>
      <c r="G932" s="42" t="s">
        <v>367</v>
      </c>
      <c r="H932" s="45" t="s">
        <v>469</v>
      </c>
      <c r="I932" s="7" t="s">
        <v>22</v>
      </c>
      <c r="J932" s="3">
        <v>0.7</v>
      </c>
      <c r="K932" s="7" t="s">
        <v>124</v>
      </c>
      <c r="L932" s="8" t="s">
        <v>125</v>
      </c>
      <c r="M932" s="7" t="s">
        <v>126</v>
      </c>
      <c r="N932" s="3">
        <v>0.95</v>
      </c>
      <c r="O932" s="3">
        <v>0.15</v>
      </c>
      <c r="P932" s="6"/>
      <c r="Q932" s="3">
        <f t="shared" si="30"/>
        <v>0</v>
      </c>
      <c r="R932" s="4">
        <f t="shared" si="31"/>
        <v>0</v>
      </c>
      <c r="S932" s="3" t="s">
        <v>23</v>
      </c>
      <c r="T932" s="190"/>
    </row>
    <row r="933" spans="1:20" ht="21.6" hidden="1" x14ac:dyDescent="0.3">
      <c r="A933" s="182">
        <v>2145</v>
      </c>
      <c r="B933" s="42" t="s">
        <v>20</v>
      </c>
      <c r="C933" s="43" t="s">
        <v>267</v>
      </c>
      <c r="D933" s="44" t="s">
        <v>364</v>
      </c>
      <c r="E933" s="42" t="s">
        <v>363</v>
      </c>
      <c r="F933" s="42" t="s">
        <v>123</v>
      </c>
      <c r="G933" s="42" t="s">
        <v>367</v>
      </c>
      <c r="H933" s="45" t="s">
        <v>469</v>
      </c>
      <c r="I933" s="7" t="s">
        <v>22</v>
      </c>
      <c r="J933" s="3">
        <v>0.7</v>
      </c>
      <c r="K933" s="7" t="s">
        <v>51</v>
      </c>
      <c r="L933" s="8" t="s">
        <v>127</v>
      </c>
      <c r="M933" s="7" t="s">
        <v>128</v>
      </c>
      <c r="N933" s="6">
        <v>0.05</v>
      </c>
      <c r="O933" s="3">
        <v>0.1</v>
      </c>
      <c r="P933" s="11"/>
      <c r="Q933" s="3">
        <f t="shared" si="30"/>
        <v>0</v>
      </c>
      <c r="R933" s="4">
        <f t="shared" si="31"/>
        <v>0</v>
      </c>
      <c r="S933" s="3" t="s">
        <v>24</v>
      </c>
      <c r="T933" s="190"/>
    </row>
    <row r="934" spans="1:20" ht="21.6" hidden="1" x14ac:dyDescent="0.3">
      <c r="A934" s="182">
        <v>2146</v>
      </c>
      <c r="B934" s="42" t="s">
        <v>20</v>
      </c>
      <c r="C934" s="43" t="s">
        <v>267</v>
      </c>
      <c r="D934" s="44" t="s">
        <v>364</v>
      </c>
      <c r="E934" s="42" t="s">
        <v>363</v>
      </c>
      <c r="F934" s="42" t="s">
        <v>123</v>
      </c>
      <c r="G934" s="42" t="s">
        <v>367</v>
      </c>
      <c r="H934" s="45" t="s">
        <v>469</v>
      </c>
      <c r="I934" s="7" t="s">
        <v>22</v>
      </c>
      <c r="J934" s="3">
        <v>0.7</v>
      </c>
      <c r="K934" s="7" t="s">
        <v>305</v>
      </c>
      <c r="L934" s="8" t="s">
        <v>257</v>
      </c>
      <c r="M934" s="339" t="s">
        <v>306</v>
      </c>
      <c r="N934" s="3">
        <v>0.95</v>
      </c>
      <c r="O934" s="3">
        <v>0.1</v>
      </c>
      <c r="P934" s="3"/>
      <c r="Q934" s="3">
        <f t="shared" si="30"/>
        <v>0</v>
      </c>
      <c r="R934" s="4">
        <f t="shared" si="31"/>
        <v>0</v>
      </c>
      <c r="S934" s="3" t="s">
        <v>23</v>
      </c>
      <c r="T934" s="190"/>
    </row>
    <row r="935" spans="1:20" ht="21.6" hidden="1" x14ac:dyDescent="0.3">
      <c r="A935" s="182">
        <v>2147</v>
      </c>
      <c r="B935" s="42" t="s">
        <v>20</v>
      </c>
      <c r="C935" s="43" t="s">
        <v>267</v>
      </c>
      <c r="D935" s="44" t="s">
        <v>364</v>
      </c>
      <c r="E935" s="42" t="s">
        <v>363</v>
      </c>
      <c r="F935" s="42" t="s">
        <v>123</v>
      </c>
      <c r="G935" s="42" t="s">
        <v>367</v>
      </c>
      <c r="H935" s="45" t="s">
        <v>469</v>
      </c>
      <c r="I935" s="47" t="s">
        <v>22</v>
      </c>
      <c r="J935" s="3">
        <v>0.7</v>
      </c>
      <c r="K935" s="47" t="s">
        <v>129</v>
      </c>
      <c r="L935" s="30" t="s">
        <v>130</v>
      </c>
      <c r="M935" s="47" t="s">
        <v>131</v>
      </c>
      <c r="N935" s="3">
        <v>0.9</v>
      </c>
      <c r="O935" s="10">
        <v>0.2</v>
      </c>
      <c r="P935" s="3"/>
      <c r="Q935" s="3">
        <f t="shared" si="30"/>
        <v>0</v>
      </c>
      <c r="R935" s="48">
        <f t="shared" si="31"/>
        <v>0</v>
      </c>
      <c r="S935" s="10" t="s">
        <v>23</v>
      </c>
      <c r="T935" s="191"/>
    </row>
    <row r="936" spans="1:20" ht="21.6" hidden="1" x14ac:dyDescent="0.3">
      <c r="A936" s="182">
        <v>2148</v>
      </c>
      <c r="B936" s="42" t="s">
        <v>20</v>
      </c>
      <c r="C936" s="43" t="s">
        <v>267</v>
      </c>
      <c r="D936" s="44" t="s">
        <v>364</v>
      </c>
      <c r="E936" s="42" t="s">
        <v>363</v>
      </c>
      <c r="F936" s="42" t="s">
        <v>123</v>
      </c>
      <c r="G936" s="42" t="s">
        <v>367</v>
      </c>
      <c r="H936" s="45" t="s">
        <v>469</v>
      </c>
      <c r="I936" s="47" t="s">
        <v>22</v>
      </c>
      <c r="J936" s="3">
        <v>0.7</v>
      </c>
      <c r="K936" s="47" t="s">
        <v>132</v>
      </c>
      <c r="L936" s="30" t="s">
        <v>133</v>
      </c>
      <c r="M936" s="47" t="s">
        <v>134</v>
      </c>
      <c r="N936" s="4">
        <v>0</v>
      </c>
      <c r="O936" s="10">
        <v>0.1</v>
      </c>
      <c r="P936" s="3"/>
      <c r="Q936" s="3">
        <f t="shared" si="30"/>
        <v>0</v>
      </c>
      <c r="R936" s="48">
        <f t="shared" si="31"/>
        <v>0</v>
      </c>
      <c r="S936" s="10" t="s">
        <v>24</v>
      </c>
      <c r="T936" s="191"/>
    </row>
    <row r="937" spans="1:20" ht="21.6" hidden="1" x14ac:dyDescent="0.3">
      <c r="A937" s="182">
        <v>2149</v>
      </c>
      <c r="B937" s="42" t="s">
        <v>20</v>
      </c>
      <c r="C937" s="43" t="s">
        <v>267</v>
      </c>
      <c r="D937" s="44" t="s">
        <v>364</v>
      </c>
      <c r="E937" s="42" t="s">
        <v>363</v>
      </c>
      <c r="F937" s="42" t="s">
        <v>123</v>
      </c>
      <c r="G937" s="42" t="s">
        <v>367</v>
      </c>
      <c r="H937" s="45" t="s">
        <v>469</v>
      </c>
      <c r="I937" s="47" t="s">
        <v>22</v>
      </c>
      <c r="J937" s="3">
        <v>0.7</v>
      </c>
      <c r="K937" s="47" t="s">
        <v>135</v>
      </c>
      <c r="L937" s="30" t="s">
        <v>136</v>
      </c>
      <c r="M937" s="47" t="s">
        <v>137</v>
      </c>
      <c r="N937" s="3">
        <v>0.9</v>
      </c>
      <c r="O937" s="10">
        <v>0.2</v>
      </c>
      <c r="P937" s="51"/>
      <c r="Q937" s="3">
        <f t="shared" si="30"/>
        <v>0</v>
      </c>
      <c r="R937" s="48">
        <f t="shared" si="31"/>
        <v>0</v>
      </c>
      <c r="S937" s="10" t="s">
        <v>23</v>
      </c>
      <c r="T937" s="191"/>
    </row>
    <row r="938" spans="1:20" ht="22.2" hidden="1" thickBot="1" x14ac:dyDescent="0.35">
      <c r="A938" s="267">
        <v>2150</v>
      </c>
      <c r="B938" s="268" t="s">
        <v>20</v>
      </c>
      <c r="C938" s="269" t="s">
        <v>267</v>
      </c>
      <c r="D938" s="270" t="s">
        <v>364</v>
      </c>
      <c r="E938" s="268" t="s">
        <v>363</v>
      </c>
      <c r="F938" s="268" t="s">
        <v>123</v>
      </c>
      <c r="G938" s="268" t="s">
        <v>367</v>
      </c>
      <c r="H938" s="271" t="s">
        <v>469</v>
      </c>
      <c r="I938" s="272" t="s">
        <v>26</v>
      </c>
      <c r="J938" s="273">
        <v>0.3</v>
      </c>
      <c r="K938" s="272" t="s">
        <v>138</v>
      </c>
      <c r="L938" s="291" t="s">
        <v>139</v>
      </c>
      <c r="M938" s="272" t="s">
        <v>140</v>
      </c>
      <c r="N938" s="273">
        <v>1</v>
      </c>
      <c r="O938" s="276">
        <v>1</v>
      </c>
      <c r="P938" s="273"/>
      <c r="Q938" s="273">
        <f t="shared" si="30"/>
        <v>0</v>
      </c>
      <c r="R938" s="287">
        <f t="shared" si="31"/>
        <v>0</v>
      </c>
      <c r="S938" s="276" t="s">
        <v>23</v>
      </c>
      <c r="T938" s="277"/>
    </row>
    <row r="939" spans="1:20" ht="21.6" hidden="1" x14ac:dyDescent="0.3">
      <c r="A939" s="242">
        <v>2142</v>
      </c>
      <c r="B939" s="243" t="s">
        <v>20</v>
      </c>
      <c r="C939" s="244" t="s">
        <v>267</v>
      </c>
      <c r="D939" s="245" t="s">
        <v>366</v>
      </c>
      <c r="E939" s="243" t="s">
        <v>365</v>
      </c>
      <c r="F939" s="243" t="s">
        <v>123</v>
      </c>
      <c r="G939" s="243" t="s">
        <v>367</v>
      </c>
      <c r="H939" s="246" t="s">
        <v>469</v>
      </c>
      <c r="I939" s="294" t="s">
        <v>22</v>
      </c>
      <c r="J939" s="248">
        <v>0.7</v>
      </c>
      <c r="K939" s="75" t="s">
        <v>513</v>
      </c>
      <c r="L939" s="105" t="s">
        <v>511</v>
      </c>
      <c r="M939" s="75" t="s">
        <v>411</v>
      </c>
      <c r="N939" s="248">
        <v>0.95</v>
      </c>
      <c r="O939" s="248">
        <v>0.15</v>
      </c>
      <c r="P939" s="248"/>
      <c r="Q939" s="248">
        <f t="shared" si="30"/>
        <v>0</v>
      </c>
      <c r="R939" s="250">
        <f t="shared" si="31"/>
        <v>0</v>
      </c>
      <c r="S939" s="248" t="s">
        <v>23</v>
      </c>
      <c r="T939" s="251">
        <f>SUM(R939:R946)%</f>
        <v>0</v>
      </c>
    </row>
    <row r="940" spans="1:20" ht="21.6" hidden="1" x14ac:dyDescent="0.3">
      <c r="A940" s="182">
        <v>2144</v>
      </c>
      <c r="B940" s="42" t="s">
        <v>20</v>
      </c>
      <c r="C940" s="43" t="s">
        <v>267</v>
      </c>
      <c r="D940" s="44" t="s">
        <v>366</v>
      </c>
      <c r="E940" s="42" t="s">
        <v>365</v>
      </c>
      <c r="F940" s="42" t="s">
        <v>123</v>
      </c>
      <c r="G940" s="42" t="s">
        <v>367</v>
      </c>
      <c r="H940" s="45" t="s">
        <v>469</v>
      </c>
      <c r="I940" s="7" t="s">
        <v>22</v>
      </c>
      <c r="J940" s="3">
        <v>0.7</v>
      </c>
      <c r="K940" s="7" t="s">
        <v>124</v>
      </c>
      <c r="L940" s="8" t="s">
        <v>125</v>
      </c>
      <c r="M940" s="7" t="s">
        <v>126</v>
      </c>
      <c r="N940" s="3">
        <v>0.95</v>
      </c>
      <c r="O940" s="3">
        <v>0.15</v>
      </c>
      <c r="P940" s="6"/>
      <c r="Q940" s="3">
        <f t="shared" si="30"/>
        <v>0</v>
      </c>
      <c r="R940" s="4">
        <f t="shared" si="31"/>
        <v>0</v>
      </c>
      <c r="S940" s="3" t="s">
        <v>23</v>
      </c>
      <c r="T940" s="190"/>
    </row>
    <row r="941" spans="1:20" ht="21.6" hidden="1" x14ac:dyDescent="0.3">
      <c r="A941" s="182">
        <v>2145</v>
      </c>
      <c r="B941" s="42" t="s">
        <v>20</v>
      </c>
      <c r="C941" s="43" t="s">
        <v>267</v>
      </c>
      <c r="D941" s="44" t="s">
        <v>366</v>
      </c>
      <c r="E941" s="42" t="s">
        <v>365</v>
      </c>
      <c r="F941" s="42" t="s">
        <v>123</v>
      </c>
      <c r="G941" s="42" t="s">
        <v>367</v>
      </c>
      <c r="H941" s="45" t="s">
        <v>469</v>
      </c>
      <c r="I941" s="7" t="s">
        <v>22</v>
      </c>
      <c r="J941" s="3">
        <v>0.7</v>
      </c>
      <c r="K941" s="7" t="s">
        <v>51</v>
      </c>
      <c r="L941" s="8" t="s">
        <v>127</v>
      </c>
      <c r="M941" s="7" t="s">
        <v>128</v>
      </c>
      <c r="N941" s="6">
        <v>0.05</v>
      </c>
      <c r="O941" s="3">
        <v>0.1</v>
      </c>
      <c r="P941" s="11"/>
      <c r="Q941" s="3">
        <f t="shared" si="30"/>
        <v>0</v>
      </c>
      <c r="R941" s="4">
        <f t="shared" si="31"/>
        <v>0</v>
      </c>
      <c r="S941" s="3" t="s">
        <v>24</v>
      </c>
      <c r="T941" s="190"/>
    </row>
    <row r="942" spans="1:20" ht="21.6" hidden="1" x14ac:dyDescent="0.3">
      <c r="A942" s="182">
        <v>2146</v>
      </c>
      <c r="B942" s="42" t="s">
        <v>20</v>
      </c>
      <c r="C942" s="43" t="s">
        <v>267</v>
      </c>
      <c r="D942" s="44" t="s">
        <v>366</v>
      </c>
      <c r="E942" s="42" t="s">
        <v>365</v>
      </c>
      <c r="F942" s="42" t="s">
        <v>123</v>
      </c>
      <c r="G942" s="42" t="s">
        <v>367</v>
      </c>
      <c r="H942" s="45" t="s">
        <v>469</v>
      </c>
      <c r="I942" s="7" t="s">
        <v>22</v>
      </c>
      <c r="J942" s="3">
        <v>0.7</v>
      </c>
      <c r="K942" s="7" t="s">
        <v>305</v>
      </c>
      <c r="L942" s="8" t="s">
        <v>257</v>
      </c>
      <c r="M942" s="339" t="s">
        <v>306</v>
      </c>
      <c r="N942" s="3">
        <v>0.95</v>
      </c>
      <c r="O942" s="3">
        <v>0.1</v>
      </c>
      <c r="P942" s="3"/>
      <c r="Q942" s="3">
        <f t="shared" si="30"/>
        <v>0</v>
      </c>
      <c r="R942" s="4">
        <f t="shared" si="31"/>
        <v>0</v>
      </c>
      <c r="S942" s="3" t="s">
        <v>23</v>
      </c>
      <c r="T942" s="190"/>
    </row>
    <row r="943" spans="1:20" ht="21.6" hidden="1" x14ac:dyDescent="0.3">
      <c r="A943" s="182">
        <v>2147</v>
      </c>
      <c r="B943" s="42" t="s">
        <v>20</v>
      </c>
      <c r="C943" s="43" t="s">
        <v>267</v>
      </c>
      <c r="D943" s="44" t="s">
        <v>366</v>
      </c>
      <c r="E943" s="42" t="s">
        <v>365</v>
      </c>
      <c r="F943" s="42" t="s">
        <v>123</v>
      </c>
      <c r="G943" s="42" t="s">
        <v>367</v>
      </c>
      <c r="H943" s="45" t="s">
        <v>469</v>
      </c>
      <c r="I943" s="47" t="s">
        <v>22</v>
      </c>
      <c r="J943" s="3">
        <v>0.7</v>
      </c>
      <c r="K943" s="47" t="s">
        <v>129</v>
      </c>
      <c r="L943" s="30" t="s">
        <v>130</v>
      </c>
      <c r="M943" s="47" t="s">
        <v>131</v>
      </c>
      <c r="N943" s="3">
        <v>0.9</v>
      </c>
      <c r="O943" s="10">
        <v>0.2</v>
      </c>
      <c r="P943" s="3"/>
      <c r="Q943" s="3">
        <f t="shared" si="30"/>
        <v>0</v>
      </c>
      <c r="R943" s="48">
        <f t="shared" si="31"/>
        <v>0</v>
      </c>
      <c r="S943" s="10" t="s">
        <v>23</v>
      </c>
      <c r="T943" s="191"/>
    </row>
    <row r="944" spans="1:20" ht="21.6" hidden="1" x14ac:dyDescent="0.3">
      <c r="A944" s="182">
        <v>2148</v>
      </c>
      <c r="B944" s="42" t="s">
        <v>20</v>
      </c>
      <c r="C944" s="43" t="s">
        <v>267</v>
      </c>
      <c r="D944" s="44" t="s">
        <v>366</v>
      </c>
      <c r="E944" s="42" t="s">
        <v>365</v>
      </c>
      <c r="F944" s="42" t="s">
        <v>123</v>
      </c>
      <c r="G944" s="42" t="s">
        <v>367</v>
      </c>
      <c r="H944" s="45" t="s">
        <v>469</v>
      </c>
      <c r="I944" s="47" t="s">
        <v>22</v>
      </c>
      <c r="J944" s="3">
        <v>0.7</v>
      </c>
      <c r="K944" s="47" t="s">
        <v>132</v>
      </c>
      <c r="L944" s="30" t="s">
        <v>133</v>
      </c>
      <c r="M944" s="47" t="s">
        <v>134</v>
      </c>
      <c r="N944" s="4">
        <v>0</v>
      </c>
      <c r="O944" s="10">
        <v>0.1</v>
      </c>
      <c r="P944" s="3"/>
      <c r="Q944" s="3">
        <f t="shared" si="30"/>
        <v>0</v>
      </c>
      <c r="R944" s="48">
        <f t="shared" si="31"/>
        <v>0</v>
      </c>
      <c r="S944" s="10" t="s">
        <v>24</v>
      </c>
      <c r="T944" s="191"/>
    </row>
    <row r="945" spans="1:20" ht="21.6" hidden="1" x14ac:dyDescent="0.3">
      <c r="A945" s="182">
        <v>2149</v>
      </c>
      <c r="B945" s="42" t="s">
        <v>20</v>
      </c>
      <c r="C945" s="43" t="s">
        <v>267</v>
      </c>
      <c r="D945" s="44" t="s">
        <v>366</v>
      </c>
      <c r="E945" s="42" t="s">
        <v>365</v>
      </c>
      <c r="F945" s="42" t="s">
        <v>123</v>
      </c>
      <c r="G945" s="42" t="s">
        <v>367</v>
      </c>
      <c r="H945" s="45" t="s">
        <v>469</v>
      </c>
      <c r="I945" s="47" t="s">
        <v>22</v>
      </c>
      <c r="J945" s="3">
        <v>0.7</v>
      </c>
      <c r="K945" s="47" t="s">
        <v>135</v>
      </c>
      <c r="L945" s="30" t="s">
        <v>136</v>
      </c>
      <c r="M945" s="47" t="s">
        <v>137</v>
      </c>
      <c r="N945" s="3">
        <v>0.9</v>
      </c>
      <c r="O945" s="10">
        <v>0.2</v>
      </c>
      <c r="P945" s="51"/>
      <c r="Q945" s="3">
        <f t="shared" si="30"/>
        <v>0</v>
      </c>
      <c r="R945" s="48">
        <f t="shared" si="31"/>
        <v>0</v>
      </c>
      <c r="S945" s="10" t="s">
        <v>23</v>
      </c>
      <c r="T945" s="191"/>
    </row>
    <row r="946" spans="1:20" ht="22.2" hidden="1" thickBot="1" x14ac:dyDescent="0.35">
      <c r="A946" s="267">
        <v>2150</v>
      </c>
      <c r="B946" s="268" t="s">
        <v>20</v>
      </c>
      <c r="C946" s="269" t="s">
        <v>267</v>
      </c>
      <c r="D946" s="270" t="s">
        <v>366</v>
      </c>
      <c r="E946" s="268" t="s">
        <v>365</v>
      </c>
      <c r="F946" s="268" t="s">
        <v>123</v>
      </c>
      <c r="G946" s="268" t="s">
        <v>367</v>
      </c>
      <c r="H946" s="271" t="s">
        <v>469</v>
      </c>
      <c r="I946" s="272" t="s">
        <v>26</v>
      </c>
      <c r="J946" s="273">
        <v>0.3</v>
      </c>
      <c r="K946" s="272" t="s">
        <v>138</v>
      </c>
      <c r="L946" s="291" t="s">
        <v>139</v>
      </c>
      <c r="M946" s="272" t="s">
        <v>140</v>
      </c>
      <c r="N946" s="273">
        <v>1</v>
      </c>
      <c r="O946" s="276">
        <v>1</v>
      </c>
      <c r="P946" s="273"/>
      <c r="Q946" s="273">
        <f t="shared" si="30"/>
        <v>0</v>
      </c>
      <c r="R946" s="287">
        <f t="shared" si="31"/>
        <v>0</v>
      </c>
      <c r="S946" s="276" t="s">
        <v>23</v>
      </c>
      <c r="T946" s="277"/>
    </row>
    <row r="947" spans="1:20" ht="21.6" hidden="1" x14ac:dyDescent="0.3">
      <c r="A947" s="242">
        <v>2142</v>
      </c>
      <c r="B947" s="243" t="s">
        <v>20</v>
      </c>
      <c r="C947" s="244" t="s">
        <v>267</v>
      </c>
      <c r="D947" s="245" t="s">
        <v>494</v>
      </c>
      <c r="E947" s="243" t="s">
        <v>495</v>
      </c>
      <c r="F947" s="243" t="s">
        <v>264</v>
      </c>
      <c r="G947" s="243" t="s">
        <v>367</v>
      </c>
      <c r="H947" s="246" t="s">
        <v>469</v>
      </c>
      <c r="I947" s="294" t="s">
        <v>22</v>
      </c>
      <c r="J947" s="248">
        <v>0.7</v>
      </c>
      <c r="K947" s="75" t="s">
        <v>513</v>
      </c>
      <c r="L947" s="105" t="s">
        <v>511</v>
      </c>
      <c r="M947" s="75" t="s">
        <v>411</v>
      </c>
      <c r="N947" s="248">
        <v>0.95</v>
      </c>
      <c r="O947" s="248">
        <v>0.15</v>
      </c>
      <c r="P947" s="248"/>
      <c r="Q947" s="248">
        <f t="shared" si="30"/>
        <v>0</v>
      </c>
      <c r="R947" s="250">
        <f t="shared" si="31"/>
        <v>0</v>
      </c>
      <c r="S947" s="248" t="s">
        <v>23</v>
      </c>
      <c r="T947" s="251">
        <f>SUM(R947:R954)%</f>
        <v>0</v>
      </c>
    </row>
    <row r="948" spans="1:20" ht="21.6" hidden="1" x14ac:dyDescent="0.3">
      <c r="A948" s="182">
        <v>2144</v>
      </c>
      <c r="B948" s="42" t="s">
        <v>20</v>
      </c>
      <c r="C948" s="43" t="s">
        <v>267</v>
      </c>
      <c r="D948" s="44" t="s">
        <v>494</v>
      </c>
      <c r="E948" s="42" t="s">
        <v>495</v>
      </c>
      <c r="F948" s="42" t="s">
        <v>264</v>
      </c>
      <c r="G948" s="42" t="s">
        <v>367</v>
      </c>
      <c r="H948" s="45" t="s">
        <v>469</v>
      </c>
      <c r="I948" s="7" t="s">
        <v>22</v>
      </c>
      <c r="J948" s="3">
        <v>0.7</v>
      </c>
      <c r="K948" s="7" t="s">
        <v>124</v>
      </c>
      <c r="L948" s="8" t="s">
        <v>125</v>
      </c>
      <c r="M948" s="7" t="s">
        <v>126</v>
      </c>
      <c r="N948" s="3">
        <v>0.95</v>
      </c>
      <c r="O948" s="3">
        <v>0.15</v>
      </c>
      <c r="P948" s="6"/>
      <c r="Q948" s="3">
        <f t="shared" si="30"/>
        <v>0</v>
      </c>
      <c r="R948" s="4">
        <f t="shared" si="31"/>
        <v>0</v>
      </c>
      <c r="S948" s="3" t="s">
        <v>23</v>
      </c>
      <c r="T948" s="190"/>
    </row>
    <row r="949" spans="1:20" ht="21.6" hidden="1" x14ac:dyDescent="0.3">
      <c r="A949" s="182">
        <v>2145</v>
      </c>
      <c r="B949" s="42" t="s">
        <v>20</v>
      </c>
      <c r="C949" s="43" t="s">
        <v>267</v>
      </c>
      <c r="D949" s="44" t="s">
        <v>494</v>
      </c>
      <c r="E949" s="42" t="s">
        <v>495</v>
      </c>
      <c r="F949" s="42" t="s">
        <v>264</v>
      </c>
      <c r="G949" s="42" t="s">
        <v>367</v>
      </c>
      <c r="H949" s="45" t="s">
        <v>469</v>
      </c>
      <c r="I949" s="7" t="s">
        <v>22</v>
      </c>
      <c r="J949" s="3">
        <v>0.7</v>
      </c>
      <c r="K949" s="7" t="s">
        <v>51</v>
      </c>
      <c r="L949" s="8" t="s">
        <v>127</v>
      </c>
      <c r="M949" s="7" t="s">
        <v>128</v>
      </c>
      <c r="N949" s="6">
        <v>0.05</v>
      </c>
      <c r="O949" s="3">
        <v>0.1</v>
      </c>
      <c r="P949" s="11"/>
      <c r="Q949" s="3">
        <f t="shared" si="30"/>
        <v>0</v>
      </c>
      <c r="R949" s="4">
        <f t="shared" si="31"/>
        <v>0</v>
      </c>
      <c r="S949" s="3" t="s">
        <v>24</v>
      </c>
      <c r="T949" s="190"/>
    </row>
    <row r="950" spans="1:20" ht="21.6" hidden="1" x14ac:dyDescent="0.3">
      <c r="A950" s="182">
        <v>2146</v>
      </c>
      <c r="B950" s="42" t="s">
        <v>20</v>
      </c>
      <c r="C950" s="43" t="s">
        <v>267</v>
      </c>
      <c r="D950" s="44" t="s">
        <v>494</v>
      </c>
      <c r="E950" s="42" t="s">
        <v>495</v>
      </c>
      <c r="F950" s="42" t="s">
        <v>264</v>
      </c>
      <c r="G950" s="42" t="s">
        <v>367</v>
      </c>
      <c r="H950" s="45" t="s">
        <v>469</v>
      </c>
      <c r="I950" s="7" t="s">
        <v>22</v>
      </c>
      <c r="J950" s="3">
        <v>0.7</v>
      </c>
      <c r="K950" s="7" t="s">
        <v>305</v>
      </c>
      <c r="L950" s="8" t="s">
        <v>257</v>
      </c>
      <c r="M950" s="339" t="s">
        <v>306</v>
      </c>
      <c r="N950" s="3">
        <v>0.95</v>
      </c>
      <c r="O950" s="3">
        <v>0.1</v>
      </c>
      <c r="P950" s="3"/>
      <c r="Q950" s="3">
        <f t="shared" si="30"/>
        <v>0</v>
      </c>
      <c r="R950" s="4">
        <f t="shared" si="31"/>
        <v>0</v>
      </c>
      <c r="S950" s="3" t="s">
        <v>23</v>
      </c>
      <c r="T950" s="190"/>
    </row>
    <row r="951" spans="1:20" ht="21.6" hidden="1" x14ac:dyDescent="0.3">
      <c r="A951" s="182">
        <v>2147</v>
      </c>
      <c r="B951" s="42" t="s">
        <v>20</v>
      </c>
      <c r="C951" s="43" t="s">
        <v>267</v>
      </c>
      <c r="D951" s="44" t="s">
        <v>494</v>
      </c>
      <c r="E951" s="42" t="s">
        <v>495</v>
      </c>
      <c r="F951" s="42" t="s">
        <v>264</v>
      </c>
      <c r="G951" s="42" t="s">
        <v>367</v>
      </c>
      <c r="H951" s="45" t="s">
        <v>469</v>
      </c>
      <c r="I951" s="47" t="s">
        <v>22</v>
      </c>
      <c r="J951" s="3">
        <v>0.7</v>
      </c>
      <c r="K951" s="47" t="s">
        <v>129</v>
      </c>
      <c r="L951" s="30" t="s">
        <v>130</v>
      </c>
      <c r="M951" s="47" t="s">
        <v>131</v>
      </c>
      <c r="N951" s="3">
        <v>0.9</v>
      </c>
      <c r="O951" s="10">
        <v>0.2</v>
      </c>
      <c r="P951" s="3"/>
      <c r="Q951" s="3">
        <f t="shared" si="30"/>
        <v>0</v>
      </c>
      <c r="R951" s="48">
        <f t="shared" si="31"/>
        <v>0</v>
      </c>
      <c r="S951" s="10" t="s">
        <v>23</v>
      </c>
      <c r="T951" s="191"/>
    </row>
    <row r="952" spans="1:20" ht="21.6" hidden="1" x14ac:dyDescent="0.3">
      <c r="A952" s="182">
        <v>2148</v>
      </c>
      <c r="B952" s="42" t="s">
        <v>20</v>
      </c>
      <c r="C952" s="43" t="s">
        <v>267</v>
      </c>
      <c r="D952" s="44" t="s">
        <v>494</v>
      </c>
      <c r="E952" s="42" t="s">
        <v>495</v>
      </c>
      <c r="F952" s="42" t="s">
        <v>264</v>
      </c>
      <c r="G952" s="42" t="s">
        <v>367</v>
      </c>
      <c r="H952" s="45" t="s">
        <v>469</v>
      </c>
      <c r="I952" s="47" t="s">
        <v>22</v>
      </c>
      <c r="J952" s="3">
        <v>0.7</v>
      </c>
      <c r="K952" s="47" t="s">
        <v>132</v>
      </c>
      <c r="L952" s="30" t="s">
        <v>133</v>
      </c>
      <c r="M952" s="47" t="s">
        <v>134</v>
      </c>
      <c r="N952" s="4">
        <v>0</v>
      </c>
      <c r="O952" s="10">
        <v>0.1</v>
      </c>
      <c r="P952" s="3"/>
      <c r="Q952" s="3">
        <f t="shared" si="30"/>
        <v>0</v>
      </c>
      <c r="R952" s="48">
        <f t="shared" si="31"/>
        <v>0</v>
      </c>
      <c r="S952" s="10" t="s">
        <v>24</v>
      </c>
      <c r="T952" s="191"/>
    </row>
    <row r="953" spans="1:20" ht="21.6" hidden="1" x14ac:dyDescent="0.3">
      <c r="A953" s="182">
        <v>2149</v>
      </c>
      <c r="B953" s="42" t="s">
        <v>20</v>
      </c>
      <c r="C953" s="43" t="s">
        <v>267</v>
      </c>
      <c r="D953" s="44" t="s">
        <v>494</v>
      </c>
      <c r="E953" s="42" t="s">
        <v>495</v>
      </c>
      <c r="F953" s="42" t="s">
        <v>264</v>
      </c>
      <c r="G953" s="42" t="s">
        <v>367</v>
      </c>
      <c r="H953" s="45" t="s">
        <v>469</v>
      </c>
      <c r="I953" s="47" t="s">
        <v>22</v>
      </c>
      <c r="J953" s="3">
        <v>0.7</v>
      </c>
      <c r="K953" s="47" t="s">
        <v>135</v>
      </c>
      <c r="L953" s="30" t="s">
        <v>136</v>
      </c>
      <c r="M953" s="47" t="s">
        <v>137</v>
      </c>
      <c r="N953" s="3">
        <v>0.9</v>
      </c>
      <c r="O953" s="10">
        <v>0.2</v>
      </c>
      <c r="P953" s="51"/>
      <c r="Q953" s="3">
        <f t="shared" ref="Q953:Q1016" si="32">ROUND(IF(OR(N953="",P953=""),0,IF(AND(N953=0,P953=0),1,IF(S953="+",P953/N953,N953/P953))),2)</f>
        <v>0</v>
      </c>
      <c r="R953" s="48">
        <f t="shared" si="31"/>
        <v>0</v>
      </c>
      <c r="S953" s="10" t="s">
        <v>23</v>
      </c>
      <c r="T953" s="191"/>
    </row>
    <row r="954" spans="1:20" ht="22.2" hidden="1" thickBot="1" x14ac:dyDescent="0.35">
      <c r="A954" s="267">
        <v>2150</v>
      </c>
      <c r="B954" s="268" t="s">
        <v>20</v>
      </c>
      <c r="C954" s="269" t="s">
        <v>267</v>
      </c>
      <c r="D954" s="270" t="s">
        <v>494</v>
      </c>
      <c r="E954" s="268" t="s">
        <v>495</v>
      </c>
      <c r="F954" s="268" t="s">
        <v>264</v>
      </c>
      <c r="G954" s="268" t="s">
        <v>367</v>
      </c>
      <c r="H954" s="271" t="s">
        <v>469</v>
      </c>
      <c r="I954" s="272" t="s">
        <v>26</v>
      </c>
      <c r="J954" s="273">
        <v>0.3</v>
      </c>
      <c r="K954" s="272" t="s">
        <v>138</v>
      </c>
      <c r="L954" s="291" t="s">
        <v>139</v>
      </c>
      <c r="M954" s="272" t="s">
        <v>140</v>
      </c>
      <c r="N954" s="273">
        <v>1</v>
      </c>
      <c r="O954" s="276">
        <v>1</v>
      </c>
      <c r="P954" s="273"/>
      <c r="Q954" s="273">
        <f t="shared" si="32"/>
        <v>0</v>
      </c>
      <c r="R954" s="287">
        <f t="shared" si="31"/>
        <v>0</v>
      </c>
      <c r="S954" s="276" t="s">
        <v>23</v>
      </c>
      <c r="T954" s="277"/>
    </row>
    <row r="955" spans="1:20" ht="21.6" hidden="1" x14ac:dyDescent="0.3">
      <c r="A955" s="242">
        <v>2142</v>
      </c>
      <c r="B955" s="243" t="s">
        <v>20</v>
      </c>
      <c r="C955" s="244" t="s">
        <v>267</v>
      </c>
      <c r="D955" s="245" t="s">
        <v>494</v>
      </c>
      <c r="E955" s="243" t="s">
        <v>496</v>
      </c>
      <c r="F955" s="243" t="s">
        <v>123</v>
      </c>
      <c r="G955" s="243" t="s">
        <v>367</v>
      </c>
      <c r="H955" s="246" t="s">
        <v>469</v>
      </c>
      <c r="I955" s="294" t="s">
        <v>22</v>
      </c>
      <c r="J955" s="248">
        <v>0.7</v>
      </c>
      <c r="K955" s="75" t="s">
        <v>513</v>
      </c>
      <c r="L955" s="105" t="s">
        <v>511</v>
      </c>
      <c r="M955" s="75" t="s">
        <v>411</v>
      </c>
      <c r="N955" s="248">
        <v>0.95</v>
      </c>
      <c r="O955" s="248">
        <v>0.15</v>
      </c>
      <c r="P955" s="248"/>
      <c r="Q955" s="248">
        <f t="shared" si="32"/>
        <v>0</v>
      </c>
      <c r="R955" s="250">
        <f t="shared" si="31"/>
        <v>0</v>
      </c>
      <c r="S955" s="248" t="s">
        <v>23</v>
      </c>
      <c r="T955" s="251">
        <f>SUM(R955:R962)%</f>
        <v>0</v>
      </c>
    </row>
    <row r="956" spans="1:20" ht="21.6" hidden="1" x14ac:dyDescent="0.3">
      <c r="A956" s="182">
        <v>2144</v>
      </c>
      <c r="B956" s="42" t="s">
        <v>20</v>
      </c>
      <c r="C956" s="43" t="s">
        <v>267</v>
      </c>
      <c r="D956" s="245" t="s">
        <v>494</v>
      </c>
      <c r="E956" s="243" t="s">
        <v>496</v>
      </c>
      <c r="F956" s="42" t="s">
        <v>123</v>
      </c>
      <c r="G956" s="42" t="s">
        <v>367</v>
      </c>
      <c r="H956" s="45" t="s">
        <v>469</v>
      </c>
      <c r="I956" s="7" t="s">
        <v>22</v>
      </c>
      <c r="J956" s="3">
        <v>0.7</v>
      </c>
      <c r="K956" s="7" t="s">
        <v>124</v>
      </c>
      <c r="L956" s="8" t="s">
        <v>125</v>
      </c>
      <c r="M956" s="7" t="s">
        <v>126</v>
      </c>
      <c r="N956" s="3">
        <v>0.95</v>
      </c>
      <c r="O956" s="3">
        <v>0.15</v>
      </c>
      <c r="P956" s="6"/>
      <c r="Q956" s="3">
        <f t="shared" si="32"/>
        <v>0</v>
      </c>
      <c r="R956" s="4">
        <f t="shared" si="31"/>
        <v>0</v>
      </c>
      <c r="S956" s="3" t="s">
        <v>23</v>
      </c>
      <c r="T956" s="190"/>
    </row>
    <row r="957" spans="1:20" ht="21.6" hidden="1" x14ac:dyDescent="0.3">
      <c r="A957" s="182">
        <v>2145</v>
      </c>
      <c r="B957" s="42" t="s">
        <v>20</v>
      </c>
      <c r="C957" s="43" t="s">
        <v>267</v>
      </c>
      <c r="D957" s="245" t="s">
        <v>494</v>
      </c>
      <c r="E957" s="243" t="s">
        <v>496</v>
      </c>
      <c r="F957" s="42" t="s">
        <v>123</v>
      </c>
      <c r="G957" s="42" t="s">
        <v>367</v>
      </c>
      <c r="H957" s="45" t="s">
        <v>469</v>
      </c>
      <c r="I957" s="7" t="s">
        <v>22</v>
      </c>
      <c r="J957" s="3">
        <v>0.7</v>
      </c>
      <c r="K957" s="7" t="s">
        <v>51</v>
      </c>
      <c r="L957" s="8" t="s">
        <v>127</v>
      </c>
      <c r="M957" s="7" t="s">
        <v>128</v>
      </c>
      <c r="N957" s="6">
        <v>0.05</v>
      </c>
      <c r="O957" s="3">
        <v>0.1</v>
      </c>
      <c r="P957" s="11"/>
      <c r="Q957" s="3">
        <f t="shared" si="32"/>
        <v>0</v>
      </c>
      <c r="R957" s="4">
        <f t="shared" si="31"/>
        <v>0</v>
      </c>
      <c r="S957" s="3" t="s">
        <v>24</v>
      </c>
      <c r="T957" s="190"/>
    </row>
    <row r="958" spans="1:20" ht="21.6" hidden="1" x14ac:dyDescent="0.3">
      <c r="A958" s="182">
        <v>2146</v>
      </c>
      <c r="B958" s="42" t="s">
        <v>20</v>
      </c>
      <c r="C958" s="43" t="s">
        <v>267</v>
      </c>
      <c r="D958" s="245" t="s">
        <v>494</v>
      </c>
      <c r="E958" s="243" t="s">
        <v>496</v>
      </c>
      <c r="F958" s="42" t="s">
        <v>123</v>
      </c>
      <c r="G958" s="42" t="s">
        <v>367</v>
      </c>
      <c r="H958" s="45" t="s">
        <v>469</v>
      </c>
      <c r="I958" s="7" t="s">
        <v>22</v>
      </c>
      <c r="J958" s="3">
        <v>0.7</v>
      </c>
      <c r="K958" s="7" t="s">
        <v>305</v>
      </c>
      <c r="L958" s="8" t="s">
        <v>257</v>
      </c>
      <c r="M958" s="339" t="s">
        <v>306</v>
      </c>
      <c r="N958" s="3">
        <v>0.95</v>
      </c>
      <c r="O958" s="3">
        <v>0.1</v>
      </c>
      <c r="P958" s="3"/>
      <c r="Q958" s="3">
        <f t="shared" si="32"/>
        <v>0</v>
      </c>
      <c r="R958" s="4">
        <f t="shared" si="31"/>
        <v>0</v>
      </c>
      <c r="S958" s="3" t="s">
        <v>23</v>
      </c>
      <c r="T958" s="190"/>
    </row>
    <row r="959" spans="1:20" ht="21.6" hidden="1" x14ac:dyDescent="0.3">
      <c r="A959" s="182">
        <v>2147</v>
      </c>
      <c r="B959" s="42" t="s">
        <v>20</v>
      </c>
      <c r="C959" s="43" t="s">
        <v>267</v>
      </c>
      <c r="D959" s="245" t="s">
        <v>494</v>
      </c>
      <c r="E959" s="243" t="s">
        <v>496</v>
      </c>
      <c r="F959" s="42" t="s">
        <v>123</v>
      </c>
      <c r="G959" s="42" t="s">
        <v>367</v>
      </c>
      <c r="H959" s="45" t="s">
        <v>469</v>
      </c>
      <c r="I959" s="47" t="s">
        <v>22</v>
      </c>
      <c r="J959" s="3">
        <v>0.7</v>
      </c>
      <c r="K959" s="47" t="s">
        <v>129</v>
      </c>
      <c r="L959" s="30" t="s">
        <v>130</v>
      </c>
      <c r="M959" s="47" t="s">
        <v>131</v>
      </c>
      <c r="N959" s="3">
        <v>0.9</v>
      </c>
      <c r="O959" s="10">
        <v>0.2</v>
      </c>
      <c r="P959" s="3"/>
      <c r="Q959" s="3">
        <f t="shared" si="32"/>
        <v>0</v>
      </c>
      <c r="R959" s="48">
        <f t="shared" si="31"/>
        <v>0</v>
      </c>
      <c r="S959" s="10" t="s">
        <v>23</v>
      </c>
      <c r="T959" s="191"/>
    </row>
    <row r="960" spans="1:20" ht="21.6" hidden="1" x14ac:dyDescent="0.3">
      <c r="A960" s="182">
        <v>2148</v>
      </c>
      <c r="B960" s="42" t="s">
        <v>20</v>
      </c>
      <c r="C960" s="43" t="s">
        <v>267</v>
      </c>
      <c r="D960" s="245" t="s">
        <v>494</v>
      </c>
      <c r="E960" s="243" t="s">
        <v>496</v>
      </c>
      <c r="F960" s="42" t="s">
        <v>123</v>
      </c>
      <c r="G960" s="42" t="s">
        <v>367</v>
      </c>
      <c r="H960" s="45" t="s">
        <v>469</v>
      </c>
      <c r="I960" s="47" t="s">
        <v>22</v>
      </c>
      <c r="J960" s="3">
        <v>0.7</v>
      </c>
      <c r="K960" s="47" t="s">
        <v>132</v>
      </c>
      <c r="L960" s="30" t="s">
        <v>133</v>
      </c>
      <c r="M960" s="47" t="s">
        <v>134</v>
      </c>
      <c r="N960" s="4">
        <v>0</v>
      </c>
      <c r="O960" s="10">
        <v>0.1</v>
      </c>
      <c r="P960" s="3"/>
      <c r="Q960" s="3">
        <f t="shared" si="32"/>
        <v>0</v>
      </c>
      <c r="R960" s="48">
        <f t="shared" si="31"/>
        <v>0</v>
      </c>
      <c r="S960" s="10" t="s">
        <v>24</v>
      </c>
      <c r="T960" s="191"/>
    </row>
    <row r="961" spans="1:20" ht="21.6" hidden="1" x14ac:dyDescent="0.3">
      <c r="A961" s="182">
        <v>2149</v>
      </c>
      <c r="B961" s="42" t="s">
        <v>20</v>
      </c>
      <c r="C961" s="43" t="s">
        <v>267</v>
      </c>
      <c r="D961" s="245" t="s">
        <v>494</v>
      </c>
      <c r="E961" s="243" t="s">
        <v>496</v>
      </c>
      <c r="F961" s="42" t="s">
        <v>123</v>
      </c>
      <c r="G961" s="42" t="s">
        <v>367</v>
      </c>
      <c r="H961" s="45" t="s">
        <v>469</v>
      </c>
      <c r="I961" s="47" t="s">
        <v>22</v>
      </c>
      <c r="J961" s="3">
        <v>0.7</v>
      </c>
      <c r="K961" s="47" t="s">
        <v>135</v>
      </c>
      <c r="L961" s="30" t="s">
        <v>136</v>
      </c>
      <c r="M961" s="47" t="s">
        <v>137</v>
      </c>
      <c r="N961" s="3">
        <v>0.9</v>
      </c>
      <c r="O961" s="10">
        <v>0.2</v>
      </c>
      <c r="P961" s="51"/>
      <c r="Q961" s="3">
        <f t="shared" si="32"/>
        <v>0</v>
      </c>
      <c r="R961" s="48">
        <f t="shared" si="31"/>
        <v>0</v>
      </c>
      <c r="S961" s="10" t="s">
        <v>23</v>
      </c>
      <c r="T961" s="191"/>
    </row>
    <row r="962" spans="1:20" ht="22.2" hidden="1" thickBot="1" x14ac:dyDescent="0.35">
      <c r="A962" s="267">
        <v>2150</v>
      </c>
      <c r="B962" s="268" t="s">
        <v>20</v>
      </c>
      <c r="C962" s="269" t="s">
        <v>267</v>
      </c>
      <c r="D962" s="302" t="s">
        <v>494</v>
      </c>
      <c r="E962" s="303" t="s">
        <v>496</v>
      </c>
      <c r="F962" s="268" t="s">
        <v>123</v>
      </c>
      <c r="G962" s="268" t="s">
        <v>367</v>
      </c>
      <c r="H962" s="271" t="s">
        <v>469</v>
      </c>
      <c r="I962" s="272" t="s">
        <v>26</v>
      </c>
      <c r="J962" s="273">
        <v>0.3</v>
      </c>
      <c r="K962" s="272" t="s">
        <v>138</v>
      </c>
      <c r="L962" s="291" t="s">
        <v>139</v>
      </c>
      <c r="M962" s="272" t="s">
        <v>140</v>
      </c>
      <c r="N962" s="273">
        <v>1</v>
      </c>
      <c r="O962" s="276">
        <v>1</v>
      </c>
      <c r="P962" s="273"/>
      <c r="Q962" s="273">
        <f t="shared" si="32"/>
        <v>0</v>
      </c>
      <c r="R962" s="287">
        <f t="shared" si="31"/>
        <v>0</v>
      </c>
      <c r="S962" s="276" t="s">
        <v>23</v>
      </c>
      <c r="T962" s="277"/>
    </row>
    <row r="963" spans="1:20" ht="21.6" hidden="1" x14ac:dyDescent="0.3">
      <c r="A963" s="242">
        <v>2142</v>
      </c>
      <c r="B963" s="243" t="s">
        <v>20</v>
      </c>
      <c r="C963" s="244" t="s">
        <v>267</v>
      </c>
      <c r="D963" s="245" t="s">
        <v>498</v>
      </c>
      <c r="E963" s="243" t="s">
        <v>497</v>
      </c>
      <c r="F963" s="243" t="s">
        <v>123</v>
      </c>
      <c r="G963" s="243" t="s">
        <v>367</v>
      </c>
      <c r="H963" s="246" t="s">
        <v>469</v>
      </c>
      <c r="I963" s="294" t="s">
        <v>22</v>
      </c>
      <c r="J963" s="248">
        <v>0.7</v>
      </c>
      <c r="K963" s="75" t="s">
        <v>513</v>
      </c>
      <c r="L963" s="105" t="s">
        <v>511</v>
      </c>
      <c r="M963" s="75" t="s">
        <v>411</v>
      </c>
      <c r="N963" s="248">
        <v>0.95</v>
      </c>
      <c r="O963" s="248">
        <v>0.15</v>
      </c>
      <c r="P963" s="248"/>
      <c r="Q963" s="248">
        <f t="shared" si="32"/>
        <v>0</v>
      </c>
      <c r="R963" s="250">
        <f t="shared" si="31"/>
        <v>0</v>
      </c>
      <c r="S963" s="248" t="s">
        <v>23</v>
      </c>
      <c r="T963" s="251">
        <f>SUM(R963:R970)%</f>
        <v>0</v>
      </c>
    </row>
    <row r="964" spans="1:20" ht="21.6" hidden="1" x14ac:dyDescent="0.3">
      <c r="A964" s="182">
        <v>2144</v>
      </c>
      <c r="B964" s="42" t="s">
        <v>20</v>
      </c>
      <c r="C964" s="43" t="s">
        <v>267</v>
      </c>
      <c r="D964" s="245" t="s">
        <v>498</v>
      </c>
      <c r="E964" s="243" t="s">
        <v>497</v>
      </c>
      <c r="F964" s="42" t="s">
        <v>123</v>
      </c>
      <c r="G964" s="42" t="s">
        <v>367</v>
      </c>
      <c r="H964" s="45" t="s">
        <v>469</v>
      </c>
      <c r="I964" s="7" t="s">
        <v>22</v>
      </c>
      <c r="J964" s="3">
        <v>0.7</v>
      </c>
      <c r="K964" s="7" t="s">
        <v>124</v>
      </c>
      <c r="L964" s="8" t="s">
        <v>125</v>
      </c>
      <c r="M964" s="7" t="s">
        <v>126</v>
      </c>
      <c r="N964" s="3">
        <v>0.95</v>
      </c>
      <c r="O964" s="3">
        <v>0.15</v>
      </c>
      <c r="P964" s="6"/>
      <c r="Q964" s="3">
        <f t="shared" si="32"/>
        <v>0</v>
      </c>
      <c r="R964" s="4">
        <f t="shared" si="31"/>
        <v>0</v>
      </c>
      <c r="S964" s="3" t="s">
        <v>23</v>
      </c>
      <c r="T964" s="190"/>
    </row>
    <row r="965" spans="1:20" ht="21.6" hidden="1" x14ac:dyDescent="0.3">
      <c r="A965" s="182">
        <v>2145</v>
      </c>
      <c r="B965" s="42" t="s">
        <v>20</v>
      </c>
      <c r="C965" s="43" t="s">
        <v>267</v>
      </c>
      <c r="D965" s="245" t="s">
        <v>498</v>
      </c>
      <c r="E965" s="243" t="s">
        <v>497</v>
      </c>
      <c r="F965" s="42" t="s">
        <v>123</v>
      </c>
      <c r="G965" s="42" t="s">
        <v>367</v>
      </c>
      <c r="H965" s="45" t="s">
        <v>469</v>
      </c>
      <c r="I965" s="7" t="s">
        <v>22</v>
      </c>
      <c r="J965" s="3">
        <v>0.7</v>
      </c>
      <c r="K965" s="7" t="s">
        <v>51</v>
      </c>
      <c r="L965" s="8" t="s">
        <v>127</v>
      </c>
      <c r="M965" s="7" t="s">
        <v>128</v>
      </c>
      <c r="N965" s="6">
        <v>0.05</v>
      </c>
      <c r="O965" s="3">
        <v>0.1</v>
      </c>
      <c r="P965" s="11"/>
      <c r="Q965" s="3">
        <f t="shared" si="32"/>
        <v>0</v>
      </c>
      <c r="R965" s="4">
        <f t="shared" si="31"/>
        <v>0</v>
      </c>
      <c r="S965" s="3" t="s">
        <v>24</v>
      </c>
      <c r="T965" s="190"/>
    </row>
    <row r="966" spans="1:20" ht="21.6" hidden="1" x14ac:dyDescent="0.3">
      <c r="A966" s="182">
        <v>2146</v>
      </c>
      <c r="B966" s="42" t="s">
        <v>20</v>
      </c>
      <c r="C966" s="43" t="s">
        <v>267</v>
      </c>
      <c r="D966" s="245" t="s">
        <v>498</v>
      </c>
      <c r="E966" s="243" t="s">
        <v>497</v>
      </c>
      <c r="F966" s="42" t="s">
        <v>123</v>
      </c>
      <c r="G966" s="42" t="s">
        <v>367</v>
      </c>
      <c r="H966" s="45" t="s">
        <v>469</v>
      </c>
      <c r="I966" s="7" t="s">
        <v>22</v>
      </c>
      <c r="J966" s="3">
        <v>0.7</v>
      </c>
      <c r="K966" s="7" t="s">
        <v>305</v>
      </c>
      <c r="L966" s="8" t="s">
        <v>257</v>
      </c>
      <c r="M966" s="339" t="s">
        <v>306</v>
      </c>
      <c r="N966" s="3">
        <v>0.95</v>
      </c>
      <c r="O966" s="3">
        <v>0.1</v>
      </c>
      <c r="P966" s="3"/>
      <c r="Q966" s="3">
        <f t="shared" si="32"/>
        <v>0</v>
      </c>
      <c r="R966" s="4">
        <f t="shared" si="31"/>
        <v>0</v>
      </c>
      <c r="S966" s="3" t="s">
        <v>23</v>
      </c>
      <c r="T966" s="190"/>
    </row>
    <row r="967" spans="1:20" ht="21.6" hidden="1" x14ac:dyDescent="0.3">
      <c r="A967" s="182">
        <v>2147</v>
      </c>
      <c r="B967" s="42" t="s">
        <v>20</v>
      </c>
      <c r="C967" s="43" t="s">
        <v>267</v>
      </c>
      <c r="D967" s="245" t="s">
        <v>498</v>
      </c>
      <c r="E967" s="243" t="s">
        <v>497</v>
      </c>
      <c r="F967" s="42" t="s">
        <v>123</v>
      </c>
      <c r="G967" s="42" t="s">
        <v>367</v>
      </c>
      <c r="H967" s="45" t="s">
        <v>469</v>
      </c>
      <c r="I967" s="47" t="s">
        <v>22</v>
      </c>
      <c r="J967" s="3">
        <v>0.7</v>
      </c>
      <c r="K967" s="47" t="s">
        <v>129</v>
      </c>
      <c r="L967" s="30" t="s">
        <v>130</v>
      </c>
      <c r="M967" s="47" t="s">
        <v>131</v>
      </c>
      <c r="N967" s="3">
        <v>0.9</v>
      </c>
      <c r="O967" s="10">
        <v>0.2</v>
      </c>
      <c r="P967" s="3"/>
      <c r="Q967" s="3">
        <f t="shared" si="32"/>
        <v>0</v>
      </c>
      <c r="R967" s="48">
        <f t="shared" si="31"/>
        <v>0</v>
      </c>
      <c r="S967" s="10" t="s">
        <v>23</v>
      </c>
      <c r="T967" s="191"/>
    </row>
    <row r="968" spans="1:20" ht="21.6" hidden="1" x14ac:dyDescent="0.3">
      <c r="A968" s="182">
        <v>2148</v>
      </c>
      <c r="B968" s="42" t="s">
        <v>20</v>
      </c>
      <c r="C968" s="43" t="s">
        <v>267</v>
      </c>
      <c r="D968" s="245" t="s">
        <v>498</v>
      </c>
      <c r="E968" s="243" t="s">
        <v>497</v>
      </c>
      <c r="F968" s="42" t="s">
        <v>123</v>
      </c>
      <c r="G968" s="42" t="s">
        <v>367</v>
      </c>
      <c r="H968" s="45" t="s">
        <v>469</v>
      </c>
      <c r="I968" s="47" t="s">
        <v>22</v>
      </c>
      <c r="J968" s="3">
        <v>0.7</v>
      </c>
      <c r="K968" s="47" t="s">
        <v>132</v>
      </c>
      <c r="L968" s="30" t="s">
        <v>133</v>
      </c>
      <c r="M968" s="47" t="s">
        <v>134</v>
      </c>
      <c r="N968" s="4">
        <v>0</v>
      </c>
      <c r="O968" s="10">
        <v>0.1</v>
      </c>
      <c r="P968" s="3"/>
      <c r="Q968" s="3">
        <f t="shared" si="32"/>
        <v>0</v>
      </c>
      <c r="R968" s="48">
        <f t="shared" si="31"/>
        <v>0</v>
      </c>
      <c r="S968" s="10" t="s">
        <v>24</v>
      </c>
      <c r="T968" s="191"/>
    </row>
    <row r="969" spans="1:20" ht="21.6" hidden="1" x14ac:dyDescent="0.3">
      <c r="A969" s="182">
        <v>2149</v>
      </c>
      <c r="B969" s="42" t="s">
        <v>20</v>
      </c>
      <c r="C969" s="43" t="s">
        <v>267</v>
      </c>
      <c r="D969" s="245" t="s">
        <v>498</v>
      </c>
      <c r="E969" s="243" t="s">
        <v>497</v>
      </c>
      <c r="F969" s="42" t="s">
        <v>123</v>
      </c>
      <c r="G969" s="42" t="s">
        <v>367</v>
      </c>
      <c r="H969" s="45" t="s">
        <v>469</v>
      </c>
      <c r="I969" s="47" t="s">
        <v>22</v>
      </c>
      <c r="J969" s="3">
        <v>0.7</v>
      </c>
      <c r="K969" s="47" t="s">
        <v>135</v>
      </c>
      <c r="L969" s="30" t="s">
        <v>136</v>
      </c>
      <c r="M969" s="47" t="s">
        <v>137</v>
      </c>
      <c r="N969" s="3">
        <v>0.9</v>
      </c>
      <c r="O969" s="10">
        <v>0.2</v>
      </c>
      <c r="P969" s="51"/>
      <c r="Q969" s="3">
        <f t="shared" si="32"/>
        <v>0</v>
      </c>
      <c r="R969" s="48">
        <f t="shared" si="31"/>
        <v>0</v>
      </c>
      <c r="S969" s="10" t="s">
        <v>23</v>
      </c>
      <c r="T969" s="191"/>
    </row>
    <row r="970" spans="1:20" ht="22.2" hidden="1" thickBot="1" x14ac:dyDescent="0.35">
      <c r="A970" s="267">
        <v>2150</v>
      </c>
      <c r="B970" s="268" t="s">
        <v>20</v>
      </c>
      <c r="C970" s="269" t="s">
        <v>267</v>
      </c>
      <c r="D970" s="302" t="s">
        <v>498</v>
      </c>
      <c r="E970" s="303" t="s">
        <v>497</v>
      </c>
      <c r="F970" s="268" t="s">
        <v>123</v>
      </c>
      <c r="G970" s="268" t="s">
        <v>367</v>
      </c>
      <c r="H970" s="271" t="s">
        <v>469</v>
      </c>
      <c r="I970" s="272" t="s">
        <v>26</v>
      </c>
      <c r="J970" s="273">
        <v>0.3</v>
      </c>
      <c r="K970" s="272" t="s">
        <v>138</v>
      </c>
      <c r="L970" s="291" t="s">
        <v>139</v>
      </c>
      <c r="M970" s="272" t="s">
        <v>140</v>
      </c>
      <c r="N970" s="273">
        <v>1</v>
      </c>
      <c r="O970" s="276">
        <v>1</v>
      </c>
      <c r="P970" s="273"/>
      <c r="Q970" s="273">
        <f t="shared" si="32"/>
        <v>0</v>
      </c>
      <c r="R970" s="287">
        <f t="shared" si="31"/>
        <v>0</v>
      </c>
      <c r="S970" s="276" t="s">
        <v>23</v>
      </c>
      <c r="T970" s="277"/>
    </row>
    <row r="971" spans="1:20" ht="21.6" hidden="1" x14ac:dyDescent="0.3">
      <c r="A971" s="242">
        <v>2142</v>
      </c>
      <c r="B971" s="243" t="s">
        <v>20</v>
      </c>
      <c r="C971" s="244" t="s">
        <v>267</v>
      </c>
      <c r="D971" s="245" t="s">
        <v>500</v>
      </c>
      <c r="E971" s="243" t="s">
        <v>499</v>
      </c>
      <c r="F971" s="243" t="s">
        <v>123</v>
      </c>
      <c r="G971" s="243" t="s">
        <v>367</v>
      </c>
      <c r="H971" s="246" t="s">
        <v>469</v>
      </c>
      <c r="I971" s="294" t="s">
        <v>22</v>
      </c>
      <c r="J971" s="248">
        <v>0.7</v>
      </c>
      <c r="K971" s="75" t="s">
        <v>513</v>
      </c>
      <c r="L971" s="105" t="s">
        <v>511</v>
      </c>
      <c r="M971" s="75" t="s">
        <v>411</v>
      </c>
      <c r="N971" s="248">
        <v>0.95</v>
      </c>
      <c r="O971" s="248">
        <v>0.15</v>
      </c>
      <c r="P971" s="248"/>
      <c r="Q971" s="248">
        <f t="shared" si="32"/>
        <v>0</v>
      </c>
      <c r="R971" s="250">
        <f t="shared" si="31"/>
        <v>0</v>
      </c>
      <c r="S971" s="248" t="s">
        <v>23</v>
      </c>
      <c r="T971" s="251">
        <f>SUM(R971:R978)%</f>
        <v>0</v>
      </c>
    </row>
    <row r="972" spans="1:20" ht="21.6" hidden="1" x14ac:dyDescent="0.3">
      <c r="A972" s="182">
        <v>2144</v>
      </c>
      <c r="B972" s="42" t="s">
        <v>20</v>
      </c>
      <c r="C972" s="43" t="s">
        <v>267</v>
      </c>
      <c r="D972" s="245" t="s">
        <v>500</v>
      </c>
      <c r="E972" s="243" t="s">
        <v>499</v>
      </c>
      <c r="F972" s="42" t="s">
        <v>123</v>
      </c>
      <c r="G972" s="42" t="s">
        <v>367</v>
      </c>
      <c r="H972" s="45" t="s">
        <v>469</v>
      </c>
      <c r="I972" s="7" t="s">
        <v>22</v>
      </c>
      <c r="J972" s="3">
        <v>0.7</v>
      </c>
      <c r="K972" s="7" t="s">
        <v>124</v>
      </c>
      <c r="L972" s="8" t="s">
        <v>125</v>
      </c>
      <c r="M972" s="7" t="s">
        <v>126</v>
      </c>
      <c r="N972" s="3">
        <v>0.95</v>
      </c>
      <c r="O972" s="3">
        <v>0.15</v>
      </c>
      <c r="P972" s="6"/>
      <c r="Q972" s="3">
        <f t="shared" si="32"/>
        <v>0</v>
      </c>
      <c r="R972" s="4">
        <f t="shared" si="31"/>
        <v>0</v>
      </c>
      <c r="S972" s="3" t="s">
        <v>23</v>
      </c>
      <c r="T972" s="190"/>
    </row>
    <row r="973" spans="1:20" ht="21.6" hidden="1" x14ac:dyDescent="0.3">
      <c r="A973" s="182">
        <v>2145</v>
      </c>
      <c r="B973" s="42" t="s">
        <v>20</v>
      </c>
      <c r="C973" s="43" t="s">
        <v>267</v>
      </c>
      <c r="D973" s="245" t="s">
        <v>500</v>
      </c>
      <c r="E973" s="243" t="s">
        <v>499</v>
      </c>
      <c r="F973" s="42" t="s">
        <v>123</v>
      </c>
      <c r="G973" s="42" t="s">
        <v>367</v>
      </c>
      <c r="H973" s="45" t="s">
        <v>469</v>
      </c>
      <c r="I973" s="7" t="s">
        <v>22</v>
      </c>
      <c r="J973" s="3">
        <v>0.7</v>
      </c>
      <c r="K973" s="7" t="s">
        <v>51</v>
      </c>
      <c r="L973" s="8" t="s">
        <v>127</v>
      </c>
      <c r="M973" s="7" t="s">
        <v>128</v>
      </c>
      <c r="N973" s="6">
        <v>0.05</v>
      </c>
      <c r="O973" s="3">
        <v>0.1</v>
      </c>
      <c r="P973" s="11"/>
      <c r="Q973" s="3">
        <f t="shared" si="32"/>
        <v>0</v>
      </c>
      <c r="R973" s="4">
        <f t="shared" si="31"/>
        <v>0</v>
      </c>
      <c r="S973" s="3" t="s">
        <v>24</v>
      </c>
      <c r="T973" s="190"/>
    </row>
    <row r="974" spans="1:20" ht="21.6" hidden="1" x14ac:dyDescent="0.3">
      <c r="A974" s="182">
        <v>2146</v>
      </c>
      <c r="B974" s="42" t="s">
        <v>20</v>
      </c>
      <c r="C974" s="43" t="s">
        <v>267</v>
      </c>
      <c r="D974" s="245" t="s">
        <v>500</v>
      </c>
      <c r="E974" s="243" t="s">
        <v>499</v>
      </c>
      <c r="F974" s="42" t="s">
        <v>123</v>
      </c>
      <c r="G974" s="42" t="s">
        <v>367</v>
      </c>
      <c r="H974" s="45" t="s">
        <v>469</v>
      </c>
      <c r="I974" s="7" t="s">
        <v>22</v>
      </c>
      <c r="J974" s="3">
        <v>0.7</v>
      </c>
      <c r="K974" s="7" t="s">
        <v>305</v>
      </c>
      <c r="L974" s="8" t="s">
        <v>257</v>
      </c>
      <c r="M974" s="339" t="s">
        <v>306</v>
      </c>
      <c r="N974" s="3">
        <v>0.95</v>
      </c>
      <c r="O974" s="3">
        <v>0.1</v>
      </c>
      <c r="P974" s="3"/>
      <c r="Q974" s="3">
        <f t="shared" si="32"/>
        <v>0</v>
      </c>
      <c r="R974" s="4">
        <f t="shared" si="31"/>
        <v>0</v>
      </c>
      <c r="S974" s="3" t="s">
        <v>23</v>
      </c>
      <c r="T974" s="190"/>
    </row>
    <row r="975" spans="1:20" ht="21.6" hidden="1" x14ac:dyDescent="0.3">
      <c r="A975" s="182">
        <v>2147</v>
      </c>
      <c r="B975" s="42" t="s">
        <v>20</v>
      </c>
      <c r="C975" s="43" t="s">
        <v>267</v>
      </c>
      <c r="D975" s="245" t="s">
        <v>500</v>
      </c>
      <c r="E975" s="243" t="s">
        <v>499</v>
      </c>
      <c r="F975" s="42" t="s">
        <v>123</v>
      </c>
      <c r="G975" s="42" t="s">
        <v>367</v>
      </c>
      <c r="H975" s="45" t="s">
        <v>469</v>
      </c>
      <c r="I975" s="47" t="s">
        <v>22</v>
      </c>
      <c r="J975" s="3">
        <v>0.7</v>
      </c>
      <c r="K975" s="47" t="s">
        <v>129</v>
      </c>
      <c r="L975" s="30" t="s">
        <v>130</v>
      </c>
      <c r="M975" s="47" t="s">
        <v>131</v>
      </c>
      <c r="N975" s="3">
        <v>0.9</v>
      </c>
      <c r="O975" s="10">
        <v>0.2</v>
      </c>
      <c r="P975" s="3"/>
      <c r="Q975" s="3">
        <f t="shared" si="32"/>
        <v>0</v>
      </c>
      <c r="R975" s="48">
        <f t="shared" si="31"/>
        <v>0</v>
      </c>
      <c r="S975" s="10" t="s">
        <v>23</v>
      </c>
      <c r="T975" s="191"/>
    </row>
    <row r="976" spans="1:20" ht="21.6" hidden="1" x14ac:dyDescent="0.3">
      <c r="A976" s="182">
        <v>2148</v>
      </c>
      <c r="B976" s="42" t="s">
        <v>20</v>
      </c>
      <c r="C976" s="43" t="s">
        <v>267</v>
      </c>
      <c r="D976" s="245" t="s">
        <v>500</v>
      </c>
      <c r="E976" s="243" t="s">
        <v>499</v>
      </c>
      <c r="F976" s="42" t="s">
        <v>123</v>
      </c>
      <c r="G976" s="42" t="s">
        <v>367</v>
      </c>
      <c r="H976" s="45" t="s">
        <v>469</v>
      </c>
      <c r="I976" s="47" t="s">
        <v>22</v>
      </c>
      <c r="J976" s="3">
        <v>0.7</v>
      </c>
      <c r="K976" s="47" t="s">
        <v>132</v>
      </c>
      <c r="L976" s="30" t="s">
        <v>133</v>
      </c>
      <c r="M976" s="47" t="s">
        <v>134</v>
      </c>
      <c r="N976" s="4">
        <v>0</v>
      </c>
      <c r="O976" s="10">
        <v>0.1</v>
      </c>
      <c r="P976" s="3"/>
      <c r="Q976" s="3">
        <f t="shared" si="32"/>
        <v>0</v>
      </c>
      <c r="R976" s="48">
        <f t="shared" si="31"/>
        <v>0</v>
      </c>
      <c r="S976" s="10" t="s">
        <v>24</v>
      </c>
      <c r="T976" s="191"/>
    </row>
    <row r="977" spans="1:20" ht="21.6" hidden="1" x14ac:dyDescent="0.3">
      <c r="A977" s="182">
        <v>2149</v>
      </c>
      <c r="B977" s="42" t="s">
        <v>20</v>
      </c>
      <c r="C977" s="43" t="s">
        <v>267</v>
      </c>
      <c r="D977" s="245" t="s">
        <v>500</v>
      </c>
      <c r="E977" s="243" t="s">
        <v>499</v>
      </c>
      <c r="F977" s="42" t="s">
        <v>123</v>
      </c>
      <c r="G977" s="42" t="s">
        <v>367</v>
      </c>
      <c r="H977" s="45" t="s">
        <v>469</v>
      </c>
      <c r="I977" s="47" t="s">
        <v>22</v>
      </c>
      <c r="J977" s="3">
        <v>0.7</v>
      </c>
      <c r="K977" s="47" t="s">
        <v>135</v>
      </c>
      <c r="L977" s="30" t="s">
        <v>136</v>
      </c>
      <c r="M977" s="47" t="s">
        <v>137</v>
      </c>
      <c r="N977" s="3">
        <v>0.9</v>
      </c>
      <c r="O977" s="10">
        <v>0.2</v>
      </c>
      <c r="P977" s="51"/>
      <c r="Q977" s="3">
        <f t="shared" si="32"/>
        <v>0</v>
      </c>
      <c r="R977" s="48">
        <f t="shared" si="31"/>
        <v>0</v>
      </c>
      <c r="S977" s="10" t="s">
        <v>23</v>
      </c>
      <c r="T977" s="191"/>
    </row>
    <row r="978" spans="1:20" ht="22.2" hidden="1" thickBot="1" x14ac:dyDescent="0.35">
      <c r="A978" s="267">
        <v>2150</v>
      </c>
      <c r="B978" s="268" t="s">
        <v>20</v>
      </c>
      <c r="C978" s="269" t="s">
        <v>267</v>
      </c>
      <c r="D978" s="302" t="s">
        <v>500</v>
      </c>
      <c r="E978" s="303" t="s">
        <v>499</v>
      </c>
      <c r="F978" s="268" t="s">
        <v>123</v>
      </c>
      <c r="G978" s="268" t="s">
        <v>367</v>
      </c>
      <c r="H978" s="271" t="s">
        <v>469</v>
      </c>
      <c r="I978" s="272" t="s">
        <v>26</v>
      </c>
      <c r="J978" s="273">
        <v>0.3</v>
      </c>
      <c r="K978" s="272" t="s">
        <v>138</v>
      </c>
      <c r="L978" s="291" t="s">
        <v>139</v>
      </c>
      <c r="M978" s="272" t="s">
        <v>140</v>
      </c>
      <c r="N978" s="273">
        <v>1</v>
      </c>
      <c r="O978" s="276">
        <v>1</v>
      </c>
      <c r="P978" s="273"/>
      <c r="Q978" s="273">
        <f t="shared" si="32"/>
        <v>0</v>
      </c>
      <c r="R978" s="287">
        <f t="shared" si="31"/>
        <v>0</v>
      </c>
      <c r="S978" s="276" t="s">
        <v>23</v>
      </c>
      <c r="T978" s="277"/>
    </row>
    <row r="979" spans="1:20" ht="21.6" hidden="1" x14ac:dyDescent="0.3">
      <c r="A979" s="242">
        <v>2142</v>
      </c>
      <c r="B979" s="243" t="s">
        <v>20</v>
      </c>
      <c r="C979" s="244" t="s">
        <v>267</v>
      </c>
      <c r="D979" s="245" t="s">
        <v>502</v>
      </c>
      <c r="E979" s="243" t="s">
        <v>501</v>
      </c>
      <c r="F979" s="243" t="s">
        <v>123</v>
      </c>
      <c r="G979" s="243" t="s">
        <v>367</v>
      </c>
      <c r="H979" s="246" t="s">
        <v>469</v>
      </c>
      <c r="I979" s="294" t="s">
        <v>22</v>
      </c>
      <c r="J979" s="248">
        <v>0.7</v>
      </c>
      <c r="K979" s="75" t="s">
        <v>513</v>
      </c>
      <c r="L979" s="105" t="s">
        <v>511</v>
      </c>
      <c r="M979" s="75" t="s">
        <v>411</v>
      </c>
      <c r="N979" s="248">
        <v>0.95</v>
      </c>
      <c r="O979" s="248">
        <v>0.15</v>
      </c>
      <c r="P979" s="248"/>
      <c r="Q979" s="248">
        <f t="shared" si="32"/>
        <v>0</v>
      </c>
      <c r="R979" s="250">
        <f t="shared" ref="R979:R1042" si="33">IF(AND(Q979&gt;=60%,Q979&lt;100%),Q979*((O979*J979)),IF(Q979=100%,((O979*J979)*Q979)*100%,IF(Q979&gt;100%,((J979*O979)*100%)*100%,0)))*100</f>
        <v>0</v>
      </c>
      <c r="S979" s="248" t="s">
        <v>23</v>
      </c>
      <c r="T979" s="251">
        <f>SUM(R979:R986)%</f>
        <v>0</v>
      </c>
    </row>
    <row r="980" spans="1:20" ht="21.6" hidden="1" x14ac:dyDescent="0.3">
      <c r="A980" s="182">
        <v>2144</v>
      </c>
      <c r="B980" s="42" t="s">
        <v>20</v>
      </c>
      <c r="C980" s="43" t="s">
        <v>267</v>
      </c>
      <c r="D980" s="245" t="s">
        <v>502</v>
      </c>
      <c r="E980" s="243" t="s">
        <v>501</v>
      </c>
      <c r="F980" s="42" t="s">
        <v>123</v>
      </c>
      <c r="G980" s="42" t="s">
        <v>367</v>
      </c>
      <c r="H980" s="45" t="s">
        <v>469</v>
      </c>
      <c r="I980" s="7" t="s">
        <v>22</v>
      </c>
      <c r="J980" s="3">
        <v>0.7</v>
      </c>
      <c r="K980" s="7" t="s">
        <v>124</v>
      </c>
      <c r="L980" s="8" t="s">
        <v>125</v>
      </c>
      <c r="M980" s="7" t="s">
        <v>126</v>
      </c>
      <c r="N980" s="3">
        <v>0.95</v>
      </c>
      <c r="O980" s="3">
        <v>0.15</v>
      </c>
      <c r="P980" s="6"/>
      <c r="Q980" s="3">
        <f t="shared" si="32"/>
        <v>0</v>
      </c>
      <c r="R980" s="4">
        <f t="shared" si="33"/>
        <v>0</v>
      </c>
      <c r="S980" s="3" t="s">
        <v>23</v>
      </c>
      <c r="T980" s="190"/>
    </row>
    <row r="981" spans="1:20" ht="21.6" hidden="1" x14ac:dyDescent="0.3">
      <c r="A981" s="182">
        <v>2145</v>
      </c>
      <c r="B981" s="42" t="s">
        <v>20</v>
      </c>
      <c r="C981" s="43" t="s">
        <v>267</v>
      </c>
      <c r="D981" s="245" t="s">
        <v>502</v>
      </c>
      <c r="E981" s="243" t="s">
        <v>501</v>
      </c>
      <c r="F981" s="42" t="s">
        <v>123</v>
      </c>
      <c r="G981" s="42" t="s">
        <v>367</v>
      </c>
      <c r="H981" s="45" t="s">
        <v>469</v>
      </c>
      <c r="I981" s="7" t="s">
        <v>22</v>
      </c>
      <c r="J981" s="3">
        <v>0.7</v>
      </c>
      <c r="K981" s="7" t="s">
        <v>51</v>
      </c>
      <c r="L981" s="8" t="s">
        <v>127</v>
      </c>
      <c r="M981" s="7" t="s">
        <v>128</v>
      </c>
      <c r="N981" s="6">
        <v>0.05</v>
      </c>
      <c r="O981" s="3">
        <v>0.1</v>
      </c>
      <c r="P981" s="11"/>
      <c r="Q981" s="3">
        <f t="shared" si="32"/>
        <v>0</v>
      </c>
      <c r="R981" s="4">
        <f t="shared" si="33"/>
        <v>0</v>
      </c>
      <c r="S981" s="3" t="s">
        <v>24</v>
      </c>
      <c r="T981" s="190"/>
    </row>
    <row r="982" spans="1:20" ht="21.6" hidden="1" x14ac:dyDescent="0.3">
      <c r="A982" s="182">
        <v>2146</v>
      </c>
      <c r="B982" s="42" t="s">
        <v>20</v>
      </c>
      <c r="C982" s="43" t="s">
        <v>267</v>
      </c>
      <c r="D982" s="245" t="s">
        <v>502</v>
      </c>
      <c r="E982" s="243" t="s">
        <v>501</v>
      </c>
      <c r="F982" s="42" t="s">
        <v>123</v>
      </c>
      <c r="G982" s="42" t="s">
        <v>367</v>
      </c>
      <c r="H982" s="45" t="s">
        <v>469</v>
      </c>
      <c r="I982" s="7" t="s">
        <v>22</v>
      </c>
      <c r="J982" s="3">
        <v>0.7</v>
      </c>
      <c r="K982" s="7" t="s">
        <v>305</v>
      </c>
      <c r="L982" s="8" t="s">
        <v>257</v>
      </c>
      <c r="M982" s="339" t="s">
        <v>306</v>
      </c>
      <c r="N982" s="3">
        <v>0.95</v>
      </c>
      <c r="O982" s="3">
        <v>0.1</v>
      </c>
      <c r="P982" s="3"/>
      <c r="Q982" s="3">
        <f t="shared" si="32"/>
        <v>0</v>
      </c>
      <c r="R982" s="4">
        <f t="shared" si="33"/>
        <v>0</v>
      </c>
      <c r="S982" s="3" t="s">
        <v>23</v>
      </c>
      <c r="T982" s="190"/>
    </row>
    <row r="983" spans="1:20" ht="21.6" hidden="1" x14ac:dyDescent="0.3">
      <c r="A983" s="182">
        <v>2147</v>
      </c>
      <c r="B983" s="42" t="s">
        <v>20</v>
      </c>
      <c r="C983" s="43" t="s">
        <v>267</v>
      </c>
      <c r="D983" s="245" t="s">
        <v>502</v>
      </c>
      <c r="E983" s="243" t="s">
        <v>501</v>
      </c>
      <c r="F983" s="42" t="s">
        <v>123</v>
      </c>
      <c r="G983" s="42" t="s">
        <v>367</v>
      </c>
      <c r="H983" s="45" t="s">
        <v>469</v>
      </c>
      <c r="I983" s="47" t="s">
        <v>22</v>
      </c>
      <c r="J983" s="3">
        <v>0.7</v>
      </c>
      <c r="K983" s="47" t="s">
        <v>129</v>
      </c>
      <c r="L983" s="30" t="s">
        <v>130</v>
      </c>
      <c r="M983" s="47" t="s">
        <v>131</v>
      </c>
      <c r="N983" s="3">
        <v>0.9</v>
      </c>
      <c r="O983" s="10">
        <v>0.2</v>
      </c>
      <c r="P983" s="3"/>
      <c r="Q983" s="3">
        <f t="shared" si="32"/>
        <v>0</v>
      </c>
      <c r="R983" s="48">
        <f t="shared" si="33"/>
        <v>0</v>
      </c>
      <c r="S983" s="10" t="s">
        <v>23</v>
      </c>
      <c r="T983" s="191"/>
    </row>
    <row r="984" spans="1:20" ht="21.6" hidden="1" x14ac:dyDescent="0.3">
      <c r="A984" s="182">
        <v>2148</v>
      </c>
      <c r="B984" s="42" t="s">
        <v>20</v>
      </c>
      <c r="C984" s="43" t="s">
        <v>267</v>
      </c>
      <c r="D984" s="245" t="s">
        <v>502</v>
      </c>
      <c r="E984" s="243" t="s">
        <v>501</v>
      </c>
      <c r="F984" s="42" t="s">
        <v>123</v>
      </c>
      <c r="G984" s="42" t="s">
        <v>367</v>
      </c>
      <c r="H984" s="45" t="s">
        <v>469</v>
      </c>
      <c r="I984" s="47" t="s">
        <v>22</v>
      </c>
      <c r="J984" s="3">
        <v>0.7</v>
      </c>
      <c r="K984" s="47" t="s">
        <v>132</v>
      </c>
      <c r="L984" s="30" t="s">
        <v>133</v>
      </c>
      <c r="M984" s="47" t="s">
        <v>134</v>
      </c>
      <c r="N984" s="4">
        <v>0</v>
      </c>
      <c r="O984" s="10">
        <v>0.1</v>
      </c>
      <c r="P984" s="3"/>
      <c r="Q984" s="3">
        <f t="shared" si="32"/>
        <v>0</v>
      </c>
      <c r="R984" s="48">
        <f t="shared" si="33"/>
        <v>0</v>
      </c>
      <c r="S984" s="10" t="s">
        <v>24</v>
      </c>
      <c r="T984" s="191"/>
    </row>
    <row r="985" spans="1:20" ht="21.6" hidden="1" x14ac:dyDescent="0.3">
      <c r="A985" s="182">
        <v>2149</v>
      </c>
      <c r="B985" s="42" t="s">
        <v>20</v>
      </c>
      <c r="C985" s="43" t="s">
        <v>267</v>
      </c>
      <c r="D985" s="245" t="s">
        <v>502</v>
      </c>
      <c r="E985" s="243" t="s">
        <v>501</v>
      </c>
      <c r="F985" s="42" t="s">
        <v>123</v>
      </c>
      <c r="G985" s="42" t="s">
        <v>367</v>
      </c>
      <c r="H985" s="45" t="s">
        <v>469</v>
      </c>
      <c r="I985" s="47" t="s">
        <v>22</v>
      </c>
      <c r="J985" s="3">
        <v>0.7</v>
      </c>
      <c r="K985" s="47" t="s">
        <v>135</v>
      </c>
      <c r="L985" s="30" t="s">
        <v>136</v>
      </c>
      <c r="M985" s="47" t="s">
        <v>137</v>
      </c>
      <c r="N985" s="3">
        <v>0.9</v>
      </c>
      <c r="O985" s="10">
        <v>0.2</v>
      </c>
      <c r="P985" s="51"/>
      <c r="Q985" s="3">
        <f t="shared" si="32"/>
        <v>0</v>
      </c>
      <c r="R985" s="48">
        <f t="shared" si="33"/>
        <v>0</v>
      </c>
      <c r="S985" s="10" t="s">
        <v>23</v>
      </c>
      <c r="T985" s="191"/>
    </row>
    <row r="986" spans="1:20" ht="22.2" hidden="1" thickBot="1" x14ac:dyDescent="0.35">
      <c r="A986" s="267">
        <v>2150</v>
      </c>
      <c r="B986" s="268" t="s">
        <v>20</v>
      </c>
      <c r="C986" s="269" t="s">
        <v>267</v>
      </c>
      <c r="D986" s="302" t="s">
        <v>502</v>
      </c>
      <c r="E986" s="303" t="s">
        <v>501</v>
      </c>
      <c r="F986" s="268" t="s">
        <v>123</v>
      </c>
      <c r="G986" s="268" t="s">
        <v>367</v>
      </c>
      <c r="H986" s="271" t="s">
        <v>469</v>
      </c>
      <c r="I986" s="272" t="s">
        <v>26</v>
      </c>
      <c r="J986" s="273">
        <v>0.3</v>
      </c>
      <c r="K986" s="272" t="s">
        <v>138</v>
      </c>
      <c r="L986" s="291" t="s">
        <v>139</v>
      </c>
      <c r="M986" s="272" t="s">
        <v>140</v>
      </c>
      <c r="N986" s="273">
        <v>1</v>
      </c>
      <c r="O986" s="276">
        <v>1</v>
      </c>
      <c r="P986" s="273"/>
      <c r="Q986" s="273">
        <f t="shared" si="32"/>
        <v>0</v>
      </c>
      <c r="R986" s="287">
        <f t="shared" si="33"/>
        <v>0</v>
      </c>
      <c r="S986" s="276" t="s">
        <v>23</v>
      </c>
      <c r="T986" s="277"/>
    </row>
    <row r="987" spans="1:20" ht="21.6" hidden="1" x14ac:dyDescent="0.3">
      <c r="A987" s="242">
        <v>2142</v>
      </c>
      <c r="B987" s="243" t="s">
        <v>20</v>
      </c>
      <c r="C987" s="244" t="s">
        <v>267</v>
      </c>
      <c r="D987" s="245" t="s">
        <v>504</v>
      </c>
      <c r="E987" s="243" t="s">
        <v>503</v>
      </c>
      <c r="F987" s="243" t="s">
        <v>123</v>
      </c>
      <c r="G987" s="243" t="s">
        <v>367</v>
      </c>
      <c r="H987" s="246" t="s">
        <v>469</v>
      </c>
      <c r="I987" s="294" t="s">
        <v>22</v>
      </c>
      <c r="J987" s="248">
        <v>0.7</v>
      </c>
      <c r="K987" s="75" t="s">
        <v>513</v>
      </c>
      <c r="L987" s="105" t="s">
        <v>511</v>
      </c>
      <c r="M987" s="75" t="s">
        <v>411</v>
      </c>
      <c r="N987" s="248">
        <v>0.95</v>
      </c>
      <c r="O987" s="248">
        <v>0.15</v>
      </c>
      <c r="P987" s="248"/>
      <c r="Q987" s="248">
        <f t="shared" si="32"/>
        <v>0</v>
      </c>
      <c r="R987" s="250">
        <f t="shared" si="33"/>
        <v>0</v>
      </c>
      <c r="S987" s="248" t="s">
        <v>23</v>
      </c>
      <c r="T987" s="251">
        <f>SUM(R987:R994)%</f>
        <v>0</v>
      </c>
    </row>
    <row r="988" spans="1:20" ht="21.6" hidden="1" x14ac:dyDescent="0.3">
      <c r="A988" s="182">
        <v>2144</v>
      </c>
      <c r="B988" s="42" t="s">
        <v>20</v>
      </c>
      <c r="C988" s="43" t="s">
        <v>267</v>
      </c>
      <c r="D988" s="245" t="s">
        <v>504</v>
      </c>
      <c r="E988" s="243" t="s">
        <v>503</v>
      </c>
      <c r="F988" s="42" t="s">
        <v>123</v>
      </c>
      <c r="G988" s="42" t="s">
        <v>367</v>
      </c>
      <c r="H988" s="45" t="s">
        <v>469</v>
      </c>
      <c r="I988" s="7" t="s">
        <v>22</v>
      </c>
      <c r="J988" s="3">
        <v>0.7</v>
      </c>
      <c r="K988" s="7" t="s">
        <v>124</v>
      </c>
      <c r="L988" s="8" t="s">
        <v>125</v>
      </c>
      <c r="M988" s="7" t="s">
        <v>126</v>
      </c>
      <c r="N988" s="3">
        <v>0.95</v>
      </c>
      <c r="O988" s="3">
        <v>0.15</v>
      </c>
      <c r="P988" s="6"/>
      <c r="Q988" s="3">
        <f t="shared" si="32"/>
        <v>0</v>
      </c>
      <c r="R988" s="4">
        <f t="shared" si="33"/>
        <v>0</v>
      </c>
      <c r="S988" s="3" t="s">
        <v>23</v>
      </c>
      <c r="T988" s="190"/>
    </row>
    <row r="989" spans="1:20" ht="21.6" hidden="1" x14ac:dyDescent="0.3">
      <c r="A989" s="182">
        <v>2145</v>
      </c>
      <c r="B989" s="42" t="s">
        <v>20</v>
      </c>
      <c r="C989" s="43" t="s">
        <v>267</v>
      </c>
      <c r="D989" s="245" t="s">
        <v>504</v>
      </c>
      <c r="E989" s="243" t="s">
        <v>503</v>
      </c>
      <c r="F989" s="42" t="s">
        <v>123</v>
      </c>
      <c r="G989" s="42" t="s">
        <v>367</v>
      </c>
      <c r="H989" s="45" t="s">
        <v>469</v>
      </c>
      <c r="I989" s="7" t="s">
        <v>22</v>
      </c>
      <c r="J989" s="3">
        <v>0.7</v>
      </c>
      <c r="K989" s="7" t="s">
        <v>51</v>
      </c>
      <c r="L989" s="8" t="s">
        <v>127</v>
      </c>
      <c r="M989" s="7" t="s">
        <v>128</v>
      </c>
      <c r="N989" s="6">
        <v>0.05</v>
      </c>
      <c r="O989" s="3">
        <v>0.1</v>
      </c>
      <c r="P989" s="11"/>
      <c r="Q989" s="3">
        <f t="shared" si="32"/>
        <v>0</v>
      </c>
      <c r="R989" s="4">
        <f t="shared" si="33"/>
        <v>0</v>
      </c>
      <c r="S989" s="3" t="s">
        <v>24</v>
      </c>
      <c r="T989" s="190"/>
    </row>
    <row r="990" spans="1:20" ht="21.6" hidden="1" x14ac:dyDescent="0.3">
      <c r="A990" s="182">
        <v>2146</v>
      </c>
      <c r="B990" s="42" t="s">
        <v>20</v>
      </c>
      <c r="C990" s="43" t="s">
        <v>267</v>
      </c>
      <c r="D990" s="245" t="s">
        <v>504</v>
      </c>
      <c r="E990" s="243" t="s">
        <v>503</v>
      </c>
      <c r="F990" s="42" t="s">
        <v>123</v>
      </c>
      <c r="G990" s="42" t="s">
        <v>367</v>
      </c>
      <c r="H990" s="45" t="s">
        <v>469</v>
      </c>
      <c r="I990" s="7" t="s">
        <v>22</v>
      </c>
      <c r="J990" s="3">
        <v>0.7</v>
      </c>
      <c r="K990" s="7" t="s">
        <v>305</v>
      </c>
      <c r="L990" s="8" t="s">
        <v>257</v>
      </c>
      <c r="M990" s="339" t="s">
        <v>306</v>
      </c>
      <c r="N990" s="3">
        <v>0.95</v>
      </c>
      <c r="O990" s="3">
        <v>0.1</v>
      </c>
      <c r="P990" s="3"/>
      <c r="Q990" s="3">
        <f t="shared" si="32"/>
        <v>0</v>
      </c>
      <c r="R990" s="4">
        <f t="shared" si="33"/>
        <v>0</v>
      </c>
      <c r="S990" s="3" t="s">
        <v>23</v>
      </c>
      <c r="T990" s="190"/>
    </row>
    <row r="991" spans="1:20" ht="21.6" hidden="1" x14ac:dyDescent="0.3">
      <c r="A991" s="182">
        <v>2147</v>
      </c>
      <c r="B991" s="42" t="s">
        <v>20</v>
      </c>
      <c r="C991" s="43" t="s">
        <v>267</v>
      </c>
      <c r="D991" s="245" t="s">
        <v>504</v>
      </c>
      <c r="E991" s="243" t="s">
        <v>503</v>
      </c>
      <c r="F991" s="42" t="s">
        <v>123</v>
      </c>
      <c r="G991" s="42" t="s">
        <v>367</v>
      </c>
      <c r="H991" s="45" t="s">
        <v>469</v>
      </c>
      <c r="I991" s="47" t="s">
        <v>22</v>
      </c>
      <c r="J991" s="3">
        <v>0.7</v>
      </c>
      <c r="K991" s="47" t="s">
        <v>129</v>
      </c>
      <c r="L991" s="30" t="s">
        <v>130</v>
      </c>
      <c r="M991" s="47" t="s">
        <v>131</v>
      </c>
      <c r="N991" s="3">
        <v>0.9</v>
      </c>
      <c r="O991" s="10">
        <v>0.2</v>
      </c>
      <c r="P991" s="3"/>
      <c r="Q991" s="3">
        <f t="shared" si="32"/>
        <v>0</v>
      </c>
      <c r="R991" s="48">
        <f t="shared" si="33"/>
        <v>0</v>
      </c>
      <c r="S991" s="10" t="s">
        <v>23</v>
      </c>
      <c r="T991" s="191"/>
    </row>
    <row r="992" spans="1:20" ht="21.6" hidden="1" x14ac:dyDescent="0.3">
      <c r="A992" s="182">
        <v>2148</v>
      </c>
      <c r="B992" s="42" t="s">
        <v>20</v>
      </c>
      <c r="C992" s="43" t="s">
        <v>267</v>
      </c>
      <c r="D992" s="245" t="s">
        <v>504</v>
      </c>
      <c r="E992" s="243" t="s">
        <v>503</v>
      </c>
      <c r="F992" s="42" t="s">
        <v>123</v>
      </c>
      <c r="G992" s="42" t="s">
        <v>367</v>
      </c>
      <c r="H992" s="45" t="s">
        <v>469</v>
      </c>
      <c r="I992" s="47" t="s">
        <v>22</v>
      </c>
      <c r="J992" s="3">
        <v>0.7</v>
      </c>
      <c r="K992" s="47" t="s">
        <v>132</v>
      </c>
      <c r="L992" s="30" t="s">
        <v>133</v>
      </c>
      <c r="M992" s="47" t="s">
        <v>134</v>
      </c>
      <c r="N992" s="4">
        <v>0</v>
      </c>
      <c r="O992" s="10">
        <v>0.1</v>
      </c>
      <c r="P992" s="3"/>
      <c r="Q992" s="3">
        <f t="shared" si="32"/>
        <v>0</v>
      </c>
      <c r="R992" s="48">
        <f t="shared" si="33"/>
        <v>0</v>
      </c>
      <c r="S992" s="10" t="s">
        <v>24</v>
      </c>
      <c r="T992" s="191"/>
    </row>
    <row r="993" spans="1:20" ht="21.6" hidden="1" x14ac:dyDescent="0.3">
      <c r="A993" s="182">
        <v>2149</v>
      </c>
      <c r="B993" s="42" t="s">
        <v>20</v>
      </c>
      <c r="C993" s="43" t="s">
        <v>267</v>
      </c>
      <c r="D993" s="245" t="s">
        <v>504</v>
      </c>
      <c r="E993" s="243" t="s">
        <v>503</v>
      </c>
      <c r="F993" s="42" t="s">
        <v>123</v>
      </c>
      <c r="G993" s="42" t="s">
        <v>367</v>
      </c>
      <c r="H993" s="45" t="s">
        <v>469</v>
      </c>
      <c r="I993" s="47" t="s">
        <v>22</v>
      </c>
      <c r="J993" s="3">
        <v>0.7</v>
      </c>
      <c r="K993" s="47" t="s">
        <v>135</v>
      </c>
      <c r="L993" s="30" t="s">
        <v>136</v>
      </c>
      <c r="M993" s="47" t="s">
        <v>137</v>
      </c>
      <c r="N993" s="3">
        <v>0.9</v>
      </c>
      <c r="O993" s="10">
        <v>0.2</v>
      </c>
      <c r="P993" s="51"/>
      <c r="Q993" s="3">
        <f t="shared" si="32"/>
        <v>0</v>
      </c>
      <c r="R993" s="48">
        <f t="shared" si="33"/>
        <v>0</v>
      </c>
      <c r="S993" s="10" t="s">
        <v>23</v>
      </c>
      <c r="T993" s="191"/>
    </row>
    <row r="994" spans="1:20" ht="22.2" hidden="1" thickBot="1" x14ac:dyDescent="0.35">
      <c r="A994" s="267">
        <v>2150</v>
      </c>
      <c r="B994" s="268" t="s">
        <v>20</v>
      </c>
      <c r="C994" s="269" t="s">
        <v>267</v>
      </c>
      <c r="D994" s="302" t="s">
        <v>504</v>
      </c>
      <c r="E994" s="303" t="s">
        <v>503</v>
      </c>
      <c r="F994" s="268" t="s">
        <v>123</v>
      </c>
      <c r="G994" s="268" t="s">
        <v>367</v>
      </c>
      <c r="H994" s="271" t="s">
        <v>469</v>
      </c>
      <c r="I994" s="272" t="s">
        <v>26</v>
      </c>
      <c r="J994" s="273">
        <v>0.3</v>
      </c>
      <c r="K994" s="272" t="s">
        <v>138</v>
      </c>
      <c r="L994" s="291" t="s">
        <v>139</v>
      </c>
      <c r="M994" s="272" t="s">
        <v>140</v>
      </c>
      <c r="N994" s="273">
        <v>1</v>
      </c>
      <c r="O994" s="276">
        <v>1</v>
      </c>
      <c r="P994" s="273"/>
      <c r="Q994" s="273">
        <f t="shared" si="32"/>
        <v>0</v>
      </c>
      <c r="R994" s="287">
        <f t="shared" si="33"/>
        <v>0</v>
      </c>
      <c r="S994" s="276" t="s">
        <v>23</v>
      </c>
      <c r="T994" s="277"/>
    </row>
    <row r="995" spans="1:20" ht="21.6" hidden="1" x14ac:dyDescent="0.3">
      <c r="A995" s="242">
        <v>2142</v>
      </c>
      <c r="B995" s="243" t="s">
        <v>20</v>
      </c>
      <c r="C995" s="244" t="s">
        <v>267</v>
      </c>
      <c r="D995" s="245" t="s">
        <v>354</v>
      </c>
      <c r="E995" s="243" t="s">
        <v>353</v>
      </c>
      <c r="F995" s="243" t="s">
        <v>145</v>
      </c>
      <c r="G995" s="243" t="s">
        <v>367</v>
      </c>
      <c r="H995" s="246" t="s">
        <v>469</v>
      </c>
      <c r="I995" s="294" t="s">
        <v>22</v>
      </c>
      <c r="J995" s="248">
        <v>0.7</v>
      </c>
      <c r="K995" s="75" t="s">
        <v>513</v>
      </c>
      <c r="L995" s="105" t="s">
        <v>511</v>
      </c>
      <c r="M995" s="75" t="s">
        <v>411</v>
      </c>
      <c r="N995" s="248">
        <v>0.95</v>
      </c>
      <c r="O995" s="248">
        <v>0.15</v>
      </c>
      <c r="P995" s="248"/>
      <c r="Q995" s="248">
        <f t="shared" si="32"/>
        <v>0</v>
      </c>
      <c r="R995" s="250">
        <f t="shared" si="33"/>
        <v>0</v>
      </c>
      <c r="S995" s="248" t="s">
        <v>23</v>
      </c>
      <c r="T995" s="251">
        <f>SUM(R995:R1002)%</f>
        <v>0</v>
      </c>
    </row>
    <row r="996" spans="1:20" ht="21.6" hidden="1" x14ac:dyDescent="0.3">
      <c r="A996" s="182">
        <v>2144</v>
      </c>
      <c r="B996" s="42" t="s">
        <v>20</v>
      </c>
      <c r="C996" s="43" t="s">
        <v>267</v>
      </c>
      <c r="D996" s="44" t="s">
        <v>354</v>
      </c>
      <c r="E996" s="42" t="s">
        <v>353</v>
      </c>
      <c r="F996" s="42" t="s">
        <v>145</v>
      </c>
      <c r="G996" s="42" t="s">
        <v>367</v>
      </c>
      <c r="H996" s="45" t="s">
        <v>469</v>
      </c>
      <c r="I996" s="7" t="s">
        <v>22</v>
      </c>
      <c r="J996" s="3">
        <v>0.7</v>
      </c>
      <c r="K996" s="7" t="s">
        <v>124</v>
      </c>
      <c r="L996" s="8" t="s">
        <v>125</v>
      </c>
      <c r="M996" s="7" t="s">
        <v>126</v>
      </c>
      <c r="N996" s="3">
        <v>0.95</v>
      </c>
      <c r="O996" s="3">
        <v>0.15</v>
      </c>
      <c r="P996" s="6"/>
      <c r="Q996" s="3">
        <f t="shared" si="32"/>
        <v>0</v>
      </c>
      <c r="R996" s="4">
        <f t="shared" si="33"/>
        <v>0</v>
      </c>
      <c r="S996" s="3" t="s">
        <v>23</v>
      </c>
      <c r="T996" s="190"/>
    </row>
    <row r="997" spans="1:20" ht="21.6" hidden="1" x14ac:dyDescent="0.3">
      <c r="A997" s="182">
        <v>2145</v>
      </c>
      <c r="B997" s="42" t="s">
        <v>20</v>
      </c>
      <c r="C997" s="43" t="s">
        <v>267</v>
      </c>
      <c r="D997" s="44" t="s">
        <v>354</v>
      </c>
      <c r="E997" s="42" t="s">
        <v>353</v>
      </c>
      <c r="F997" s="42" t="s">
        <v>145</v>
      </c>
      <c r="G997" s="42" t="s">
        <v>367</v>
      </c>
      <c r="H997" s="45" t="s">
        <v>469</v>
      </c>
      <c r="I997" s="7" t="s">
        <v>22</v>
      </c>
      <c r="J997" s="3">
        <v>0.7</v>
      </c>
      <c r="K997" s="7" t="s">
        <v>51</v>
      </c>
      <c r="L997" s="8" t="s">
        <v>127</v>
      </c>
      <c r="M997" s="7" t="s">
        <v>128</v>
      </c>
      <c r="N997" s="6">
        <v>0.05</v>
      </c>
      <c r="O997" s="3">
        <v>0.1</v>
      </c>
      <c r="P997" s="11"/>
      <c r="Q997" s="3">
        <f t="shared" si="32"/>
        <v>0</v>
      </c>
      <c r="R997" s="4">
        <f t="shared" si="33"/>
        <v>0</v>
      </c>
      <c r="S997" s="3" t="s">
        <v>24</v>
      </c>
      <c r="T997" s="190"/>
    </row>
    <row r="998" spans="1:20" ht="21.6" hidden="1" x14ac:dyDescent="0.3">
      <c r="A998" s="182">
        <v>2146</v>
      </c>
      <c r="B998" s="42" t="s">
        <v>20</v>
      </c>
      <c r="C998" s="43" t="s">
        <v>267</v>
      </c>
      <c r="D998" s="44" t="s">
        <v>354</v>
      </c>
      <c r="E998" s="42" t="s">
        <v>353</v>
      </c>
      <c r="F998" s="42" t="s">
        <v>145</v>
      </c>
      <c r="G998" s="42" t="s">
        <v>367</v>
      </c>
      <c r="H998" s="45" t="s">
        <v>469</v>
      </c>
      <c r="I998" s="7" t="s">
        <v>22</v>
      </c>
      <c r="J998" s="3">
        <v>0.7</v>
      </c>
      <c r="K998" s="7" t="s">
        <v>305</v>
      </c>
      <c r="L998" s="8" t="s">
        <v>257</v>
      </c>
      <c r="M998" s="339" t="s">
        <v>306</v>
      </c>
      <c r="N998" s="3">
        <v>0.95</v>
      </c>
      <c r="O998" s="3">
        <v>0.1</v>
      </c>
      <c r="P998" s="3"/>
      <c r="Q998" s="3">
        <f t="shared" si="32"/>
        <v>0</v>
      </c>
      <c r="R998" s="4">
        <f t="shared" si="33"/>
        <v>0</v>
      </c>
      <c r="S998" s="3" t="s">
        <v>23</v>
      </c>
      <c r="T998" s="190"/>
    </row>
    <row r="999" spans="1:20" ht="21.6" hidden="1" x14ac:dyDescent="0.3">
      <c r="A999" s="182">
        <v>2147</v>
      </c>
      <c r="B999" s="42" t="s">
        <v>20</v>
      </c>
      <c r="C999" s="43" t="s">
        <v>267</v>
      </c>
      <c r="D999" s="44" t="s">
        <v>354</v>
      </c>
      <c r="E999" s="42" t="s">
        <v>353</v>
      </c>
      <c r="F999" s="42" t="s">
        <v>145</v>
      </c>
      <c r="G999" s="42" t="s">
        <v>367</v>
      </c>
      <c r="H999" s="45" t="s">
        <v>469</v>
      </c>
      <c r="I999" s="47" t="s">
        <v>22</v>
      </c>
      <c r="J999" s="3">
        <v>0.7</v>
      </c>
      <c r="K999" s="47" t="s">
        <v>129</v>
      </c>
      <c r="L999" s="30" t="s">
        <v>130</v>
      </c>
      <c r="M999" s="47" t="s">
        <v>131</v>
      </c>
      <c r="N999" s="3">
        <v>0.9</v>
      </c>
      <c r="O999" s="10">
        <v>0.2</v>
      </c>
      <c r="P999" s="3"/>
      <c r="Q999" s="3">
        <f t="shared" si="32"/>
        <v>0</v>
      </c>
      <c r="R999" s="48">
        <f t="shared" si="33"/>
        <v>0</v>
      </c>
      <c r="S999" s="10" t="s">
        <v>23</v>
      </c>
      <c r="T999" s="191"/>
    </row>
    <row r="1000" spans="1:20" ht="21.6" hidden="1" x14ac:dyDescent="0.3">
      <c r="A1000" s="182">
        <v>2148</v>
      </c>
      <c r="B1000" s="42" t="s">
        <v>20</v>
      </c>
      <c r="C1000" s="43" t="s">
        <v>267</v>
      </c>
      <c r="D1000" s="44" t="s">
        <v>354</v>
      </c>
      <c r="E1000" s="42" t="s">
        <v>353</v>
      </c>
      <c r="F1000" s="42" t="s">
        <v>145</v>
      </c>
      <c r="G1000" s="42" t="s">
        <v>367</v>
      </c>
      <c r="H1000" s="45" t="s">
        <v>469</v>
      </c>
      <c r="I1000" s="47" t="s">
        <v>22</v>
      </c>
      <c r="J1000" s="3">
        <v>0.7</v>
      </c>
      <c r="K1000" s="47" t="s">
        <v>132</v>
      </c>
      <c r="L1000" s="30" t="s">
        <v>133</v>
      </c>
      <c r="M1000" s="47" t="s">
        <v>134</v>
      </c>
      <c r="N1000" s="4">
        <v>0</v>
      </c>
      <c r="O1000" s="10">
        <v>0.1</v>
      </c>
      <c r="P1000" s="3"/>
      <c r="Q1000" s="3">
        <f t="shared" si="32"/>
        <v>0</v>
      </c>
      <c r="R1000" s="48">
        <f t="shared" si="33"/>
        <v>0</v>
      </c>
      <c r="S1000" s="10" t="s">
        <v>24</v>
      </c>
      <c r="T1000" s="191"/>
    </row>
    <row r="1001" spans="1:20" ht="21.6" hidden="1" x14ac:dyDescent="0.3">
      <c r="A1001" s="182">
        <v>2149</v>
      </c>
      <c r="B1001" s="42" t="s">
        <v>20</v>
      </c>
      <c r="C1001" s="43" t="s">
        <v>267</v>
      </c>
      <c r="D1001" s="44" t="s">
        <v>354</v>
      </c>
      <c r="E1001" s="42" t="s">
        <v>353</v>
      </c>
      <c r="F1001" s="42" t="s">
        <v>145</v>
      </c>
      <c r="G1001" s="42" t="s">
        <v>367</v>
      </c>
      <c r="H1001" s="45" t="s">
        <v>469</v>
      </c>
      <c r="I1001" s="47" t="s">
        <v>22</v>
      </c>
      <c r="J1001" s="3">
        <v>0.7</v>
      </c>
      <c r="K1001" s="47" t="s">
        <v>135</v>
      </c>
      <c r="L1001" s="30" t="s">
        <v>136</v>
      </c>
      <c r="M1001" s="47" t="s">
        <v>137</v>
      </c>
      <c r="N1001" s="3">
        <v>0.9</v>
      </c>
      <c r="O1001" s="10">
        <v>0.2</v>
      </c>
      <c r="P1001" s="51"/>
      <c r="Q1001" s="3">
        <f t="shared" si="32"/>
        <v>0</v>
      </c>
      <c r="R1001" s="48">
        <f t="shared" si="33"/>
        <v>0</v>
      </c>
      <c r="S1001" s="10" t="s">
        <v>23</v>
      </c>
      <c r="T1001" s="191"/>
    </row>
    <row r="1002" spans="1:20" ht="22.2" hidden="1" thickBot="1" x14ac:dyDescent="0.35">
      <c r="A1002" s="267">
        <v>2150</v>
      </c>
      <c r="B1002" s="268" t="s">
        <v>20</v>
      </c>
      <c r="C1002" s="269" t="s">
        <v>267</v>
      </c>
      <c r="D1002" s="270" t="s">
        <v>354</v>
      </c>
      <c r="E1002" s="268" t="s">
        <v>353</v>
      </c>
      <c r="F1002" s="268" t="s">
        <v>145</v>
      </c>
      <c r="G1002" s="268" t="s">
        <v>367</v>
      </c>
      <c r="H1002" s="271" t="s">
        <v>469</v>
      </c>
      <c r="I1002" s="272" t="s">
        <v>26</v>
      </c>
      <c r="J1002" s="273">
        <v>0.3</v>
      </c>
      <c r="K1002" s="272" t="s">
        <v>138</v>
      </c>
      <c r="L1002" s="291" t="s">
        <v>139</v>
      </c>
      <c r="M1002" s="272" t="s">
        <v>140</v>
      </c>
      <c r="N1002" s="273">
        <v>1</v>
      </c>
      <c r="O1002" s="276">
        <v>1</v>
      </c>
      <c r="P1002" s="273"/>
      <c r="Q1002" s="273">
        <f t="shared" si="32"/>
        <v>0</v>
      </c>
      <c r="R1002" s="287">
        <f t="shared" si="33"/>
        <v>0</v>
      </c>
      <c r="S1002" s="276" t="s">
        <v>23</v>
      </c>
      <c r="T1002" s="277"/>
    </row>
    <row r="1003" spans="1:20" ht="21.6" hidden="1" x14ac:dyDescent="0.3">
      <c r="A1003" s="242">
        <v>2142</v>
      </c>
      <c r="B1003" s="243" t="s">
        <v>20</v>
      </c>
      <c r="C1003" s="244" t="s">
        <v>267</v>
      </c>
      <c r="D1003" s="245" t="s">
        <v>356</v>
      </c>
      <c r="E1003" s="243" t="s">
        <v>355</v>
      </c>
      <c r="F1003" s="243" t="s">
        <v>145</v>
      </c>
      <c r="G1003" s="243" t="s">
        <v>367</v>
      </c>
      <c r="H1003" s="246" t="s">
        <v>469</v>
      </c>
      <c r="I1003" s="294" t="s">
        <v>22</v>
      </c>
      <c r="J1003" s="248">
        <v>0.7</v>
      </c>
      <c r="K1003" s="75" t="s">
        <v>513</v>
      </c>
      <c r="L1003" s="105" t="s">
        <v>511</v>
      </c>
      <c r="M1003" s="75" t="s">
        <v>411</v>
      </c>
      <c r="N1003" s="248">
        <v>0.95</v>
      </c>
      <c r="O1003" s="248">
        <v>0.15</v>
      </c>
      <c r="P1003" s="248"/>
      <c r="Q1003" s="248">
        <f t="shared" si="32"/>
        <v>0</v>
      </c>
      <c r="R1003" s="250">
        <f t="shared" si="33"/>
        <v>0</v>
      </c>
      <c r="S1003" s="248" t="s">
        <v>23</v>
      </c>
      <c r="T1003" s="251">
        <f>SUM(R1003:R1010)%</f>
        <v>0</v>
      </c>
    </row>
    <row r="1004" spans="1:20" ht="21.6" hidden="1" x14ac:dyDescent="0.3">
      <c r="A1004" s="182">
        <v>2144</v>
      </c>
      <c r="B1004" s="42" t="s">
        <v>20</v>
      </c>
      <c r="C1004" s="43" t="s">
        <v>267</v>
      </c>
      <c r="D1004" s="44" t="s">
        <v>356</v>
      </c>
      <c r="E1004" s="42" t="s">
        <v>355</v>
      </c>
      <c r="F1004" s="42" t="s">
        <v>145</v>
      </c>
      <c r="G1004" s="42" t="s">
        <v>367</v>
      </c>
      <c r="H1004" s="45" t="s">
        <v>469</v>
      </c>
      <c r="I1004" s="7" t="s">
        <v>22</v>
      </c>
      <c r="J1004" s="3">
        <v>0.7</v>
      </c>
      <c r="K1004" s="7" t="s">
        <v>124</v>
      </c>
      <c r="L1004" s="8" t="s">
        <v>125</v>
      </c>
      <c r="M1004" s="7" t="s">
        <v>126</v>
      </c>
      <c r="N1004" s="3">
        <v>0.95</v>
      </c>
      <c r="O1004" s="3">
        <v>0.15</v>
      </c>
      <c r="P1004" s="6"/>
      <c r="Q1004" s="3">
        <f t="shared" si="32"/>
        <v>0</v>
      </c>
      <c r="R1004" s="4">
        <f t="shared" si="33"/>
        <v>0</v>
      </c>
      <c r="S1004" s="3" t="s">
        <v>23</v>
      </c>
      <c r="T1004" s="190"/>
    </row>
    <row r="1005" spans="1:20" ht="21.6" hidden="1" x14ac:dyDescent="0.3">
      <c r="A1005" s="182">
        <v>2145</v>
      </c>
      <c r="B1005" s="42" t="s">
        <v>20</v>
      </c>
      <c r="C1005" s="43" t="s">
        <v>267</v>
      </c>
      <c r="D1005" s="44" t="s">
        <v>356</v>
      </c>
      <c r="E1005" s="42" t="s">
        <v>355</v>
      </c>
      <c r="F1005" s="42" t="s">
        <v>145</v>
      </c>
      <c r="G1005" s="42" t="s">
        <v>367</v>
      </c>
      <c r="H1005" s="45" t="s">
        <v>469</v>
      </c>
      <c r="I1005" s="7" t="s">
        <v>22</v>
      </c>
      <c r="J1005" s="3">
        <v>0.7</v>
      </c>
      <c r="K1005" s="7" t="s">
        <v>51</v>
      </c>
      <c r="L1005" s="8" t="s">
        <v>127</v>
      </c>
      <c r="M1005" s="7" t="s">
        <v>128</v>
      </c>
      <c r="N1005" s="6">
        <v>0.05</v>
      </c>
      <c r="O1005" s="3">
        <v>0.1</v>
      </c>
      <c r="P1005" s="11"/>
      <c r="Q1005" s="3">
        <f t="shared" si="32"/>
        <v>0</v>
      </c>
      <c r="R1005" s="4">
        <f t="shared" si="33"/>
        <v>0</v>
      </c>
      <c r="S1005" s="3" t="s">
        <v>24</v>
      </c>
      <c r="T1005" s="190"/>
    </row>
    <row r="1006" spans="1:20" ht="21.6" hidden="1" x14ac:dyDescent="0.3">
      <c r="A1006" s="182">
        <v>2146</v>
      </c>
      <c r="B1006" s="42" t="s">
        <v>20</v>
      </c>
      <c r="C1006" s="43" t="s">
        <v>267</v>
      </c>
      <c r="D1006" s="44" t="s">
        <v>356</v>
      </c>
      <c r="E1006" s="42" t="s">
        <v>355</v>
      </c>
      <c r="F1006" s="42" t="s">
        <v>145</v>
      </c>
      <c r="G1006" s="42" t="s">
        <v>367</v>
      </c>
      <c r="H1006" s="45" t="s">
        <v>469</v>
      </c>
      <c r="I1006" s="7" t="s">
        <v>22</v>
      </c>
      <c r="J1006" s="3">
        <v>0.7</v>
      </c>
      <c r="K1006" s="7" t="s">
        <v>305</v>
      </c>
      <c r="L1006" s="8" t="s">
        <v>257</v>
      </c>
      <c r="M1006" s="339" t="s">
        <v>306</v>
      </c>
      <c r="N1006" s="3">
        <v>0.95</v>
      </c>
      <c r="O1006" s="3">
        <v>0.1</v>
      </c>
      <c r="P1006" s="3"/>
      <c r="Q1006" s="3">
        <f t="shared" si="32"/>
        <v>0</v>
      </c>
      <c r="R1006" s="4">
        <f t="shared" si="33"/>
        <v>0</v>
      </c>
      <c r="S1006" s="3" t="s">
        <v>23</v>
      </c>
      <c r="T1006" s="190"/>
    </row>
    <row r="1007" spans="1:20" ht="21.6" hidden="1" x14ac:dyDescent="0.3">
      <c r="A1007" s="182">
        <v>2147</v>
      </c>
      <c r="B1007" s="42" t="s">
        <v>20</v>
      </c>
      <c r="C1007" s="43" t="s">
        <v>267</v>
      </c>
      <c r="D1007" s="44" t="s">
        <v>356</v>
      </c>
      <c r="E1007" s="42" t="s">
        <v>355</v>
      </c>
      <c r="F1007" s="42" t="s">
        <v>145</v>
      </c>
      <c r="G1007" s="42" t="s">
        <v>367</v>
      </c>
      <c r="H1007" s="45" t="s">
        <v>469</v>
      </c>
      <c r="I1007" s="47" t="s">
        <v>22</v>
      </c>
      <c r="J1007" s="3">
        <v>0.7</v>
      </c>
      <c r="K1007" s="47" t="s">
        <v>129</v>
      </c>
      <c r="L1007" s="30" t="s">
        <v>130</v>
      </c>
      <c r="M1007" s="47" t="s">
        <v>131</v>
      </c>
      <c r="N1007" s="3">
        <v>0.9</v>
      </c>
      <c r="O1007" s="10">
        <v>0.2</v>
      </c>
      <c r="P1007" s="3"/>
      <c r="Q1007" s="3">
        <f t="shared" si="32"/>
        <v>0</v>
      </c>
      <c r="R1007" s="48">
        <f t="shared" si="33"/>
        <v>0</v>
      </c>
      <c r="S1007" s="10" t="s">
        <v>23</v>
      </c>
      <c r="T1007" s="191"/>
    </row>
    <row r="1008" spans="1:20" ht="21.6" hidden="1" x14ac:dyDescent="0.3">
      <c r="A1008" s="182">
        <v>2148</v>
      </c>
      <c r="B1008" s="42" t="s">
        <v>20</v>
      </c>
      <c r="C1008" s="43" t="s">
        <v>267</v>
      </c>
      <c r="D1008" s="44" t="s">
        <v>356</v>
      </c>
      <c r="E1008" s="42" t="s">
        <v>355</v>
      </c>
      <c r="F1008" s="42" t="s">
        <v>145</v>
      </c>
      <c r="G1008" s="42" t="s">
        <v>367</v>
      </c>
      <c r="H1008" s="45" t="s">
        <v>469</v>
      </c>
      <c r="I1008" s="47" t="s">
        <v>22</v>
      </c>
      <c r="J1008" s="3">
        <v>0.7</v>
      </c>
      <c r="K1008" s="47" t="s">
        <v>132</v>
      </c>
      <c r="L1008" s="30" t="s">
        <v>133</v>
      </c>
      <c r="M1008" s="47" t="s">
        <v>134</v>
      </c>
      <c r="N1008" s="4">
        <v>0</v>
      </c>
      <c r="O1008" s="10">
        <v>0.1</v>
      </c>
      <c r="P1008" s="3"/>
      <c r="Q1008" s="3">
        <f t="shared" si="32"/>
        <v>0</v>
      </c>
      <c r="R1008" s="48">
        <f t="shared" si="33"/>
        <v>0</v>
      </c>
      <c r="S1008" s="10" t="s">
        <v>24</v>
      </c>
      <c r="T1008" s="191"/>
    </row>
    <row r="1009" spans="1:20" ht="21.6" hidden="1" x14ac:dyDescent="0.3">
      <c r="A1009" s="182">
        <v>2149</v>
      </c>
      <c r="B1009" s="42" t="s">
        <v>20</v>
      </c>
      <c r="C1009" s="43" t="s">
        <v>267</v>
      </c>
      <c r="D1009" s="44" t="s">
        <v>356</v>
      </c>
      <c r="E1009" s="42" t="s">
        <v>355</v>
      </c>
      <c r="F1009" s="42" t="s">
        <v>145</v>
      </c>
      <c r="G1009" s="42" t="s">
        <v>367</v>
      </c>
      <c r="H1009" s="45" t="s">
        <v>469</v>
      </c>
      <c r="I1009" s="47" t="s">
        <v>22</v>
      </c>
      <c r="J1009" s="3">
        <v>0.7</v>
      </c>
      <c r="K1009" s="47" t="s">
        <v>135</v>
      </c>
      <c r="L1009" s="30" t="s">
        <v>136</v>
      </c>
      <c r="M1009" s="47" t="s">
        <v>137</v>
      </c>
      <c r="N1009" s="3">
        <v>0.9</v>
      </c>
      <c r="O1009" s="10">
        <v>0.2</v>
      </c>
      <c r="P1009" s="51"/>
      <c r="Q1009" s="3">
        <f t="shared" si="32"/>
        <v>0</v>
      </c>
      <c r="R1009" s="48">
        <f t="shared" si="33"/>
        <v>0</v>
      </c>
      <c r="S1009" s="10" t="s">
        <v>23</v>
      </c>
      <c r="T1009" s="191"/>
    </row>
    <row r="1010" spans="1:20" ht="22.2" hidden="1" thickBot="1" x14ac:dyDescent="0.35">
      <c r="A1010" s="267">
        <v>2150</v>
      </c>
      <c r="B1010" s="268" t="s">
        <v>20</v>
      </c>
      <c r="C1010" s="269" t="s">
        <v>267</v>
      </c>
      <c r="D1010" s="270" t="s">
        <v>356</v>
      </c>
      <c r="E1010" s="268" t="s">
        <v>355</v>
      </c>
      <c r="F1010" s="268" t="s">
        <v>145</v>
      </c>
      <c r="G1010" s="268" t="s">
        <v>367</v>
      </c>
      <c r="H1010" s="271" t="s">
        <v>469</v>
      </c>
      <c r="I1010" s="272" t="s">
        <v>26</v>
      </c>
      <c r="J1010" s="273">
        <v>0.3</v>
      </c>
      <c r="K1010" s="272" t="s">
        <v>138</v>
      </c>
      <c r="L1010" s="291" t="s">
        <v>139</v>
      </c>
      <c r="M1010" s="272" t="s">
        <v>140</v>
      </c>
      <c r="N1010" s="273">
        <v>1</v>
      </c>
      <c r="O1010" s="276">
        <v>1</v>
      </c>
      <c r="P1010" s="273"/>
      <c r="Q1010" s="273">
        <f t="shared" si="32"/>
        <v>0</v>
      </c>
      <c r="R1010" s="287">
        <f t="shared" si="33"/>
        <v>0</v>
      </c>
      <c r="S1010" s="276" t="s">
        <v>23</v>
      </c>
      <c r="T1010" s="277"/>
    </row>
    <row r="1011" spans="1:20" ht="21.6" hidden="1" x14ac:dyDescent="0.3">
      <c r="A1011" s="242">
        <v>2151</v>
      </c>
      <c r="B1011" s="243" t="s">
        <v>20</v>
      </c>
      <c r="C1011" s="244" t="s">
        <v>267</v>
      </c>
      <c r="D1011" s="245" t="s">
        <v>352</v>
      </c>
      <c r="E1011" s="243" t="s">
        <v>351</v>
      </c>
      <c r="F1011" s="243" t="s">
        <v>145</v>
      </c>
      <c r="G1011" s="243" t="s">
        <v>367</v>
      </c>
      <c r="H1011" s="246" t="s">
        <v>469</v>
      </c>
      <c r="I1011" s="294" t="s">
        <v>22</v>
      </c>
      <c r="J1011" s="248">
        <v>0.7</v>
      </c>
      <c r="K1011" s="75" t="s">
        <v>513</v>
      </c>
      <c r="L1011" s="105" t="s">
        <v>511</v>
      </c>
      <c r="M1011" s="75" t="s">
        <v>411</v>
      </c>
      <c r="N1011" s="248">
        <v>0.95</v>
      </c>
      <c r="O1011" s="248">
        <v>0.15</v>
      </c>
      <c r="P1011" s="248"/>
      <c r="Q1011" s="248">
        <f t="shared" si="32"/>
        <v>0</v>
      </c>
      <c r="R1011" s="250">
        <f t="shared" si="33"/>
        <v>0</v>
      </c>
      <c r="S1011" s="248" t="s">
        <v>23</v>
      </c>
      <c r="T1011" s="251">
        <f>SUM(R1011:R1018)%</f>
        <v>0</v>
      </c>
    </row>
    <row r="1012" spans="1:20" ht="21.6" hidden="1" x14ac:dyDescent="0.3">
      <c r="A1012" s="182">
        <v>2153</v>
      </c>
      <c r="B1012" s="42" t="s">
        <v>20</v>
      </c>
      <c r="C1012" s="43" t="s">
        <v>267</v>
      </c>
      <c r="D1012" s="44" t="s">
        <v>352</v>
      </c>
      <c r="E1012" s="42" t="s">
        <v>351</v>
      </c>
      <c r="F1012" s="42" t="s">
        <v>145</v>
      </c>
      <c r="G1012" s="42" t="s">
        <v>367</v>
      </c>
      <c r="H1012" s="45" t="s">
        <v>469</v>
      </c>
      <c r="I1012" s="7" t="s">
        <v>22</v>
      </c>
      <c r="J1012" s="3">
        <v>0.7</v>
      </c>
      <c r="K1012" s="7" t="s">
        <v>124</v>
      </c>
      <c r="L1012" s="8" t="s">
        <v>125</v>
      </c>
      <c r="M1012" s="7" t="s">
        <v>126</v>
      </c>
      <c r="N1012" s="3">
        <v>0.95</v>
      </c>
      <c r="O1012" s="3">
        <v>0.15</v>
      </c>
      <c r="P1012" s="6"/>
      <c r="Q1012" s="3">
        <f t="shared" si="32"/>
        <v>0</v>
      </c>
      <c r="R1012" s="4">
        <f t="shared" si="33"/>
        <v>0</v>
      </c>
      <c r="S1012" s="3" t="s">
        <v>23</v>
      </c>
      <c r="T1012" s="190"/>
    </row>
    <row r="1013" spans="1:20" ht="21.6" hidden="1" x14ac:dyDescent="0.3">
      <c r="A1013" s="182">
        <v>2154</v>
      </c>
      <c r="B1013" s="42" t="s">
        <v>20</v>
      </c>
      <c r="C1013" s="43" t="s">
        <v>267</v>
      </c>
      <c r="D1013" s="44" t="s">
        <v>352</v>
      </c>
      <c r="E1013" s="42" t="s">
        <v>351</v>
      </c>
      <c r="F1013" s="42" t="s">
        <v>145</v>
      </c>
      <c r="G1013" s="42" t="s">
        <v>367</v>
      </c>
      <c r="H1013" s="45" t="s">
        <v>469</v>
      </c>
      <c r="I1013" s="7" t="s">
        <v>22</v>
      </c>
      <c r="J1013" s="3">
        <v>0.7</v>
      </c>
      <c r="K1013" s="7" t="s">
        <v>51</v>
      </c>
      <c r="L1013" s="8" t="s">
        <v>127</v>
      </c>
      <c r="M1013" s="7" t="s">
        <v>128</v>
      </c>
      <c r="N1013" s="6">
        <v>0.05</v>
      </c>
      <c r="O1013" s="3">
        <v>0.1</v>
      </c>
      <c r="P1013" s="11"/>
      <c r="Q1013" s="3">
        <f t="shared" si="32"/>
        <v>0</v>
      </c>
      <c r="R1013" s="4">
        <f t="shared" si="33"/>
        <v>0</v>
      </c>
      <c r="S1013" s="3" t="s">
        <v>24</v>
      </c>
      <c r="T1013" s="190"/>
    </row>
    <row r="1014" spans="1:20" ht="21.6" hidden="1" x14ac:dyDescent="0.3">
      <c r="A1014" s="182">
        <v>2155</v>
      </c>
      <c r="B1014" s="42" t="s">
        <v>20</v>
      </c>
      <c r="C1014" s="43" t="s">
        <v>267</v>
      </c>
      <c r="D1014" s="44" t="s">
        <v>352</v>
      </c>
      <c r="E1014" s="42" t="s">
        <v>351</v>
      </c>
      <c r="F1014" s="42" t="s">
        <v>145</v>
      </c>
      <c r="G1014" s="42" t="s">
        <v>367</v>
      </c>
      <c r="H1014" s="45" t="s">
        <v>469</v>
      </c>
      <c r="I1014" s="7" t="s">
        <v>22</v>
      </c>
      <c r="J1014" s="3">
        <v>0.7</v>
      </c>
      <c r="K1014" s="7" t="s">
        <v>305</v>
      </c>
      <c r="L1014" s="8" t="s">
        <v>257</v>
      </c>
      <c r="M1014" s="339" t="s">
        <v>306</v>
      </c>
      <c r="N1014" s="3">
        <v>0.95</v>
      </c>
      <c r="O1014" s="3">
        <v>0.1</v>
      </c>
      <c r="P1014" s="3"/>
      <c r="Q1014" s="3">
        <f t="shared" si="32"/>
        <v>0</v>
      </c>
      <c r="R1014" s="4">
        <f t="shared" si="33"/>
        <v>0</v>
      </c>
      <c r="S1014" s="3" t="s">
        <v>23</v>
      </c>
      <c r="T1014" s="190"/>
    </row>
    <row r="1015" spans="1:20" ht="21.6" hidden="1" x14ac:dyDescent="0.3">
      <c r="A1015" s="182">
        <v>2156</v>
      </c>
      <c r="B1015" s="42" t="s">
        <v>20</v>
      </c>
      <c r="C1015" s="43" t="s">
        <v>267</v>
      </c>
      <c r="D1015" s="44" t="s">
        <v>352</v>
      </c>
      <c r="E1015" s="42" t="s">
        <v>351</v>
      </c>
      <c r="F1015" s="42" t="s">
        <v>145</v>
      </c>
      <c r="G1015" s="42" t="s">
        <v>367</v>
      </c>
      <c r="H1015" s="45" t="s">
        <v>469</v>
      </c>
      <c r="I1015" s="47" t="s">
        <v>22</v>
      </c>
      <c r="J1015" s="3">
        <v>0.7</v>
      </c>
      <c r="K1015" s="47" t="s">
        <v>129</v>
      </c>
      <c r="L1015" s="30" t="s">
        <v>130</v>
      </c>
      <c r="M1015" s="47" t="s">
        <v>131</v>
      </c>
      <c r="N1015" s="3">
        <v>0.9</v>
      </c>
      <c r="O1015" s="10">
        <v>0.2</v>
      </c>
      <c r="P1015" s="3"/>
      <c r="Q1015" s="3">
        <f t="shared" si="32"/>
        <v>0</v>
      </c>
      <c r="R1015" s="48">
        <f t="shared" si="33"/>
        <v>0</v>
      </c>
      <c r="S1015" s="10" t="s">
        <v>23</v>
      </c>
      <c r="T1015" s="191"/>
    </row>
    <row r="1016" spans="1:20" ht="21.6" hidden="1" x14ac:dyDescent="0.3">
      <c r="A1016" s="182">
        <v>2157</v>
      </c>
      <c r="B1016" s="42" t="s">
        <v>20</v>
      </c>
      <c r="C1016" s="43" t="s">
        <v>267</v>
      </c>
      <c r="D1016" s="44" t="s">
        <v>352</v>
      </c>
      <c r="E1016" s="42" t="s">
        <v>351</v>
      </c>
      <c r="F1016" s="42" t="s">
        <v>145</v>
      </c>
      <c r="G1016" s="42" t="s">
        <v>367</v>
      </c>
      <c r="H1016" s="45" t="s">
        <v>469</v>
      </c>
      <c r="I1016" s="47" t="s">
        <v>22</v>
      </c>
      <c r="J1016" s="3">
        <v>0.7</v>
      </c>
      <c r="K1016" s="47" t="s">
        <v>132</v>
      </c>
      <c r="L1016" s="30" t="s">
        <v>133</v>
      </c>
      <c r="M1016" s="47" t="s">
        <v>134</v>
      </c>
      <c r="N1016" s="4">
        <v>0</v>
      </c>
      <c r="O1016" s="10">
        <v>0.1</v>
      </c>
      <c r="P1016" s="3"/>
      <c r="Q1016" s="3">
        <f t="shared" si="32"/>
        <v>0</v>
      </c>
      <c r="R1016" s="48">
        <f t="shared" si="33"/>
        <v>0</v>
      </c>
      <c r="S1016" s="10" t="s">
        <v>24</v>
      </c>
      <c r="T1016" s="191"/>
    </row>
    <row r="1017" spans="1:20" ht="21.6" hidden="1" x14ac:dyDescent="0.3">
      <c r="A1017" s="182">
        <v>2158</v>
      </c>
      <c r="B1017" s="42" t="s">
        <v>20</v>
      </c>
      <c r="C1017" s="43" t="s">
        <v>267</v>
      </c>
      <c r="D1017" s="44" t="s">
        <v>352</v>
      </c>
      <c r="E1017" s="42" t="s">
        <v>351</v>
      </c>
      <c r="F1017" s="42" t="s">
        <v>145</v>
      </c>
      <c r="G1017" s="42" t="s">
        <v>367</v>
      </c>
      <c r="H1017" s="45" t="s">
        <v>469</v>
      </c>
      <c r="I1017" s="47" t="s">
        <v>22</v>
      </c>
      <c r="J1017" s="3">
        <v>0.7</v>
      </c>
      <c r="K1017" s="47" t="s">
        <v>135</v>
      </c>
      <c r="L1017" s="30" t="s">
        <v>136</v>
      </c>
      <c r="M1017" s="47" t="s">
        <v>137</v>
      </c>
      <c r="N1017" s="3">
        <v>0.9</v>
      </c>
      <c r="O1017" s="10">
        <v>0.2</v>
      </c>
      <c r="P1017" s="51"/>
      <c r="Q1017" s="3">
        <f t="shared" ref="Q1017:Q1121" si="34">ROUND(IF(OR(N1017="",P1017=""),0,IF(AND(N1017=0,P1017=0),1,IF(S1017="+",P1017/N1017,N1017/P1017))),2)</f>
        <v>0</v>
      </c>
      <c r="R1017" s="48">
        <f t="shared" si="33"/>
        <v>0</v>
      </c>
      <c r="S1017" s="10" t="s">
        <v>23</v>
      </c>
      <c r="T1017" s="191"/>
    </row>
    <row r="1018" spans="1:20" ht="22.2" hidden="1" thickBot="1" x14ac:dyDescent="0.35">
      <c r="A1018" s="267">
        <v>2159</v>
      </c>
      <c r="B1018" s="268" t="s">
        <v>20</v>
      </c>
      <c r="C1018" s="269" t="s">
        <v>267</v>
      </c>
      <c r="D1018" s="270" t="s">
        <v>352</v>
      </c>
      <c r="E1018" s="268" t="s">
        <v>351</v>
      </c>
      <c r="F1018" s="268" t="s">
        <v>145</v>
      </c>
      <c r="G1018" s="268" t="s">
        <v>367</v>
      </c>
      <c r="H1018" s="271" t="s">
        <v>469</v>
      </c>
      <c r="I1018" s="272" t="s">
        <v>26</v>
      </c>
      <c r="J1018" s="273">
        <v>0.3</v>
      </c>
      <c r="K1018" s="272" t="s">
        <v>138</v>
      </c>
      <c r="L1018" s="291" t="s">
        <v>139</v>
      </c>
      <c r="M1018" s="272" t="s">
        <v>140</v>
      </c>
      <c r="N1018" s="273">
        <v>1</v>
      </c>
      <c r="O1018" s="276">
        <v>1</v>
      </c>
      <c r="P1018" s="273"/>
      <c r="Q1018" s="273">
        <f t="shared" si="34"/>
        <v>0</v>
      </c>
      <c r="R1018" s="287">
        <f t="shared" si="33"/>
        <v>0</v>
      </c>
      <c r="S1018" s="276" t="s">
        <v>23</v>
      </c>
      <c r="T1018" s="277"/>
    </row>
    <row r="1019" spans="1:20" ht="21.6" hidden="1" x14ac:dyDescent="0.3">
      <c r="A1019" s="242">
        <v>2070</v>
      </c>
      <c r="B1019" s="243" t="s">
        <v>20</v>
      </c>
      <c r="C1019" s="244" t="s">
        <v>267</v>
      </c>
      <c r="D1019" s="304">
        <v>6311</v>
      </c>
      <c r="E1019" s="295" t="s">
        <v>198</v>
      </c>
      <c r="F1019" s="296" t="s">
        <v>264</v>
      </c>
      <c r="G1019" s="295" t="s">
        <v>266</v>
      </c>
      <c r="H1019" s="246" t="s">
        <v>304</v>
      </c>
      <c r="I1019" s="294" t="s">
        <v>22</v>
      </c>
      <c r="J1019" s="248">
        <v>0.7</v>
      </c>
      <c r="K1019" s="75" t="s">
        <v>513</v>
      </c>
      <c r="L1019" s="105" t="s">
        <v>511</v>
      </c>
      <c r="M1019" s="75" t="s">
        <v>411</v>
      </c>
      <c r="N1019" s="248">
        <v>0.95</v>
      </c>
      <c r="O1019" s="248">
        <v>0.15</v>
      </c>
      <c r="P1019" s="248"/>
      <c r="Q1019" s="248">
        <f t="shared" si="34"/>
        <v>0</v>
      </c>
      <c r="R1019" s="250">
        <f t="shared" si="33"/>
        <v>0</v>
      </c>
      <c r="S1019" s="248" t="s">
        <v>23</v>
      </c>
      <c r="T1019" s="251">
        <f>SUM(R1019:R1025)%</f>
        <v>0</v>
      </c>
    </row>
    <row r="1020" spans="1:20" ht="21.6" hidden="1" x14ac:dyDescent="0.3">
      <c r="A1020" s="182">
        <v>2072</v>
      </c>
      <c r="B1020" s="42" t="s">
        <v>20</v>
      </c>
      <c r="C1020" s="43" t="s">
        <v>267</v>
      </c>
      <c r="D1020" s="55">
        <v>6311</v>
      </c>
      <c r="E1020" s="52" t="s">
        <v>198</v>
      </c>
      <c r="F1020" s="53" t="s">
        <v>264</v>
      </c>
      <c r="G1020" s="52" t="s">
        <v>266</v>
      </c>
      <c r="H1020" s="45" t="s">
        <v>304</v>
      </c>
      <c r="I1020" s="7" t="s">
        <v>22</v>
      </c>
      <c r="J1020" s="3">
        <v>0.7</v>
      </c>
      <c r="K1020" s="7" t="s">
        <v>124</v>
      </c>
      <c r="L1020" s="8" t="s">
        <v>125</v>
      </c>
      <c r="M1020" s="7" t="s">
        <v>126</v>
      </c>
      <c r="N1020" s="3">
        <v>0.95</v>
      </c>
      <c r="O1020" s="3">
        <v>0.15</v>
      </c>
      <c r="P1020" s="6"/>
      <c r="Q1020" s="3">
        <f t="shared" si="34"/>
        <v>0</v>
      </c>
      <c r="R1020" s="4">
        <f t="shared" si="33"/>
        <v>0</v>
      </c>
      <c r="S1020" s="3" t="s">
        <v>23</v>
      </c>
      <c r="T1020" s="190"/>
    </row>
    <row r="1021" spans="1:20" ht="21.6" hidden="1" x14ac:dyDescent="0.3">
      <c r="A1021" s="182">
        <v>2073</v>
      </c>
      <c r="B1021" s="42" t="s">
        <v>20</v>
      </c>
      <c r="C1021" s="43" t="s">
        <v>267</v>
      </c>
      <c r="D1021" s="55">
        <v>6311</v>
      </c>
      <c r="E1021" s="52" t="s">
        <v>198</v>
      </c>
      <c r="F1021" s="53" t="s">
        <v>264</v>
      </c>
      <c r="G1021" s="52" t="s">
        <v>266</v>
      </c>
      <c r="H1021" s="45" t="s">
        <v>304</v>
      </c>
      <c r="I1021" s="7" t="s">
        <v>22</v>
      </c>
      <c r="J1021" s="3">
        <v>0.7</v>
      </c>
      <c r="K1021" s="7" t="s">
        <v>305</v>
      </c>
      <c r="L1021" s="8" t="s">
        <v>257</v>
      </c>
      <c r="M1021" s="339" t="s">
        <v>306</v>
      </c>
      <c r="N1021" s="3">
        <v>0.95</v>
      </c>
      <c r="O1021" s="3">
        <v>0.2</v>
      </c>
      <c r="P1021" s="11"/>
      <c r="Q1021" s="3">
        <f t="shared" si="34"/>
        <v>0</v>
      </c>
      <c r="R1021" s="4">
        <f t="shared" si="33"/>
        <v>0</v>
      </c>
      <c r="S1021" s="3" t="s">
        <v>23</v>
      </c>
      <c r="T1021" s="190"/>
    </row>
    <row r="1022" spans="1:20" ht="21.6" hidden="1" x14ac:dyDescent="0.3">
      <c r="A1022" s="182">
        <v>2075</v>
      </c>
      <c r="B1022" s="42" t="s">
        <v>20</v>
      </c>
      <c r="C1022" s="43" t="s">
        <v>267</v>
      </c>
      <c r="D1022" s="55">
        <v>6311</v>
      </c>
      <c r="E1022" s="52" t="s">
        <v>198</v>
      </c>
      <c r="F1022" s="53" t="s">
        <v>264</v>
      </c>
      <c r="G1022" s="52" t="s">
        <v>266</v>
      </c>
      <c r="H1022" s="45" t="s">
        <v>304</v>
      </c>
      <c r="I1022" s="47" t="s">
        <v>22</v>
      </c>
      <c r="J1022" s="3">
        <v>0.7</v>
      </c>
      <c r="K1022" s="47" t="s">
        <v>129</v>
      </c>
      <c r="L1022" s="30" t="s">
        <v>130</v>
      </c>
      <c r="M1022" s="47" t="s">
        <v>131</v>
      </c>
      <c r="N1022" s="3">
        <v>0.9</v>
      </c>
      <c r="O1022" s="10">
        <v>0.2</v>
      </c>
      <c r="P1022" s="3"/>
      <c r="Q1022" s="3">
        <f t="shared" si="34"/>
        <v>0</v>
      </c>
      <c r="R1022" s="48">
        <f t="shared" si="33"/>
        <v>0</v>
      </c>
      <c r="S1022" s="10" t="s">
        <v>23</v>
      </c>
      <c r="T1022" s="191"/>
    </row>
    <row r="1023" spans="1:20" ht="21.6" hidden="1" x14ac:dyDescent="0.3">
      <c r="A1023" s="182">
        <v>2076</v>
      </c>
      <c r="B1023" s="42" t="s">
        <v>20</v>
      </c>
      <c r="C1023" s="43" t="s">
        <v>267</v>
      </c>
      <c r="D1023" s="55">
        <v>6311</v>
      </c>
      <c r="E1023" s="52" t="s">
        <v>198</v>
      </c>
      <c r="F1023" s="53" t="s">
        <v>264</v>
      </c>
      <c r="G1023" s="52" t="s">
        <v>266</v>
      </c>
      <c r="H1023" s="45" t="s">
        <v>304</v>
      </c>
      <c r="I1023" s="47" t="s">
        <v>22</v>
      </c>
      <c r="J1023" s="3">
        <v>0.7</v>
      </c>
      <c r="K1023" s="47" t="s">
        <v>132</v>
      </c>
      <c r="L1023" s="30" t="s">
        <v>133</v>
      </c>
      <c r="M1023" s="47" t="s">
        <v>134</v>
      </c>
      <c r="N1023" s="4">
        <v>0</v>
      </c>
      <c r="O1023" s="10">
        <v>0.1</v>
      </c>
      <c r="P1023" s="3"/>
      <c r="Q1023" s="3">
        <f t="shared" si="34"/>
        <v>0</v>
      </c>
      <c r="R1023" s="48">
        <f t="shared" si="33"/>
        <v>0</v>
      </c>
      <c r="S1023" s="10" t="s">
        <v>24</v>
      </c>
      <c r="T1023" s="191"/>
    </row>
    <row r="1024" spans="1:20" ht="21.6" hidden="1" x14ac:dyDescent="0.3">
      <c r="A1024" s="182">
        <v>2077</v>
      </c>
      <c r="B1024" s="42" t="s">
        <v>20</v>
      </c>
      <c r="C1024" s="43" t="s">
        <v>267</v>
      </c>
      <c r="D1024" s="55">
        <v>6311</v>
      </c>
      <c r="E1024" s="52" t="s">
        <v>198</v>
      </c>
      <c r="F1024" s="53" t="s">
        <v>264</v>
      </c>
      <c r="G1024" s="52" t="s">
        <v>266</v>
      </c>
      <c r="H1024" s="45" t="s">
        <v>304</v>
      </c>
      <c r="I1024" s="47" t="s">
        <v>22</v>
      </c>
      <c r="J1024" s="3">
        <v>0.7</v>
      </c>
      <c r="K1024" s="47" t="s">
        <v>135</v>
      </c>
      <c r="L1024" s="30" t="s">
        <v>136</v>
      </c>
      <c r="M1024" s="47" t="s">
        <v>137</v>
      </c>
      <c r="N1024" s="3">
        <v>0.9</v>
      </c>
      <c r="O1024" s="10">
        <v>0.2</v>
      </c>
      <c r="P1024" s="3"/>
      <c r="Q1024" s="3">
        <f t="shared" si="34"/>
        <v>0</v>
      </c>
      <c r="R1024" s="48">
        <f t="shared" si="33"/>
        <v>0</v>
      </c>
      <c r="S1024" s="10" t="s">
        <v>23</v>
      </c>
      <c r="T1024" s="191"/>
    </row>
    <row r="1025" spans="1:20" ht="22.2" hidden="1" thickBot="1" x14ac:dyDescent="0.35">
      <c r="A1025" s="200">
        <v>2078</v>
      </c>
      <c r="B1025" s="81" t="s">
        <v>20</v>
      </c>
      <c r="C1025" s="82" t="s">
        <v>267</v>
      </c>
      <c r="D1025" s="123">
        <v>6311</v>
      </c>
      <c r="E1025" s="118" t="s">
        <v>198</v>
      </c>
      <c r="F1025" s="119" t="s">
        <v>264</v>
      </c>
      <c r="G1025" s="118" t="s">
        <v>266</v>
      </c>
      <c r="H1025" s="84" t="s">
        <v>304</v>
      </c>
      <c r="I1025" s="85" t="s">
        <v>26</v>
      </c>
      <c r="J1025" s="238">
        <v>0.3</v>
      </c>
      <c r="K1025" s="85" t="s">
        <v>138</v>
      </c>
      <c r="L1025" s="114" t="s">
        <v>139</v>
      </c>
      <c r="M1025" s="85" t="s">
        <v>140</v>
      </c>
      <c r="N1025" s="238">
        <v>1</v>
      </c>
      <c r="O1025" s="255">
        <v>1</v>
      </c>
      <c r="P1025" s="238"/>
      <c r="Q1025" s="238">
        <f t="shared" si="34"/>
        <v>0</v>
      </c>
      <c r="R1025" s="240">
        <f t="shared" si="33"/>
        <v>0</v>
      </c>
      <c r="S1025" s="255" t="s">
        <v>23</v>
      </c>
      <c r="T1025" s="241"/>
    </row>
    <row r="1026" spans="1:20" ht="21.6" hidden="1" x14ac:dyDescent="0.3">
      <c r="A1026" s="242">
        <v>2070</v>
      </c>
      <c r="B1026" s="243" t="s">
        <v>20</v>
      </c>
      <c r="C1026" s="244" t="s">
        <v>267</v>
      </c>
      <c r="D1026" s="304">
        <v>3421</v>
      </c>
      <c r="E1026" s="295" t="s">
        <v>266</v>
      </c>
      <c r="F1026" s="296" t="s">
        <v>174</v>
      </c>
      <c r="G1026" s="295" t="s">
        <v>544</v>
      </c>
      <c r="H1026" s="246" t="s">
        <v>304</v>
      </c>
      <c r="I1026" s="247" t="s">
        <v>22</v>
      </c>
      <c r="J1026" s="248">
        <v>0.7</v>
      </c>
      <c r="K1026" s="340" t="s">
        <v>406</v>
      </c>
      <c r="L1026" s="332" t="s">
        <v>407</v>
      </c>
      <c r="M1026" s="332" t="s">
        <v>408</v>
      </c>
      <c r="N1026" s="278">
        <v>0.95</v>
      </c>
      <c r="O1026" s="278">
        <v>0.15</v>
      </c>
      <c r="P1026" s="248"/>
      <c r="Q1026" s="248">
        <f t="shared" si="34"/>
        <v>0</v>
      </c>
      <c r="R1026" s="250">
        <f t="shared" si="33"/>
        <v>0</v>
      </c>
      <c r="S1026" s="248" t="s">
        <v>23</v>
      </c>
      <c r="T1026" s="251">
        <f>SUM(R1026:R1033)%</f>
        <v>0</v>
      </c>
    </row>
    <row r="1027" spans="1:20" ht="21.6" hidden="1" x14ac:dyDescent="0.3">
      <c r="A1027" s="182">
        <v>2072</v>
      </c>
      <c r="B1027" s="42" t="s">
        <v>20</v>
      </c>
      <c r="C1027" s="43" t="s">
        <v>267</v>
      </c>
      <c r="D1027" s="55">
        <v>3421</v>
      </c>
      <c r="E1027" s="52" t="s">
        <v>266</v>
      </c>
      <c r="F1027" s="53" t="s">
        <v>174</v>
      </c>
      <c r="G1027" s="52" t="s">
        <v>544</v>
      </c>
      <c r="H1027" s="45" t="s">
        <v>304</v>
      </c>
      <c r="I1027" s="47" t="s">
        <v>22</v>
      </c>
      <c r="J1027" s="3">
        <v>0.7</v>
      </c>
      <c r="K1027" s="311" t="s">
        <v>409</v>
      </c>
      <c r="L1027" s="21" t="s">
        <v>410</v>
      </c>
      <c r="M1027" s="21" t="s">
        <v>411</v>
      </c>
      <c r="N1027" s="24">
        <v>0.95</v>
      </c>
      <c r="O1027" s="24">
        <v>0.15</v>
      </c>
      <c r="P1027" s="6"/>
      <c r="Q1027" s="3">
        <f t="shared" si="34"/>
        <v>0</v>
      </c>
      <c r="R1027" s="4">
        <f t="shared" si="33"/>
        <v>0</v>
      </c>
      <c r="S1027" s="3" t="s">
        <v>23</v>
      </c>
      <c r="T1027" s="190"/>
    </row>
    <row r="1028" spans="1:20" ht="21.6" hidden="1" x14ac:dyDescent="0.3">
      <c r="A1028" s="182">
        <v>2073</v>
      </c>
      <c r="B1028" s="42" t="s">
        <v>20</v>
      </c>
      <c r="C1028" s="43" t="s">
        <v>267</v>
      </c>
      <c r="D1028" s="55">
        <v>3421</v>
      </c>
      <c r="E1028" s="52" t="s">
        <v>266</v>
      </c>
      <c r="F1028" s="53" t="s">
        <v>174</v>
      </c>
      <c r="G1028" s="52" t="s">
        <v>544</v>
      </c>
      <c r="H1028" s="45" t="s">
        <v>304</v>
      </c>
      <c r="I1028" s="47" t="s">
        <v>22</v>
      </c>
      <c r="J1028" s="3">
        <v>0.7</v>
      </c>
      <c r="K1028" s="311" t="s">
        <v>412</v>
      </c>
      <c r="L1028" s="21" t="s">
        <v>413</v>
      </c>
      <c r="M1028" s="21" t="s">
        <v>380</v>
      </c>
      <c r="N1028" s="24">
        <v>0.7</v>
      </c>
      <c r="O1028" s="24">
        <v>0.15</v>
      </c>
      <c r="P1028" s="3"/>
      <c r="Q1028" s="3">
        <f t="shared" si="34"/>
        <v>0</v>
      </c>
      <c r="R1028" s="4">
        <f t="shared" si="33"/>
        <v>0</v>
      </c>
      <c r="S1028" s="3" t="s">
        <v>23</v>
      </c>
      <c r="T1028" s="190"/>
    </row>
    <row r="1029" spans="1:20" ht="21.6" hidden="1" x14ac:dyDescent="0.3">
      <c r="A1029" s="182">
        <v>2075</v>
      </c>
      <c r="B1029" s="42" t="s">
        <v>20</v>
      </c>
      <c r="C1029" s="43" t="s">
        <v>267</v>
      </c>
      <c r="D1029" s="55">
        <v>3421</v>
      </c>
      <c r="E1029" s="52" t="s">
        <v>266</v>
      </c>
      <c r="F1029" s="53" t="s">
        <v>174</v>
      </c>
      <c r="G1029" s="52" t="s">
        <v>544</v>
      </c>
      <c r="H1029" s="45" t="s">
        <v>304</v>
      </c>
      <c r="I1029" s="47" t="s">
        <v>22</v>
      </c>
      <c r="J1029" s="3">
        <v>0.7</v>
      </c>
      <c r="K1029" s="311" t="s">
        <v>387</v>
      </c>
      <c r="L1029" s="21" t="s">
        <v>388</v>
      </c>
      <c r="M1029" s="21" t="s">
        <v>377</v>
      </c>
      <c r="N1029" s="24">
        <v>0.05</v>
      </c>
      <c r="O1029" s="24">
        <v>0.15</v>
      </c>
      <c r="P1029" s="3"/>
      <c r="Q1029" s="3">
        <f t="shared" si="34"/>
        <v>0</v>
      </c>
      <c r="R1029" s="48">
        <f t="shared" si="33"/>
        <v>0</v>
      </c>
      <c r="S1029" s="3" t="s">
        <v>23</v>
      </c>
      <c r="T1029" s="191"/>
    </row>
    <row r="1030" spans="1:20" ht="21.6" hidden="1" x14ac:dyDescent="0.3">
      <c r="A1030" s="182">
        <v>2076</v>
      </c>
      <c r="B1030" s="42" t="s">
        <v>20</v>
      </c>
      <c r="C1030" s="43" t="s">
        <v>267</v>
      </c>
      <c r="D1030" s="55">
        <v>3421</v>
      </c>
      <c r="E1030" s="52" t="s">
        <v>266</v>
      </c>
      <c r="F1030" s="53" t="s">
        <v>174</v>
      </c>
      <c r="G1030" s="52" t="s">
        <v>544</v>
      </c>
      <c r="H1030" s="45" t="s">
        <v>304</v>
      </c>
      <c r="I1030" s="47" t="s">
        <v>22</v>
      </c>
      <c r="J1030" s="3">
        <v>0.7</v>
      </c>
      <c r="K1030" s="311" t="s">
        <v>378</v>
      </c>
      <c r="L1030" s="21" t="s">
        <v>389</v>
      </c>
      <c r="M1030" s="21" t="s">
        <v>379</v>
      </c>
      <c r="N1030" s="24">
        <v>1</v>
      </c>
      <c r="O1030" s="24">
        <v>0.15</v>
      </c>
      <c r="P1030" s="3"/>
      <c r="Q1030" s="3">
        <f t="shared" si="34"/>
        <v>0</v>
      </c>
      <c r="R1030" s="48">
        <f t="shared" si="33"/>
        <v>0</v>
      </c>
      <c r="S1030" s="10" t="s">
        <v>23</v>
      </c>
      <c r="T1030" s="191"/>
    </row>
    <row r="1031" spans="1:20" ht="21.6" hidden="1" x14ac:dyDescent="0.3">
      <c r="A1031" s="182">
        <v>2077</v>
      </c>
      <c r="B1031" s="42" t="s">
        <v>20</v>
      </c>
      <c r="C1031" s="43" t="s">
        <v>267</v>
      </c>
      <c r="D1031" s="55">
        <v>3421</v>
      </c>
      <c r="E1031" s="52" t="s">
        <v>266</v>
      </c>
      <c r="F1031" s="53" t="s">
        <v>174</v>
      </c>
      <c r="G1031" s="52" t="s">
        <v>544</v>
      </c>
      <c r="H1031" s="45" t="s">
        <v>304</v>
      </c>
      <c r="I1031" s="47" t="s">
        <v>22</v>
      </c>
      <c r="J1031" s="3">
        <v>0.7</v>
      </c>
      <c r="K1031" s="311" t="s">
        <v>395</v>
      </c>
      <c r="L1031" s="21" t="s">
        <v>396</v>
      </c>
      <c r="M1031" s="21" t="s">
        <v>397</v>
      </c>
      <c r="N1031" s="24">
        <v>0.9</v>
      </c>
      <c r="O1031" s="24">
        <v>0.15</v>
      </c>
      <c r="P1031" s="3"/>
      <c r="Q1031" s="3">
        <f t="shared" si="34"/>
        <v>0</v>
      </c>
      <c r="R1031" s="48">
        <f t="shared" si="33"/>
        <v>0</v>
      </c>
      <c r="S1031" s="10" t="s">
        <v>23</v>
      </c>
      <c r="T1031" s="191"/>
    </row>
    <row r="1032" spans="1:20" ht="21.6" hidden="1" x14ac:dyDescent="0.3">
      <c r="A1032" s="182">
        <v>2077</v>
      </c>
      <c r="B1032" s="42" t="s">
        <v>20</v>
      </c>
      <c r="C1032" s="43" t="s">
        <v>267</v>
      </c>
      <c r="D1032" s="55">
        <v>3421</v>
      </c>
      <c r="E1032" s="52" t="s">
        <v>266</v>
      </c>
      <c r="F1032" s="53" t="s">
        <v>174</v>
      </c>
      <c r="G1032" s="52" t="s">
        <v>544</v>
      </c>
      <c r="H1032" s="45" t="s">
        <v>304</v>
      </c>
      <c r="I1032" s="47" t="s">
        <v>22</v>
      </c>
      <c r="J1032" s="3">
        <v>0.7</v>
      </c>
      <c r="K1032" s="311" t="s">
        <v>398</v>
      </c>
      <c r="L1032" s="21" t="s">
        <v>399</v>
      </c>
      <c r="M1032" s="21" t="s">
        <v>400</v>
      </c>
      <c r="N1032" s="24">
        <v>1</v>
      </c>
      <c r="O1032" s="24">
        <v>0.1</v>
      </c>
      <c r="P1032" s="3"/>
      <c r="Q1032" s="3">
        <f t="shared" si="34"/>
        <v>0</v>
      </c>
      <c r="R1032" s="4">
        <f>IF(AND(Q1032&gt;=60%,Q1032&lt;100%),Q1032*((O1032*J1032)),IF(Q1032=100%,((O1032*J1032)*Q1032)*100%,IF(Q1032&gt;100%,((J1032*O1032)*100%)*100%,0)))*100</f>
        <v>0</v>
      </c>
      <c r="S1032" s="3" t="s">
        <v>23</v>
      </c>
      <c r="T1032" s="191"/>
    </row>
    <row r="1033" spans="1:20" ht="22.2" hidden="1" thickBot="1" x14ac:dyDescent="0.35">
      <c r="A1033" s="200">
        <v>2078</v>
      </c>
      <c r="B1033" s="81" t="s">
        <v>20</v>
      </c>
      <c r="C1033" s="82" t="s">
        <v>267</v>
      </c>
      <c r="D1033" s="123">
        <v>3421</v>
      </c>
      <c r="E1033" s="118" t="s">
        <v>266</v>
      </c>
      <c r="F1033" s="119" t="s">
        <v>174</v>
      </c>
      <c r="G1033" s="118" t="s">
        <v>544</v>
      </c>
      <c r="H1033" s="84" t="s">
        <v>304</v>
      </c>
      <c r="I1033" s="85" t="s">
        <v>26</v>
      </c>
      <c r="J1033" s="238">
        <v>0.3</v>
      </c>
      <c r="K1033" s="85" t="s">
        <v>138</v>
      </c>
      <c r="L1033" s="114" t="s">
        <v>139</v>
      </c>
      <c r="M1033" s="85" t="s">
        <v>140</v>
      </c>
      <c r="N1033" s="238">
        <v>1</v>
      </c>
      <c r="O1033" s="255">
        <v>1</v>
      </c>
      <c r="P1033" s="238"/>
      <c r="Q1033" s="238">
        <f t="shared" si="34"/>
        <v>0</v>
      </c>
      <c r="R1033" s="240">
        <f t="shared" si="33"/>
        <v>0</v>
      </c>
      <c r="S1033" s="255" t="s">
        <v>23</v>
      </c>
      <c r="T1033" s="241"/>
    </row>
    <row r="1034" spans="1:20" ht="21.6" hidden="1" x14ac:dyDescent="0.3">
      <c r="A1034" s="242">
        <v>2070</v>
      </c>
      <c r="B1034" s="243" t="s">
        <v>20</v>
      </c>
      <c r="C1034" s="244" t="s">
        <v>267</v>
      </c>
      <c r="D1034" s="304">
        <v>6365</v>
      </c>
      <c r="E1034" s="295" t="s">
        <v>196</v>
      </c>
      <c r="F1034" s="296" t="s">
        <v>123</v>
      </c>
      <c r="G1034" s="295" t="s">
        <v>266</v>
      </c>
      <c r="H1034" s="246" t="s">
        <v>304</v>
      </c>
      <c r="I1034" s="294" t="s">
        <v>22</v>
      </c>
      <c r="J1034" s="248">
        <v>0.7</v>
      </c>
      <c r="K1034" s="75" t="s">
        <v>513</v>
      </c>
      <c r="L1034" s="105" t="s">
        <v>511</v>
      </c>
      <c r="M1034" s="75" t="s">
        <v>411</v>
      </c>
      <c r="N1034" s="248">
        <v>0.95</v>
      </c>
      <c r="O1034" s="248">
        <v>0.15</v>
      </c>
      <c r="P1034" s="248"/>
      <c r="Q1034" s="248">
        <f t="shared" si="34"/>
        <v>0</v>
      </c>
      <c r="R1034" s="250">
        <f t="shared" si="33"/>
        <v>0</v>
      </c>
      <c r="S1034" s="248" t="s">
        <v>23</v>
      </c>
      <c r="T1034" s="251">
        <f>SUM(R1034:R1040)%</f>
        <v>0</v>
      </c>
    </row>
    <row r="1035" spans="1:20" ht="21.6" hidden="1" x14ac:dyDescent="0.3">
      <c r="A1035" s="182">
        <v>2072</v>
      </c>
      <c r="B1035" s="42" t="s">
        <v>20</v>
      </c>
      <c r="C1035" s="43" t="s">
        <v>267</v>
      </c>
      <c r="D1035" s="50">
        <v>6365</v>
      </c>
      <c r="E1035" s="52" t="s">
        <v>196</v>
      </c>
      <c r="F1035" s="53" t="s">
        <v>123</v>
      </c>
      <c r="G1035" s="52" t="s">
        <v>266</v>
      </c>
      <c r="H1035" s="45" t="s">
        <v>304</v>
      </c>
      <c r="I1035" s="7" t="s">
        <v>22</v>
      </c>
      <c r="J1035" s="3">
        <v>0.7</v>
      </c>
      <c r="K1035" s="7" t="s">
        <v>124</v>
      </c>
      <c r="L1035" s="8" t="s">
        <v>125</v>
      </c>
      <c r="M1035" s="7" t="s">
        <v>126</v>
      </c>
      <c r="N1035" s="3">
        <v>0.95</v>
      </c>
      <c r="O1035" s="3">
        <v>0.15</v>
      </c>
      <c r="P1035" s="6"/>
      <c r="Q1035" s="3">
        <f t="shared" si="34"/>
        <v>0</v>
      </c>
      <c r="R1035" s="4">
        <f t="shared" si="33"/>
        <v>0</v>
      </c>
      <c r="S1035" s="3" t="s">
        <v>23</v>
      </c>
      <c r="T1035" s="190"/>
    </row>
    <row r="1036" spans="1:20" ht="21.6" hidden="1" x14ac:dyDescent="0.3">
      <c r="A1036" s="182">
        <v>2074</v>
      </c>
      <c r="B1036" s="42" t="s">
        <v>20</v>
      </c>
      <c r="C1036" s="43" t="s">
        <v>267</v>
      </c>
      <c r="D1036" s="50">
        <v>6365</v>
      </c>
      <c r="E1036" s="52" t="s">
        <v>196</v>
      </c>
      <c r="F1036" s="53" t="s">
        <v>123</v>
      </c>
      <c r="G1036" s="52" t="s">
        <v>266</v>
      </c>
      <c r="H1036" s="45" t="s">
        <v>304</v>
      </c>
      <c r="I1036" s="7" t="s">
        <v>22</v>
      </c>
      <c r="J1036" s="3">
        <v>0.7</v>
      </c>
      <c r="K1036" s="7" t="s">
        <v>305</v>
      </c>
      <c r="L1036" s="8" t="s">
        <v>257</v>
      </c>
      <c r="M1036" s="339" t="s">
        <v>306</v>
      </c>
      <c r="N1036" s="3">
        <v>0.95</v>
      </c>
      <c r="O1036" s="3">
        <v>0.2</v>
      </c>
      <c r="P1036" s="3"/>
      <c r="Q1036" s="3">
        <f t="shared" si="34"/>
        <v>0</v>
      </c>
      <c r="R1036" s="4">
        <f t="shared" si="33"/>
        <v>0</v>
      </c>
      <c r="S1036" s="3" t="s">
        <v>23</v>
      </c>
      <c r="T1036" s="190"/>
    </row>
    <row r="1037" spans="1:20" ht="21.6" hidden="1" x14ac:dyDescent="0.3">
      <c r="A1037" s="182">
        <v>2075</v>
      </c>
      <c r="B1037" s="42" t="s">
        <v>20</v>
      </c>
      <c r="C1037" s="43" t="s">
        <v>267</v>
      </c>
      <c r="D1037" s="50">
        <v>6365</v>
      </c>
      <c r="E1037" s="52" t="s">
        <v>196</v>
      </c>
      <c r="F1037" s="53" t="s">
        <v>123</v>
      </c>
      <c r="G1037" s="52" t="s">
        <v>266</v>
      </c>
      <c r="H1037" s="45" t="s">
        <v>304</v>
      </c>
      <c r="I1037" s="47" t="s">
        <v>22</v>
      </c>
      <c r="J1037" s="3">
        <v>0.7</v>
      </c>
      <c r="K1037" s="47" t="s">
        <v>129</v>
      </c>
      <c r="L1037" s="30" t="s">
        <v>130</v>
      </c>
      <c r="M1037" s="47" t="s">
        <v>131</v>
      </c>
      <c r="N1037" s="3">
        <v>0.9</v>
      </c>
      <c r="O1037" s="10">
        <v>0.2</v>
      </c>
      <c r="P1037" s="3"/>
      <c r="Q1037" s="3">
        <f t="shared" si="34"/>
        <v>0</v>
      </c>
      <c r="R1037" s="48">
        <f t="shared" si="33"/>
        <v>0</v>
      </c>
      <c r="S1037" s="10" t="s">
        <v>23</v>
      </c>
      <c r="T1037" s="191"/>
    </row>
    <row r="1038" spans="1:20" ht="21.6" hidden="1" x14ac:dyDescent="0.3">
      <c r="A1038" s="182">
        <v>2076</v>
      </c>
      <c r="B1038" s="42" t="s">
        <v>20</v>
      </c>
      <c r="C1038" s="43" t="s">
        <v>267</v>
      </c>
      <c r="D1038" s="50">
        <v>6365</v>
      </c>
      <c r="E1038" s="52" t="s">
        <v>196</v>
      </c>
      <c r="F1038" s="53" t="s">
        <v>123</v>
      </c>
      <c r="G1038" s="52" t="s">
        <v>266</v>
      </c>
      <c r="H1038" s="45" t="s">
        <v>304</v>
      </c>
      <c r="I1038" s="47" t="s">
        <v>22</v>
      </c>
      <c r="J1038" s="3">
        <v>0.7</v>
      </c>
      <c r="K1038" s="47" t="s">
        <v>132</v>
      </c>
      <c r="L1038" s="30" t="s">
        <v>133</v>
      </c>
      <c r="M1038" s="47" t="s">
        <v>134</v>
      </c>
      <c r="N1038" s="4">
        <v>0</v>
      </c>
      <c r="O1038" s="10">
        <v>0.1</v>
      </c>
      <c r="P1038" s="3"/>
      <c r="Q1038" s="3">
        <f t="shared" si="34"/>
        <v>0</v>
      </c>
      <c r="R1038" s="48">
        <f t="shared" si="33"/>
        <v>0</v>
      </c>
      <c r="S1038" s="10" t="s">
        <v>24</v>
      </c>
      <c r="T1038" s="191"/>
    </row>
    <row r="1039" spans="1:20" ht="21.6" hidden="1" x14ac:dyDescent="0.3">
      <c r="A1039" s="182">
        <v>2077</v>
      </c>
      <c r="B1039" s="42" t="s">
        <v>20</v>
      </c>
      <c r="C1039" s="43" t="s">
        <v>267</v>
      </c>
      <c r="D1039" s="50">
        <v>6365</v>
      </c>
      <c r="E1039" s="52" t="s">
        <v>196</v>
      </c>
      <c r="F1039" s="53" t="s">
        <v>123</v>
      </c>
      <c r="G1039" s="52" t="s">
        <v>266</v>
      </c>
      <c r="H1039" s="45" t="s">
        <v>304</v>
      </c>
      <c r="I1039" s="47" t="s">
        <v>22</v>
      </c>
      <c r="J1039" s="3">
        <v>0.7</v>
      </c>
      <c r="K1039" s="47" t="s">
        <v>135</v>
      </c>
      <c r="L1039" s="30" t="s">
        <v>136</v>
      </c>
      <c r="M1039" s="47" t="s">
        <v>137</v>
      </c>
      <c r="N1039" s="3">
        <v>0.9</v>
      </c>
      <c r="O1039" s="10">
        <v>0.2</v>
      </c>
      <c r="P1039" s="3"/>
      <c r="Q1039" s="3">
        <f t="shared" si="34"/>
        <v>0</v>
      </c>
      <c r="R1039" s="48">
        <f t="shared" si="33"/>
        <v>0</v>
      </c>
      <c r="S1039" s="10" t="s">
        <v>23</v>
      </c>
      <c r="T1039" s="191"/>
    </row>
    <row r="1040" spans="1:20" ht="22.2" hidden="1" thickBot="1" x14ac:dyDescent="0.35">
      <c r="A1040" s="267">
        <v>2078</v>
      </c>
      <c r="B1040" s="268" t="s">
        <v>20</v>
      </c>
      <c r="C1040" s="269" t="s">
        <v>267</v>
      </c>
      <c r="D1040" s="290">
        <v>6365</v>
      </c>
      <c r="E1040" s="298" t="s">
        <v>196</v>
      </c>
      <c r="F1040" s="299" t="s">
        <v>123</v>
      </c>
      <c r="G1040" s="298" t="s">
        <v>266</v>
      </c>
      <c r="H1040" s="271" t="s">
        <v>304</v>
      </c>
      <c r="I1040" s="272" t="s">
        <v>26</v>
      </c>
      <c r="J1040" s="273">
        <v>0.3</v>
      </c>
      <c r="K1040" s="272" t="s">
        <v>138</v>
      </c>
      <c r="L1040" s="291" t="s">
        <v>139</v>
      </c>
      <c r="M1040" s="272" t="s">
        <v>140</v>
      </c>
      <c r="N1040" s="273">
        <v>1</v>
      </c>
      <c r="O1040" s="276">
        <v>1</v>
      </c>
      <c r="P1040" s="273"/>
      <c r="Q1040" s="273">
        <f t="shared" si="34"/>
        <v>0</v>
      </c>
      <c r="R1040" s="287">
        <f t="shared" si="33"/>
        <v>0</v>
      </c>
      <c r="S1040" s="276" t="s">
        <v>23</v>
      </c>
      <c r="T1040" s="277"/>
    </row>
    <row r="1041" spans="1:20" ht="21.6" hidden="1" x14ac:dyDescent="0.3">
      <c r="A1041" s="242">
        <v>2070</v>
      </c>
      <c r="B1041" s="243" t="s">
        <v>20</v>
      </c>
      <c r="C1041" s="244" t="s">
        <v>267</v>
      </c>
      <c r="D1041" s="304">
        <v>6250</v>
      </c>
      <c r="E1041" s="295" t="s">
        <v>197</v>
      </c>
      <c r="F1041" s="296" t="s">
        <v>264</v>
      </c>
      <c r="G1041" s="295" t="s">
        <v>266</v>
      </c>
      <c r="H1041" s="246" t="s">
        <v>304</v>
      </c>
      <c r="I1041" s="294" t="s">
        <v>22</v>
      </c>
      <c r="J1041" s="248">
        <v>0.7</v>
      </c>
      <c r="K1041" s="75" t="s">
        <v>513</v>
      </c>
      <c r="L1041" s="105" t="s">
        <v>511</v>
      </c>
      <c r="M1041" s="75" t="s">
        <v>411</v>
      </c>
      <c r="N1041" s="248">
        <v>0.95</v>
      </c>
      <c r="O1041" s="248">
        <v>0.15</v>
      </c>
      <c r="P1041" s="248"/>
      <c r="Q1041" s="248">
        <f t="shared" si="34"/>
        <v>0</v>
      </c>
      <c r="R1041" s="250">
        <f t="shared" si="33"/>
        <v>0</v>
      </c>
      <c r="S1041" s="248" t="s">
        <v>23</v>
      </c>
      <c r="T1041" s="251">
        <f>SUM(R1041:R1047)%</f>
        <v>0</v>
      </c>
    </row>
    <row r="1042" spans="1:20" ht="21.6" hidden="1" x14ac:dyDescent="0.3">
      <c r="A1042" s="182">
        <v>2072</v>
      </c>
      <c r="B1042" s="42" t="s">
        <v>20</v>
      </c>
      <c r="C1042" s="43" t="s">
        <v>267</v>
      </c>
      <c r="D1042" s="55">
        <v>6250</v>
      </c>
      <c r="E1042" s="52" t="s">
        <v>197</v>
      </c>
      <c r="F1042" s="53" t="s">
        <v>264</v>
      </c>
      <c r="G1042" s="52" t="s">
        <v>266</v>
      </c>
      <c r="H1042" s="45" t="s">
        <v>304</v>
      </c>
      <c r="I1042" s="7" t="s">
        <v>22</v>
      </c>
      <c r="J1042" s="3">
        <v>0.7</v>
      </c>
      <c r="K1042" s="7" t="s">
        <v>124</v>
      </c>
      <c r="L1042" s="8" t="s">
        <v>125</v>
      </c>
      <c r="M1042" s="7" t="s">
        <v>126</v>
      </c>
      <c r="N1042" s="3">
        <v>0.95</v>
      </c>
      <c r="O1042" s="3">
        <v>0.15</v>
      </c>
      <c r="P1042" s="6"/>
      <c r="Q1042" s="3">
        <f t="shared" si="34"/>
        <v>0</v>
      </c>
      <c r="R1042" s="4">
        <f t="shared" si="33"/>
        <v>0</v>
      </c>
      <c r="S1042" s="3" t="s">
        <v>23</v>
      </c>
      <c r="T1042" s="190"/>
    </row>
    <row r="1043" spans="1:20" ht="21.6" hidden="1" x14ac:dyDescent="0.3">
      <c r="A1043" s="182">
        <v>2074</v>
      </c>
      <c r="B1043" s="42" t="s">
        <v>20</v>
      </c>
      <c r="C1043" s="43" t="s">
        <v>267</v>
      </c>
      <c r="D1043" s="55">
        <v>6250</v>
      </c>
      <c r="E1043" s="52" t="s">
        <v>197</v>
      </c>
      <c r="F1043" s="53" t="s">
        <v>264</v>
      </c>
      <c r="G1043" s="52" t="s">
        <v>266</v>
      </c>
      <c r="H1043" s="45" t="s">
        <v>304</v>
      </c>
      <c r="I1043" s="7" t="s">
        <v>22</v>
      </c>
      <c r="J1043" s="3">
        <v>0.7</v>
      </c>
      <c r="K1043" s="7" t="s">
        <v>305</v>
      </c>
      <c r="L1043" s="8" t="s">
        <v>257</v>
      </c>
      <c r="M1043" s="339" t="s">
        <v>306</v>
      </c>
      <c r="N1043" s="3">
        <v>0.95</v>
      </c>
      <c r="O1043" s="3">
        <v>0.2</v>
      </c>
      <c r="P1043" s="3"/>
      <c r="Q1043" s="3">
        <f t="shared" si="34"/>
        <v>0</v>
      </c>
      <c r="R1043" s="4">
        <f t="shared" ref="R1043:R1155" si="35">IF(AND(Q1043&gt;=60%,Q1043&lt;100%),Q1043*((O1043*J1043)),IF(Q1043=100%,((O1043*J1043)*Q1043)*100%,IF(Q1043&gt;100%,((J1043*O1043)*100%)*100%,0)))*100</f>
        <v>0</v>
      </c>
      <c r="S1043" s="3" t="s">
        <v>23</v>
      </c>
      <c r="T1043" s="190"/>
    </row>
    <row r="1044" spans="1:20" ht="21.6" hidden="1" x14ac:dyDescent="0.3">
      <c r="A1044" s="182">
        <v>2075</v>
      </c>
      <c r="B1044" s="42" t="s">
        <v>20</v>
      </c>
      <c r="C1044" s="43" t="s">
        <v>267</v>
      </c>
      <c r="D1044" s="55">
        <v>6250</v>
      </c>
      <c r="E1044" s="52" t="s">
        <v>197</v>
      </c>
      <c r="F1044" s="53" t="s">
        <v>264</v>
      </c>
      <c r="G1044" s="52" t="s">
        <v>266</v>
      </c>
      <c r="H1044" s="45" t="s">
        <v>304</v>
      </c>
      <c r="I1044" s="47" t="s">
        <v>22</v>
      </c>
      <c r="J1044" s="3">
        <v>0.7</v>
      </c>
      <c r="K1044" s="47" t="s">
        <v>129</v>
      </c>
      <c r="L1044" s="30" t="s">
        <v>130</v>
      </c>
      <c r="M1044" s="47" t="s">
        <v>131</v>
      </c>
      <c r="N1044" s="3">
        <v>0.9</v>
      </c>
      <c r="O1044" s="10">
        <v>0.2</v>
      </c>
      <c r="P1044" s="3"/>
      <c r="Q1044" s="3">
        <f t="shared" si="34"/>
        <v>0</v>
      </c>
      <c r="R1044" s="48">
        <f t="shared" si="35"/>
        <v>0</v>
      </c>
      <c r="S1044" s="10" t="s">
        <v>23</v>
      </c>
      <c r="T1044" s="191"/>
    </row>
    <row r="1045" spans="1:20" ht="21.6" hidden="1" x14ac:dyDescent="0.3">
      <c r="A1045" s="182">
        <v>2076</v>
      </c>
      <c r="B1045" s="42" t="s">
        <v>20</v>
      </c>
      <c r="C1045" s="43" t="s">
        <v>267</v>
      </c>
      <c r="D1045" s="55">
        <v>6250</v>
      </c>
      <c r="E1045" s="52" t="s">
        <v>197</v>
      </c>
      <c r="F1045" s="53" t="s">
        <v>264</v>
      </c>
      <c r="G1045" s="52" t="s">
        <v>266</v>
      </c>
      <c r="H1045" s="45" t="s">
        <v>304</v>
      </c>
      <c r="I1045" s="47" t="s">
        <v>22</v>
      </c>
      <c r="J1045" s="3">
        <v>0.7</v>
      </c>
      <c r="K1045" s="47" t="s">
        <v>132</v>
      </c>
      <c r="L1045" s="30" t="s">
        <v>133</v>
      </c>
      <c r="M1045" s="47" t="s">
        <v>134</v>
      </c>
      <c r="N1045" s="4">
        <v>0</v>
      </c>
      <c r="O1045" s="10">
        <v>0.1</v>
      </c>
      <c r="P1045" s="3"/>
      <c r="Q1045" s="3">
        <f t="shared" si="34"/>
        <v>0</v>
      </c>
      <c r="R1045" s="48">
        <f t="shared" si="35"/>
        <v>0</v>
      </c>
      <c r="S1045" s="10" t="s">
        <v>24</v>
      </c>
      <c r="T1045" s="191"/>
    </row>
    <row r="1046" spans="1:20" ht="21.6" hidden="1" x14ac:dyDescent="0.3">
      <c r="A1046" s="182">
        <v>2077</v>
      </c>
      <c r="B1046" s="42" t="s">
        <v>20</v>
      </c>
      <c r="C1046" s="43" t="s">
        <v>267</v>
      </c>
      <c r="D1046" s="55">
        <v>6250</v>
      </c>
      <c r="E1046" s="52" t="s">
        <v>197</v>
      </c>
      <c r="F1046" s="53" t="s">
        <v>264</v>
      </c>
      <c r="G1046" s="52" t="s">
        <v>266</v>
      </c>
      <c r="H1046" s="45" t="s">
        <v>304</v>
      </c>
      <c r="I1046" s="47" t="s">
        <v>22</v>
      </c>
      <c r="J1046" s="3">
        <v>0.7</v>
      </c>
      <c r="K1046" s="47" t="s">
        <v>135</v>
      </c>
      <c r="L1046" s="30" t="s">
        <v>136</v>
      </c>
      <c r="M1046" s="47" t="s">
        <v>137</v>
      </c>
      <c r="N1046" s="3">
        <v>0.9</v>
      </c>
      <c r="O1046" s="10">
        <v>0.2</v>
      </c>
      <c r="P1046" s="3"/>
      <c r="Q1046" s="3">
        <f t="shared" si="34"/>
        <v>0</v>
      </c>
      <c r="R1046" s="48">
        <f t="shared" si="35"/>
        <v>0</v>
      </c>
      <c r="S1046" s="10" t="s">
        <v>23</v>
      </c>
      <c r="T1046" s="191"/>
    </row>
    <row r="1047" spans="1:20" ht="22.2" hidden="1" thickBot="1" x14ac:dyDescent="0.35">
      <c r="A1047" s="200">
        <v>2078</v>
      </c>
      <c r="B1047" s="81" t="s">
        <v>20</v>
      </c>
      <c r="C1047" s="82" t="s">
        <v>267</v>
      </c>
      <c r="D1047" s="123">
        <v>6250</v>
      </c>
      <c r="E1047" s="118" t="s">
        <v>197</v>
      </c>
      <c r="F1047" s="119" t="s">
        <v>264</v>
      </c>
      <c r="G1047" s="118" t="s">
        <v>266</v>
      </c>
      <c r="H1047" s="84" t="s">
        <v>304</v>
      </c>
      <c r="I1047" s="85" t="s">
        <v>26</v>
      </c>
      <c r="J1047" s="238">
        <v>0.3</v>
      </c>
      <c r="K1047" s="85" t="s">
        <v>138</v>
      </c>
      <c r="L1047" s="114" t="s">
        <v>139</v>
      </c>
      <c r="M1047" s="85" t="s">
        <v>140</v>
      </c>
      <c r="N1047" s="238">
        <v>1</v>
      </c>
      <c r="O1047" s="255">
        <v>1</v>
      </c>
      <c r="P1047" s="238"/>
      <c r="Q1047" s="238">
        <f t="shared" si="34"/>
        <v>0</v>
      </c>
      <c r="R1047" s="240">
        <f t="shared" si="35"/>
        <v>0</v>
      </c>
      <c r="S1047" s="255" t="s">
        <v>23</v>
      </c>
      <c r="T1047" s="241"/>
    </row>
    <row r="1048" spans="1:20" ht="21.6" hidden="1" x14ac:dyDescent="0.3">
      <c r="A1048" s="242">
        <v>2070</v>
      </c>
      <c r="B1048" s="243" t="s">
        <v>20</v>
      </c>
      <c r="C1048" s="244" t="s">
        <v>267</v>
      </c>
      <c r="D1048" s="293">
        <v>5232</v>
      </c>
      <c r="E1048" s="295" t="s">
        <v>187</v>
      </c>
      <c r="F1048" s="296" t="s">
        <v>123</v>
      </c>
      <c r="G1048" s="295" t="s">
        <v>266</v>
      </c>
      <c r="H1048" s="246" t="s">
        <v>304</v>
      </c>
      <c r="I1048" s="294" t="s">
        <v>22</v>
      </c>
      <c r="J1048" s="248">
        <v>0.7</v>
      </c>
      <c r="K1048" s="75" t="s">
        <v>513</v>
      </c>
      <c r="L1048" s="105" t="s">
        <v>511</v>
      </c>
      <c r="M1048" s="75" t="s">
        <v>411</v>
      </c>
      <c r="N1048" s="248">
        <v>0.95</v>
      </c>
      <c r="O1048" s="248">
        <v>0.15</v>
      </c>
      <c r="P1048" s="248"/>
      <c r="Q1048" s="248">
        <f t="shared" si="34"/>
        <v>0</v>
      </c>
      <c r="R1048" s="250">
        <f t="shared" si="35"/>
        <v>0</v>
      </c>
      <c r="S1048" s="248" t="s">
        <v>23</v>
      </c>
      <c r="T1048" s="251">
        <f>SUM(R1048:R1054)%</f>
        <v>0</v>
      </c>
    </row>
    <row r="1049" spans="1:20" ht="21.6" hidden="1" x14ac:dyDescent="0.3">
      <c r="A1049" s="182">
        <v>2072</v>
      </c>
      <c r="B1049" s="42" t="s">
        <v>20</v>
      </c>
      <c r="C1049" s="43" t="s">
        <v>267</v>
      </c>
      <c r="D1049" s="50">
        <v>5232</v>
      </c>
      <c r="E1049" s="52" t="s">
        <v>187</v>
      </c>
      <c r="F1049" s="53" t="s">
        <v>123</v>
      </c>
      <c r="G1049" s="52" t="s">
        <v>266</v>
      </c>
      <c r="H1049" s="45" t="s">
        <v>304</v>
      </c>
      <c r="I1049" s="7" t="s">
        <v>22</v>
      </c>
      <c r="J1049" s="3">
        <v>0.7</v>
      </c>
      <c r="K1049" s="7" t="s">
        <v>124</v>
      </c>
      <c r="L1049" s="8" t="s">
        <v>125</v>
      </c>
      <c r="M1049" s="7" t="s">
        <v>126</v>
      </c>
      <c r="N1049" s="3">
        <v>0.95</v>
      </c>
      <c r="O1049" s="3">
        <v>0.15</v>
      </c>
      <c r="P1049" s="6"/>
      <c r="Q1049" s="3">
        <f t="shared" si="34"/>
        <v>0</v>
      </c>
      <c r="R1049" s="4">
        <f t="shared" si="35"/>
        <v>0</v>
      </c>
      <c r="S1049" s="3" t="s">
        <v>23</v>
      </c>
      <c r="T1049" s="190"/>
    </row>
    <row r="1050" spans="1:20" ht="21.6" hidden="1" x14ac:dyDescent="0.3">
      <c r="A1050" s="182">
        <v>2074</v>
      </c>
      <c r="B1050" s="42" t="s">
        <v>20</v>
      </c>
      <c r="C1050" s="43" t="s">
        <v>267</v>
      </c>
      <c r="D1050" s="50">
        <v>5232</v>
      </c>
      <c r="E1050" s="52" t="s">
        <v>187</v>
      </c>
      <c r="F1050" s="53" t="s">
        <v>123</v>
      </c>
      <c r="G1050" s="52" t="s">
        <v>266</v>
      </c>
      <c r="H1050" s="45" t="s">
        <v>304</v>
      </c>
      <c r="I1050" s="7" t="s">
        <v>22</v>
      </c>
      <c r="J1050" s="3">
        <v>0.7</v>
      </c>
      <c r="K1050" s="7" t="s">
        <v>305</v>
      </c>
      <c r="L1050" s="8" t="s">
        <v>257</v>
      </c>
      <c r="M1050" s="339" t="s">
        <v>306</v>
      </c>
      <c r="N1050" s="3">
        <v>0.95</v>
      </c>
      <c r="O1050" s="3">
        <v>0.2</v>
      </c>
      <c r="P1050" s="3"/>
      <c r="Q1050" s="3">
        <f t="shared" si="34"/>
        <v>0</v>
      </c>
      <c r="R1050" s="4">
        <f t="shared" si="35"/>
        <v>0</v>
      </c>
      <c r="S1050" s="3" t="s">
        <v>23</v>
      </c>
      <c r="T1050" s="190"/>
    </row>
    <row r="1051" spans="1:20" ht="21.6" hidden="1" x14ac:dyDescent="0.3">
      <c r="A1051" s="182">
        <v>2075</v>
      </c>
      <c r="B1051" s="42" t="s">
        <v>20</v>
      </c>
      <c r="C1051" s="43" t="s">
        <v>267</v>
      </c>
      <c r="D1051" s="50">
        <v>5232</v>
      </c>
      <c r="E1051" s="52" t="s">
        <v>187</v>
      </c>
      <c r="F1051" s="53" t="s">
        <v>123</v>
      </c>
      <c r="G1051" s="52" t="s">
        <v>266</v>
      </c>
      <c r="H1051" s="45" t="s">
        <v>304</v>
      </c>
      <c r="I1051" s="47" t="s">
        <v>22</v>
      </c>
      <c r="J1051" s="3">
        <v>0.7</v>
      </c>
      <c r="K1051" s="47" t="s">
        <v>129</v>
      </c>
      <c r="L1051" s="30" t="s">
        <v>130</v>
      </c>
      <c r="M1051" s="47" t="s">
        <v>131</v>
      </c>
      <c r="N1051" s="3">
        <v>0.9</v>
      </c>
      <c r="O1051" s="10">
        <v>0.2</v>
      </c>
      <c r="P1051" s="3"/>
      <c r="Q1051" s="3">
        <f t="shared" si="34"/>
        <v>0</v>
      </c>
      <c r="R1051" s="48">
        <f t="shared" si="35"/>
        <v>0</v>
      </c>
      <c r="S1051" s="10" t="s">
        <v>23</v>
      </c>
      <c r="T1051" s="191"/>
    </row>
    <row r="1052" spans="1:20" ht="21.6" hidden="1" x14ac:dyDescent="0.3">
      <c r="A1052" s="182">
        <v>2076</v>
      </c>
      <c r="B1052" s="42" t="s">
        <v>20</v>
      </c>
      <c r="C1052" s="43" t="s">
        <v>267</v>
      </c>
      <c r="D1052" s="50">
        <v>5232</v>
      </c>
      <c r="E1052" s="52" t="s">
        <v>187</v>
      </c>
      <c r="F1052" s="53" t="s">
        <v>123</v>
      </c>
      <c r="G1052" s="52" t="s">
        <v>266</v>
      </c>
      <c r="H1052" s="45" t="s">
        <v>304</v>
      </c>
      <c r="I1052" s="47" t="s">
        <v>22</v>
      </c>
      <c r="J1052" s="3">
        <v>0.7</v>
      </c>
      <c r="K1052" s="47" t="s">
        <v>132</v>
      </c>
      <c r="L1052" s="30" t="s">
        <v>133</v>
      </c>
      <c r="M1052" s="47" t="s">
        <v>134</v>
      </c>
      <c r="N1052" s="4">
        <v>0</v>
      </c>
      <c r="O1052" s="10">
        <v>0.1</v>
      </c>
      <c r="P1052" s="3"/>
      <c r="Q1052" s="3">
        <f t="shared" si="34"/>
        <v>0</v>
      </c>
      <c r="R1052" s="48">
        <f t="shared" si="35"/>
        <v>0</v>
      </c>
      <c r="S1052" s="10" t="s">
        <v>24</v>
      </c>
      <c r="T1052" s="191"/>
    </row>
    <row r="1053" spans="1:20" ht="21.6" hidden="1" x14ac:dyDescent="0.3">
      <c r="A1053" s="182">
        <v>2077</v>
      </c>
      <c r="B1053" s="42" t="s">
        <v>20</v>
      </c>
      <c r="C1053" s="43" t="s">
        <v>267</v>
      </c>
      <c r="D1053" s="50">
        <v>5232</v>
      </c>
      <c r="E1053" s="52" t="s">
        <v>187</v>
      </c>
      <c r="F1053" s="53" t="s">
        <v>123</v>
      </c>
      <c r="G1053" s="52" t="s">
        <v>266</v>
      </c>
      <c r="H1053" s="45" t="s">
        <v>304</v>
      </c>
      <c r="I1053" s="47" t="s">
        <v>22</v>
      </c>
      <c r="J1053" s="3">
        <v>0.7</v>
      </c>
      <c r="K1053" s="47" t="s">
        <v>135</v>
      </c>
      <c r="L1053" s="30" t="s">
        <v>136</v>
      </c>
      <c r="M1053" s="47" t="s">
        <v>137</v>
      </c>
      <c r="N1053" s="3">
        <v>0.9</v>
      </c>
      <c r="O1053" s="10">
        <v>0.2</v>
      </c>
      <c r="P1053" s="3"/>
      <c r="Q1053" s="3">
        <f t="shared" si="34"/>
        <v>0</v>
      </c>
      <c r="R1053" s="48">
        <f t="shared" si="35"/>
        <v>0</v>
      </c>
      <c r="S1053" s="10" t="s">
        <v>23</v>
      </c>
      <c r="T1053" s="191"/>
    </row>
    <row r="1054" spans="1:20" ht="22.2" hidden="1" thickBot="1" x14ac:dyDescent="0.35">
      <c r="A1054" s="267">
        <v>2078</v>
      </c>
      <c r="B1054" s="268" t="s">
        <v>20</v>
      </c>
      <c r="C1054" s="269" t="s">
        <v>267</v>
      </c>
      <c r="D1054" s="290">
        <v>5232</v>
      </c>
      <c r="E1054" s="298" t="s">
        <v>187</v>
      </c>
      <c r="F1054" s="299" t="s">
        <v>123</v>
      </c>
      <c r="G1054" s="298" t="s">
        <v>266</v>
      </c>
      <c r="H1054" s="271" t="s">
        <v>304</v>
      </c>
      <c r="I1054" s="272" t="s">
        <v>26</v>
      </c>
      <c r="J1054" s="273">
        <v>0.3</v>
      </c>
      <c r="K1054" s="272" t="s">
        <v>138</v>
      </c>
      <c r="L1054" s="291" t="s">
        <v>139</v>
      </c>
      <c r="M1054" s="272" t="s">
        <v>140</v>
      </c>
      <c r="N1054" s="273">
        <v>1</v>
      </c>
      <c r="O1054" s="276">
        <v>1</v>
      </c>
      <c r="P1054" s="273"/>
      <c r="Q1054" s="273">
        <f t="shared" si="34"/>
        <v>0</v>
      </c>
      <c r="R1054" s="287">
        <f t="shared" si="35"/>
        <v>0</v>
      </c>
      <c r="S1054" s="276" t="s">
        <v>23</v>
      </c>
      <c r="T1054" s="277"/>
    </row>
    <row r="1055" spans="1:20" ht="21.6" hidden="1" x14ac:dyDescent="0.3">
      <c r="A1055" s="242">
        <v>2070</v>
      </c>
      <c r="B1055" s="243" t="s">
        <v>20</v>
      </c>
      <c r="C1055" s="244" t="s">
        <v>267</v>
      </c>
      <c r="D1055" s="304">
        <v>6564</v>
      </c>
      <c r="E1055" s="295" t="s">
        <v>265</v>
      </c>
      <c r="F1055" s="296" t="s">
        <v>264</v>
      </c>
      <c r="G1055" s="295" t="s">
        <v>266</v>
      </c>
      <c r="H1055" s="246" t="s">
        <v>304</v>
      </c>
      <c r="I1055" s="294" t="s">
        <v>22</v>
      </c>
      <c r="J1055" s="248">
        <v>0.7</v>
      </c>
      <c r="K1055" s="75" t="s">
        <v>513</v>
      </c>
      <c r="L1055" s="105" t="s">
        <v>511</v>
      </c>
      <c r="M1055" s="75" t="s">
        <v>411</v>
      </c>
      <c r="N1055" s="248">
        <v>0.95</v>
      </c>
      <c r="O1055" s="248">
        <v>0.15</v>
      </c>
      <c r="P1055" s="248"/>
      <c r="Q1055" s="248">
        <f t="shared" si="34"/>
        <v>0</v>
      </c>
      <c r="R1055" s="250">
        <f t="shared" si="35"/>
        <v>0</v>
      </c>
      <c r="S1055" s="248" t="s">
        <v>23</v>
      </c>
      <c r="T1055" s="251">
        <f>SUM(R1055:R1061)%</f>
        <v>0</v>
      </c>
    </row>
    <row r="1056" spans="1:20" ht="21.6" hidden="1" x14ac:dyDescent="0.3">
      <c r="A1056" s="182">
        <v>2072</v>
      </c>
      <c r="B1056" s="42" t="s">
        <v>20</v>
      </c>
      <c r="C1056" s="43" t="s">
        <v>267</v>
      </c>
      <c r="D1056" s="55">
        <v>6564</v>
      </c>
      <c r="E1056" s="52" t="s">
        <v>265</v>
      </c>
      <c r="F1056" s="53" t="s">
        <v>264</v>
      </c>
      <c r="G1056" s="52" t="s">
        <v>266</v>
      </c>
      <c r="H1056" s="45" t="s">
        <v>304</v>
      </c>
      <c r="I1056" s="7" t="s">
        <v>22</v>
      </c>
      <c r="J1056" s="3">
        <v>0.7</v>
      </c>
      <c r="K1056" s="7" t="s">
        <v>124</v>
      </c>
      <c r="L1056" s="8" t="s">
        <v>125</v>
      </c>
      <c r="M1056" s="7" t="s">
        <v>126</v>
      </c>
      <c r="N1056" s="3">
        <v>0.95</v>
      </c>
      <c r="O1056" s="3">
        <v>0.15</v>
      </c>
      <c r="P1056" s="6"/>
      <c r="Q1056" s="3">
        <f t="shared" si="34"/>
        <v>0</v>
      </c>
      <c r="R1056" s="4">
        <f t="shared" si="35"/>
        <v>0</v>
      </c>
      <c r="S1056" s="3" t="s">
        <v>23</v>
      </c>
      <c r="T1056" s="190"/>
    </row>
    <row r="1057" spans="1:20" ht="21.6" hidden="1" x14ac:dyDescent="0.3">
      <c r="A1057" s="182">
        <v>2074</v>
      </c>
      <c r="B1057" s="42" t="s">
        <v>20</v>
      </c>
      <c r="C1057" s="43" t="s">
        <v>267</v>
      </c>
      <c r="D1057" s="55">
        <v>6564</v>
      </c>
      <c r="E1057" s="52" t="s">
        <v>265</v>
      </c>
      <c r="F1057" s="53" t="s">
        <v>264</v>
      </c>
      <c r="G1057" s="52" t="s">
        <v>266</v>
      </c>
      <c r="H1057" s="45" t="s">
        <v>304</v>
      </c>
      <c r="I1057" s="7" t="s">
        <v>22</v>
      </c>
      <c r="J1057" s="3">
        <v>0.7</v>
      </c>
      <c r="K1057" s="7" t="s">
        <v>305</v>
      </c>
      <c r="L1057" s="8" t="s">
        <v>257</v>
      </c>
      <c r="M1057" s="339" t="s">
        <v>306</v>
      </c>
      <c r="N1057" s="3">
        <v>0.95</v>
      </c>
      <c r="O1057" s="3">
        <v>0.2</v>
      </c>
      <c r="P1057" s="3"/>
      <c r="Q1057" s="3">
        <f t="shared" si="34"/>
        <v>0</v>
      </c>
      <c r="R1057" s="4">
        <f t="shared" si="35"/>
        <v>0</v>
      </c>
      <c r="S1057" s="3" t="s">
        <v>23</v>
      </c>
      <c r="T1057" s="190"/>
    </row>
    <row r="1058" spans="1:20" ht="21.6" hidden="1" x14ac:dyDescent="0.3">
      <c r="A1058" s="182">
        <v>2075</v>
      </c>
      <c r="B1058" s="42" t="s">
        <v>20</v>
      </c>
      <c r="C1058" s="43" t="s">
        <v>267</v>
      </c>
      <c r="D1058" s="55">
        <v>6564</v>
      </c>
      <c r="E1058" s="52" t="s">
        <v>265</v>
      </c>
      <c r="F1058" s="53" t="s">
        <v>264</v>
      </c>
      <c r="G1058" s="52" t="s">
        <v>266</v>
      </c>
      <c r="H1058" s="45" t="s">
        <v>304</v>
      </c>
      <c r="I1058" s="47" t="s">
        <v>22</v>
      </c>
      <c r="J1058" s="3">
        <v>0.7</v>
      </c>
      <c r="K1058" s="47" t="s">
        <v>129</v>
      </c>
      <c r="L1058" s="30" t="s">
        <v>130</v>
      </c>
      <c r="M1058" s="47" t="s">
        <v>131</v>
      </c>
      <c r="N1058" s="3">
        <v>0.9</v>
      </c>
      <c r="O1058" s="10">
        <v>0.2</v>
      </c>
      <c r="P1058" s="3"/>
      <c r="Q1058" s="3">
        <f t="shared" si="34"/>
        <v>0</v>
      </c>
      <c r="R1058" s="48">
        <f t="shared" si="35"/>
        <v>0</v>
      </c>
      <c r="S1058" s="10" t="s">
        <v>23</v>
      </c>
      <c r="T1058" s="191"/>
    </row>
    <row r="1059" spans="1:20" ht="21.6" hidden="1" x14ac:dyDescent="0.3">
      <c r="A1059" s="182">
        <v>2076</v>
      </c>
      <c r="B1059" s="42" t="s">
        <v>20</v>
      </c>
      <c r="C1059" s="43" t="s">
        <v>267</v>
      </c>
      <c r="D1059" s="55">
        <v>6564</v>
      </c>
      <c r="E1059" s="52" t="s">
        <v>265</v>
      </c>
      <c r="F1059" s="53" t="s">
        <v>264</v>
      </c>
      <c r="G1059" s="52" t="s">
        <v>266</v>
      </c>
      <c r="H1059" s="45" t="s">
        <v>304</v>
      </c>
      <c r="I1059" s="47" t="s">
        <v>22</v>
      </c>
      <c r="J1059" s="3">
        <v>0.7</v>
      </c>
      <c r="K1059" s="47" t="s">
        <v>132</v>
      </c>
      <c r="L1059" s="30" t="s">
        <v>133</v>
      </c>
      <c r="M1059" s="47" t="s">
        <v>134</v>
      </c>
      <c r="N1059" s="4">
        <v>0</v>
      </c>
      <c r="O1059" s="10">
        <v>0.1</v>
      </c>
      <c r="P1059" s="3"/>
      <c r="Q1059" s="3">
        <f t="shared" si="34"/>
        <v>0</v>
      </c>
      <c r="R1059" s="48">
        <f t="shared" si="35"/>
        <v>0</v>
      </c>
      <c r="S1059" s="10" t="s">
        <v>24</v>
      </c>
      <c r="T1059" s="191"/>
    </row>
    <row r="1060" spans="1:20" ht="21.6" hidden="1" x14ac:dyDescent="0.3">
      <c r="A1060" s="182">
        <v>2077</v>
      </c>
      <c r="B1060" s="42" t="s">
        <v>20</v>
      </c>
      <c r="C1060" s="43" t="s">
        <v>267</v>
      </c>
      <c r="D1060" s="55">
        <v>6564</v>
      </c>
      <c r="E1060" s="52" t="s">
        <v>265</v>
      </c>
      <c r="F1060" s="53" t="s">
        <v>264</v>
      </c>
      <c r="G1060" s="52" t="s">
        <v>266</v>
      </c>
      <c r="H1060" s="45" t="s">
        <v>304</v>
      </c>
      <c r="I1060" s="47" t="s">
        <v>22</v>
      </c>
      <c r="J1060" s="3">
        <v>0.7</v>
      </c>
      <c r="K1060" s="47" t="s">
        <v>135</v>
      </c>
      <c r="L1060" s="30" t="s">
        <v>136</v>
      </c>
      <c r="M1060" s="47" t="s">
        <v>137</v>
      </c>
      <c r="N1060" s="3">
        <v>0.9</v>
      </c>
      <c r="O1060" s="10">
        <v>0.2</v>
      </c>
      <c r="P1060" s="3"/>
      <c r="Q1060" s="3">
        <f t="shared" si="34"/>
        <v>0</v>
      </c>
      <c r="R1060" s="48">
        <f t="shared" si="35"/>
        <v>0</v>
      </c>
      <c r="S1060" s="10" t="s">
        <v>23</v>
      </c>
      <c r="T1060" s="191"/>
    </row>
    <row r="1061" spans="1:20" ht="22.2" hidden="1" thickBot="1" x14ac:dyDescent="0.35">
      <c r="A1061" s="200">
        <v>2078</v>
      </c>
      <c r="B1061" s="81" t="s">
        <v>20</v>
      </c>
      <c r="C1061" s="82" t="s">
        <v>267</v>
      </c>
      <c r="D1061" s="123">
        <v>6564</v>
      </c>
      <c r="E1061" s="118" t="s">
        <v>265</v>
      </c>
      <c r="F1061" s="119" t="s">
        <v>264</v>
      </c>
      <c r="G1061" s="118" t="s">
        <v>266</v>
      </c>
      <c r="H1061" s="84" t="s">
        <v>304</v>
      </c>
      <c r="I1061" s="85" t="s">
        <v>26</v>
      </c>
      <c r="J1061" s="238">
        <v>0.3</v>
      </c>
      <c r="K1061" s="85" t="s">
        <v>138</v>
      </c>
      <c r="L1061" s="114" t="s">
        <v>139</v>
      </c>
      <c r="M1061" s="85" t="s">
        <v>140</v>
      </c>
      <c r="N1061" s="238">
        <v>1</v>
      </c>
      <c r="O1061" s="255">
        <v>1</v>
      </c>
      <c r="P1061" s="238"/>
      <c r="Q1061" s="238">
        <f t="shared" si="34"/>
        <v>0</v>
      </c>
      <c r="R1061" s="240">
        <f t="shared" si="35"/>
        <v>0</v>
      </c>
      <c r="S1061" s="255" t="s">
        <v>23</v>
      </c>
      <c r="T1061" s="241"/>
    </row>
    <row r="1062" spans="1:20" ht="21.6" hidden="1" x14ac:dyDescent="0.3">
      <c r="A1062" s="242">
        <v>1</v>
      </c>
      <c r="B1062" s="243" t="s">
        <v>20</v>
      </c>
      <c r="C1062" s="244" t="s">
        <v>267</v>
      </c>
      <c r="D1062" s="293">
        <v>3651</v>
      </c>
      <c r="E1062" s="295" t="s">
        <v>199</v>
      </c>
      <c r="F1062" s="295" t="s">
        <v>145</v>
      </c>
      <c r="G1062" s="295" t="s">
        <v>200</v>
      </c>
      <c r="H1062" s="246" t="s">
        <v>468</v>
      </c>
      <c r="I1062" s="294" t="s">
        <v>22</v>
      </c>
      <c r="J1062" s="248">
        <v>0.7</v>
      </c>
      <c r="K1062" s="316" t="s">
        <v>32</v>
      </c>
      <c r="L1062" s="316" t="s">
        <v>33</v>
      </c>
      <c r="M1062" s="316" t="s">
        <v>34</v>
      </c>
      <c r="N1062" s="248">
        <v>0.95</v>
      </c>
      <c r="O1062" s="248">
        <v>0.2</v>
      </c>
      <c r="P1062" s="248"/>
      <c r="Q1062" s="248">
        <f t="shared" si="34"/>
        <v>0</v>
      </c>
      <c r="R1062" s="250">
        <f t="shared" si="35"/>
        <v>0</v>
      </c>
      <c r="S1062" s="248" t="s">
        <v>23</v>
      </c>
      <c r="T1062" s="251">
        <f>SUM(R1062:R1067)%</f>
        <v>0</v>
      </c>
    </row>
    <row r="1063" spans="1:20" ht="21.6" hidden="1" x14ac:dyDescent="0.3">
      <c r="A1063" s="182">
        <v>2</v>
      </c>
      <c r="B1063" s="42" t="s">
        <v>20</v>
      </c>
      <c r="C1063" s="43" t="s">
        <v>267</v>
      </c>
      <c r="D1063" s="50" t="s">
        <v>201</v>
      </c>
      <c r="E1063" s="52" t="s">
        <v>199</v>
      </c>
      <c r="F1063" s="52" t="s">
        <v>145</v>
      </c>
      <c r="G1063" s="52" t="s">
        <v>200</v>
      </c>
      <c r="H1063" s="45" t="s">
        <v>468</v>
      </c>
      <c r="I1063" s="7" t="s">
        <v>22</v>
      </c>
      <c r="J1063" s="3">
        <v>0.7</v>
      </c>
      <c r="K1063" s="8" t="s">
        <v>35</v>
      </c>
      <c r="L1063" s="8" t="s">
        <v>36</v>
      </c>
      <c r="M1063" s="8" t="s">
        <v>37</v>
      </c>
      <c r="N1063" s="3">
        <v>0.95</v>
      </c>
      <c r="O1063" s="3">
        <v>0.2</v>
      </c>
      <c r="P1063" s="3"/>
      <c r="Q1063" s="3">
        <f t="shared" si="34"/>
        <v>0</v>
      </c>
      <c r="R1063" s="4">
        <f t="shared" si="35"/>
        <v>0</v>
      </c>
      <c r="S1063" s="3" t="s">
        <v>23</v>
      </c>
      <c r="T1063" s="190"/>
    </row>
    <row r="1064" spans="1:20" ht="21.6" hidden="1" x14ac:dyDescent="0.3">
      <c r="A1064" s="182">
        <v>3</v>
      </c>
      <c r="B1064" s="42" t="s">
        <v>20</v>
      </c>
      <c r="C1064" s="43" t="s">
        <v>267</v>
      </c>
      <c r="D1064" s="50">
        <v>3651</v>
      </c>
      <c r="E1064" s="52" t="s">
        <v>199</v>
      </c>
      <c r="F1064" s="52" t="s">
        <v>145</v>
      </c>
      <c r="G1064" s="52" t="s">
        <v>200</v>
      </c>
      <c r="H1064" s="45" t="s">
        <v>468</v>
      </c>
      <c r="I1064" s="7" t="s">
        <v>22</v>
      </c>
      <c r="J1064" s="3">
        <v>0.7</v>
      </c>
      <c r="K1064" s="8" t="s">
        <v>38</v>
      </c>
      <c r="L1064" s="8" t="s">
        <v>39</v>
      </c>
      <c r="M1064" s="8" t="s">
        <v>40</v>
      </c>
      <c r="N1064" s="3">
        <v>1</v>
      </c>
      <c r="O1064" s="3">
        <v>0.2</v>
      </c>
      <c r="P1064" s="3"/>
      <c r="Q1064" s="3">
        <f t="shared" si="34"/>
        <v>0</v>
      </c>
      <c r="R1064" s="4">
        <f t="shared" si="35"/>
        <v>0</v>
      </c>
      <c r="S1064" s="3" t="s">
        <v>23</v>
      </c>
      <c r="T1064" s="190"/>
    </row>
    <row r="1065" spans="1:20" ht="21.6" hidden="1" x14ac:dyDescent="0.3">
      <c r="A1065" s="182">
        <v>4</v>
      </c>
      <c r="B1065" s="42" t="s">
        <v>20</v>
      </c>
      <c r="C1065" s="43" t="s">
        <v>267</v>
      </c>
      <c r="D1065" s="50" t="s">
        <v>201</v>
      </c>
      <c r="E1065" s="52" t="s">
        <v>199</v>
      </c>
      <c r="F1065" s="52" t="s">
        <v>145</v>
      </c>
      <c r="G1065" s="52" t="s">
        <v>200</v>
      </c>
      <c r="H1065" s="45" t="s">
        <v>468</v>
      </c>
      <c r="I1065" s="7" t="s">
        <v>22</v>
      </c>
      <c r="J1065" s="3">
        <v>0.7</v>
      </c>
      <c r="K1065" s="8" t="s">
        <v>41</v>
      </c>
      <c r="L1065" s="8" t="s">
        <v>42</v>
      </c>
      <c r="M1065" s="8" t="s">
        <v>43</v>
      </c>
      <c r="N1065" s="3">
        <v>0.98</v>
      </c>
      <c r="O1065" s="3">
        <v>0.2</v>
      </c>
      <c r="P1065" s="3"/>
      <c r="Q1065" s="3">
        <f t="shared" si="34"/>
        <v>0</v>
      </c>
      <c r="R1065" s="4">
        <f t="shared" si="35"/>
        <v>0</v>
      </c>
      <c r="S1065" s="3" t="s">
        <v>23</v>
      </c>
      <c r="T1065" s="190"/>
    </row>
    <row r="1066" spans="1:20" ht="21.6" hidden="1" x14ac:dyDescent="0.3">
      <c r="A1066" s="182">
        <v>5</v>
      </c>
      <c r="B1066" s="42" t="s">
        <v>20</v>
      </c>
      <c r="C1066" s="43" t="s">
        <v>267</v>
      </c>
      <c r="D1066" s="50">
        <v>3651</v>
      </c>
      <c r="E1066" s="52" t="s">
        <v>199</v>
      </c>
      <c r="F1066" s="52" t="s">
        <v>145</v>
      </c>
      <c r="G1066" s="52" t="s">
        <v>200</v>
      </c>
      <c r="H1066" s="45" t="s">
        <v>468</v>
      </c>
      <c r="I1066" s="7" t="s">
        <v>22</v>
      </c>
      <c r="J1066" s="3">
        <v>0.7</v>
      </c>
      <c r="K1066" s="8" t="s">
        <v>44</v>
      </c>
      <c r="L1066" s="8" t="s">
        <v>45</v>
      </c>
      <c r="M1066" s="8" t="s">
        <v>46</v>
      </c>
      <c r="N1066" s="10">
        <v>0.9</v>
      </c>
      <c r="O1066" s="3">
        <v>0.2</v>
      </c>
      <c r="P1066" s="3"/>
      <c r="Q1066" s="3">
        <f t="shared" si="34"/>
        <v>0</v>
      </c>
      <c r="R1066" s="4">
        <f t="shared" si="35"/>
        <v>0</v>
      </c>
      <c r="S1066" s="3" t="s">
        <v>23</v>
      </c>
      <c r="T1066" s="190"/>
    </row>
    <row r="1067" spans="1:20" ht="22.2" hidden="1" thickBot="1" x14ac:dyDescent="0.35">
      <c r="A1067" s="200">
        <v>6</v>
      </c>
      <c r="B1067" s="81" t="s">
        <v>20</v>
      </c>
      <c r="C1067" s="82" t="s">
        <v>267</v>
      </c>
      <c r="D1067" s="113" t="s">
        <v>201</v>
      </c>
      <c r="E1067" s="118" t="s">
        <v>199</v>
      </c>
      <c r="F1067" s="118" t="s">
        <v>145</v>
      </c>
      <c r="G1067" s="118" t="s">
        <v>200</v>
      </c>
      <c r="H1067" s="84" t="s">
        <v>468</v>
      </c>
      <c r="I1067" s="125" t="s">
        <v>26</v>
      </c>
      <c r="J1067" s="238">
        <v>0.3</v>
      </c>
      <c r="K1067" s="125" t="s">
        <v>47</v>
      </c>
      <c r="L1067" s="126" t="s">
        <v>48</v>
      </c>
      <c r="M1067" s="125" t="s">
        <v>49</v>
      </c>
      <c r="N1067" s="238">
        <v>1</v>
      </c>
      <c r="O1067" s="238">
        <v>1</v>
      </c>
      <c r="P1067" s="238"/>
      <c r="Q1067" s="238">
        <f t="shared" si="34"/>
        <v>0</v>
      </c>
      <c r="R1067" s="254">
        <f t="shared" si="35"/>
        <v>0</v>
      </c>
      <c r="S1067" s="255" t="s">
        <v>23</v>
      </c>
      <c r="T1067" s="305"/>
    </row>
    <row r="1068" spans="1:20" ht="21.6" hidden="1" x14ac:dyDescent="0.3">
      <c r="A1068" s="242">
        <v>1</v>
      </c>
      <c r="B1068" s="243" t="s">
        <v>20</v>
      </c>
      <c r="C1068" s="244" t="s">
        <v>267</v>
      </c>
      <c r="D1068" s="293">
        <v>6363</v>
      </c>
      <c r="E1068" s="295" t="s">
        <v>202</v>
      </c>
      <c r="F1068" s="295" t="s">
        <v>145</v>
      </c>
      <c r="G1068" s="295" t="s">
        <v>200</v>
      </c>
      <c r="H1068" s="246" t="s">
        <v>468</v>
      </c>
      <c r="I1068" s="294" t="s">
        <v>22</v>
      </c>
      <c r="J1068" s="248">
        <v>0.7</v>
      </c>
      <c r="K1068" s="316" t="s">
        <v>32</v>
      </c>
      <c r="L1068" s="316" t="s">
        <v>33</v>
      </c>
      <c r="M1068" s="316" t="s">
        <v>34</v>
      </c>
      <c r="N1068" s="248">
        <v>0.95</v>
      </c>
      <c r="O1068" s="248">
        <v>0.2</v>
      </c>
      <c r="P1068" s="248"/>
      <c r="Q1068" s="248">
        <f t="shared" si="34"/>
        <v>0</v>
      </c>
      <c r="R1068" s="250">
        <f t="shared" si="35"/>
        <v>0</v>
      </c>
      <c r="S1068" s="248" t="s">
        <v>23</v>
      </c>
      <c r="T1068" s="251">
        <f>SUM(R1068:R1073)%</f>
        <v>0</v>
      </c>
    </row>
    <row r="1069" spans="1:20" ht="21.6" hidden="1" x14ac:dyDescent="0.3">
      <c r="A1069" s="182">
        <v>2</v>
      </c>
      <c r="B1069" s="42" t="s">
        <v>20</v>
      </c>
      <c r="C1069" s="43" t="s">
        <v>267</v>
      </c>
      <c r="D1069" s="50">
        <v>6363</v>
      </c>
      <c r="E1069" s="52" t="s">
        <v>202</v>
      </c>
      <c r="F1069" s="52" t="s">
        <v>145</v>
      </c>
      <c r="G1069" s="52" t="s">
        <v>200</v>
      </c>
      <c r="H1069" s="45" t="s">
        <v>468</v>
      </c>
      <c r="I1069" s="7" t="s">
        <v>22</v>
      </c>
      <c r="J1069" s="3">
        <v>0.7</v>
      </c>
      <c r="K1069" s="8" t="s">
        <v>35</v>
      </c>
      <c r="L1069" s="8" t="s">
        <v>36</v>
      </c>
      <c r="M1069" s="8" t="s">
        <v>37</v>
      </c>
      <c r="N1069" s="3">
        <v>0.95</v>
      </c>
      <c r="O1069" s="3">
        <v>0.2</v>
      </c>
      <c r="P1069" s="3"/>
      <c r="Q1069" s="3">
        <f t="shared" si="34"/>
        <v>0</v>
      </c>
      <c r="R1069" s="4">
        <f t="shared" si="35"/>
        <v>0</v>
      </c>
      <c r="S1069" s="3" t="s">
        <v>23</v>
      </c>
      <c r="T1069" s="190"/>
    </row>
    <row r="1070" spans="1:20" ht="21.6" hidden="1" x14ac:dyDescent="0.3">
      <c r="A1070" s="182">
        <v>3</v>
      </c>
      <c r="B1070" s="42" t="s">
        <v>20</v>
      </c>
      <c r="C1070" s="43" t="s">
        <v>267</v>
      </c>
      <c r="D1070" s="50">
        <v>6363</v>
      </c>
      <c r="E1070" s="52" t="s">
        <v>202</v>
      </c>
      <c r="F1070" s="52" t="s">
        <v>145</v>
      </c>
      <c r="G1070" s="52" t="s">
        <v>200</v>
      </c>
      <c r="H1070" s="45" t="s">
        <v>468</v>
      </c>
      <c r="I1070" s="7" t="s">
        <v>22</v>
      </c>
      <c r="J1070" s="3">
        <v>0.7</v>
      </c>
      <c r="K1070" s="8" t="s">
        <v>38</v>
      </c>
      <c r="L1070" s="8" t="s">
        <v>39</v>
      </c>
      <c r="M1070" s="8" t="s">
        <v>40</v>
      </c>
      <c r="N1070" s="3">
        <v>1</v>
      </c>
      <c r="O1070" s="3">
        <v>0.2</v>
      </c>
      <c r="P1070" s="3"/>
      <c r="Q1070" s="3">
        <f t="shared" si="34"/>
        <v>0</v>
      </c>
      <c r="R1070" s="4">
        <f t="shared" si="35"/>
        <v>0</v>
      </c>
      <c r="S1070" s="3" t="s">
        <v>23</v>
      </c>
      <c r="T1070" s="190"/>
    </row>
    <row r="1071" spans="1:20" ht="21.6" hidden="1" x14ac:dyDescent="0.3">
      <c r="A1071" s="182">
        <v>4</v>
      </c>
      <c r="B1071" s="42" t="s">
        <v>20</v>
      </c>
      <c r="C1071" s="43" t="s">
        <v>267</v>
      </c>
      <c r="D1071" s="50">
        <v>6363</v>
      </c>
      <c r="E1071" s="52" t="s">
        <v>202</v>
      </c>
      <c r="F1071" s="52" t="s">
        <v>145</v>
      </c>
      <c r="G1071" s="52" t="s">
        <v>200</v>
      </c>
      <c r="H1071" s="45" t="s">
        <v>468</v>
      </c>
      <c r="I1071" s="7" t="s">
        <v>22</v>
      </c>
      <c r="J1071" s="3">
        <v>0.7</v>
      </c>
      <c r="K1071" s="8" t="s">
        <v>41</v>
      </c>
      <c r="L1071" s="8" t="s">
        <v>42</v>
      </c>
      <c r="M1071" s="8" t="s">
        <v>43</v>
      </c>
      <c r="N1071" s="3">
        <v>0.98</v>
      </c>
      <c r="O1071" s="3">
        <v>0.2</v>
      </c>
      <c r="P1071" s="3"/>
      <c r="Q1071" s="3">
        <f t="shared" si="34"/>
        <v>0</v>
      </c>
      <c r="R1071" s="4">
        <f t="shared" si="35"/>
        <v>0</v>
      </c>
      <c r="S1071" s="3" t="s">
        <v>23</v>
      </c>
      <c r="T1071" s="190"/>
    </row>
    <row r="1072" spans="1:20" ht="21.6" hidden="1" x14ac:dyDescent="0.3">
      <c r="A1072" s="182">
        <v>5</v>
      </c>
      <c r="B1072" s="42" t="s">
        <v>20</v>
      </c>
      <c r="C1072" s="43" t="s">
        <v>267</v>
      </c>
      <c r="D1072" s="50">
        <v>6363</v>
      </c>
      <c r="E1072" s="52" t="s">
        <v>202</v>
      </c>
      <c r="F1072" s="52" t="s">
        <v>145</v>
      </c>
      <c r="G1072" s="52" t="s">
        <v>200</v>
      </c>
      <c r="H1072" s="45" t="s">
        <v>468</v>
      </c>
      <c r="I1072" s="7" t="s">
        <v>22</v>
      </c>
      <c r="J1072" s="3">
        <v>0.7</v>
      </c>
      <c r="K1072" s="8" t="s">
        <v>44</v>
      </c>
      <c r="L1072" s="8" t="s">
        <v>45</v>
      </c>
      <c r="M1072" s="8" t="s">
        <v>46</v>
      </c>
      <c r="N1072" s="10">
        <v>0.9</v>
      </c>
      <c r="O1072" s="3">
        <v>0.2</v>
      </c>
      <c r="P1072" s="3"/>
      <c r="Q1072" s="3">
        <f t="shared" si="34"/>
        <v>0</v>
      </c>
      <c r="R1072" s="4">
        <f t="shared" si="35"/>
        <v>0</v>
      </c>
      <c r="S1072" s="3" t="s">
        <v>23</v>
      </c>
      <c r="T1072" s="190"/>
    </row>
    <row r="1073" spans="1:20" ht="22.2" hidden="1" thickBot="1" x14ac:dyDescent="0.35">
      <c r="A1073" s="200">
        <v>6</v>
      </c>
      <c r="B1073" s="81" t="s">
        <v>20</v>
      </c>
      <c r="C1073" s="82" t="s">
        <v>267</v>
      </c>
      <c r="D1073" s="113">
        <v>6363</v>
      </c>
      <c r="E1073" s="118" t="s">
        <v>202</v>
      </c>
      <c r="F1073" s="118" t="s">
        <v>145</v>
      </c>
      <c r="G1073" s="118" t="s">
        <v>200</v>
      </c>
      <c r="H1073" s="84" t="s">
        <v>468</v>
      </c>
      <c r="I1073" s="125" t="s">
        <v>26</v>
      </c>
      <c r="J1073" s="238">
        <v>0.3</v>
      </c>
      <c r="K1073" s="125" t="s">
        <v>47</v>
      </c>
      <c r="L1073" s="126" t="s">
        <v>48</v>
      </c>
      <c r="M1073" s="125" t="s">
        <v>49</v>
      </c>
      <c r="N1073" s="238">
        <v>1</v>
      </c>
      <c r="O1073" s="238">
        <v>1</v>
      </c>
      <c r="P1073" s="238"/>
      <c r="Q1073" s="238">
        <f t="shared" si="34"/>
        <v>0</v>
      </c>
      <c r="R1073" s="254">
        <f t="shared" si="35"/>
        <v>0</v>
      </c>
      <c r="S1073" s="255" t="s">
        <v>23</v>
      </c>
      <c r="T1073" s="305"/>
    </row>
    <row r="1074" spans="1:20" ht="21.6" hidden="1" x14ac:dyDescent="0.3">
      <c r="A1074" s="242">
        <v>1</v>
      </c>
      <c r="B1074" s="243" t="s">
        <v>20</v>
      </c>
      <c r="C1074" s="244" t="s">
        <v>267</v>
      </c>
      <c r="D1074" s="293">
        <v>6274</v>
      </c>
      <c r="E1074" s="295" t="s">
        <v>250</v>
      </c>
      <c r="F1074" s="295" t="s">
        <v>145</v>
      </c>
      <c r="G1074" s="295" t="s">
        <v>200</v>
      </c>
      <c r="H1074" s="246" t="s">
        <v>468</v>
      </c>
      <c r="I1074" s="294" t="s">
        <v>22</v>
      </c>
      <c r="J1074" s="248">
        <v>0.7</v>
      </c>
      <c r="K1074" s="316" t="s">
        <v>32</v>
      </c>
      <c r="L1074" s="316" t="s">
        <v>33</v>
      </c>
      <c r="M1074" s="316" t="s">
        <v>34</v>
      </c>
      <c r="N1074" s="248">
        <v>0.95</v>
      </c>
      <c r="O1074" s="248">
        <v>0.2</v>
      </c>
      <c r="P1074" s="248"/>
      <c r="Q1074" s="248">
        <f t="shared" si="34"/>
        <v>0</v>
      </c>
      <c r="R1074" s="250">
        <f t="shared" si="35"/>
        <v>0</v>
      </c>
      <c r="S1074" s="248" t="s">
        <v>23</v>
      </c>
      <c r="T1074" s="251">
        <f>SUM(R1074:R1079)%</f>
        <v>0</v>
      </c>
    </row>
    <row r="1075" spans="1:20" ht="21.6" hidden="1" x14ac:dyDescent="0.3">
      <c r="A1075" s="182">
        <v>2</v>
      </c>
      <c r="B1075" s="42" t="s">
        <v>20</v>
      </c>
      <c r="C1075" s="43" t="s">
        <v>267</v>
      </c>
      <c r="D1075" s="50">
        <v>6274</v>
      </c>
      <c r="E1075" s="52" t="s">
        <v>250</v>
      </c>
      <c r="F1075" s="52" t="s">
        <v>145</v>
      </c>
      <c r="G1075" s="52" t="s">
        <v>200</v>
      </c>
      <c r="H1075" s="45" t="s">
        <v>468</v>
      </c>
      <c r="I1075" s="7" t="s">
        <v>22</v>
      </c>
      <c r="J1075" s="3">
        <v>0.7</v>
      </c>
      <c r="K1075" s="8" t="s">
        <v>35</v>
      </c>
      <c r="L1075" s="8" t="s">
        <v>36</v>
      </c>
      <c r="M1075" s="8" t="s">
        <v>37</v>
      </c>
      <c r="N1075" s="3">
        <v>0.95</v>
      </c>
      <c r="O1075" s="3">
        <v>0.2</v>
      </c>
      <c r="P1075" s="3"/>
      <c r="Q1075" s="3">
        <f t="shared" si="34"/>
        <v>0</v>
      </c>
      <c r="R1075" s="4">
        <f t="shared" si="35"/>
        <v>0</v>
      </c>
      <c r="S1075" s="3" t="s">
        <v>23</v>
      </c>
      <c r="T1075" s="190"/>
    </row>
    <row r="1076" spans="1:20" ht="21.6" hidden="1" x14ac:dyDescent="0.3">
      <c r="A1076" s="182">
        <v>3</v>
      </c>
      <c r="B1076" s="42" t="s">
        <v>20</v>
      </c>
      <c r="C1076" s="43" t="s">
        <v>267</v>
      </c>
      <c r="D1076" s="50">
        <v>6274</v>
      </c>
      <c r="E1076" s="52" t="s">
        <v>250</v>
      </c>
      <c r="F1076" s="52" t="s">
        <v>145</v>
      </c>
      <c r="G1076" s="52" t="s">
        <v>200</v>
      </c>
      <c r="H1076" s="45" t="s">
        <v>468</v>
      </c>
      <c r="I1076" s="7" t="s">
        <v>22</v>
      </c>
      <c r="J1076" s="3">
        <v>0.7</v>
      </c>
      <c r="K1076" s="8" t="s">
        <v>38</v>
      </c>
      <c r="L1076" s="8" t="s">
        <v>39</v>
      </c>
      <c r="M1076" s="8" t="s">
        <v>40</v>
      </c>
      <c r="N1076" s="3">
        <v>1</v>
      </c>
      <c r="O1076" s="3">
        <v>0.2</v>
      </c>
      <c r="P1076" s="3"/>
      <c r="Q1076" s="3">
        <f t="shared" si="34"/>
        <v>0</v>
      </c>
      <c r="R1076" s="4">
        <f t="shared" si="35"/>
        <v>0</v>
      </c>
      <c r="S1076" s="3" t="s">
        <v>23</v>
      </c>
      <c r="T1076" s="190"/>
    </row>
    <row r="1077" spans="1:20" ht="21.6" hidden="1" x14ac:dyDescent="0.3">
      <c r="A1077" s="182">
        <v>4</v>
      </c>
      <c r="B1077" s="42" t="s">
        <v>20</v>
      </c>
      <c r="C1077" s="43" t="s">
        <v>267</v>
      </c>
      <c r="D1077" s="50">
        <v>6274</v>
      </c>
      <c r="E1077" s="52" t="s">
        <v>250</v>
      </c>
      <c r="F1077" s="52" t="s">
        <v>145</v>
      </c>
      <c r="G1077" s="52" t="s">
        <v>200</v>
      </c>
      <c r="H1077" s="45" t="s">
        <v>468</v>
      </c>
      <c r="I1077" s="7" t="s">
        <v>22</v>
      </c>
      <c r="J1077" s="3">
        <v>0.7</v>
      </c>
      <c r="K1077" s="8" t="s">
        <v>41</v>
      </c>
      <c r="L1077" s="8" t="s">
        <v>42</v>
      </c>
      <c r="M1077" s="8" t="s">
        <v>43</v>
      </c>
      <c r="N1077" s="3">
        <v>0.98</v>
      </c>
      <c r="O1077" s="3">
        <v>0.2</v>
      </c>
      <c r="P1077" s="3"/>
      <c r="Q1077" s="3">
        <f t="shared" si="34"/>
        <v>0</v>
      </c>
      <c r="R1077" s="4">
        <f t="shared" si="35"/>
        <v>0</v>
      </c>
      <c r="S1077" s="3" t="s">
        <v>23</v>
      </c>
      <c r="T1077" s="190"/>
    </row>
    <row r="1078" spans="1:20" ht="21.6" hidden="1" x14ac:dyDescent="0.3">
      <c r="A1078" s="182">
        <v>5</v>
      </c>
      <c r="B1078" s="42" t="s">
        <v>20</v>
      </c>
      <c r="C1078" s="43" t="s">
        <v>267</v>
      </c>
      <c r="D1078" s="50">
        <v>6274</v>
      </c>
      <c r="E1078" s="52" t="s">
        <v>250</v>
      </c>
      <c r="F1078" s="52" t="s">
        <v>145</v>
      </c>
      <c r="G1078" s="52" t="s">
        <v>200</v>
      </c>
      <c r="H1078" s="45" t="s">
        <v>468</v>
      </c>
      <c r="I1078" s="7" t="s">
        <v>22</v>
      </c>
      <c r="J1078" s="3">
        <v>0.7</v>
      </c>
      <c r="K1078" s="8" t="s">
        <v>44</v>
      </c>
      <c r="L1078" s="8" t="s">
        <v>45</v>
      </c>
      <c r="M1078" s="8" t="s">
        <v>46</v>
      </c>
      <c r="N1078" s="10">
        <v>0.9</v>
      </c>
      <c r="O1078" s="3">
        <v>0.2</v>
      </c>
      <c r="P1078" s="3"/>
      <c r="Q1078" s="3">
        <f t="shared" si="34"/>
        <v>0</v>
      </c>
      <c r="R1078" s="4">
        <f t="shared" si="35"/>
        <v>0</v>
      </c>
      <c r="S1078" s="3" t="s">
        <v>23</v>
      </c>
      <c r="T1078" s="190"/>
    </row>
    <row r="1079" spans="1:20" ht="22.2" hidden="1" thickBot="1" x14ac:dyDescent="0.35">
      <c r="A1079" s="200">
        <v>6</v>
      </c>
      <c r="B1079" s="81" t="s">
        <v>20</v>
      </c>
      <c r="C1079" s="82" t="s">
        <v>267</v>
      </c>
      <c r="D1079" s="113">
        <v>6274</v>
      </c>
      <c r="E1079" s="118" t="s">
        <v>250</v>
      </c>
      <c r="F1079" s="118" t="s">
        <v>145</v>
      </c>
      <c r="G1079" s="118" t="s">
        <v>200</v>
      </c>
      <c r="H1079" s="84" t="s">
        <v>468</v>
      </c>
      <c r="I1079" s="125" t="s">
        <v>26</v>
      </c>
      <c r="J1079" s="238">
        <v>0.3</v>
      </c>
      <c r="K1079" s="125" t="s">
        <v>47</v>
      </c>
      <c r="L1079" s="126" t="s">
        <v>48</v>
      </c>
      <c r="M1079" s="125" t="s">
        <v>49</v>
      </c>
      <c r="N1079" s="238">
        <v>1</v>
      </c>
      <c r="O1079" s="238">
        <v>1</v>
      </c>
      <c r="P1079" s="238"/>
      <c r="Q1079" s="238">
        <f t="shared" si="34"/>
        <v>0</v>
      </c>
      <c r="R1079" s="254">
        <f t="shared" si="35"/>
        <v>0</v>
      </c>
      <c r="S1079" s="255" t="s">
        <v>23</v>
      </c>
      <c r="T1079" s="305"/>
    </row>
    <row r="1080" spans="1:20" ht="21.6" hidden="1" x14ac:dyDescent="0.3">
      <c r="A1080" s="242">
        <v>1</v>
      </c>
      <c r="B1080" s="243" t="s">
        <v>20</v>
      </c>
      <c r="C1080" s="244" t="s">
        <v>267</v>
      </c>
      <c r="D1080" s="293">
        <v>5895</v>
      </c>
      <c r="E1080" s="295" t="s">
        <v>203</v>
      </c>
      <c r="F1080" s="295" t="s">
        <v>204</v>
      </c>
      <c r="G1080" s="295" t="s">
        <v>31</v>
      </c>
      <c r="H1080" s="246" t="s">
        <v>429</v>
      </c>
      <c r="I1080" s="294" t="s">
        <v>22</v>
      </c>
      <c r="J1080" s="248">
        <v>0.7</v>
      </c>
      <c r="K1080" s="294" t="s">
        <v>215</v>
      </c>
      <c r="L1080" s="316" t="s">
        <v>205</v>
      </c>
      <c r="M1080" s="294"/>
      <c r="N1080" s="248">
        <v>0.95</v>
      </c>
      <c r="O1080" s="248">
        <v>0.2</v>
      </c>
      <c r="P1080" s="248"/>
      <c r="Q1080" s="248">
        <f t="shared" si="34"/>
        <v>0</v>
      </c>
      <c r="R1080" s="250">
        <f t="shared" si="35"/>
        <v>0</v>
      </c>
      <c r="S1080" s="248" t="s">
        <v>23</v>
      </c>
      <c r="T1080" s="251">
        <f>SUM(R1080:R1086)%</f>
        <v>0</v>
      </c>
    </row>
    <row r="1081" spans="1:20" ht="21.6" hidden="1" x14ac:dyDescent="0.3">
      <c r="A1081" s="182">
        <v>2</v>
      </c>
      <c r="B1081" s="42" t="s">
        <v>20</v>
      </c>
      <c r="C1081" s="43" t="s">
        <v>267</v>
      </c>
      <c r="D1081" s="50">
        <v>5895</v>
      </c>
      <c r="E1081" s="52" t="s">
        <v>203</v>
      </c>
      <c r="F1081" s="52" t="s">
        <v>204</v>
      </c>
      <c r="G1081" s="52" t="s">
        <v>31</v>
      </c>
      <c r="H1081" s="45" t="s">
        <v>429</v>
      </c>
      <c r="I1081" s="7" t="s">
        <v>22</v>
      </c>
      <c r="J1081" s="3">
        <v>0.7</v>
      </c>
      <c r="K1081" s="7" t="s">
        <v>307</v>
      </c>
      <c r="L1081" s="8" t="s">
        <v>206</v>
      </c>
      <c r="M1081" s="7"/>
      <c r="N1081" s="3">
        <v>0.95</v>
      </c>
      <c r="O1081" s="3">
        <v>0.2</v>
      </c>
      <c r="P1081" s="3"/>
      <c r="Q1081" s="3">
        <f t="shared" si="34"/>
        <v>0</v>
      </c>
      <c r="R1081" s="4">
        <f t="shared" si="35"/>
        <v>0</v>
      </c>
      <c r="S1081" s="3" t="s">
        <v>23</v>
      </c>
      <c r="T1081" s="190"/>
    </row>
    <row r="1082" spans="1:20" ht="21.6" hidden="1" x14ac:dyDescent="0.3">
      <c r="A1082" s="182">
        <v>4</v>
      </c>
      <c r="B1082" s="42" t="s">
        <v>20</v>
      </c>
      <c r="C1082" s="43" t="s">
        <v>267</v>
      </c>
      <c r="D1082" s="50">
        <v>5895</v>
      </c>
      <c r="E1082" s="52" t="s">
        <v>203</v>
      </c>
      <c r="F1082" s="52" t="s">
        <v>204</v>
      </c>
      <c r="G1082" s="52" t="s">
        <v>31</v>
      </c>
      <c r="H1082" s="45" t="s">
        <v>429</v>
      </c>
      <c r="I1082" s="7" t="s">
        <v>22</v>
      </c>
      <c r="J1082" s="3">
        <v>0.7</v>
      </c>
      <c r="K1082" s="7" t="s">
        <v>305</v>
      </c>
      <c r="L1082" s="8" t="s">
        <v>257</v>
      </c>
      <c r="M1082" s="339" t="s">
        <v>306</v>
      </c>
      <c r="N1082" s="3">
        <v>0.95</v>
      </c>
      <c r="O1082" s="3">
        <v>0.25</v>
      </c>
      <c r="P1082" s="3"/>
      <c r="Q1082" s="3">
        <f t="shared" si="34"/>
        <v>0</v>
      </c>
      <c r="R1082" s="4">
        <f t="shared" si="35"/>
        <v>0</v>
      </c>
      <c r="S1082" s="3" t="s">
        <v>23</v>
      </c>
      <c r="T1082" s="190"/>
    </row>
    <row r="1083" spans="1:20" ht="21.6" hidden="1" x14ac:dyDescent="0.3">
      <c r="A1083" s="182">
        <v>5</v>
      </c>
      <c r="B1083" s="42" t="s">
        <v>20</v>
      </c>
      <c r="C1083" s="43" t="s">
        <v>267</v>
      </c>
      <c r="D1083" s="50">
        <v>5895</v>
      </c>
      <c r="E1083" s="52" t="s">
        <v>203</v>
      </c>
      <c r="F1083" s="52" t="s">
        <v>204</v>
      </c>
      <c r="G1083" s="52" t="s">
        <v>31</v>
      </c>
      <c r="H1083" s="45" t="s">
        <v>429</v>
      </c>
      <c r="I1083" s="7" t="s">
        <v>22</v>
      </c>
      <c r="J1083" s="3">
        <v>0.7</v>
      </c>
      <c r="K1083" s="7" t="s">
        <v>308</v>
      </c>
      <c r="L1083" s="8" t="s">
        <v>130</v>
      </c>
      <c r="M1083" s="339" t="s">
        <v>131</v>
      </c>
      <c r="N1083" s="3">
        <v>0.9</v>
      </c>
      <c r="O1083" s="3">
        <v>0.15</v>
      </c>
      <c r="P1083" s="3"/>
      <c r="Q1083" s="3">
        <f t="shared" si="34"/>
        <v>0</v>
      </c>
      <c r="R1083" s="4">
        <f t="shared" si="35"/>
        <v>0</v>
      </c>
      <c r="S1083" s="3" t="s">
        <v>23</v>
      </c>
      <c r="T1083" s="190"/>
    </row>
    <row r="1084" spans="1:20" ht="21.6" hidden="1" x14ac:dyDescent="0.3">
      <c r="A1084" s="182">
        <v>6</v>
      </c>
      <c r="B1084" s="42" t="s">
        <v>20</v>
      </c>
      <c r="C1084" s="43" t="s">
        <v>267</v>
      </c>
      <c r="D1084" s="50">
        <v>5895</v>
      </c>
      <c r="E1084" s="52" t="s">
        <v>203</v>
      </c>
      <c r="F1084" s="52" t="s">
        <v>204</v>
      </c>
      <c r="G1084" s="52" t="s">
        <v>31</v>
      </c>
      <c r="H1084" s="45" t="s">
        <v>429</v>
      </c>
      <c r="I1084" s="7" t="s">
        <v>22</v>
      </c>
      <c r="J1084" s="3">
        <v>0.7</v>
      </c>
      <c r="K1084" s="7" t="s">
        <v>309</v>
      </c>
      <c r="L1084" s="8" t="s">
        <v>207</v>
      </c>
      <c r="M1084" s="339"/>
      <c r="N1084" s="3">
        <v>1</v>
      </c>
      <c r="O1084" s="3">
        <v>0.1</v>
      </c>
      <c r="P1084" s="3"/>
      <c r="Q1084" s="3">
        <f t="shared" si="34"/>
        <v>0</v>
      </c>
      <c r="R1084" s="4">
        <f t="shared" si="35"/>
        <v>0</v>
      </c>
      <c r="S1084" s="3" t="s">
        <v>23</v>
      </c>
      <c r="T1084" s="190"/>
    </row>
    <row r="1085" spans="1:20" ht="21.6" hidden="1" x14ac:dyDescent="0.3">
      <c r="A1085" s="182">
        <v>6</v>
      </c>
      <c r="B1085" s="42" t="s">
        <v>20</v>
      </c>
      <c r="C1085" s="43" t="s">
        <v>267</v>
      </c>
      <c r="D1085" s="50">
        <v>5895</v>
      </c>
      <c r="E1085" s="52" t="s">
        <v>203</v>
      </c>
      <c r="F1085" s="52" t="s">
        <v>204</v>
      </c>
      <c r="G1085" s="52" t="s">
        <v>31</v>
      </c>
      <c r="H1085" s="45" t="s">
        <v>429</v>
      </c>
      <c r="I1085" s="47" t="s">
        <v>22</v>
      </c>
      <c r="J1085" s="3">
        <v>0.7</v>
      </c>
      <c r="K1085" s="47" t="s">
        <v>310</v>
      </c>
      <c r="L1085" s="30" t="s">
        <v>136</v>
      </c>
      <c r="M1085" s="47" t="s">
        <v>137</v>
      </c>
      <c r="N1085" s="3">
        <v>0.9</v>
      </c>
      <c r="O1085" s="3">
        <v>0.1</v>
      </c>
      <c r="P1085" s="3"/>
      <c r="Q1085" s="3">
        <f t="shared" si="34"/>
        <v>0</v>
      </c>
      <c r="R1085" s="4">
        <f t="shared" si="35"/>
        <v>0</v>
      </c>
      <c r="S1085" s="3" t="s">
        <v>23</v>
      </c>
      <c r="T1085" s="190"/>
    </row>
    <row r="1086" spans="1:20" ht="22.2" hidden="1" thickBot="1" x14ac:dyDescent="0.35">
      <c r="A1086" s="267">
        <v>6</v>
      </c>
      <c r="B1086" s="268" t="s">
        <v>20</v>
      </c>
      <c r="C1086" s="269" t="s">
        <v>267</v>
      </c>
      <c r="D1086" s="290">
        <v>5895</v>
      </c>
      <c r="E1086" s="298" t="s">
        <v>203</v>
      </c>
      <c r="F1086" s="298" t="s">
        <v>204</v>
      </c>
      <c r="G1086" s="298" t="s">
        <v>31</v>
      </c>
      <c r="H1086" s="271" t="s">
        <v>429</v>
      </c>
      <c r="I1086" s="272" t="s">
        <v>26</v>
      </c>
      <c r="J1086" s="273">
        <v>0.3</v>
      </c>
      <c r="K1086" s="272" t="s">
        <v>138</v>
      </c>
      <c r="L1086" s="291" t="s">
        <v>139</v>
      </c>
      <c r="M1086" s="272" t="s">
        <v>140</v>
      </c>
      <c r="N1086" s="273">
        <v>1</v>
      </c>
      <c r="O1086" s="273">
        <v>1</v>
      </c>
      <c r="P1086" s="306"/>
      <c r="Q1086" s="273">
        <f t="shared" si="34"/>
        <v>0</v>
      </c>
      <c r="R1086" s="275">
        <f t="shared" si="35"/>
        <v>0</v>
      </c>
      <c r="S1086" s="276" t="s">
        <v>23</v>
      </c>
      <c r="T1086" s="307"/>
    </row>
    <row r="1087" spans="1:20" ht="21.6" hidden="1" x14ac:dyDescent="0.3">
      <c r="A1087" s="242">
        <v>1</v>
      </c>
      <c r="B1087" s="243" t="s">
        <v>20</v>
      </c>
      <c r="C1087" s="244" t="s">
        <v>267</v>
      </c>
      <c r="D1087" s="293">
        <v>5840</v>
      </c>
      <c r="E1087" s="295" t="s">
        <v>270</v>
      </c>
      <c r="F1087" s="295" t="s">
        <v>271</v>
      </c>
      <c r="G1087" s="295" t="s">
        <v>31</v>
      </c>
      <c r="H1087" s="246" t="s">
        <v>429</v>
      </c>
      <c r="I1087" s="294" t="s">
        <v>22</v>
      </c>
      <c r="J1087" s="248">
        <v>0.7</v>
      </c>
      <c r="K1087" s="294" t="s">
        <v>215</v>
      </c>
      <c r="L1087" s="316" t="s">
        <v>205</v>
      </c>
      <c r="M1087" s="294"/>
      <c r="N1087" s="248">
        <v>0.95</v>
      </c>
      <c r="O1087" s="248">
        <v>0.2</v>
      </c>
      <c r="P1087" s="248"/>
      <c r="Q1087" s="248">
        <f t="shared" si="34"/>
        <v>0</v>
      </c>
      <c r="R1087" s="250">
        <f t="shared" si="35"/>
        <v>0</v>
      </c>
      <c r="S1087" s="248" t="s">
        <v>23</v>
      </c>
      <c r="T1087" s="251">
        <f>SUM(R1087:R1093)%</f>
        <v>0</v>
      </c>
    </row>
    <row r="1088" spans="1:20" ht="21.6" hidden="1" x14ac:dyDescent="0.3">
      <c r="A1088" s="182">
        <v>2</v>
      </c>
      <c r="B1088" s="42" t="s">
        <v>20</v>
      </c>
      <c r="C1088" s="43" t="s">
        <v>267</v>
      </c>
      <c r="D1088" s="50">
        <v>5840</v>
      </c>
      <c r="E1088" s="52" t="s">
        <v>270</v>
      </c>
      <c r="F1088" s="52" t="s">
        <v>271</v>
      </c>
      <c r="G1088" s="52" t="s">
        <v>31</v>
      </c>
      <c r="H1088" s="45" t="s">
        <v>429</v>
      </c>
      <c r="I1088" s="7" t="s">
        <v>22</v>
      </c>
      <c r="J1088" s="3">
        <v>0.7</v>
      </c>
      <c r="K1088" s="7" t="s">
        <v>307</v>
      </c>
      <c r="L1088" s="8" t="s">
        <v>206</v>
      </c>
      <c r="M1088" s="7"/>
      <c r="N1088" s="3">
        <v>0.95</v>
      </c>
      <c r="O1088" s="3">
        <v>0.2</v>
      </c>
      <c r="P1088" s="3"/>
      <c r="Q1088" s="3">
        <f t="shared" si="34"/>
        <v>0</v>
      </c>
      <c r="R1088" s="4">
        <f t="shared" si="35"/>
        <v>0</v>
      </c>
      <c r="S1088" s="3" t="s">
        <v>23</v>
      </c>
      <c r="T1088" s="190"/>
    </row>
    <row r="1089" spans="1:20" ht="21.6" hidden="1" x14ac:dyDescent="0.3">
      <c r="A1089" s="182">
        <v>3</v>
      </c>
      <c r="B1089" s="42" t="s">
        <v>20</v>
      </c>
      <c r="C1089" s="43" t="s">
        <v>267</v>
      </c>
      <c r="D1089" s="50">
        <v>5840</v>
      </c>
      <c r="E1089" s="52" t="s">
        <v>270</v>
      </c>
      <c r="F1089" s="52" t="s">
        <v>271</v>
      </c>
      <c r="G1089" s="52" t="s">
        <v>31</v>
      </c>
      <c r="H1089" s="45" t="s">
        <v>429</v>
      </c>
      <c r="I1089" s="7" t="s">
        <v>22</v>
      </c>
      <c r="J1089" s="3">
        <v>0.7</v>
      </c>
      <c r="K1089" s="7" t="s">
        <v>305</v>
      </c>
      <c r="L1089" s="8" t="s">
        <v>257</v>
      </c>
      <c r="M1089" s="339" t="s">
        <v>306</v>
      </c>
      <c r="N1089" s="3">
        <v>0.95</v>
      </c>
      <c r="O1089" s="3">
        <v>0.25</v>
      </c>
      <c r="P1089" s="3"/>
      <c r="Q1089" s="3">
        <f t="shared" si="34"/>
        <v>0</v>
      </c>
      <c r="R1089" s="4">
        <f t="shared" si="35"/>
        <v>0</v>
      </c>
      <c r="S1089" s="3" t="s">
        <v>23</v>
      </c>
      <c r="T1089" s="190"/>
    </row>
    <row r="1090" spans="1:20" ht="21.6" hidden="1" x14ac:dyDescent="0.3">
      <c r="A1090" s="182">
        <v>4</v>
      </c>
      <c r="B1090" s="42" t="s">
        <v>20</v>
      </c>
      <c r="C1090" s="43" t="s">
        <v>267</v>
      </c>
      <c r="D1090" s="50">
        <v>5840</v>
      </c>
      <c r="E1090" s="52" t="s">
        <v>270</v>
      </c>
      <c r="F1090" s="52" t="s">
        <v>271</v>
      </c>
      <c r="G1090" s="52" t="s">
        <v>31</v>
      </c>
      <c r="H1090" s="45" t="s">
        <v>429</v>
      </c>
      <c r="I1090" s="7" t="s">
        <v>22</v>
      </c>
      <c r="J1090" s="3">
        <v>0.7</v>
      </c>
      <c r="K1090" s="7" t="s">
        <v>308</v>
      </c>
      <c r="L1090" s="8" t="s">
        <v>130</v>
      </c>
      <c r="M1090" s="339" t="s">
        <v>131</v>
      </c>
      <c r="N1090" s="3">
        <v>0.9</v>
      </c>
      <c r="O1090" s="3">
        <v>0.15</v>
      </c>
      <c r="P1090" s="3"/>
      <c r="Q1090" s="3">
        <f t="shared" si="34"/>
        <v>0</v>
      </c>
      <c r="R1090" s="4">
        <f t="shared" si="35"/>
        <v>0</v>
      </c>
      <c r="S1090" s="3" t="s">
        <v>23</v>
      </c>
      <c r="T1090" s="190"/>
    </row>
    <row r="1091" spans="1:20" ht="21.6" hidden="1" x14ac:dyDescent="0.3">
      <c r="A1091" s="182">
        <v>5</v>
      </c>
      <c r="B1091" s="42" t="s">
        <v>20</v>
      </c>
      <c r="C1091" s="43" t="s">
        <v>267</v>
      </c>
      <c r="D1091" s="50">
        <v>5840</v>
      </c>
      <c r="E1091" s="52" t="s">
        <v>270</v>
      </c>
      <c r="F1091" s="52" t="s">
        <v>271</v>
      </c>
      <c r="G1091" s="52" t="s">
        <v>31</v>
      </c>
      <c r="H1091" s="45" t="s">
        <v>429</v>
      </c>
      <c r="I1091" s="7" t="s">
        <v>22</v>
      </c>
      <c r="J1091" s="3">
        <v>0.7</v>
      </c>
      <c r="K1091" s="7" t="s">
        <v>309</v>
      </c>
      <c r="L1091" s="8" t="s">
        <v>207</v>
      </c>
      <c r="M1091" s="339"/>
      <c r="N1091" s="3">
        <v>1</v>
      </c>
      <c r="O1091" s="3">
        <v>0.1</v>
      </c>
      <c r="P1091" s="3"/>
      <c r="Q1091" s="3">
        <f t="shared" si="34"/>
        <v>0</v>
      </c>
      <c r="R1091" s="4">
        <f t="shared" si="35"/>
        <v>0</v>
      </c>
      <c r="S1091" s="3" t="s">
        <v>23</v>
      </c>
      <c r="T1091" s="190"/>
    </row>
    <row r="1092" spans="1:20" ht="21.6" hidden="1" x14ac:dyDescent="0.3">
      <c r="A1092" s="182"/>
      <c r="B1092" s="42" t="s">
        <v>20</v>
      </c>
      <c r="C1092" s="43" t="s">
        <v>267</v>
      </c>
      <c r="D1092" s="50">
        <v>5840</v>
      </c>
      <c r="E1092" s="52" t="s">
        <v>270</v>
      </c>
      <c r="F1092" s="52" t="s">
        <v>271</v>
      </c>
      <c r="G1092" s="52" t="s">
        <v>31</v>
      </c>
      <c r="H1092" s="45" t="s">
        <v>429</v>
      </c>
      <c r="I1092" s="47" t="s">
        <v>22</v>
      </c>
      <c r="J1092" s="3">
        <v>0.7</v>
      </c>
      <c r="K1092" s="47" t="s">
        <v>310</v>
      </c>
      <c r="L1092" s="30" t="s">
        <v>136</v>
      </c>
      <c r="M1092" s="47" t="s">
        <v>137</v>
      </c>
      <c r="N1092" s="3">
        <v>0.9</v>
      </c>
      <c r="O1092" s="3">
        <v>0.1</v>
      </c>
      <c r="P1092" s="3"/>
      <c r="Q1092" s="3">
        <f t="shared" si="34"/>
        <v>0</v>
      </c>
      <c r="R1092" s="4">
        <f t="shared" si="35"/>
        <v>0</v>
      </c>
      <c r="S1092" s="3" t="s">
        <v>23</v>
      </c>
      <c r="T1092" s="190"/>
    </row>
    <row r="1093" spans="1:20" ht="22.2" hidden="1" thickBot="1" x14ac:dyDescent="0.35">
      <c r="A1093" s="200">
        <v>6</v>
      </c>
      <c r="B1093" s="81" t="s">
        <v>20</v>
      </c>
      <c r="C1093" s="82" t="s">
        <v>267</v>
      </c>
      <c r="D1093" s="113">
        <v>5840</v>
      </c>
      <c r="E1093" s="118" t="s">
        <v>270</v>
      </c>
      <c r="F1093" s="118" t="s">
        <v>271</v>
      </c>
      <c r="G1093" s="118" t="s">
        <v>31</v>
      </c>
      <c r="H1093" s="84" t="s">
        <v>429</v>
      </c>
      <c r="I1093" s="85" t="s">
        <v>26</v>
      </c>
      <c r="J1093" s="238">
        <v>0.3</v>
      </c>
      <c r="K1093" s="85" t="s">
        <v>138</v>
      </c>
      <c r="L1093" s="114" t="s">
        <v>139</v>
      </c>
      <c r="M1093" s="85" t="s">
        <v>140</v>
      </c>
      <c r="N1093" s="238">
        <v>1</v>
      </c>
      <c r="O1093" s="238">
        <v>1</v>
      </c>
      <c r="P1093" s="308"/>
      <c r="Q1093" s="238">
        <f t="shared" si="34"/>
        <v>0</v>
      </c>
      <c r="R1093" s="254">
        <f t="shared" si="35"/>
        <v>0</v>
      </c>
      <c r="S1093" s="255" t="s">
        <v>23</v>
      </c>
      <c r="T1093" s="305"/>
    </row>
    <row r="1094" spans="1:20" ht="21.6" hidden="1" x14ac:dyDescent="0.3">
      <c r="A1094" s="242">
        <v>1</v>
      </c>
      <c r="B1094" s="243" t="s">
        <v>20</v>
      </c>
      <c r="C1094" s="244" t="s">
        <v>267</v>
      </c>
      <c r="D1094" s="293">
        <v>6277</v>
      </c>
      <c r="E1094" s="295" t="s">
        <v>272</v>
      </c>
      <c r="F1094" s="295" t="s">
        <v>271</v>
      </c>
      <c r="G1094" s="295" t="s">
        <v>31</v>
      </c>
      <c r="H1094" s="246" t="s">
        <v>429</v>
      </c>
      <c r="I1094" s="294" t="s">
        <v>22</v>
      </c>
      <c r="J1094" s="248">
        <v>0.7</v>
      </c>
      <c r="K1094" s="294" t="s">
        <v>215</v>
      </c>
      <c r="L1094" s="316" t="s">
        <v>205</v>
      </c>
      <c r="M1094" s="294"/>
      <c r="N1094" s="248">
        <v>0.95</v>
      </c>
      <c r="O1094" s="248">
        <v>0.2</v>
      </c>
      <c r="P1094" s="248"/>
      <c r="Q1094" s="248">
        <f t="shared" si="34"/>
        <v>0</v>
      </c>
      <c r="R1094" s="250">
        <f t="shared" si="35"/>
        <v>0</v>
      </c>
      <c r="S1094" s="248" t="s">
        <v>23</v>
      </c>
      <c r="T1094" s="251">
        <f>SUM(R1094:R1100)%</f>
        <v>0</v>
      </c>
    </row>
    <row r="1095" spans="1:20" ht="21.6" hidden="1" x14ac:dyDescent="0.3">
      <c r="A1095" s="182">
        <v>2</v>
      </c>
      <c r="B1095" s="42" t="s">
        <v>20</v>
      </c>
      <c r="C1095" s="43" t="s">
        <v>267</v>
      </c>
      <c r="D1095" s="50">
        <v>6277</v>
      </c>
      <c r="E1095" s="52" t="s">
        <v>272</v>
      </c>
      <c r="F1095" s="52" t="s">
        <v>271</v>
      </c>
      <c r="G1095" s="52" t="s">
        <v>31</v>
      </c>
      <c r="H1095" s="45" t="s">
        <v>429</v>
      </c>
      <c r="I1095" s="7" t="s">
        <v>22</v>
      </c>
      <c r="J1095" s="3">
        <v>0.7</v>
      </c>
      <c r="K1095" s="7" t="s">
        <v>307</v>
      </c>
      <c r="L1095" s="8" t="s">
        <v>206</v>
      </c>
      <c r="M1095" s="7"/>
      <c r="N1095" s="3">
        <v>0.95</v>
      </c>
      <c r="O1095" s="3">
        <v>0.2</v>
      </c>
      <c r="P1095" s="3"/>
      <c r="Q1095" s="3">
        <f t="shared" si="34"/>
        <v>0</v>
      </c>
      <c r="R1095" s="4">
        <f t="shared" si="35"/>
        <v>0</v>
      </c>
      <c r="S1095" s="3" t="s">
        <v>23</v>
      </c>
      <c r="T1095" s="190"/>
    </row>
    <row r="1096" spans="1:20" ht="21.6" hidden="1" x14ac:dyDescent="0.3">
      <c r="A1096" s="182">
        <v>3</v>
      </c>
      <c r="B1096" s="42" t="s">
        <v>20</v>
      </c>
      <c r="C1096" s="43" t="s">
        <v>267</v>
      </c>
      <c r="D1096" s="50">
        <v>6277</v>
      </c>
      <c r="E1096" s="52" t="s">
        <v>272</v>
      </c>
      <c r="F1096" s="52" t="s">
        <v>271</v>
      </c>
      <c r="G1096" s="52" t="s">
        <v>31</v>
      </c>
      <c r="H1096" s="45" t="s">
        <v>429</v>
      </c>
      <c r="I1096" s="7" t="s">
        <v>22</v>
      </c>
      <c r="J1096" s="3">
        <v>0.7</v>
      </c>
      <c r="K1096" s="7" t="s">
        <v>305</v>
      </c>
      <c r="L1096" s="8" t="s">
        <v>257</v>
      </c>
      <c r="M1096" s="339" t="s">
        <v>306</v>
      </c>
      <c r="N1096" s="3">
        <v>0.95</v>
      </c>
      <c r="O1096" s="3">
        <v>0.25</v>
      </c>
      <c r="P1096" s="3"/>
      <c r="Q1096" s="3">
        <f t="shared" si="34"/>
        <v>0</v>
      </c>
      <c r="R1096" s="4">
        <f t="shared" si="35"/>
        <v>0</v>
      </c>
      <c r="S1096" s="3" t="s">
        <v>23</v>
      </c>
      <c r="T1096" s="190"/>
    </row>
    <row r="1097" spans="1:20" ht="21.6" hidden="1" x14ac:dyDescent="0.3">
      <c r="A1097" s="182">
        <v>4</v>
      </c>
      <c r="B1097" s="42" t="s">
        <v>20</v>
      </c>
      <c r="C1097" s="43" t="s">
        <v>267</v>
      </c>
      <c r="D1097" s="50">
        <v>6277</v>
      </c>
      <c r="E1097" s="52" t="s">
        <v>272</v>
      </c>
      <c r="F1097" s="52" t="s">
        <v>271</v>
      </c>
      <c r="G1097" s="52" t="s">
        <v>31</v>
      </c>
      <c r="H1097" s="45" t="s">
        <v>429</v>
      </c>
      <c r="I1097" s="7" t="s">
        <v>22</v>
      </c>
      <c r="J1097" s="3">
        <v>0.7</v>
      </c>
      <c r="K1097" s="7" t="s">
        <v>308</v>
      </c>
      <c r="L1097" s="8" t="s">
        <v>130</v>
      </c>
      <c r="M1097" s="339" t="s">
        <v>131</v>
      </c>
      <c r="N1097" s="3">
        <v>0.9</v>
      </c>
      <c r="O1097" s="3">
        <v>0.15</v>
      </c>
      <c r="P1097" s="3"/>
      <c r="Q1097" s="3">
        <f t="shared" si="34"/>
        <v>0</v>
      </c>
      <c r="R1097" s="4">
        <f t="shared" si="35"/>
        <v>0</v>
      </c>
      <c r="S1097" s="3" t="s">
        <v>23</v>
      </c>
      <c r="T1097" s="190"/>
    </row>
    <row r="1098" spans="1:20" ht="21.6" hidden="1" x14ac:dyDescent="0.3">
      <c r="A1098" s="182">
        <v>5</v>
      </c>
      <c r="B1098" s="42" t="s">
        <v>20</v>
      </c>
      <c r="C1098" s="43" t="s">
        <v>267</v>
      </c>
      <c r="D1098" s="50">
        <v>6277</v>
      </c>
      <c r="E1098" s="52" t="s">
        <v>272</v>
      </c>
      <c r="F1098" s="52" t="s">
        <v>271</v>
      </c>
      <c r="G1098" s="52" t="s">
        <v>31</v>
      </c>
      <c r="H1098" s="45" t="s">
        <v>429</v>
      </c>
      <c r="I1098" s="7" t="s">
        <v>22</v>
      </c>
      <c r="J1098" s="3">
        <v>0.7</v>
      </c>
      <c r="K1098" s="7" t="s">
        <v>309</v>
      </c>
      <c r="L1098" s="8" t="s">
        <v>207</v>
      </c>
      <c r="M1098" s="339"/>
      <c r="N1098" s="3">
        <v>1</v>
      </c>
      <c r="O1098" s="3">
        <v>0.1</v>
      </c>
      <c r="P1098" s="3"/>
      <c r="Q1098" s="3">
        <f t="shared" si="34"/>
        <v>0</v>
      </c>
      <c r="R1098" s="4">
        <f t="shared" si="35"/>
        <v>0</v>
      </c>
      <c r="S1098" s="3" t="s">
        <v>23</v>
      </c>
      <c r="T1098" s="190"/>
    </row>
    <row r="1099" spans="1:20" ht="21.6" hidden="1" x14ac:dyDescent="0.3">
      <c r="A1099" s="182"/>
      <c r="B1099" s="42" t="s">
        <v>20</v>
      </c>
      <c r="C1099" s="43" t="s">
        <v>267</v>
      </c>
      <c r="D1099" s="50">
        <v>6277</v>
      </c>
      <c r="E1099" s="52" t="s">
        <v>272</v>
      </c>
      <c r="F1099" s="52" t="s">
        <v>271</v>
      </c>
      <c r="G1099" s="52" t="s">
        <v>31</v>
      </c>
      <c r="H1099" s="45" t="s">
        <v>429</v>
      </c>
      <c r="I1099" s="47" t="s">
        <v>22</v>
      </c>
      <c r="J1099" s="3">
        <v>0.7</v>
      </c>
      <c r="K1099" s="47" t="s">
        <v>310</v>
      </c>
      <c r="L1099" s="30" t="s">
        <v>136</v>
      </c>
      <c r="M1099" s="47" t="s">
        <v>137</v>
      </c>
      <c r="N1099" s="3">
        <v>0.9</v>
      </c>
      <c r="O1099" s="3">
        <v>0.1</v>
      </c>
      <c r="P1099" s="3"/>
      <c r="Q1099" s="3">
        <f t="shared" si="34"/>
        <v>0</v>
      </c>
      <c r="R1099" s="4">
        <f t="shared" si="35"/>
        <v>0</v>
      </c>
      <c r="S1099" s="3" t="s">
        <v>23</v>
      </c>
      <c r="T1099" s="190"/>
    </row>
    <row r="1100" spans="1:20" ht="22.2" hidden="1" thickBot="1" x14ac:dyDescent="0.35">
      <c r="A1100" s="267">
        <v>6</v>
      </c>
      <c r="B1100" s="268" t="s">
        <v>20</v>
      </c>
      <c r="C1100" s="269" t="s">
        <v>267</v>
      </c>
      <c r="D1100" s="290">
        <v>6277</v>
      </c>
      <c r="E1100" s="298" t="s">
        <v>272</v>
      </c>
      <c r="F1100" s="298" t="s">
        <v>271</v>
      </c>
      <c r="G1100" s="298" t="s">
        <v>31</v>
      </c>
      <c r="H1100" s="271" t="s">
        <v>429</v>
      </c>
      <c r="I1100" s="272" t="s">
        <v>26</v>
      </c>
      <c r="J1100" s="273">
        <v>0.3</v>
      </c>
      <c r="K1100" s="272" t="s">
        <v>138</v>
      </c>
      <c r="L1100" s="291" t="s">
        <v>139</v>
      </c>
      <c r="M1100" s="272" t="s">
        <v>140</v>
      </c>
      <c r="N1100" s="273">
        <v>1</v>
      </c>
      <c r="O1100" s="273">
        <v>1</v>
      </c>
      <c r="P1100" s="306"/>
      <c r="Q1100" s="273">
        <f t="shared" si="34"/>
        <v>0</v>
      </c>
      <c r="R1100" s="275">
        <f t="shared" si="35"/>
        <v>0</v>
      </c>
      <c r="S1100" s="276" t="s">
        <v>23</v>
      </c>
      <c r="T1100" s="307"/>
    </row>
    <row r="1101" spans="1:20" ht="21.6" hidden="1" x14ac:dyDescent="0.3">
      <c r="A1101" s="242">
        <v>7</v>
      </c>
      <c r="B1101" s="243" t="s">
        <v>20</v>
      </c>
      <c r="C1101" s="244" t="s">
        <v>267</v>
      </c>
      <c r="D1101" s="293">
        <v>3076</v>
      </c>
      <c r="E1101" s="295" t="s">
        <v>208</v>
      </c>
      <c r="F1101" s="295" t="s">
        <v>209</v>
      </c>
      <c r="G1101" s="295" t="s">
        <v>31</v>
      </c>
      <c r="H1101" s="246" t="s">
        <v>429</v>
      </c>
      <c r="I1101" s="294" t="s">
        <v>22</v>
      </c>
      <c r="J1101" s="248">
        <v>0.7</v>
      </c>
      <c r="K1101" s="294" t="s">
        <v>406</v>
      </c>
      <c r="L1101" s="316" t="s">
        <v>407</v>
      </c>
      <c r="M1101" s="294" t="s">
        <v>408</v>
      </c>
      <c r="N1101" s="248">
        <v>0.95</v>
      </c>
      <c r="O1101" s="248">
        <v>0.15</v>
      </c>
      <c r="P1101" s="248"/>
      <c r="Q1101" s="248">
        <f t="shared" si="34"/>
        <v>0</v>
      </c>
      <c r="R1101" s="250">
        <f t="shared" si="35"/>
        <v>0</v>
      </c>
      <c r="S1101" s="248" t="s">
        <v>23</v>
      </c>
      <c r="T1101" s="251">
        <f>SUM(R1101:R1107)%</f>
        <v>0</v>
      </c>
    </row>
    <row r="1102" spans="1:20" ht="21.6" hidden="1" x14ac:dyDescent="0.3">
      <c r="A1102" s="182">
        <v>8</v>
      </c>
      <c r="B1102" s="42" t="s">
        <v>20</v>
      </c>
      <c r="C1102" s="43" t="s">
        <v>267</v>
      </c>
      <c r="D1102" s="50">
        <v>3076</v>
      </c>
      <c r="E1102" s="52" t="s">
        <v>208</v>
      </c>
      <c r="F1102" s="52" t="s">
        <v>209</v>
      </c>
      <c r="G1102" s="52" t="s">
        <v>31</v>
      </c>
      <c r="H1102" s="45" t="s">
        <v>429</v>
      </c>
      <c r="I1102" s="7" t="s">
        <v>22</v>
      </c>
      <c r="J1102" s="3">
        <v>0.7</v>
      </c>
      <c r="K1102" s="7" t="s">
        <v>409</v>
      </c>
      <c r="L1102" s="8" t="s">
        <v>410</v>
      </c>
      <c r="M1102" s="7" t="s">
        <v>411</v>
      </c>
      <c r="N1102" s="3">
        <v>0.95</v>
      </c>
      <c r="O1102" s="3">
        <v>0.15</v>
      </c>
      <c r="P1102" s="51"/>
      <c r="Q1102" s="3">
        <f t="shared" si="34"/>
        <v>0</v>
      </c>
      <c r="R1102" s="4">
        <f t="shared" si="35"/>
        <v>0</v>
      </c>
      <c r="S1102" s="3" t="s">
        <v>23</v>
      </c>
      <c r="T1102" s="190"/>
    </row>
    <row r="1103" spans="1:20" ht="21.6" hidden="1" x14ac:dyDescent="0.3">
      <c r="A1103" s="182">
        <v>9</v>
      </c>
      <c r="B1103" s="42" t="s">
        <v>20</v>
      </c>
      <c r="C1103" s="43" t="s">
        <v>267</v>
      </c>
      <c r="D1103" s="50">
        <v>3076</v>
      </c>
      <c r="E1103" s="52" t="s">
        <v>208</v>
      </c>
      <c r="F1103" s="52" t="s">
        <v>209</v>
      </c>
      <c r="G1103" s="52" t="s">
        <v>31</v>
      </c>
      <c r="H1103" s="45" t="s">
        <v>429</v>
      </c>
      <c r="I1103" s="7" t="s">
        <v>22</v>
      </c>
      <c r="J1103" s="3">
        <v>0.7</v>
      </c>
      <c r="K1103" s="7" t="s">
        <v>412</v>
      </c>
      <c r="L1103" s="8" t="s">
        <v>413</v>
      </c>
      <c r="M1103" s="339" t="s">
        <v>380</v>
      </c>
      <c r="N1103" s="3">
        <v>0.7</v>
      </c>
      <c r="O1103" s="3">
        <v>0.15</v>
      </c>
      <c r="P1103" s="3"/>
      <c r="Q1103" s="3">
        <f t="shared" si="34"/>
        <v>0</v>
      </c>
      <c r="R1103" s="4">
        <f t="shared" si="35"/>
        <v>0</v>
      </c>
      <c r="S1103" s="3" t="s">
        <v>23</v>
      </c>
      <c r="T1103" s="190"/>
    </row>
    <row r="1104" spans="1:20" ht="21.6" hidden="1" x14ac:dyDescent="0.3">
      <c r="A1104" s="182">
        <v>10</v>
      </c>
      <c r="B1104" s="42" t="s">
        <v>20</v>
      </c>
      <c r="C1104" s="43" t="s">
        <v>267</v>
      </c>
      <c r="D1104" s="50">
        <v>3076</v>
      </c>
      <c r="E1104" s="52" t="s">
        <v>208</v>
      </c>
      <c r="F1104" s="52" t="s">
        <v>209</v>
      </c>
      <c r="G1104" s="52" t="s">
        <v>31</v>
      </c>
      <c r="H1104" s="45" t="s">
        <v>429</v>
      </c>
      <c r="I1104" s="7" t="s">
        <v>22</v>
      </c>
      <c r="J1104" s="3">
        <v>0.7</v>
      </c>
      <c r="K1104" s="7" t="s">
        <v>387</v>
      </c>
      <c r="L1104" s="8" t="s">
        <v>388</v>
      </c>
      <c r="M1104" s="339" t="s">
        <v>377</v>
      </c>
      <c r="N1104" s="3">
        <v>0.05</v>
      </c>
      <c r="O1104" s="3">
        <v>0.15</v>
      </c>
      <c r="P1104" s="3"/>
      <c r="Q1104" s="3">
        <f t="shared" si="34"/>
        <v>0</v>
      </c>
      <c r="R1104" s="4">
        <f t="shared" si="35"/>
        <v>0</v>
      </c>
      <c r="S1104" s="3" t="s">
        <v>23</v>
      </c>
      <c r="T1104" s="190"/>
    </row>
    <row r="1105" spans="1:20" ht="21.6" hidden="1" x14ac:dyDescent="0.3">
      <c r="A1105" s="182">
        <v>11</v>
      </c>
      <c r="B1105" s="42" t="s">
        <v>20</v>
      </c>
      <c r="C1105" s="43" t="s">
        <v>267</v>
      </c>
      <c r="D1105" s="50">
        <v>3076</v>
      </c>
      <c r="E1105" s="52" t="s">
        <v>208</v>
      </c>
      <c r="F1105" s="52" t="s">
        <v>209</v>
      </c>
      <c r="G1105" s="52" t="s">
        <v>31</v>
      </c>
      <c r="H1105" s="45" t="s">
        <v>429</v>
      </c>
      <c r="I1105" s="7" t="s">
        <v>22</v>
      </c>
      <c r="J1105" s="3">
        <v>0.7</v>
      </c>
      <c r="K1105" s="7" t="s">
        <v>378</v>
      </c>
      <c r="L1105" s="8" t="s">
        <v>389</v>
      </c>
      <c r="M1105" s="339" t="s">
        <v>379</v>
      </c>
      <c r="N1105" s="3">
        <v>1</v>
      </c>
      <c r="O1105" s="3">
        <v>0.15</v>
      </c>
      <c r="P1105" s="3"/>
      <c r="Q1105" s="3">
        <f t="shared" si="34"/>
        <v>0</v>
      </c>
      <c r="R1105" s="4">
        <f t="shared" si="35"/>
        <v>0</v>
      </c>
      <c r="S1105" s="3" t="s">
        <v>23</v>
      </c>
      <c r="T1105" s="190"/>
    </row>
    <row r="1106" spans="1:20" ht="21.6" hidden="1" x14ac:dyDescent="0.3">
      <c r="A1106" s="182">
        <v>11</v>
      </c>
      <c r="B1106" s="42" t="s">
        <v>20</v>
      </c>
      <c r="C1106" s="43" t="s">
        <v>267</v>
      </c>
      <c r="D1106" s="50">
        <v>3076</v>
      </c>
      <c r="E1106" s="52" t="s">
        <v>208</v>
      </c>
      <c r="F1106" s="52" t="s">
        <v>209</v>
      </c>
      <c r="G1106" s="52" t="s">
        <v>31</v>
      </c>
      <c r="H1106" s="45" t="s">
        <v>429</v>
      </c>
      <c r="I1106" s="47" t="s">
        <v>22</v>
      </c>
      <c r="J1106" s="3">
        <v>0.7</v>
      </c>
      <c r="K1106" s="47" t="s">
        <v>395</v>
      </c>
      <c r="L1106" s="30" t="s">
        <v>396</v>
      </c>
      <c r="M1106" s="47" t="s">
        <v>397</v>
      </c>
      <c r="N1106" s="3">
        <v>0.9</v>
      </c>
      <c r="O1106" s="3">
        <v>0.15</v>
      </c>
      <c r="P1106" s="170"/>
      <c r="Q1106" s="3">
        <f t="shared" si="34"/>
        <v>0</v>
      </c>
      <c r="R1106" s="4">
        <f t="shared" si="35"/>
        <v>0</v>
      </c>
      <c r="S1106" s="3" t="s">
        <v>23</v>
      </c>
      <c r="T1106" s="190"/>
    </row>
    <row r="1107" spans="1:20" ht="22.2" hidden="1" thickBot="1" x14ac:dyDescent="0.35">
      <c r="A1107" s="200">
        <v>12</v>
      </c>
      <c r="B1107" s="81" t="s">
        <v>20</v>
      </c>
      <c r="C1107" s="82" t="s">
        <v>267</v>
      </c>
      <c r="D1107" s="113">
        <v>3076</v>
      </c>
      <c r="E1107" s="118" t="s">
        <v>208</v>
      </c>
      <c r="F1107" s="118" t="s">
        <v>209</v>
      </c>
      <c r="G1107" s="118" t="s">
        <v>31</v>
      </c>
      <c r="H1107" s="84" t="s">
        <v>429</v>
      </c>
      <c r="I1107" s="85" t="s">
        <v>26</v>
      </c>
      <c r="J1107" s="238">
        <v>0.3</v>
      </c>
      <c r="K1107" s="85" t="s">
        <v>138</v>
      </c>
      <c r="L1107" s="114" t="s">
        <v>139</v>
      </c>
      <c r="M1107" s="85" t="s">
        <v>140</v>
      </c>
      <c r="N1107" s="238">
        <v>1</v>
      </c>
      <c r="O1107" s="238">
        <v>1</v>
      </c>
      <c r="P1107" s="308"/>
      <c r="Q1107" s="238">
        <f t="shared" si="34"/>
        <v>0</v>
      </c>
      <c r="R1107" s="254">
        <f t="shared" si="35"/>
        <v>0</v>
      </c>
      <c r="S1107" s="255" t="s">
        <v>23</v>
      </c>
      <c r="T1107" s="305"/>
    </row>
    <row r="1108" spans="1:20" ht="21.6" hidden="1" x14ac:dyDescent="0.3">
      <c r="A1108" s="242">
        <v>7</v>
      </c>
      <c r="B1108" s="243" t="s">
        <v>20</v>
      </c>
      <c r="C1108" s="244" t="s">
        <v>267</v>
      </c>
      <c r="D1108" s="293">
        <v>5292</v>
      </c>
      <c r="E1108" s="295" t="s">
        <v>273</v>
      </c>
      <c r="F1108" s="295" t="s">
        <v>274</v>
      </c>
      <c r="G1108" s="295" t="s">
        <v>208</v>
      </c>
      <c r="H1108" s="246" t="s">
        <v>429</v>
      </c>
      <c r="I1108" s="294" t="s">
        <v>22</v>
      </c>
      <c r="J1108" s="248">
        <v>0.7</v>
      </c>
      <c r="K1108" s="294" t="s">
        <v>215</v>
      </c>
      <c r="L1108" s="316" t="s">
        <v>205</v>
      </c>
      <c r="M1108" s="294"/>
      <c r="N1108" s="248">
        <v>0.95</v>
      </c>
      <c r="O1108" s="248">
        <v>0.2</v>
      </c>
      <c r="P1108" s="248"/>
      <c r="Q1108" s="248">
        <f t="shared" si="34"/>
        <v>0</v>
      </c>
      <c r="R1108" s="250">
        <f t="shared" si="35"/>
        <v>0</v>
      </c>
      <c r="S1108" s="248" t="s">
        <v>23</v>
      </c>
      <c r="T1108" s="251">
        <f>SUM(R1108:R1114)%</f>
        <v>0</v>
      </c>
    </row>
    <row r="1109" spans="1:20" ht="21.6" hidden="1" x14ac:dyDescent="0.3">
      <c r="A1109" s="182">
        <v>8</v>
      </c>
      <c r="B1109" s="42" t="s">
        <v>20</v>
      </c>
      <c r="C1109" s="43" t="s">
        <v>267</v>
      </c>
      <c r="D1109" s="50">
        <v>5292</v>
      </c>
      <c r="E1109" s="52" t="s">
        <v>273</v>
      </c>
      <c r="F1109" s="52" t="s">
        <v>274</v>
      </c>
      <c r="G1109" s="52" t="s">
        <v>208</v>
      </c>
      <c r="H1109" s="45" t="s">
        <v>429</v>
      </c>
      <c r="I1109" s="7" t="s">
        <v>22</v>
      </c>
      <c r="J1109" s="3">
        <v>0.7</v>
      </c>
      <c r="K1109" s="7" t="s">
        <v>307</v>
      </c>
      <c r="L1109" s="8" t="s">
        <v>206</v>
      </c>
      <c r="M1109" s="7"/>
      <c r="N1109" s="3">
        <v>0.95</v>
      </c>
      <c r="O1109" s="3">
        <v>0.2</v>
      </c>
      <c r="P1109" s="3"/>
      <c r="Q1109" s="3">
        <f t="shared" si="34"/>
        <v>0</v>
      </c>
      <c r="R1109" s="4">
        <f t="shared" si="35"/>
        <v>0</v>
      </c>
      <c r="S1109" s="3" t="s">
        <v>23</v>
      </c>
      <c r="T1109" s="190"/>
    </row>
    <row r="1110" spans="1:20" ht="21.6" hidden="1" x14ac:dyDescent="0.3">
      <c r="A1110" s="182">
        <v>9</v>
      </c>
      <c r="B1110" s="42" t="s">
        <v>20</v>
      </c>
      <c r="C1110" s="43" t="s">
        <v>267</v>
      </c>
      <c r="D1110" s="50">
        <v>5292</v>
      </c>
      <c r="E1110" s="52" t="s">
        <v>273</v>
      </c>
      <c r="F1110" s="52" t="s">
        <v>274</v>
      </c>
      <c r="G1110" s="52" t="s">
        <v>208</v>
      </c>
      <c r="H1110" s="45" t="s">
        <v>429</v>
      </c>
      <c r="I1110" s="7" t="s">
        <v>22</v>
      </c>
      <c r="J1110" s="3">
        <v>0.7</v>
      </c>
      <c r="K1110" s="7" t="s">
        <v>305</v>
      </c>
      <c r="L1110" s="8" t="s">
        <v>257</v>
      </c>
      <c r="M1110" s="339" t="s">
        <v>306</v>
      </c>
      <c r="N1110" s="3">
        <v>0.95</v>
      </c>
      <c r="O1110" s="3">
        <v>0.25</v>
      </c>
      <c r="P1110" s="3"/>
      <c r="Q1110" s="3">
        <f t="shared" si="34"/>
        <v>0</v>
      </c>
      <c r="R1110" s="4">
        <f t="shared" si="35"/>
        <v>0</v>
      </c>
      <c r="S1110" s="3" t="s">
        <v>23</v>
      </c>
      <c r="T1110" s="190"/>
    </row>
    <row r="1111" spans="1:20" ht="21.6" hidden="1" x14ac:dyDescent="0.3">
      <c r="A1111" s="182">
        <v>10</v>
      </c>
      <c r="B1111" s="42" t="s">
        <v>20</v>
      </c>
      <c r="C1111" s="43" t="s">
        <v>267</v>
      </c>
      <c r="D1111" s="50">
        <v>5292</v>
      </c>
      <c r="E1111" s="52" t="s">
        <v>273</v>
      </c>
      <c r="F1111" s="52" t="s">
        <v>274</v>
      </c>
      <c r="G1111" s="52" t="s">
        <v>208</v>
      </c>
      <c r="H1111" s="45" t="s">
        <v>429</v>
      </c>
      <c r="I1111" s="7" t="s">
        <v>22</v>
      </c>
      <c r="J1111" s="3">
        <v>0.7</v>
      </c>
      <c r="K1111" s="7" t="s">
        <v>308</v>
      </c>
      <c r="L1111" s="8" t="s">
        <v>130</v>
      </c>
      <c r="M1111" s="339" t="s">
        <v>131</v>
      </c>
      <c r="N1111" s="3">
        <v>0.9</v>
      </c>
      <c r="O1111" s="3">
        <v>0.15</v>
      </c>
      <c r="P1111" s="3"/>
      <c r="Q1111" s="3">
        <f t="shared" si="34"/>
        <v>0</v>
      </c>
      <c r="R1111" s="4">
        <f t="shared" si="35"/>
        <v>0</v>
      </c>
      <c r="S1111" s="3" t="s">
        <v>23</v>
      </c>
      <c r="T1111" s="190"/>
    </row>
    <row r="1112" spans="1:20" ht="21.6" hidden="1" x14ac:dyDescent="0.3">
      <c r="A1112" s="182">
        <v>11</v>
      </c>
      <c r="B1112" s="42" t="s">
        <v>20</v>
      </c>
      <c r="C1112" s="43" t="s">
        <v>267</v>
      </c>
      <c r="D1112" s="50">
        <v>5292</v>
      </c>
      <c r="E1112" s="52" t="s">
        <v>273</v>
      </c>
      <c r="F1112" s="52" t="s">
        <v>274</v>
      </c>
      <c r="G1112" s="52" t="s">
        <v>208</v>
      </c>
      <c r="H1112" s="45" t="s">
        <v>429</v>
      </c>
      <c r="I1112" s="7" t="s">
        <v>22</v>
      </c>
      <c r="J1112" s="3">
        <v>0.7</v>
      </c>
      <c r="K1112" s="7" t="s">
        <v>309</v>
      </c>
      <c r="L1112" s="8" t="s">
        <v>207</v>
      </c>
      <c r="M1112" s="339"/>
      <c r="N1112" s="3">
        <v>1</v>
      </c>
      <c r="O1112" s="3">
        <v>0.1</v>
      </c>
      <c r="P1112" s="3"/>
      <c r="Q1112" s="3">
        <f t="shared" si="34"/>
        <v>0</v>
      </c>
      <c r="R1112" s="4">
        <f t="shared" si="35"/>
        <v>0</v>
      </c>
      <c r="S1112" s="3" t="s">
        <v>23</v>
      </c>
      <c r="T1112" s="190"/>
    </row>
    <row r="1113" spans="1:20" ht="21.6" hidden="1" x14ac:dyDescent="0.3">
      <c r="A1113" s="182"/>
      <c r="B1113" s="42" t="s">
        <v>20</v>
      </c>
      <c r="C1113" s="43" t="s">
        <v>267</v>
      </c>
      <c r="D1113" s="50">
        <v>5292</v>
      </c>
      <c r="E1113" s="52" t="s">
        <v>273</v>
      </c>
      <c r="F1113" s="52" t="s">
        <v>274</v>
      </c>
      <c r="G1113" s="52" t="s">
        <v>208</v>
      </c>
      <c r="H1113" s="45" t="s">
        <v>429</v>
      </c>
      <c r="I1113" s="47" t="s">
        <v>22</v>
      </c>
      <c r="J1113" s="3">
        <v>0.7</v>
      </c>
      <c r="K1113" s="47" t="s">
        <v>310</v>
      </c>
      <c r="L1113" s="30" t="s">
        <v>136</v>
      </c>
      <c r="M1113" s="47" t="s">
        <v>137</v>
      </c>
      <c r="N1113" s="3">
        <v>0.9</v>
      </c>
      <c r="O1113" s="3">
        <v>0.1</v>
      </c>
      <c r="P1113" s="170"/>
      <c r="Q1113" s="3">
        <f t="shared" si="34"/>
        <v>0</v>
      </c>
      <c r="R1113" s="4">
        <f t="shared" si="35"/>
        <v>0</v>
      </c>
      <c r="S1113" s="3" t="s">
        <v>23</v>
      </c>
      <c r="T1113" s="190"/>
    </row>
    <row r="1114" spans="1:20" ht="22.2" hidden="1" thickBot="1" x14ac:dyDescent="0.35">
      <c r="A1114" s="267">
        <v>12</v>
      </c>
      <c r="B1114" s="268" t="s">
        <v>20</v>
      </c>
      <c r="C1114" s="269" t="s">
        <v>267</v>
      </c>
      <c r="D1114" s="290">
        <v>5292</v>
      </c>
      <c r="E1114" s="298" t="s">
        <v>273</v>
      </c>
      <c r="F1114" s="298" t="s">
        <v>274</v>
      </c>
      <c r="G1114" s="298" t="s">
        <v>208</v>
      </c>
      <c r="H1114" s="271" t="s">
        <v>429</v>
      </c>
      <c r="I1114" s="272" t="s">
        <v>26</v>
      </c>
      <c r="J1114" s="273">
        <v>0.3</v>
      </c>
      <c r="K1114" s="272" t="s">
        <v>138</v>
      </c>
      <c r="L1114" s="291" t="s">
        <v>139</v>
      </c>
      <c r="M1114" s="272" t="s">
        <v>140</v>
      </c>
      <c r="N1114" s="273">
        <v>1</v>
      </c>
      <c r="O1114" s="273">
        <v>1</v>
      </c>
      <c r="P1114" s="306"/>
      <c r="Q1114" s="273">
        <f t="shared" si="34"/>
        <v>0</v>
      </c>
      <c r="R1114" s="275">
        <f t="shared" si="35"/>
        <v>0</v>
      </c>
      <c r="S1114" s="276" t="s">
        <v>23</v>
      </c>
      <c r="T1114" s="307"/>
    </row>
    <row r="1115" spans="1:20" ht="21.6" hidden="1" x14ac:dyDescent="0.3">
      <c r="A1115" s="242">
        <v>7</v>
      </c>
      <c r="B1115" s="243" t="s">
        <v>20</v>
      </c>
      <c r="C1115" s="244" t="s">
        <v>267</v>
      </c>
      <c r="D1115" s="293">
        <v>5298</v>
      </c>
      <c r="E1115" s="295" t="s">
        <v>275</v>
      </c>
      <c r="F1115" s="295" t="s">
        <v>274</v>
      </c>
      <c r="G1115" s="295" t="s">
        <v>208</v>
      </c>
      <c r="H1115" s="246" t="s">
        <v>429</v>
      </c>
      <c r="I1115" s="294" t="s">
        <v>22</v>
      </c>
      <c r="J1115" s="248">
        <v>0.7</v>
      </c>
      <c r="K1115" s="294" t="s">
        <v>215</v>
      </c>
      <c r="L1115" s="316" t="s">
        <v>205</v>
      </c>
      <c r="M1115" s="341"/>
      <c r="N1115" s="248">
        <v>0.95</v>
      </c>
      <c r="O1115" s="248">
        <v>0.2</v>
      </c>
      <c r="P1115" s="248"/>
      <c r="Q1115" s="248">
        <f t="shared" si="34"/>
        <v>0</v>
      </c>
      <c r="R1115" s="250">
        <f t="shared" si="35"/>
        <v>0</v>
      </c>
      <c r="S1115" s="248" t="s">
        <v>23</v>
      </c>
      <c r="T1115" s="251">
        <f>SUM(R1115:R1121)%</f>
        <v>0</v>
      </c>
    </row>
    <row r="1116" spans="1:20" ht="21.6" hidden="1" x14ac:dyDescent="0.3">
      <c r="A1116" s="182">
        <v>8</v>
      </c>
      <c r="B1116" s="42" t="s">
        <v>20</v>
      </c>
      <c r="C1116" s="43" t="s">
        <v>267</v>
      </c>
      <c r="D1116" s="50">
        <v>5298</v>
      </c>
      <c r="E1116" s="52" t="s">
        <v>275</v>
      </c>
      <c r="F1116" s="52" t="s">
        <v>274</v>
      </c>
      <c r="G1116" s="52" t="s">
        <v>208</v>
      </c>
      <c r="H1116" s="45" t="s">
        <v>429</v>
      </c>
      <c r="I1116" s="7" t="s">
        <v>22</v>
      </c>
      <c r="J1116" s="3">
        <v>0.7</v>
      </c>
      <c r="K1116" s="7" t="s">
        <v>307</v>
      </c>
      <c r="L1116" s="8" t="s">
        <v>206</v>
      </c>
      <c r="M1116" s="339"/>
      <c r="N1116" s="3">
        <v>0.95</v>
      </c>
      <c r="O1116" s="3">
        <v>0.2</v>
      </c>
      <c r="P1116" s="3"/>
      <c r="Q1116" s="3">
        <f t="shared" si="34"/>
        <v>0</v>
      </c>
      <c r="R1116" s="4">
        <f t="shared" si="35"/>
        <v>0</v>
      </c>
      <c r="S1116" s="3" t="s">
        <v>23</v>
      </c>
      <c r="T1116" s="190"/>
    </row>
    <row r="1117" spans="1:20" ht="21.6" hidden="1" x14ac:dyDescent="0.3">
      <c r="A1117" s="182">
        <v>9</v>
      </c>
      <c r="B1117" s="42" t="s">
        <v>20</v>
      </c>
      <c r="C1117" s="43" t="s">
        <v>267</v>
      </c>
      <c r="D1117" s="50">
        <v>5298</v>
      </c>
      <c r="E1117" s="52" t="s">
        <v>275</v>
      </c>
      <c r="F1117" s="52" t="s">
        <v>274</v>
      </c>
      <c r="G1117" s="52" t="s">
        <v>208</v>
      </c>
      <c r="H1117" s="45" t="s">
        <v>429</v>
      </c>
      <c r="I1117" s="7" t="s">
        <v>22</v>
      </c>
      <c r="J1117" s="3">
        <v>0.7</v>
      </c>
      <c r="K1117" s="7" t="s">
        <v>305</v>
      </c>
      <c r="L1117" s="8" t="s">
        <v>257</v>
      </c>
      <c r="M1117" s="339" t="s">
        <v>306</v>
      </c>
      <c r="N1117" s="3">
        <v>0.95</v>
      </c>
      <c r="O1117" s="3">
        <v>0.25</v>
      </c>
      <c r="P1117" s="3"/>
      <c r="Q1117" s="3">
        <f t="shared" si="34"/>
        <v>0</v>
      </c>
      <c r="R1117" s="4">
        <f t="shared" si="35"/>
        <v>0</v>
      </c>
      <c r="S1117" s="3" t="s">
        <v>23</v>
      </c>
      <c r="T1117" s="190"/>
    </row>
    <row r="1118" spans="1:20" ht="21.6" hidden="1" x14ac:dyDescent="0.3">
      <c r="A1118" s="182">
        <v>10</v>
      </c>
      <c r="B1118" s="42" t="s">
        <v>20</v>
      </c>
      <c r="C1118" s="43" t="s">
        <v>267</v>
      </c>
      <c r="D1118" s="50">
        <v>5298</v>
      </c>
      <c r="E1118" s="52" t="s">
        <v>275</v>
      </c>
      <c r="F1118" s="52" t="s">
        <v>274</v>
      </c>
      <c r="G1118" s="52" t="s">
        <v>208</v>
      </c>
      <c r="H1118" s="45" t="s">
        <v>429</v>
      </c>
      <c r="I1118" s="7" t="s">
        <v>22</v>
      </c>
      <c r="J1118" s="3">
        <v>0.7</v>
      </c>
      <c r="K1118" s="7" t="s">
        <v>308</v>
      </c>
      <c r="L1118" s="8" t="s">
        <v>130</v>
      </c>
      <c r="M1118" s="339" t="s">
        <v>131</v>
      </c>
      <c r="N1118" s="3">
        <v>0.9</v>
      </c>
      <c r="O1118" s="3">
        <v>0.15</v>
      </c>
      <c r="P1118" s="3"/>
      <c r="Q1118" s="3">
        <f t="shared" si="34"/>
        <v>0</v>
      </c>
      <c r="R1118" s="4">
        <f t="shared" si="35"/>
        <v>0</v>
      </c>
      <c r="S1118" s="3" t="s">
        <v>23</v>
      </c>
      <c r="T1118" s="190"/>
    </row>
    <row r="1119" spans="1:20" ht="21.6" hidden="1" x14ac:dyDescent="0.3">
      <c r="A1119" s="182">
        <v>11</v>
      </c>
      <c r="B1119" s="42" t="s">
        <v>20</v>
      </c>
      <c r="C1119" s="43" t="s">
        <v>267</v>
      </c>
      <c r="D1119" s="50">
        <v>5298</v>
      </c>
      <c r="E1119" s="52" t="s">
        <v>275</v>
      </c>
      <c r="F1119" s="52" t="s">
        <v>274</v>
      </c>
      <c r="G1119" s="52" t="s">
        <v>208</v>
      </c>
      <c r="H1119" s="45" t="s">
        <v>429</v>
      </c>
      <c r="I1119" s="7" t="s">
        <v>22</v>
      </c>
      <c r="J1119" s="3">
        <v>0.7</v>
      </c>
      <c r="K1119" s="7" t="s">
        <v>309</v>
      </c>
      <c r="L1119" s="8" t="s">
        <v>207</v>
      </c>
      <c r="M1119" s="339"/>
      <c r="N1119" s="3">
        <v>1</v>
      </c>
      <c r="O1119" s="3">
        <v>0.1</v>
      </c>
      <c r="P1119" s="3"/>
      <c r="Q1119" s="3">
        <f t="shared" si="34"/>
        <v>0</v>
      </c>
      <c r="R1119" s="4">
        <f t="shared" si="35"/>
        <v>0</v>
      </c>
      <c r="S1119" s="3" t="s">
        <v>23</v>
      </c>
      <c r="T1119" s="190"/>
    </row>
    <row r="1120" spans="1:20" ht="21.6" hidden="1" x14ac:dyDescent="0.3">
      <c r="A1120" s="182"/>
      <c r="B1120" s="42" t="s">
        <v>20</v>
      </c>
      <c r="C1120" s="43" t="s">
        <v>267</v>
      </c>
      <c r="D1120" s="50">
        <v>5298</v>
      </c>
      <c r="E1120" s="52" t="s">
        <v>275</v>
      </c>
      <c r="F1120" s="52" t="s">
        <v>274</v>
      </c>
      <c r="G1120" s="52" t="s">
        <v>208</v>
      </c>
      <c r="H1120" s="45" t="s">
        <v>429</v>
      </c>
      <c r="I1120" s="7" t="s">
        <v>22</v>
      </c>
      <c r="J1120" s="3">
        <v>0.7</v>
      </c>
      <c r="K1120" s="7" t="s">
        <v>310</v>
      </c>
      <c r="L1120" s="8" t="s">
        <v>136</v>
      </c>
      <c r="M1120" s="7" t="s">
        <v>137</v>
      </c>
      <c r="N1120" s="4">
        <v>0.9</v>
      </c>
      <c r="O1120" s="3">
        <v>0.1</v>
      </c>
      <c r="P1120" s="19"/>
      <c r="Q1120" s="3">
        <f t="shared" si="34"/>
        <v>0</v>
      </c>
      <c r="R1120" s="4">
        <f t="shared" si="35"/>
        <v>0</v>
      </c>
      <c r="S1120" s="3" t="s">
        <v>23</v>
      </c>
      <c r="T1120" s="190"/>
    </row>
    <row r="1121" spans="1:20" ht="22.2" hidden="1" thickBot="1" x14ac:dyDescent="0.35">
      <c r="A1121" s="200">
        <v>12</v>
      </c>
      <c r="B1121" s="81" t="s">
        <v>20</v>
      </c>
      <c r="C1121" s="82" t="s">
        <v>267</v>
      </c>
      <c r="D1121" s="113">
        <v>5298</v>
      </c>
      <c r="E1121" s="118" t="s">
        <v>275</v>
      </c>
      <c r="F1121" s="118" t="s">
        <v>274</v>
      </c>
      <c r="G1121" s="118" t="s">
        <v>208</v>
      </c>
      <c r="H1121" s="84" t="s">
        <v>429</v>
      </c>
      <c r="I1121" s="125" t="s">
        <v>26</v>
      </c>
      <c r="J1121" s="238">
        <v>0.3</v>
      </c>
      <c r="K1121" s="125" t="s">
        <v>138</v>
      </c>
      <c r="L1121" s="126" t="s">
        <v>139</v>
      </c>
      <c r="M1121" s="342" t="s">
        <v>140</v>
      </c>
      <c r="N1121" s="238">
        <v>1</v>
      </c>
      <c r="O1121" s="238">
        <v>1</v>
      </c>
      <c r="P1121" s="238"/>
      <c r="Q1121" s="238">
        <f t="shared" si="34"/>
        <v>0</v>
      </c>
      <c r="R1121" s="254">
        <f t="shared" si="35"/>
        <v>0</v>
      </c>
      <c r="S1121" s="255" t="s">
        <v>23</v>
      </c>
      <c r="T1121" s="305"/>
    </row>
    <row r="1122" spans="1:20" ht="21.6" hidden="1" x14ac:dyDescent="0.3">
      <c r="A1122" s="242">
        <v>7</v>
      </c>
      <c r="B1122" s="243" t="s">
        <v>20</v>
      </c>
      <c r="C1122" s="244" t="s">
        <v>267</v>
      </c>
      <c r="D1122" s="293">
        <v>5299</v>
      </c>
      <c r="E1122" s="295" t="s">
        <v>276</v>
      </c>
      <c r="F1122" s="295" t="s">
        <v>274</v>
      </c>
      <c r="G1122" s="295" t="s">
        <v>208</v>
      </c>
      <c r="H1122" s="246" t="s">
        <v>429</v>
      </c>
      <c r="I1122" s="294" t="s">
        <v>22</v>
      </c>
      <c r="J1122" s="248">
        <v>0.7</v>
      </c>
      <c r="K1122" s="294" t="s">
        <v>215</v>
      </c>
      <c r="L1122" s="316" t="s">
        <v>205</v>
      </c>
      <c r="M1122" s="294"/>
      <c r="N1122" s="248">
        <v>0.95</v>
      </c>
      <c r="O1122" s="248">
        <v>0.2</v>
      </c>
      <c r="P1122" s="248"/>
      <c r="Q1122" s="248">
        <f t="shared" ref="Q1122:Q1185" si="36">ROUND(IF(OR(N1122="",P1122=""),0,IF(AND(N1122=0,P1122=0),1,IF(S1122="+",P1122/N1122,N1122/P1122))),2)</f>
        <v>0</v>
      </c>
      <c r="R1122" s="250">
        <f t="shared" si="35"/>
        <v>0</v>
      </c>
      <c r="S1122" s="248" t="s">
        <v>23</v>
      </c>
      <c r="T1122" s="251">
        <f>SUM(R1122:R1128)%</f>
        <v>0</v>
      </c>
    </row>
    <row r="1123" spans="1:20" ht="21.6" hidden="1" x14ac:dyDescent="0.3">
      <c r="A1123" s="182">
        <v>8</v>
      </c>
      <c r="B1123" s="42" t="s">
        <v>20</v>
      </c>
      <c r="C1123" s="43" t="s">
        <v>267</v>
      </c>
      <c r="D1123" s="50">
        <v>5299</v>
      </c>
      <c r="E1123" s="52" t="s">
        <v>276</v>
      </c>
      <c r="F1123" s="52" t="s">
        <v>274</v>
      </c>
      <c r="G1123" s="52" t="s">
        <v>208</v>
      </c>
      <c r="H1123" s="45" t="s">
        <v>429</v>
      </c>
      <c r="I1123" s="7" t="s">
        <v>22</v>
      </c>
      <c r="J1123" s="3">
        <v>0.7</v>
      </c>
      <c r="K1123" s="7" t="s">
        <v>307</v>
      </c>
      <c r="L1123" s="8" t="s">
        <v>206</v>
      </c>
      <c r="M1123" s="7"/>
      <c r="N1123" s="3">
        <v>0.95</v>
      </c>
      <c r="O1123" s="3">
        <v>0.2</v>
      </c>
      <c r="P1123" s="3"/>
      <c r="Q1123" s="3">
        <f t="shared" si="36"/>
        <v>0</v>
      </c>
      <c r="R1123" s="4">
        <f t="shared" si="35"/>
        <v>0</v>
      </c>
      <c r="S1123" s="3" t="s">
        <v>23</v>
      </c>
      <c r="T1123" s="190"/>
    </row>
    <row r="1124" spans="1:20" ht="21.6" hidden="1" x14ac:dyDescent="0.3">
      <c r="A1124" s="182">
        <v>9</v>
      </c>
      <c r="B1124" s="42" t="s">
        <v>20</v>
      </c>
      <c r="C1124" s="43" t="s">
        <v>267</v>
      </c>
      <c r="D1124" s="50">
        <v>5299</v>
      </c>
      <c r="E1124" s="52" t="s">
        <v>276</v>
      </c>
      <c r="F1124" s="52" t="s">
        <v>274</v>
      </c>
      <c r="G1124" s="52" t="s">
        <v>208</v>
      </c>
      <c r="H1124" s="45" t="s">
        <v>429</v>
      </c>
      <c r="I1124" s="7" t="s">
        <v>22</v>
      </c>
      <c r="J1124" s="3">
        <v>0.7</v>
      </c>
      <c r="K1124" s="7" t="s">
        <v>305</v>
      </c>
      <c r="L1124" s="8" t="s">
        <v>257</v>
      </c>
      <c r="M1124" s="339" t="s">
        <v>306</v>
      </c>
      <c r="N1124" s="3">
        <v>0.95</v>
      </c>
      <c r="O1124" s="3">
        <v>0.25</v>
      </c>
      <c r="P1124" s="3"/>
      <c r="Q1124" s="3">
        <f t="shared" si="36"/>
        <v>0</v>
      </c>
      <c r="R1124" s="4">
        <f t="shared" si="35"/>
        <v>0</v>
      </c>
      <c r="S1124" s="3" t="s">
        <v>23</v>
      </c>
      <c r="T1124" s="190"/>
    </row>
    <row r="1125" spans="1:20" ht="21.6" hidden="1" x14ac:dyDescent="0.3">
      <c r="A1125" s="182">
        <v>10</v>
      </c>
      <c r="B1125" s="42" t="s">
        <v>20</v>
      </c>
      <c r="C1125" s="43" t="s">
        <v>267</v>
      </c>
      <c r="D1125" s="50">
        <v>5299</v>
      </c>
      <c r="E1125" s="52" t="s">
        <v>276</v>
      </c>
      <c r="F1125" s="52" t="s">
        <v>274</v>
      </c>
      <c r="G1125" s="52" t="s">
        <v>208</v>
      </c>
      <c r="H1125" s="45" t="s">
        <v>429</v>
      </c>
      <c r="I1125" s="7" t="s">
        <v>22</v>
      </c>
      <c r="J1125" s="3">
        <v>0.7</v>
      </c>
      <c r="K1125" s="7" t="s">
        <v>308</v>
      </c>
      <c r="L1125" s="8" t="s">
        <v>130</v>
      </c>
      <c r="M1125" s="339" t="s">
        <v>131</v>
      </c>
      <c r="N1125" s="3">
        <v>0.9</v>
      </c>
      <c r="O1125" s="3">
        <v>0.15</v>
      </c>
      <c r="P1125" s="3"/>
      <c r="Q1125" s="3">
        <f t="shared" si="36"/>
        <v>0</v>
      </c>
      <c r="R1125" s="4">
        <f t="shared" si="35"/>
        <v>0</v>
      </c>
      <c r="S1125" s="3" t="s">
        <v>23</v>
      </c>
      <c r="T1125" s="190"/>
    </row>
    <row r="1126" spans="1:20" ht="21.6" hidden="1" x14ac:dyDescent="0.3">
      <c r="A1126" s="182">
        <v>11</v>
      </c>
      <c r="B1126" s="42" t="s">
        <v>20</v>
      </c>
      <c r="C1126" s="43" t="s">
        <v>267</v>
      </c>
      <c r="D1126" s="50">
        <v>5299</v>
      </c>
      <c r="E1126" s="52" t="s">
        <v>276</v>
      </c>
      <c r="F1126" s="52" t="s">
        <v>274</v>
      </c>
      <c r="G1126" s="52" t="s">
        <v>208</v>
      </c>
      <c r="H1126" s="45" t="s">
        <v>429</v>
      </c>
      <c r="I1126" s="7" t="s">
        <v>22</v>
      </c>
      <c r="J1126" s="3">
        <v>0.7</v>
      </c>
      <c r="K1126" s="7" t="s">
        <v>309</v>
      </c>
      <c r="L1126" s="8" t="s">
        <v>207</v>
      </c>
      <c r="M1126" s="339"/>
      <c r="N1126" s="3">
        <v>1</v>
      </c>
      <c r="O1126" s="3">
        <v>0.1</v>
      </c>
      <c r="P1126" s="3"/>
      <c r="Q1126" s="3">
        <f t="shared" si="36"/>
        <v>0</v>
      </c>
      <c r="R1126" s="4">
        <f t="shared" si="35"/>
        <v>0</v>
      </c>
      <c r="S1126" s="3" t="s">
        <v>23</v>
      </c>
      <c r="T1126" s="190"/>
    </row>
    <row r="1127" spans="1:20" ht="21.6" hidden="1" x14ac:dyDescent="0.3">
      <c r="A1127" s="182"/>
      <c r="B1127" s="42" t="s">
        <v>20</v>
      </c>
      <c r="C1127" s="43" t="s">
        <v>267</v>
      </c>
      <c r="D1127" s="50">
        <v>5299</v>
      </c>
      <c r="E1127" s="52" t="s">
        <v>276</v>
      </c>
      <c r="F1127" s="52" t="s">
        <v>274</v>
      </c>
      <c r="G1127" s="52" t="s">
        <v>208</v>
      </c>
      <c r="H1127" s="45" t="s">
        <v>429</v>
      </c>
      <c r="I1127" s="47" t="s">
        <v>22</v>
      </c>
      <c r="J1127" s="3">
        <v>0.7</v>
      </c>
      <c r="K1127" s="47" t="s">
        <v>310</v>
      </c>
      <c r="L1127" s="30" t="s">
        <v>136</v>
      </c>
      <c r="M1127" s="47" t="s">
        <v>137</v>
      </c>
      <c r="N1127" s="3">
        <v>0.9</v>
      </c>
      <c r="O1127" s="3">
        <v>0.1</v>
      </c>
      <c r="P1127" s="19"/>
      <c r="Q1127" s="3">
        <f t="shared" si="36"/>
        <v>0</v>
      </c>
      <c r="R1127" s="4">
        <f t="shared" si="35"/>
        <v>0</v>
      </c>
      <c r="S1127" s="3" t="s">
        <v>23</v>
      </c>
      <c r="T1127" s="190"/>
    </row>
    <row r="1128" spans="1:20" ht="22.2" hidden="1" thickBot="1" x14ac:dyDescent="0.35">
      <c r="A1128" s="267">
        <v>12</v>
      </c>
      <c r="B1128" s="268" t="s">
        <v>20</v>
      </c>
      <c r="C1128" s="269" t="s">
        <v>267</v>
      </c>
      <c r="D1128" s="290">
        <v>5299</v>
      </c>
      <c r="E1128" s="298" t="s">
        <v>276</v>
      </c>
      <c r="F1128" s="298" t="s">
        <v>274</v>
      </c>
      <c r="G1128" s="298" t="s">
        <v>208</v>
      </c>
      <c r="H1128" s="271" t="s">
        <v>429</v>
      </c>
      <c r="I1128" s="272" t="s">
        <v>26</v>
      </c>
      <c r="J1128" s="273">
        <v>0.3</v>
      </c>
      <c r="K1128" s="272" t="s">
        <v>138</v>
      </c>
      <c r="L1128" s="291" t="s">
        <v>139</v>
      </c>
      <c r="M1128" s="272" t="s">
        <v>140</v>
      </c>
      <c r="N1128" s="273">
        <v>1</v>
      </c>
      <c r="O1128" s="273">
        <v>1</v>
      </c>
      <c r="P1128" s="306"/>
      <c r="Q1128" s="273">
        <f t="shared" si="36"/>
        <v>0</v>
      </c>
      <c r="R1128" s="275">
        <f t="shared" si="35"/>
        <v>0</v>
      </c>
      <c r="S1128" s="276" t="s">
        <v>23</v>
      </c>
      <c r="T1128" s="307"/>
    </row>
    <row r="1129" spans="1:20" ht="21.6" hidden="1" x14ac:dyDescent="0.3">
      <c r="A1129" s="242">
        <v>7</v>
      </c>
      <c r="B1129" s="243" t="s">
        <v>20</v>
      </c>
      <c r="C1129" s="244" t="s">
        <v>267</v>
      </c>
      <c r="D1129" s="293">
        <v>5324</v>
      </c>
      <c r="E1129" s="295" t="s">
        <v>277</v>
      </c>
      <c r="F1129" s="295" t="s">
        <v>274</v>
      </c>
      <c r="G1129" s="295" t="s">
        <v>208</v>
      </c>
      <c r="H1129" s="246" t="s">
        <v>429</v>
      </c>
      <c r="I1129" s="294" t="s">
        <v>22</v>
      </c>
      <c r="J1129" s="248">
        <v>0.7</v>
      </c>
      <c r="K1129" s="294" t="s">
        <v>215</v>
      </c>
      <c r="L1129" s="316" t="s">
        <v>205</v>
      </c>
      <c r="M1129" s="294"/>
      <c r="N1129" s="248">
        <v>0.95</v>
      </c>
      <c r="O1129" s="248">
        <v>0.2</v>
      </c>
      <c r="P1129" s="248"/>
      <c r="Q1129" s="248">
        <f t="shared" si="36"/>
        <v>0</v>
      </c>
      <c r="R1129" s="250">
        <f t="shared" si="35"/>
        <v>0</v>
      </c>
      <c r="S1129" s="248" t="s">
        <v>23</v>
      </c>
      <c r="T1129" s="251">
        <f>SUM(R1129:R1135)%</f>
        <v>0</v>
      </c>
    </row>
    <row r="1130" spans="1:20" ht="21.6" hidden="1" x14ac:dyDescent="0.3">
      <c r="A1130" s="182">
        <v>8</v>
      </c>
      <c r="B1130" s="42" t="s">
        <v>20</v>
      </c>
      <c r="C1130" s="43" t="s">
        <v>267</v>
      </c>
      <c r="D1130" s="50">
        <v>5324</v>
      </c>
      <c r="E1130" s="52" t="s">
        <v>277</v>
      </c>
      <c r="F1130" s="52" t="s">
        <v>274</v>
      </c>
      <c r="G1130" s="52" t="s">
        <v>208</v>
      </c>
      <c r="H1130" s="45" t="s">
        <v>429</v>
      </c>
      <c r="I1130" s="7" t="s">
        <v>22</v>
      </c>
      <c r="J1130" s="3">
        <v>0.7</v>
      </c>
      <c r="K1130" s="7" t="s">
        <v>307</v>
      </c>
      <c r="L1130" s="8" t="s">
        <v>206</v>
      </c>
      <c r="M1130" s="7"/>
      <c r="N1130" s="3">
        <v>0.95</v>
      </c>
      <c r="O1130" s="3">
        <v>0.2</v>
      </c>
      <c r="P1130" s="3"/>
      <c r="Q1130" s="3">
        <f t="shared" si="36"/>
        <v>0</v>
      </c>
      <c r="R1130" s="4">
        <f t="shared" si="35"/>
        <v>0</v>
      </c>
      <c r="S1130" s="3" t="s">
        <v>23</v>
      </c>
      <c r="T1130" s="190"/>
    </row>
    <row r="1131" spans="1:20" ht="21.6" hidden="1" x14ac:dyDescent="0.3">
      <c r="A1131" s="182">
        <v>9</v>
      </c>
      <c r="B1131" s="42" t="s">
        <v>20</v>
      </c>
      <c r="C1131" s="43" t="s">
        <v>267</v>
      </c>
      <c r="D1131" s="50">
        <v>5324</v>
      </c>
      <c r="E1131" s="52" t="s">
        <v>277</v>
      </c>
      <c r="F1131" s="52" t="s">
        <v>274</v>
      </c>
      <c r="G1131" s="52" t="s">
        <v>208</v>
      </c>
      <c r="H1131" s="45" t="s">
        <v>429</v>
      </c>
      <c r="I1131" s="7" t="s">
        <v>22</v>
      </c>
      <c r="J1131" s="3">
        <v>0.7</v>
      </c>
      <c r="K1131" s="7" t="s">
        <v>305</v>
      </c>
      <c r="L1131" s="8" t="s">
        <v>257</v>
      </c>
      <c r="M1131" s="339" t="s">
        <v>306</v>
      </c>
      <c r="N1131" s="3">
        <v>0.95</v>
      </c>
      <c r="O1131" s="3">
        <v>0.25</v>
      </c>
      <c r="P1131" s="3"/>
      <c r="Q1131" s="3">
        <f t="shared" si="36"/>
        <v>0</v>
      </c>
      <c r="R1131" s="4">
        <f t="shared" si="35"/>
        <v>0</v>
      </c>
      <c r="S1131" s="3" t="s">
        <v>23</v>
      </c>
      <c r="T1131" s="190"/>
    </row>
    <row r="1132" spans="1:20" ht="21.6" hidden="1" x14ac:dyDescent="0.3">
      <c r="A1132" s="182">
        <v>10</v>
      </c>
      <c r="B1132" s="42" t="s">
        <v>20</v>
      </c>
      <c r="C1132" s="43" t="s">
        <v>267</v>
      </c>
      <c r="D1132" s="50">
        <v>5324</v>
      </c>
      <c r="E1132" s="52" t="s">
        <v>277</v>
      </c>
      <c r="F1132" s="52" t="s">
        <v>274</v>
      </c>
      <c r="G1132" s="52" t="s">
        <v>208</v>
      </c>
      <c r="H1132" s="45" t="s">
        <v>429</v>
      </c>
      <c r="I1132" s="7" t="s">
        <v>22</v>
      </c>
      <c r="J1132" s="3">
        <v>0.7</v>
      </c>
      <c r="K1132" s="7" t="s">
        <v>308</v>
      </c>
      <c r="L1132" s="8" t="s">
        <v>130</v>
      </c>
      <c r="M1132" s="339" t="s">
        <v>131</v>
      </c>
      <c r="N1132" s="3">
        <v>0.9</v>
      </c>
      <c r="O1132" s="3">
        <v>0.15</v>
      </c>
      <c r="P1132" s="3"/>
      <c r="Q1132" s="3">
        <f t="shared" si="36"/>
        <v>0</v>
      </c>
      <c r="R1132" s="4">
        <f t="shared" si="35"/>
        <v>0</v>
      </c>
      <c r="S1132" s="3" t="s">
        <v>23</v>
      </c>
      <c r="T1132" s="190"/>
    </row>
    <row r="1133" spans="1:20" ht="21.6" hidden="1" x14ac:dyDescent="0.3">
      <c r="A1133" s="182">
        <v>11</v>
      </c>
      <c r="B1133" s="42" t="s">
        <v>20</v>
      </c>
      <c r="C1133" s="43" t="s">
        <v>267</v>
      </c>
      <c r="D1133" s="50">
        <v>5324</v>
      </c>
      <c r="E1133" s="52" t="s">
        <v>277</v>
      </c>
      <c r="F1133" s="52" t="s">
        <v>274</v>
      </c>
      <c r="G1133" s="52" t="s">
        <v>208</v>
      </c>
      <c r="H1133" s="45" t="s">
        <v>429</v>
      </c>
      <c r="I1133" s="7" t="s">
        <v>22</v>
      </c>
      <c r="J1133" s="3">
        <v>0.7</v>
      </c>
      <c r="K1133" s="7" t="s">
        <v>309</v>
      </c>
      <c r="L1133" s="8" t="s">
        <v>207</v>
      </c>
      <c r="M1133" s="339"/>
      <c r="N1133" s="3">
        <v>1</v>
      </c>
      <c r="O1133" s="3">
        <v>0.1</v>
      </c>
      <c r="P1133" s="3"/>
      <c r="Q1133" s="3">
        <f t="shared" si="36"/>
        <v>0</v>
      </c>
      <c r="R1133" s="4">
        <f t="shared" si="35"/>
        <v>0</v>
      </c>
      <c r="S1133" s="3" t="s">
        <v>23</v>
      </c>
      <c r="T1133" s="190"/>
    </row>
    <row r="1134" spans="1:20" ht="21.6" hidden="1" x14ac:dyDescent="0.3">
      <c r="A1134" s="182"/>
      <c r="B1134" s="42" t="s">
        <v>20</v>
      </c>
      <c r="C1134" s="43" t="s">
        <v>267</v>
      </c>
      <c r="D1134" s="50">
        <v>5324</v>
      </c>
      <c r="E1134" s="52" t="s">
        <v>277</v>
      </c>
      <c r="F1134" s="52" t="s">
        <v>274</v>
      </c>
      <c r="G1134" s="52" t="s">
        <v>208</v>
      </c>
      <c r="H1134" s="45" t="s">
        <v>429</v>
      </c>
      <c r="I1134" s="47" t="s">
        <v>22</v>
      </c>
      <c r="J1134" s="3">
        <v>0.7</v>
      </c>
      <c r="K1134" s="47" t="s">
        <v>310</v>
      </c>
      <c r="L1134" s="30" t="s">
        <v>136</v>
      </c>
      <c r="M1134" s="47" t="s">
        <v>137</v>
      </c>
      <c r="N1134" s="3">
        <v>0.9</v>
      </c>
      <c r="O1134" s="3">
        <v>0.1</v>
      </c>
      <c r="P1134" s="19"/>
      <c r="Q1134" s="3">
        <f t="shared" si="36"/>
        <v>0</v>
      </c>
      <c r="R1134" s="4">
        <f t="shared" si="35"/>
        <v>0</v>
      </c>
      <c r="S1134" s="3" t="s">
        <v>23</v>
      </c>
      <c r="T1134" s="190"/>
    </row>
    <row r="1135" spans="1:20" ht="22.2" hidden="1" thickBot="1" x14ac:dyDescent="0.35">
      <c r="A1135" s="200">
        <v>12</v>
      </c>
      <c r="B1135" s="81" t="s">
        <v>20</v>
      </c>
      <c r="C1135" s="82" t="s">
        <v>267</v>
      </c>
      <c r="D1135" s="113">
        <v>5324</v>
      </c>
      <c r="E1135" s="118" t="s">
        <v>277</v>
      </c>
      <c r="F1135" s="118" t="s">
        <v>274</v>
      </c>
      <c r="G1135" s="118" t="s">
        <v>208</v>
      </c>
      <c r="H1135" s="84" t="s">
        <v>429</v>
      </c>
      <c r="I1135" s="85" t="s">
        <v>26</v>
      </c>
      <c r="J1135" s="238">
        <v>0.3</v>
      </c>
      <c r="K1135" s="85" t="s">
        <v>138</v>
      </c>
      <c r="L1135" s="114" t="s">
        <v>139</v>
      </c>
      <c r="M1135" s="85" t="s">
        <v>140</v>
      </c>
      <c r="N1135" s="238">
        <v>1</v>
      </c>
      <c r="O1135" s="238">
        <v>1</v>
      </c>
      <c r="P1135" s="308"/>
      <c r="Q1135" s="238">
        <f t="shared" si="36"/>
        <v>0</v>
      </c>
      <c r="R1135" s="254">
        <f t="shared" si="35"/>
        <v>0</v>
      </c>
      <c r="S1135" s="255" t="s">
        <v>23</v>
      </c>
      <c r="T1135" s="305"/>
    </row>
    <row r="1136" spans="1:20" ht="21.6" hidden="1" x14ac:dyDescent="0.3">
      <c r="A1136" s="242">
        <v>7</v>
      </c>
      <c r="B1136" s="243" t="s">
        <v>20</v>
      </c>
      <c r="C1136" s="244" t="s">
        <v>267</v>
      </c>
      <c r="D1136" s="293">
        <v>5398</v>
      </c>
      <c r="E1136" s="295" t="s">
        <v>278</v>
      </c>
      <c r="F1136" s="295" t="s">
        <v>274</v>
      </c>
      <c r="G1136" s="295" t="s">
        <v>208</v>
      </c>
      <c r="H1136" s="246" t="s">
        <v>429</v>
      </c>
      <c r="I1136" s="294" t="s">
        <v>22</v>
      </c>
      <c r="J1136" s="248">
        <v>0.7</v>
      </c>
      <c r="K1136" s="294" t="s">
        <v>215</v>
      </c>
      <c r="L1136" s="316" t="s">
        <v>205</v>
      </c>
      <c r="M1136" s="294"/>
      <c r="N1136" s="248">
        <v>0.95</v>
      </c>
      <c r="O1136" s="248">
        <v>0.2</v>
      </c>
      <c r="P1136" s="248"/>
      <c r="Q1136" s="248">
        <f t="shared" si="36"/>
        <v>0</v>
      </c>
      <c r="R1136" s="250">
        <f t="shared" si="35"/>
        <v>0</v>
      </c>
      <c r="S1136" s="248" t="s">
        <v>23</v>
      </c>
      <c r="T1136" s="251">
        <f>SUM(R1136:R1142)%</f>
        <v>0</v>
      </c>
    </row>
    <row r="1137" spans="1:20" ht="21.6" hidden="1" x14ac:dyDescent="0.3">
      <c r="A1137" s="182">
        <v>8</v>
      </c>
      <c r="B1137" s="42" t="s">
        <v>20</v>
      </c>
      <c r="C1137" s="43" t="s">
        <v>267</v>
      </c>
      <c r="D1137" s="50">
        <v>5398</v>
      </c>
      <c r="E1137" s="52" t="s">
        <v>278</v>
      </c>
      <c r="F1137" s="52" t="s">
        <v>274</v>
      </c>
      <c r="G1137" s="52" t="s">
        <v>208</v>
      </c>
      <c r="H1137" s="45" t="s">
        <v>429</v>
      </c>
      <c r="I1137" s="7" t="s">
        <v>22</v>
      </c>
      <c r="J1137" s="3">
        <v>0.7</v>
      </c>
      <c r="K1137" s="7" t="s">
        <v>307</v>
      </c>
      <c r="L1137" s="8" t="s">
        <v>206</v>
      </c>
      <c r="M1137" s="7"/>
      <c r="N1137" s="3">
        <v>0.95</v>
      </c>
      <c r="O1137" s="3">
        <v>0.2</v>
      </c>
      <c r="P1137" s="3"/>
      <c r="Q1137" s="3">
        <f t="shared" si="36"/>
        <v>0</v>
      </c>
      <c r="R1137" s="4">
        <f t="shared" si="35"/>
        <v>0</v>
      </c>
      <c r="S1137" s="3" t="s">
        <v>23</v>
      </c>
      <c r="T1137" s="190"/>
    </row>
    <row r="1138" spans="1:20" ht="21.6" hidden="1" x14ac:dyDescent="0.3">
      <c r="A1138" s="182">
        <v>9</v>
      </c>
      <c r="B1138" s="42" t="s">
        <v>20</v>
      </c>
      <c r="C1138" s="43" t="s">
        <v>267</v>
      </c>
      <c r="D1138" s="50">
        <v>5398</v>
      </c>
      <c r="E1138" s="52" t="s">
        <v>278</v>
      </c>
      <c r="F1138" s="52" t="s">
        <v>274</v>
      </c>
      <c r="G1138" s="52" t="s">
        <v>208</v>
      </c>
      <c r="H1138" s="45" t="s">
        <v>429</v>
      </c>
      <c r="I1138" s="7" t="s">
        <v>22</v>
      </c>
      <c r="J1138" s="3">
        <v>0.7</v>
      </c>
      <c r="K1138" s="7" t="s">
        <v>305</v>
      </c>
      <c r="L1138" s="8" t="s">
        <v>257</v>
      </c>
      <c r="M1138" s="339" t="s">
        <v>306</v>
      </c>
      <c r="N1138" s="3">
        <v>0.95</v>
      </c>
      <c r="O1138" s="3">
        <v>0.25</v>
      </c>
      <c r="P1138" s="3"/>
      <c r="Q1138" s="3">
        <f t="shared" si="36"/>
        <v>0</v>
      </c>
      <c r="R1138" s="4">
        <f t="shared" si="35"/>
        <v>0</v>
      </c>
      <c r="S1138" s="3" t="s">
        <v>23</v>
      </c>
      <c r="T1138" s="190"/>
    </row>
    <row r="1139" spans="1:20" ht="21.6" hidden="1" x14ac:dyDescent="0.3">
      <c r="A1139" s="182">
        <v>10</v>
      </c>
      <c r="B1139" s="42" t="s">
        <v>20</v>
      </c>
      <c r="C1139" s="43" t="s">
        <v>267</v>
      </c>
      <c r="D1139" s="50">
        <v>5398</v>
      </c>
      <c r="E1139" s="52" t="s">
        <v>278</v>
      </c>
      <c r="F1139" s="52" t="s">
        <v>274</v>
      </c>
      <c r="G1139" s="52" t="s">
        <v>208</v>
      </c>
      <c r="H1139" s="45" t="s">
        <v>429</v>
      </c>
      <c r="I1139" s="7" t="s">
        <v>22</v>
      </c>
      <c r="J1139" s="3">
        <v>0.7</v>
      </c>
      <c r="K1139" s="7" t="s">
        <v>308</v>
      </c>
      <c r="L1139" s="8" t="s">
        <v>130</v>
      </c>
      <c r="M1139" s="339" t="s">
        <v>131</v>
      </c>
      <c r="N1139" s="3">
        <v>0.9</v>
      </c>
      <c r="O1139" s="3">
        <v>0.15</v>
      </c>
      <c r="P1139" s="3"/>
      <c r="Q1139" s="3">
        <f t="shared" si="36"/>
        <v>0</v>
      </c>
      <c r="R1139" s="4">
        <f t="shared" si="35"/>
        <v>0</v>
      </c>
      <c r="S1139" s="3" t="s">
        <v>23</v>
      </c>
      <c r="T1139" s="190"/>
    </row>
    <row r="1140" spans="1:20" ht="21.6" hidden="1" x14ac:dyDescent="0.3">
      <c r="A1140" s="182">
        <v>11</v>
      </c>
      <c r="B1140" s="42" t="s">
        <v>20</v>
      </c>
      <c r="C1140" s="43" t="s">
        <v>267</v>
      </c>
      <c r="D1140" s="50">
        <v>5398</v>
      </c>
      <c r="E1140" s="52" t="s">
        <v>278</v>
      </c>
      <c r="F1140" s="52" t="s">
        <v>274</v>
      </c>
      <c r="G1140" s="52" t="s">
        <v>208</v>
      </c>
      <c r="H1140" s="45" t="s">
        <v>429</v>
      </c>
      <c r="I1140" s="7" t="s">
        <v>22</v>
      </c>
      <c r="J1140" s="3">
        <v>0.7</v>
      </c>
      <c r="K1140" s="7" t="s">
        <v>309</v>
      </c>
      <c r="L1140" s="8" t="s">
        <v>207</v>
      </c>
      <c r="M1140" s="339"/>
      <c r="N1140" s="3">
        <v>1</v>
      </c>
      <c r="O1140" s="3">
        <v>0.1</v>
      </c>
      <c r="P1140" s="3"/>
      <c r="Q1140" s="3">
        <f t="shared" si="36"/>
        <v>0</v>
      </c>
      <c r="R1140" s="4">
        <f t="shared" si="35"/>
        <v>0</v>
      </c>
      <c r="S1140" s="3" t="s">
        <v>23</v>
      </c>
      <c r="T1140" s="190"/>
    </row>
    <row r="1141" spans="1:20" ht="21.6" hidden="1" x14ac:dyDescent="0.3">
      <c r="A1141" s="182"/>
      <c r="B1141" s="42" t="s">
        <v>20</v>
      </c>
      <c r="C1141" s="43" t="s">
        <v>267</v>
      </c>
      <c r="D1141" s="50">
        <v>5398</v>
      </c>
      <c r="E1141" s="52" t="s">
        <v>278</v>
      </c>
      <c r="F1141" s="52" t="s">
        <v>274</v>
      </c>
      <c r="G1141" s="52" t="s">
        <v>208</v>
      </c>
      <c r="H1141" s="45" t="s">
        <v>429</v>
      </c>
      <c r="I1141" s="47" t="s">
        <v>22</v>
      </c>
      <c r="J1141" s="3">
        <v>0.7</v>
      </c>
      <c r="K1141" s="47" t="s">
        <v>310</v>
      </c>
      <c r="L1141" s="30" t="s">
        <v>136</v>
      </c>
      <c r="M1141" s="47" t="s">
        <v>137</v>
      </c>
      <c r="N1141" s="3">
        <v>0.9</v>
      </c>
      <c r="O1141" s="3">
        <v>0.1</v>
      </c>
      <c r="P1141" s="19"/>
      <c r="Q1141" s="3">
        <f t="shared" si="36"/>
        <v>0</v>
      </c>
      <c r="R1141" s="4">
        <f t="shared" si="35"/>
        <v>0</v>
      </c>
      <c r="S1141" s="3" t="s">
        <v>23</v>
      </c>
      <c r="T1141" s="190"/>
    </row>
    <row r="1142" spans="1:20" ht="22.2" hidden="1" thickBot="1" x14ac:dyDescent="0.35">
      <c r="A1142" s="267">
        <v>12</v>
      </c>
      <c r="B1142" s="268" t="s">
        <v>20</v>
      </c>
      <c r="C1142" s="269" t="s">
        <v>267</v>
      </c>
      <c r="D1142" s="290">
        <v>5398</v>
      </c>
      <c r="E1142" s="298" t="s">
        <v>278</v>
      </c>
      <c r="F1142" s="298" t="s">
        <v>274</v>
      </c>
      <c r="G1142" s="298" t="s">
        <v>208</v>
      </c>
      <c r="H1142" s="271" t="s">
        <v>429</v>
      </c>
      <c r="I1142" s="272" t="s">
        <v>26</v>
      </c>
      <c r="J1142" s="273">
        <v>0.3</v>
      </c>
      <c r="K1142" s="272" t="s">
        <v>138</v>
      </c>
      <c r="L1142" s="291" t="s">
        <v>139</v>
      </c>
      <c r="M1142" s="272" t="s">
        <v>140</v>
      </c>
      <c r="N1142" s="273">
        <v>1</v>
      </c>
      <c r="O1142" s="273">
        <v>1</v>
      </c>
      <c r="P1142" s="306"/>
      <c r="Q1142" s="273">
        <f t="shared" si="36"/>
        <v>0</v>
      </c>
      <c r="R1142" s="275">
        <f t="shared" si="35"/>
        <v>0</v>
      </c>
      <c r="S1142" s="276" t="s">
        <v>23</v>
      </c>
      <c r="T1142" s="307"/>
    </row>
    <row r="1143" spans="1:20" ht="21.6" hidden="1" x14ac:dyDescent="0.3">
      <c r="A1143" s="242">
        <v>7</v>
      </c>
      <c r="B1143" s="243" t="s">
        <v>20</v>
      </c>
      <c r="C1143" s="244" t="s">
        <v>267</v>
      </c>
      <c r="D1143" s="293">
        <v>5473</v>
      </c>
      <c r="E1143" s="295" t="s">
        <v>279</v>
      </c>
      <c r="F1143" s="295" t="s">
        <v>274</v>
      </c>
      <c r="G1143" s="295" t="s">
        <v>208</v>
      </c>
      <c r="H1143" s="246" t="s">
        <v>429</v>
      </c>
      <c r="I1143" s="294" t="s">
        <v>22</v>
      </c>
      <c r="J1143" s="248">
        <v>0.7</v>
      </c>
      <c r="K1143" s="294" t="s">
        <v>215</v>
      </c>
      <c r="L1143" s="316" t="s">
        <v>205</v>
      </c>
      <c r="M1143" s="294"/>
      <c r="N1143" s="248">
        <v>0.95</v>
      </c>
      <c r="O1143" s="248">
        <v>0.2</v>
      </c>
      <c r="P1143" s="248"/>
      <c r="Q1143" s="248">
        <f t="shared" si="36"/>
        <v>0</v>
      </c>
      <c r="R1143" s="250">
        <f t="shared" si="35"/>
        <v>0</v>
      </c>
      <c r="S1143" s="248" t="s">
        <v>23</v>
      </c>
      <c r="T1143" s="251">
        <f>SUM(R1143:R1149)%</f>
        <v>0</v>
      </c>
    </row>
    <row r="1144" spans="1:20" ht="21.6" hidden="1" x14ac:dyDescent="0.3">
      <c r="A1144" s="182">
        <v>8</v>
      </c>
      <c r="B1144" s="42" t="s">
        <v>20</v>
      </c>
      <c r="C1144" s="43" t="s">
        <v>267</v>
      </c>
      <c r="D1144" s="50">
        <v>5473</v>
      </c>
      <c r="E1144" s="52" t="s">
        <v>279</v>
      </c>
      <c r="F1144" s="52" t="s">
        <v>274</v>
      </c>
      <c r="G1144" s="52" t="s">
        <v>208</v>
      </c>
      <c r="H1144" s="45" t="s">
        <v>429</v>
      </c>
      <c r="I1144" s="7" t="s">
        <v>22</v>
      </c>
      <c r="J1144" s="3">
        <v>0.7</v>
      </c>
      <c r="K1144" s="7" t="s">
        <v>307</v>
      </c>
      <c r="L1144" s="8" t="s">
        <v>206</v>
      </c>
      <c r="M1144" s="7"/>
      <c r="N1144" s="3">
        <v>0.95</v>
      </c>
      <c r="O1144" s="3">
        <v>0.2</v>
      </c>
      <c r="P1144" s="3"/>
      <c r="Q1144" s="3">
        <f t="shared" si="36"/>
        <v>0</v>
      </c>
      <c r="R1144" s="4">
        <f t="shared" si="35"/>
        <v>0</v>
      </c>
      <c r="S1144" s="3" t="s">
        <v>23</v>
      </c>
      <c r="T1144" s="190"/>
    </row>
    <row r="1145" spans="1:20" ht="21.6" hidden="1" x14ac:dyDescent="0.3">
      <c r="A1145" s="182">
        <v>9</v>
      </c>
      <c r="B1145" s="42" t="s">
        <v>20</v>
      </c>
      <c r="C1145" s="43" t="s">
        <v>267</v>
      </c>
      <c r="D1145" s="50">
        <v>5473</v>
      </c>
      <c r="E1145" s="52" t="s">
        <v>279</v>
      </c>
      <c r="F1145" s="52" t="s">
        <v>274</v>
      </c>
      <c r="G1145" s="52" t="s">
        <v>208</v>
      </c>
      <c r="H1145" s="45" t="s">
        <v>429</v>
      </c>
      <c r="I1145" s="7" t="s">
        <v>22</v>
      </c>
      <c r="J1145" s="3">
        <v>0.7</v>
      </c>
      <c r="K1145" s="7" t="s">
        <v>305</v>
      </c>
      <c r="L1145" s="8" t="s">
        <v>257</v>
      </c>
      <c r="M1145" s="339" t="s">
        <v>306</v>
      </c>
      <c r="N1145" s="3">
        <v>0.95</v>
      </c>
      <c r="O1145" s="3">
        <v>0.25</v>
      </c>
      <c r="P1145" s="3"/>
      <c r="Q1145" s="3">
        <f t="shared" si="36"/>
        <v>0</v>
      </c>
      <c r="R1145" s="4">
        <f t="shared" si="35"/>
        <v>0</v>
      </c>
      <c r="S1145" s="3" t="s">
        <v>23</v>
      </c>
      <c r="T1145" s="190"/>
    </row>
    <row r="1146" spans="1:20" ht="21.6" hidden="1" x14ac:dyDescent="0.3">
      <c r="A1146" s="182">
        <v>10</v>
      </c>
      <c r="B1146" s="42" t="s">
        <v>20</v>
      </c>
      <c r="C1146" s="43" t="s">
        <v>267</v>
      </c>
      <c r="D1146" s="50">
        <v>5473</v>
      </c>
      <c r="E1146" s="52" t="s">
        <v>279</v>
      </c>
      <c r="F1146" s="52" t="s">
        <v>274</v>
      </c>
      <c r="G1146" s="52" t="s">
        <v>208</v>
      </c>
      <c r="H1146" s="45" t="s">
        <v>429</v>
      </c>
      <c r="I1146" s="7" t="s">
        <v>22</v>
      </c>
      <c r="J1146" s="3">
        <v>0.7</v>
      </c>
      <c r="K1146" s="7" t="s">
        <v>308</v>
      </c>
      <c r="L1146" s="8" t="s">
        <v>130</v>
      </c>
      <c r="M1146" s="339" t="s">
        <v>131</v>
      </c>
      <c r="N1146" s="3">
        <v>0.9</v>
      </c>
      <c r="O1146" s="3">
        <v>0.15</v>
      </c>
      <c r="P1146" s="3"/>
      <c r="Q1146" s="3">
        <f t="shared" si="36"/>
        <v>0</v>
      </c>
      <c r="R1146" s="4">
        <f t="shared" si="35"/>
        <v>0</v>
      </c>
      <c r="S1146" s="3" t="s">
        <v>23</v>
      </c>
      <c r="T1146" s="190"/>
    </row>
    <row r="1147" spans="1:20" ht="21.6" hidden="1" x14ac:dyDescent="0.3">
      <c r="A1147" s="182">
        <v>11</v>
      </c>
      <c r="B1147" s="42" t="s">
        <v>20</v>
      </c>
      <c r="C1147" s="43" t="s">
        <v>267</v>
      </c>
      <c r="D1147" s="50">
        <v>5473</v>
      </c>
      <c r="E1147" s="52" t="s">
        <v>279</v>
      </c>
      <c r="F1147" s="52" t="s">
        <v>274</v>
      </c>
      <c r="G1147" s="52" t="s">
        <v>208</v>
      </c>
      <c r="H1147" s="45" t="s">
        <v>429</v>
      </c>
      <c r="I1147" s="7" t="s">
        <v>22</v>
      </c>
      <c r="J1147" s="3">
        <v>0.7</v>
      </c>
      <c r="K1147" s="7" t="s">
        <v>309</v>
      </c>
      <c r="L1147" s="8" t="s">
        <v>207</v>
      </c>
      <c r="M1147" s="339"/>
      <c r="N1147" s="3">
        <v>1</v>
      </c>
      <c r="O1147" s="3">
        <v>0.1</v>
      </c>
      <c r="P1147" s="3"/>
      <c r="Q1147" s="3">
        <f t="shared" si="36"/>
        <v>0</v>
      </c>
      <c r="R1147" s="4">
        <f t="shared" si="35"/>
        <v>0</v>
      </c>
      <c r="S1147" s="3" t="s">
        <v>23</v>
      </c>
      <c r="T1147" s="190"/>
    </row>
    <row r="1148" spans="1:20" ht="21.6" hidden="1" x14ac:dyDescent="0.3">
      <c r="A1148" s="182"/>
      <c r="B1148" s="42" t="s">
        <v>20</v>
      </c>
      <c r="C1148" s="43" t="s">
        <v>267</v>
      </c>
      <c r="D1148" s="50">
        <v>5473</v>
      </c>
      <c r="E1148" s="52" t="s">
        <v>279</v>
      </c>
      <c r="F1148" s="52" t="s">
        <v>274</v>
      </c>
      <c r="G1148" s="52" t="s">
        <v>208</v>
      </c>
      <c r="H1148" s="45" t="s">
        <v>429</v>
      </c>
      <c r="I1148" s="47" t="s">
        <v>22</v>
      </c>
      <c r="J1148" s="3">
        <v>0.7</v>
      </c>
      <c r="K1148" s="47" t="s">
        <v>310</v>
      </c>
      <c r="L1148" s="30" t="s">
        <v>136</v>
      </c>
      <c r="M1148" s="47" t="s">
        <v>137</v>
      </c>
      <c r="N1148" s="3">
        <v>0.9</v>
      </c>
      <c r="O1148" s="3">
        <v>0.1</v>
      </c>
      <c r="P1148" s="19"/>
      <c r="Q1148" s="3">
        <f t="shared" si="36"/>
        <v>0</v>
      </c>
      <c r="R1148" s="4">
        <f t="shared" si="35"/>
        <v>0</v>
      </c>
      <c r="S1148" s="3" t="s">
        <v>23</v>
      </c>
      <c r="T1148" s="190"/>
    </row>
    <row r="1149" spans="1:20" ht="22.2" hidden="1" thickBot="1" x14ac:dyDescent="0.35">
      <c r="A1149" s="200">
        <v>12</v>
      </c>
      <c r="B1149" s="81" t="s">
        <v>20</v>
      </c>
      <c r="C1149" s="82" t="s">
        <v>267</v>
      </c>
      <c r="D1149" s="113">
        <v>5473</v>
      </c>
      <c r="E1149" s="118" t="s">
        <v>279</v>
      </c>
      <c r="F1149" s="118" t="s">
        <v>274</v>
      </c>
      <c r="G1149" s="118" t="s">
        <v>208</v>
      </c>
      <c r="H1149" s="84" t="s">
        <v>429</v>
      </c>
      <c r="I1149" s="85" t="s">
        <v>26</v>
      </c>
      <c r="J1149" s="238">
        <v>0.3</v>
      </c>
      <c r="K1149" s="85" t="s">
        <v>138</v>
      </c>
      <c r="L1149" s="114" t="s">
        <v>139</v>
      </c>
      <c r="M1149" s="85" t="s">
        <v>140</v>
      </c>
      <c r="N1149" s="238">
        <v>1</v>
      </c>
      <c r="O1149" s="238">
        <v>1</v>
      </c>
      <c r="P1149" s="308"/>
      <c r="Q1149" s="238">
        <f t="shared" si="36"/>
        <v>0</v>
      </c>
      <c r="R1149" s="254">
        <f t="shared" si="35"/>
        <v>0</v>
      </c>
      <c r="S1149" s="255" t="s">
        <v>23</v>
      </c>
      <c r="T1149" s="305"/>
    </row>
    <row r="1150" spans="1:20" ht="21.6" hidden="1" x14ac:dyDescent="0.3">
      <c r="A1150" s="182">
        <v>7</v>
      </c>
      <c r="B1150" s="42" t="s">
        <v>20</v>
      </c>
      <c r="C1150" s="43" t="s">
        <v>267</v>
      </c>
      <c r="D1150" s="50">
        <v>5582</v>
      </c>
      <c r="E1150" s="52" t="s">
        <v>280</v>
      </c>
      <c r="F1150" s="52" t="s">
        <v>274</v>
      </c>
      <c r="G1150" s="52" t="s">
        <v>208</v>
      </c>
      <c r="H1150" s="45" t="s">
        <v>429</v>
      </c>
      <c r="I1150" s="7" t="s">
        <v>22</v>
      </c>
      <c r="J1150" s="3">
        <v>0.7</v>
      </c>
      <c r="K1150" s="7" t="s">
        <v>215</v>
      </c>
      <c r="L1150" s="8" t="s">
        <v>205</v>
      </c>
      <c r="M1150" s="7"/>
      <c r="N1150" s="3">
        <v>0.95</v>
      </c>
      <c r="O1150" s="3">
        <v>0.2</v>
      </c>
      <c r="P1150" s="3"/>
      <c r="Q1150" s="3">
        <f t="shared" si="36"/>
        <v>0</v>
      </c>
      <c r="R1150" s="4">
        <f t="shared" si="35"/>
        <v>0</v>
      </c>
      <c r="S1150" s="3" t="s">
        <v>23</v>
      </c>
      <c r="T1150" s="190">
        <f>SUM(R1150:R1156)%</f>
        <v>0</v>
      </c>
    </row>
    <row r="1151" spans="1:20" ht="21.6" hidden="1" x14ac:dyDescent="0.3">
      <c r="A1151" s="182">
        <v>8</v>
      </c>
      <c r="B1151" s="42" t="s">
        <v>20</v>
      </c>
      <c r="C1151" s="43" t="s">
        <v>267</v>
      </c>
      <c r="D1151" s="50">
        <v>5582</v>
      </c>
      <c r="E1151" s="52" t="s">
        <v>280</v>
      </c>
      <c r="F1151" s="52" t="s">
        <v>274</v>
      </c>
      <c r="G1151" s="52" t="s">
        <v>208</v>
      </c>
      <c r="H1151" s="45" t="s">
        <v>429</v>
      </c>
      <c r="I1151" s="7" t="s">
        <v>22</v>
      </c>
      <c r="J1151" s="3">
        <v>0.7</v>
      </c>
      <c r="K1151" s="7" t="s">
        <v>307</v>
      </c>
      <c r="L1151" s="8" t="s">
        <v>206</v>
      </c>
      <c r="M1151" s="7"/>
      <c r="N1151" s="3">
        <v>0.95</v>
      </c>
      <c r="O1151" s="3">
        <v>0.2</v>
      </c>
      <c r="P1151" s="3"/>
      <c r="Q1151" s="3">
        <f t="shared" si="36"/>
        <v>0</v>
      </c>
      <c r="R1151" s="4">
        <f t="shared" si="35"/>
        <v>0</v>
      </c>
      <c r="S1151" s="3" t="s">
        <v>23</v>
      </c>
      <c r="T1151" s="190"/>
    </row>
    <row r="1152" spans="1:20" ht="21.6" hidden="1" x14ac:dyDescent="0.3">
      <c r="A1152" s="182">
        <v>9</v>
      </c>
      <c r="B1152" s="42" t="s">
        <v>20</v>
      </c>
      <c r="C1152" s="43" t="s">
        <v>267</v>
      </c>
      <c r="D1152" s="50">
        <v>5582</v>
      </c>
      <c r="E1152" s="52" t="s">
        <v>280</v>
      </c>
      <c r="F1152" s="52" t="s">
        <v>274</v>
      </c>
      <c r="G1152" s="52" t="s">
        <v>208</v>
      </c>
      <c r="H1152" s="45" t="s">
        <v>429</v>
      </c>
      <c r="I1152" s="7" t="s">
        <v>22</v>
      </c>
      <c r="J1152" s="3">
        <v>0.7</v>
      </c>
      <c r="K1152" s="7" t="s">
        <v>305</v>
      </c>
      <c r="L1152" s="8" t="s">
        <v>257</v>
      </c>
      <c r="M1152" s="339" t="s">
        <v>306</v>
      </c>
      <c r="N1152" s="3">
        <v>0.95</v>
      </c>
      <c r="O1152" s="3">
        <v>0.25</v>
      </c>
      <c r="P1152" s="3"/>
      <c r="Q1152" s="3">
        <f t="shared" si="36"/>
        <v>0</v>
      </c>
      <c r="R1152" s="4">
        <f t="shared" si="35"/>
        <v>0</v>
      </c>
      <c r="S1152" s="3" t="s">
        <v>23</v>
      </c>
      <c r="T1152" s="190"/>
    </row>
    <row r="1153" spans="1:20" ht="21.6" hidden="1" x14ac:dyDescent="0.3">
      <c r="A1153" s="182">
        <v>10</v>
      </c>
      <c r="B1153" s="42" t="s">
        <v>20</v>
      </c>
      <c r="C1153" s="43" t="s">
        <v>267</v>
      </c>
      <c r="D1153" s="50">
        <v>5582</v>
      </c>
      <c r="E1153" s="52" t="s">
        <v>280</v>
      </c>
      <c r="F1153" s="52" t="s">
        <v>274</v>
      </c>
      <c r="G1153" s="52" t="s">
        <v>208</v>
      </c>
      <c r="H1153" s="45" t="s">
        <v>429</v>
      </c>
      <c r="I1153" s="7" t="s">
        <v>22</v>
      </c>
      <c r="J1153" s="3">
        <v>0.7</v>
      </c>
      <c r="K1153" s="7" t="s">
        <v>308</v>
      </c>
      <c r="L1153" s="8" t="s">
        <v>130</v>
      </c>
      <c r="M1153" s="339" t="s">
        <v>131</v>
      </c>
      <c r="N1153" s="3">
        <v>0.9</v>
      </c>
      <c r="O1153" s="3">
        <v>0.15</v>
      </c>
      <c r="P1153" s="3"/>
      <c r="Q1153" s="3">
        <f t="shared" si="36"/>
        <v>0</v>
      </c>
      <c r="R1153" s="4">
        <f t="shared" si="35"/>
        <v>0</v>
      </c>
      <c r="S1153" s="3" t="s">
        <v>23</v>
      </c>
      <c r="T1153" s="190"/>
    </row>
    <row r="1154" spans="1:20" ht="21.6" hidden="1" x14ac:dyDescent="0.3">
      <c r="A1154" s="182">
        <v>11</v>
      </c>
      <c r="B1154" s="42" t="s">
        <v>20</v>
      </c>
      <c r="C1154" s="43" t="s">
        <v>267</v>
      </c>
      <c r="D1154" s="50">
        <v>5582</v>
      </c>
      <c r="E1154" s="52" t="s">
        <v>280</v>
      </c>
      <c r="F1154" s="52" t="s">
        <v>274</v>
      </c>
      <c r="G1154" s="52" t="s">
        <v>208</v>
      </c>
      <c r="H1154" s="45" t="s">
        <v>429</v>
      </c>
      <c r="I1154" s="7" t="s">
        <v>22</v>
      </c>
      <c r="J1154" s="3">
        <v>0.7</v>
      </c>
      <c r="K1154" s="7" t="s">
        <v>309</v>
      </c>
      <c r="L1154" s="8" t="s">
        <v>207</v>
      </c>
      <c r="M1154" s="339"/>
      <c r="N1154" s="3">
        <v>1</v>
      </c>
      <c r="O1154" s="3">
        <v>0.1</v>
      </c>
      <c r="P1154" s="3"/>
      <c r="Q1154" s="3">
        <f t="shared" si="36"/>
        <v>0</v>
      </c>
      <c r="R1154" s="4">
        <f t="shared" si="35"/>
        <v>0</v>
      </c>
      <c r="S1154" s="3" t="s">
        <v>23</v>
      </c>
      <c r="T1154" s="190"/>
    </row>
    <row r="1155" spans="1:20" ht="21.6" hidden="1" x14ac:dyDescent="0.3">
      <c r="A1155" s="182"/>
      <c r="B1155" s="42" t="s">
        <v>20</v>
      </c>
      <c r="C1155" s="43" t="s">
        <v>267</v>
      </c>
      <c r="D1155" s="50">
        <v>5582</v>
      </c>
      <c r="E1155" s="52" t="s">
        <v>280</v>
      </c>
      <c r="F1155" s="52" t="s">
        <v>274</v>
      </c>
      <c r="G1155" s="52" t="s">
        <v>208</v>
      </c>
      <c r="H1155" s="45" t="s">
        <v>429</v>
      </c>
      <c r="I1155" s="47" t="s">
        <v>22</v>
      </c>
      <c r="J1155" s="3">
        <v>0.7</v>
      </c>
      <c r="K1155" s="47" t="s">
        <v>310</v>
      </c>
      <c r="L1155" s="30" t="s">
        <v>136</v>
      </c>
      <c r="M1155" s="47" t="s">
        <v>137</v>
      </c>
      <c r="N1155" s="3">
        <v>0.9</v>
      </c>
      <c r="O1155" s="3">
        <v>0.1</v>
      </c>
      <c r="P1155" s="19"/>
      <c r="Q1155" s="3">
        <f t="shared" si="36"/>
        <v>0</v>
      </c>
      <c r="R1155" s="4">
        <f t="shared" si="35"/>
        <v>0</v>
      </c>
      <c r="S1155" s="3" t="s">
        <v>23</v>
      </c>
      <c r="T1155" s="190"/>
    </row>
    <row r="1156" spans="1:20" ht="22.2" hidden="1" thickBot="1" x14ac:dyDescent="0.35">
      <c r="A1156" s="267">
        <v>12</v>
      </c>
      <c r="B1156" s="268" t="s">
        <v>20</v>
      </c>
      <c r="C1156" s="269" t="s">
        <v>267</v>
      </c>
      <c r="D1156" s="290">
        <v>5582</v>
      </c>
      <c r="E1156" s="298" t="s">
        <v>280</v>
      </c>
      <c r="F1156" s="298" t="s">
        <v>274</v>
      </c>
      <c r="G1156" s="298" t="s">
        <v>208</v>
      </c>
      <c r="H1156" s="271" t="s">
        <v>429</v>
      </c>
      <c r="I1156" s="272" t="s">
        <v>26</v>
      </c>
      <c r="J1156" s="273">
        <v>0.3</v>
      </c>
      <c r="K1156" s="272" t="s">
        <v>138</v>
      </c>
      <c r="L1156" s="291" t="s">
        <v>139</v>
      </c>
      <c r="M1156" s="272" t="s">
        <v>140</v>
      </c>
      <c r="N1156" s="273">
        <v>1</v>
      </c>
      <c r="O1156" s="273">
        <v>1</v>
      </c>
      <c r="P1156" s="306"/>
      <c r="Q1156" s="273">
        <f t="shared" si="36"/>
        <v>0</v>
      </c>
      <c r="R1156" s="275">
        <f t="shared" ref="R1156:R1219" si="37">IF(AND(Q1156&gt;=60%,Q1156&lt;100%),Q1156*((O1156*J1156)),IF(Q1156=100%,((O1156*J1156)*Q1156)*100%,IF(Q1156&gt;100%,((J1156*O1156)*100%)*100%,0)))*100</f>
        <v>0</v>
      </c>
      <c r="S1156" s="276" t="s">
        <v>23</v>
      </c>
      <c r="T1156" s="307"/>
    </row>
    <row r="1157" spans="1:20" ht="21.6" hidden="1" x14ac:dyDescent="0.3">
      <c r="A1157" s="182">
        <v>7</v>
      </c>
      <c r="B1157" s="42" t="s">
        <v>20</v>
      </c>
      <c r="C1157" s="43" t="s">
        <v>267</v>
      </c>
      <c r="D1157" s="50">
        <v>6171</v>
      </c>
      <c r="E1157" s="52" t="s">
        <v>281</v>
      </c>
      <c r="F1157" s="52" t="s">
        <v>274</v>
      </c>
      <c r="G1157" s="52" t="s">
        <v>208</v>
      </c>
      <c r="H1157" s="45" t="s">
        <v>429</v>
      </c>
      <c r="I1157" s="7" t="s">
        <v>22</v>
      </c>
      <c r="J1157" s="3">
        <v>0.7</v>
      </c>
      <c r="K1157" s="7" t="s">
        <v>215</v>
      </c>
      <c r="L1157" s="8" t="s">
        <v>205</v>
      </c>
      <c r="M1157" s="7"/>
      <c r="N1157" s="3">
        <v>0.95</v>
      </c>
      <c r="O1157" s="3">
        <v>0.2</v>
      </c>
      <c r="P1157" s="3"/>
      <c r="Q1157" s="3">
        <f t="shared" si="36"/>
        <v>0</v>
      </c>
      <c r="R1157" s="4">
        <f t="shared" si="37"/>
        <v>0</v>
      </c>
      <c r="S1157" s="3" t="s">
        <v>23</v>
      </c>
      <c r="T1157" s="190">
        <f>SUM(R1157:R1163)%</f>
        <v>0</v>
      </c>
    </row>
    <row r="1158" spans="1:20" ht="21.6" hidden="1" x14ac:dyDescent="0.3">
      <c r="A1158" s="182">
        <v>8</v>
      </c>
      <c r="B1158" s="42" t="s">
        <v>20</v>
      </c>
      <c r="C1158" s="43" t="s">
        <v>267</v>
      </c>
      <c r="D1158" s="50">
        <v>6171</v>
      </c>
      <c r="E1158" s="52" t="s">
        <v>281</v>
      </c>
      <c r="F1158" s="52" t="s">
        <v>274</v>
      </c>
      <c r="G1158" s="52" t="s">
        <v>208</v>
      </c>
      <c r="H1158" s="45" t="s">
        <v>429</v>
      </c>
      <c r="I1158" s="7" t="s">
        <v>22</v>
      </c>
      <c r="J1158" s="3">
        <v>0.7</v>
      </c>
      <c r="K1158" s="7" t="s">
        <v>307</v>
      </c>
      <c r="L1158" s="8" t="s">
        <v>206</v>
      </c>
      <c r="M1158" s="7"/>
      <c r="N1158" s="3">
        <v>0.95</v>
      </c>
      <c r="O1158" s="3">
        <v>0.2</v>
      </c>
      <c r="P1158" s="3"/>
      <c r="Q1158" s="3">
        <f t="shared" si="36"/>
        <v>0</v>
      </c>
      <c r="R1158" s="4">
        <f t="shared" si="37"/>
        <v>0</v>
      </c>
      <c r="S1158" s="3" t="s">
        <v>23</v>
      </c>
      <c r="T1158" s="190"/>
    </row>
    <row r="1159" spans="1:20" ht="21.6" hidden="1" x14ac:dyDescent="0.3">
      <c r="A1159" s="182">
        <v>9</v>
      </c>
      <c r="B1159" s="42" t="s">
        <v>20</v>
      </c>
      <c r="C1159" s="43" t="s">
        <v>267</v>
      </c>
      <c r="D1159" s="50">
        <v>6171</v>
      </c>
      <c r="E1159" s="52" t="s">
        <v>281</v>
      </c>
      <c r="F1159" s="52" t="s">
        <v>274</v>
      </c>
      <c r="G1159" s="52" t="s">
        <v>208</v>
      </c>
      <c r="H1159" s="45" t="s">
        <v>429</v>
      </c>
      <c r="I1159" s="7" t="s">
        <v>22</v>
      </c>
      <c r="J1159" s="3">
        <v>0.7</v>
      </c>
      <c r="K1159" s="7" t="s">
        <v>305</v>
      </c>
      <c r="L1159" s="8" t="s">
        <v>257</v>
      </c>
      <c r="M1159" s="339" t="s">
        <v>306</v>
      </c>
      <c r="N1159" s="3">
        <v>0.95</v>
      </c>
      <c r="O1159" s="3">
        <v>0.25</v>
      </c>
      <c r="P1159" s="3"/>
      <c r="Q1159" s="3">
        <f t="shared" si="36"/>
        <v>0</v>
      </c>
      <c r="R1159" s="4">
        <f t="shared" si="37"/>
        <v>0</v>
      </c>
      <c r="S1159" s="3" t="s">
        <v>23</v>
      </c>
      <c r="T1159" s="190"/>
    </row>
    <row r="1160" spans="1:20" ht="21.6" hidden="1" x14ac:dyDescent="0.3">
      <c r="A1160" s="182">
        <v>10</v>
      </c>
      <c r="B1160" s="42" t="s">
        <v>20</v>
      </c>
      <c r="C1160" s="43" t="s">
        <v>267</v>
      </c>
      <c r="D1160" s="50">
        <v>6171</v>
      </c>
      <c r="E1160" s="52" t="s">
        <v>281</v>
      </c>
      <c r="F1160" s="52" t="s">
        <v>274</v>
      </c>
      <c r="G1160" s="52" t="s">
        <v>208</v>
      </c>
      <c r="H1160" s="45" t="s">
        <v>429</v>
      </c>
      <c r="I1160" s="7" t="s">
        <v>22</v>
      </c>
      <c r="J1160" s="3">
        <v>0.7</v>
      </c>
      <c r="K1160" s="7" t="s">
        <v>308</v>
      </c>
      <c r="L1160" s="8" t="s">
        <v>130</v>
      </c>
      <c r="M1160" s="339" t="s">
        <v>131</v>
      </c>
      <c r="N1160" s="3">
        <v>0.9</v>
      </c>
      <c r="O1160" s="3">
        <v>0.15</v>
      </c>
      <c r="P1160" s="3"/>
      <c r="Q1160" s="3">
        <f t="shared" si="36"/>
        <v>0</v>
      </c>
      <c r="R1160" s="4">
        <f t="shared" si="37"/>
        <v>0</v>
      </c>
      <c r="S1160" s="3" t="s">
        <v>23</v>
      </c>
      <c r="T1160" s="190"/>
    </row>
    <row r="1161" spans="1:20" ht="21.6" hidden="1" x14ac:dyDescent="0.3">
      <c r="A1161" s="182">
        <v>11</v>
      </c>
      <c r="B1161" s="42" t="s">
        <v>20</v>
      </c>
      <c r="C1161" s="43" t="s">
        <v>267</v>
      </c>
      <c r="D1161" s="50">
        <v>6171</v>
      </c>
      <c r="E1161" s="52" t="s">
        <v>281</v>
      </c>
      <c r="F1161" s="52" t="s">
        <v>274</v>
      </c>
      <c r="G1161" s="52" t="s">
        <v>208</v>
      </c>
      <c r="H1161" s="45" t="s">
        <v>429</v>
      </c>
      <c r="I1161" s="7" t="s">
        <v>22</v>
      </c>
      <c r="J1161" s="3">
        <v>0.7</v>
      </c>
      <c r="K1161" s="7" t="s">
        <v>309</v>
      </c>
      <c r="L1161" s="8" t="s">
        <v>207</v>
      </c>
      <c r="M1161" s="339"/>
      <c r="N1161" s="3">
        <v>1</v>
      </c>
      <c r="O1161" s="3">
        <v>0.1</v>
      </c>
      <c r="P1161" s="3"/>
      <c r="Q1161" s="3">
        <f t="shared" si="36"/>
        <v>0</v>
      </c>
      <c r="R1161" s="4">
        <f t="shared" si="37"/>
        <v>0</v>
      </c>
      <c r="S1161" s="3" t="s">
        <v>23</v>
      </c>
      <c r="T1161" s="190"/>
    </row>
    <row r="1162" spans="1:20" ht="21.6" hidden="1" x14ac:dyDescent="0.3">
      <c r="A1162" s="182"/>
      <c r="B1162" s="42" t="s">
        <v>20</v>
      </c>
      <c r="C1162" s="43" t="s">
        <v>267</v>
      </c>
      <c r="D1162" s="50">
        <v>6171</v>
      </c>
      <c r="E1162" s="52" t="s">
        <v>281</v>
      </c>
      <c r="F1162" s="52" t="s">
        <v>274</v>
      </c>
      <c r="G1162" s="52" t="s">
        <v>208</v>
      </c>
      <c r="H1162" s="45" t="s">
        <v>429</v>
      </c>
      <c r="I1162" s="47" t="s">
        <v>22</v>
      </c>
      <c r="J1162" s="3">
        <v>0.7</v>
      </c>
      <c r="K1162" s="47" t="s">
        <v>310</v>
      </c>
      <c r="L1162" s="30" t="s">
        <v>136</v>
      </c>
      <c r="M1162" s="47" t="s">
        <v>137</v>
      </c>
      <c r="N1162" s="3">
        <v>0.9</v>
      </c>
      <c r="O1162" s="3">
        <v>0.1</v>
      </c>
      <c r="P1162" s="19"/>
      <c r="Q1162" s="3">
        <f t="shared" si="36"/>
        <v>0</v>
      </c>
      <c r="R1162" s="4">
        <f t="shared" si="37"/>
        <v>0</v>
      </c>
      <c r="S1162" s="3" t="s">
        <v>23</v>
      </c>
      <c r="T1162" s="190"/>
    </row>
    <row r="1163" spans="1:20" ht="22.2" hidden="1" thickBot="1" x14ac:dyDescent="0.35">
      <c r="A1163" s="200">
        <v>12</v>
      </c>
      <c r="B1163" s="81" t="s">
        <v>20</v>
      </c>
      <c r="C1163" s="82" t="s">
        <v>267</v>
      </c>
      <c r="D1163" s="113">
        <v>6171</v>
      </c>
      <c r="E1163" s="118" t="s">
        <v>281</v>
      </c>
      <c r="F1163" s="118" t="s">
        <v>274</v>
      </c>
      <c r="G1163" s="118" t="s">
        <v>208</v>
      </c>
      <c r="H1163" s="84" t="s">
        <v>429</v>
      </c>
      <c r="I1163" s="85" t="s">
        <v>26</v>
      </c>
      <c r="J1163" s="238">
        <v>0.3</v>
      </c>
      <c r="K1163" s="85" t="s">
        <v>138</v>
      </c>
      <c r="L1163" s="114" t="s">
        <v>139</v>
      </c>
      <c r="M1163" s="85" t="s">
        <v>140</v>
      </c>
      <c r="N1163" s="238">
        <v>1</v>
      </c>
      <c r="O1163" s="238">
        <v>1</v>
      </c>
      <c r="P1163" s="308"/>
      <c r="Q1163" s="238">
        <f t="shared" si="36"/>
        <v>0</v>
      </c>
      <c r="R1163" s="254">
        <f t="shared" si="37"/>
        <v>0</v>
      </c>
      <c r="S1163" s="255" t="s">
        <v>23</v>
      </c>
      <c r="T1163" s="305"/>
    </row>
    <row r="1164" spans="1:20" ht="21.6" hidden="1" x14ac:dyDescent="0.3">
      <c r="A1164" s="182">
        <v>7</v>
      </c>
      <c r="B1164" s="42" t="s">
        <v>20</v>
      </c>
      <c r="C1164" s="43" t="s">
        <v>267</v>
      </c>
      <c r="D1164" s="50">
        <v>6173</v>
      </c>
      <c r="E1164" s="52" t="s">
        <v>282</v>
      </c>
      <c r="F1164" s="52" t="s">
        <v>274</v>
      </c>
      <c r="G1164" s="52" t="s">
        <v>208</v>
      </c>
      <c r="H1164" s="45" t="s">
        <v>429</v>
      </c>
      <c r="I1164" s="7" t="s">
        <v>22</v>
      </c>
      <c r="J1164" s="3">
        <v>0.7</v>
      </c>
      <c r="K1164" s="7" t="s">
        <v>215</v>
      </c>
      <c r="L1164" s="8" t="s">
        <v>205</v>
      </c>
      <c r="M1164" s="7"/>
      <c r="N1164" s="3">
        <v>0.95</v>
      </c>
      <c r="O1164" s="3">
        <v>0.2</v>
      </c>
      <c r="P1164" s="3"/>
      <c r="Q1164" s="3">
        <f t="shared" si="36"/>
        <v>0</v>
      </c>
      <c r="R1164" s="4">
        <f t="shared" si="37"/>
        <v>0</v>
      </c>
      <c r="S1164" s="3" t="s">
        <v>23</v>
      </c>
      <c r="T1164" s="190">
        <f>SUM(R1164:R1170)%</f>
        <v>0</v>
      </c>
    </row>
    <row r="1165" spans="1:20" ht="21.6" hidden="1" x14ac:dyDescent="0.3">
      <c r="A1165" s="182">
        <v>8</v>
      </c>
      <c r="B1165" s="42" t="s">
        <v>20</v>
      </c>
      <c r="C1165" s="43" t="s">
        <v>267</v>
      </c>
      <c r="D1165" s="50">
        <v>6173</v>
      </c>
      <c r="E1165" s="52" t="s">
        <v>282</v>
      </c>
      <c r="F1165" s="52" t="s">
        <v>274</v>
      </c>
      <c r="G1165" s="52" t="s">
        <v>208</v>
      </c>
      <c r="H1165" s="45" t="s">
        <v>429</v>
      </c>
      <c r="I1165" s="7" t="s">
        <v>22</v>
      </c>
      <c r="J1165" s="3">
        <v>0.7</v>
      </c>
      <c r="K1165" s="7" t="s">
        <v>307</v>
      </c>
      <c r="L1165" s="8" t="s">
        <v>206</v>
      </c>
      <c r="M1165" s="7"/>
      <c r="N1165" s="3">
        <v>0.95</v>
      </c>
      <c r="O1165" s="3">
        <v>0.2</v>
      </c>
      <c r="P1165" s="3"/>
      <c r="Q1165" s="3">
        <f t="shared" si="36"/>
        <v>0</v>
      </c>
      <c r="R1165" s="4">
        <f t="shared" si="37"/>
        <v>0</v>
      </c>
      <c r="S1165" s="3" t="s">
        <v>23</v>
      </c>
      <c r="T1165" s="190"/>
    </row>
    <row r="1166" spans="1:20" ht="21.6" hidden="1" x14ac:dyDescent="0.3">
      <c r="A1166" s="182">
        <v>9</v>
      </c>
      <c r="B1166" s="42" t="s">
        <v>20</v>
      </c>
      <c r="C1166" s="43" t="s">
        <v>267</v>
      </c>
      <c r="D1166" s="50">
        <v>6173</v>
      </c>
      <c r="E1166" s="52" t="s">
        <v>282</v>
      </c>
      <c r="F1166" s="52" t="s">
        <v>274</v>
      </c>
      <c r="G1166" s="52" t="s">
        <v>208</v>
      </c>
      <c r="H1166" s="45" t="s">
        <v>429</v>
      </c>
      <c r="I1166" s="7" t="s">
        <v>22</v>
      </c>
      <c r="J1166" s="3">
        <v>0.7</v>
      </c>
      <c r="K1166" s="7" t="s">
        <v>305</v>
      </c>
      <c r="L1166" s="8" t="s">
        <v>257</v>
      </c>
      <c r="M1166" s="339" t="s">
        <v>306</v>
      </c>
      <c r="N1166" s="3">
        <v>0.95</v>
      </c>
      <c r="O1166" s="3">
        <v>0.25</v>
      </c>
      <c r="P1166" s="3"/>
      <c r="Q1166" s="3">
        <f t="shared" si="36"/>
        <v>0</v>
      </c>
      <c r="R1166" s="4">
        <f t="shared" si="37"/>
        <v>0</v>
      </c>
      <c r="S1166" s="3" t="s">
        <v>23</v>
      </c>
      <c r="T1166" s="190"/>
    </row>
    <row r="1167" spans="1:20" ht="21.6" hidden="1" x14ac:dyDescent="0.3">
      <c r="A1167" s="182">
        <v>10</v>
      </c>
      <c r="B1167" s="42" t="s">
        <v>20</v>
      </c>
      <c r="C1167" s="43" t="s">
        <v>267</v>
      </c>
      <c r="D1167" s="50">
        <v>6173</v>
      </c>
      <c r="E1167" s="52" t="s">
        <v>282</v>
      </c>
      <c r="F1167" s="52" t="s">
        <v>274</v>
      </c>
      <c r="G1167" s="52" t="s">
        <v>208</v>
      </c>
      <c r="H1167" s="45" t="s">
        <v>429</v>
      </c>
      <c r="I1167" s="7" t="s">
        <v>22</v>
      </c>
      <c r="J1167" s="3">
        <v>0.7</v>
      </c>
      <c r="K1167" s="7" t="s">
        <v>308</v>
      </c>
      <c r="L1167" s="8" t="s">
        <v>130</v>
      </c>
      <c r="M1167" s="339" t="s">
        <v>131</v>
      </c>
      <c r="N1167" s="3">
        <v>0.9</v>
      </c>
      <c r="O1167" s="3">
        <v>0.15</v>
      </c>
      <c r="P1167" s="3"/>
      <c r="Q1167" s="3">
        <f t="shared" si="36"/>
        <v>0</v>
      </c>
      <c r="R1167" s="4">
        <f t="shared" si="37"/>
        <v>0</v>
      </c>
      <c r="S1167" s="3" t="s">
        <v>23</v>
      </c>
      <c r="T1167" s="190"/>
    </row>
    <row r="1168" spans="1:20" ht="21.6" hidden="1" x14ac:dyDescent="0.3">
      <c r="A1168" s="182">
        <v>11</v>
      </c>
      <c r="B1168" s="42" t="s">
        <v>20</v>
      </c>
      <c r="C1168" s="43" t="s">
        <v>267</v>
      </c>
      <c r="D1168" s="50">
        <v>6173</v>
      </c>
      <c r="E1168" s="52" t="s">
        <v>282</v>
      </c>
      <c r="F1168" s="52" t="s">
        <v>274</v>
      </c>
      <c r="G1168" s="52" t="s">
        <v>208</v>
      </c>
      <c r="H1168" s="45" t="s">
        <v>429</v>
      </c>
      <c r="I1168" s="7" t="s">
        <v>22</v>
      </c>
      <c r="J1168" s="3">
        <v>0.7</v>
      </c>
      <c r="K1168" s="7" t="s">
        <v>309</v>
      </c>
      <c r="L1168" s="8" t="s">
        <v>207</v>
      </c>
      <c r="M1168" s="339"/>
      <c r="N1168" s="3">
        <v>1</v>
      </c>
      <c r="O1168" s="3">
        <v>0.1</v>
      </c>
      <c r="P1168" s="3"/>
      <c r="Q1168" s="3">
        <f t="shared" si="36"/>
        <v>0</v>
      </c>
      <c r="R1168" s="4">
        <f t="shared" si="37"/>
        <v>0</v>
      </c>
      <c r="S1168" s="3" t="s">
        <v>23</v>
      </c>
      <c r="T1168" s="190"/>
    </row>
    <row r="1169" spans="1:20" ht="21.6" hidden="1" x14ac:dyDescent="0.3">
      <c r="A1169" s="182"/>
      <c r="B1169" s="42" t="s">
        <v>20</v>
      </c>
      <c r="C1169" s="43" t="s">
        <v>267</v>
      </c>
      <c r="D1169" s="50">
        <v>6173</v>
      </c>
      <c r="E1169" s="52" t="s">
        <v>282</v>
      </c>
      <c r="F1169" s="52" t="s">
        <v>274</v>
      </c>
      <c r="G1169" s="52" t="s">
        <v>208</v>
      </c>
      <c r="H1169" s="45" t="s">
        <v>429</v>
      </c>
      <c r="I1169" s="47" t="s">
        <v>22</v>
      </c>
      <c r="J1169" s="3">
        <v>0.7</v>
      </c>
      <c r="K1169" s="47" t="s">
        <v>310</v>
      </c>
      <c r="L1169" s="30" t="s">
        <v>136</v>
      </c>
      <c r="M1169" s="47" t="s">
        <v>137</v>
      </c>
      <c r="N1169" s="3">
        <v>0.9</v>
      </c>
      <c r="O1169" s="3">
        <v>0.1</v>
      </c>
      <c r="P1169" s="19"/>
      <c r="Q1169" s="3">
        <f t="shared" si="36"/>
        <v>0</v>
      </c>
      <c r="R1169" s="4">
        <f t="shared" si="37"/>
        <v>0</v>
      </c>
      <c r="S1169" s="3" t="s">
        <v>23</v>
      </c>
      <c r="T1169" s="190"/>
    </row>
    <row r="1170" spans="1:20" ht="22.2" hidden="1" thickBot="1" x14ac:dyDescent="0.35">
      <c r="A1170" s="267">
        <v>12</v>
      </c>
      <c r="B1170" s="268" t="s">
        <v>20</v>
      </c>
      <c r="C1170" s="269" t="s">
        <v>267</v>
      </c>
      <c r="D1170" s="290">
        <v>6173</v>
      </c>
      <c r="E1170" s="298" t="s">
        <v>282</v>
      </c>
      <c r="F1170" s="298" t="s">
        <v>274</v>
      </c>
      <c r="G1170" s="298" t="s">
        <v>208</v>
      </c>
      <c r="H1170" s="271" t="s">
        <v>429</v>
      </c>
      <c r="I1170" s="272" t="s">
        <v>26</v>
      </c>
      <c r="J1170" s="273">
        <v>0.3</v>
      </c>
      <c r="K1170" s="272" t="s">
        <v>138</v>
      </c>
      <c r="L1170" s="291" t="s">
        <v>139</v>
      </c>
      <c r="M1170" s="272" t="s">
        <v>140</v>
      </c>
      <c r="N1170" s="273">
        <v>1</v>
      </c>
      <c r="O1170" s="273">
        <v>1</v>
      </c>
      <c r="P1170" s="306"/>
      <c r="Q1170" s="273">
        <f t="shared" si="36"/>
        <v>0</v>
      </c>
      <c r="R1170" s="275">
        <f t="shared" si="37"/>
        <v>0</v>
      </c>
      <c r="S1170" s="276" t="s">
        <v>23</v>
      </c>
      <c r="T1170" s="307"/>
    </row>
    <row r="1171" spans="1:20" ht="21.6" hidden="1" x14ac:dyDescent="0.3">
      <c r="A1171" s="182">
        <v>7</v>
      </c>
      <c r="B1171" s="42" t="s">
        <v>20</v>
      </c>
      <c r="C1171" s="43" t="s">
        <v>267</v>
      </c>
      <c r="D1171" s="50">
        <v>6202</v>
      </c>
      <c r="E1171" s="52" t="s">
        <v>283</v>
      </c>
      <c r="F1171" s="52" t="s">
        <v>274</v>
      </c>
      <c r="G1171" s="52" t="s">
        <v>208</v>
      </c>
      <c r="H1171" s="45" t="s">
        <v>429</v>
      </c>
      <c r="I1171" s="7" t="s">
        <v>22</v>
      </c>
      <c r="J1171" s="3">
        <v>0.7</v>
      </c>
      <c r="K1171" s="7" t="s">
        <v>215</v>
      </c>
      <c r="L1171" s="8" t="s">
        <v>205</v>
      </c>
      <c r="M1171" s="7"/>
      <c r="N1171" s="3">
        <v>0.95</v>
      </c>
      <c r="O1171" s="3">
        <v>0.2</v>
      </c>
      <c r="P1171" s="3"/>
      <c r="Q1171" s="3">
        <f t="shared" si="36"/>
        <v>0</v>
      </c>
      <c r="R1171" s="4">
        <f t="shared" si="37"/>
        <v>0</v>
      </c>
      <c r="S1171" s="3" t="s">
        <v>23</v>
      </c>
      <c r="T1171" s="190">
        <f>SUM(R1171:R1177)%</f>
        <v>0</v>
      </c>
    </row>
    <row r="1172" spans="1:20" ht="21.6" hidden="1" x14ac:dyDescent="0.3">
      <c r="A1172" s="182">
        <v>8</v>
      </c>
      <c r="B1172" s="42" t="s">
        <v>20</v>
      </c>
      <c r="C1172" s="43" t="s">
        <v>267</v>
      </c>
      <c r="D1172" s="50">
        <v>6202</v>
      </c>
      <c r="E1172" s="52" t="s">
        <v>283</v>
      </c>
      <c r="F1172" s="52" t="s">
        <v>274</v>
      </c>
      <c r="G1172" s="52" t="s">
        <v>208</v>
      </c>
      <c r="H1172" s="45" t="s">
        <v>429</v>
      </c>
      <c r="I1172" s="7" t="s">
        <v>22</v>
      </c>
      <c r="J1172" s="3">
        <v>0.7</v>
      </c>
      <c r="K1172" s="7" t="s">
        <v>307</v>
      </c>
      <c r="L1172" s="8" t="s">
        <v>206</v>
      </c>
      <c r="M1172" s="7"/>
      <c r="N1172" s="3">
        <v>0.95</v>
      </c>
      <c r="O1172" s="3">
        <v>0.2</v>
      </c>
      <c r="P1172" s="3"/>
      <c r="Q1172" s="3">
        <f t="shared" si="36"/>
        <v>0</v>
      </c>
      <c r="R1172" s="4">
        <f t="shared" si="37"/>
        <v>0</v>
      </c>
      <c r="S1172" s="3" t="s">
        <v>23</v>
      </c>
      <c r="T1172" s="190"/>
    </row>
    <row r="1173" spans="1:20" ht="21.6" hidden="1" x14ac:dyDescent="0.3">
      <c r="A1173" s="182">
        <v>9</v>
      </c>
      <c r="B1173" s="42" t="s">
        <v>20</v>
      </c>
      <c r="C1173" s="43" t="s">
        <v>267</v>
      </c>
      <c r="D1173" s="50">
        <v>6202</v>
      </c>
      <c r="E1173" s="52" t="s">
        <v>283</v>
      </c>
      <c r="F1173" s="52" t="s">
        <v>274</v>
      </c>
      <c r="G1173" s="52" t="s">
        <v>208</v>
      </c>
      <c r="H1173" s="45" t="s">
        <v>429</v>
      </c>
      <c r="I1173" s="7" t="s">
        <v>22</v>
      </c>
      <c r="J1173" s="3">
        <v>0.7</v>
      </c>
      <c r="K1173" s="7" t="s">
        <v>305</v>
      </c>
      <c r="L1173" s="8" t="s">
        <v>257</v>
      </c>
      <c r="M1173" s="339" t="s">
        <v>306</v>
      </c>
      <c r="N1173" s="3">
        <v>0.95</v>
      </c>
      <c r="O1173" s="3">
        <v>0.25</v>
      </c>
      <c r="P1173" s="3"/>
      <c r="Q1173" s="3">
        <f t="shared" si="36"/>
        <v>0</v>
      </c>
      <c r="R1173" s="4">
        <f t="shared" si="37"/>
        <v>0</v>
      </c>
      <c r="S1173" s="3" t="s">
        <v>23</v>
      </c>
      <c r="T1173" s="190"/>
    </row>
    <row r="1174" spans="1:20" ht="21.6" hidden="1" x14ac:dyDescent="0.3">
      <c r="A1174" s="182">
        <v>10</v>
      </c>
      <c r="B1174" s="42" t="s">
        <v>20</v>
      </c>
      <c r="C1174" s="43" t="s">
        <v>267</v>
      </c>
      <c r="D1174" s="50">
        <v>6202</v>
      </c>
      <c r="E1174" s="52" t="s">
        <v>283</v>
      </c>
      <c r="F1174" s="52" t="s">
        <v>274</v>
      </c>
      <c r="G1174" s="52" t="s">
        <v>208</v>
      </c>
      <c r="H1174" s="45" t="s">
        <v>429</v>
      </c>
      <c r="I1174" s="7" t="s">
        <v>22</v>
      </c>
      <c r="J1174" s="3">
        <v>0.7</v>
      </c>
      <c r="K1174" s="7" t="s">
        <v>308</v>
      </c>
      <c r="L1174" s="8" t="s">
        <v>130</v>
      </c>
      <c r="M1174" s="339" t="s">
        <v>131</v>
      </c>
      <c r="N1174" s="3">
        <v>0.9</v>
      </c>
      <c r="O1174" s="3">
        <v>0.15</v>
      </c>
      <c r="P1174" s="3"/>
      <c r="Q1174" s="3">
        <f t="shared" si="36"/>
        <v>0</v>
      </c>
      <c r="R1174" s="4">
        <f t="shared" si="37"/>
        <v>0</v>
      </c>
      <c r="S1174" s="3" t="s">
        <v>23</v>
      </c>
      <c r="T1174" s="190"/>
    </row>
    <row r="1175" spans="1:20" ht="21.6" hidden="1" x14ac:dyDescent="0.3">
      <c r="A1175" s="182">
        <v>11</v>
      </c>
      <c r="B1175" s="42" t="s">
        <v>20</v>
      </c>
      <c r="C1175" s="43" t="s">
        <v>267</v>
      </c>
      <c r="D1175" s="50">
        <v>6202</v>
      </c>
      <c r="E1175" s="52" t="s">
        <v>283</v>
      </c>
      <c r="F1175" s="52" t="s">
        <v>274</v>
      </c>
      <c r="G1175" s="52" t="s">
        <v>208</v>
      </c>
      <c r="H1175" s="45" t="s">
        <v>429</v>
      </c>
      <c r="I1175" s="7" t="s">
        <v>22</v>
      </c>
      <c r="J1175" s="3">
        <v>0.7</v>
      </c>
      <c r="K1175" s="7" t="s">
        <v>309</v>
      </c>
      <c r="L1175" s="8" t="s">
        <v>207</v>
      </c>
      <c r="M1175" s="339"/>
      <c r="N1175" s="3">
        <v>1</v>
      </c>
      <c r="O1175" s="3">
        <v>0.1</v>
      </c>
      <c r="P1175" s="3"/>
      <c r="Q1175" s="3">
        <f t="shared" si="36"/>
        <v>0</v>
      </c>
      <c r="R1175" s="4">
        <f t="shared" si="37"/>
        <v>0</v>
      </c>
      <c r="S1175" s="3" t="s">
        <v>23</v>
      </c>
      <c r="T1175" s="190"/>
    </row>
    <row r="1176" spans="1:20" ht="21.6" hidden="1" x14ac:dyDescent="0.3">
      <c r="A1176" s="182"/>
      <c r="B1176" s="42" t="s">
        <v>20</v>
      </c>
      <c r="C1176" s="43" t="s">
        <v>267</v>
      </c>
      <c r="D1176" s="50">
        <v>6202</v>
      </c>
      <c r="E1176" s="52" t="s">
        <v>283</v>
      </c>
      <c r="F1176" s="52" t="s">
        <v>274</v>
      </c>
      <c r="G1176" s="52" t="s">
        <v>208</v>
      </c>
      <c r="H1176" s="45" t="s">
        <v>429</v>
      </c>
      <c r="I1176" s="47" t="s">
        <v>22</v>
      </c>
      <c r="J1176" s="3">
        <v>0.7</v>
      </c>
      <c r="K1176" s="47" t="s">
        <v>310</v>
      </c>
      <c r="L1176" s="30" t="s">
        <v>136</v>
      </c>
      <c r="M1176" s="47" t="s">
        <v>137</v>
      </c>
      <c r="N1176" s="3">
        <v>0.9</v>
      </c>
      <c r="O1176" s="3">
        <v>0.1</v>
      </c>
      <c r="P1176" s="19"/>
      <c r="Q1176" s="3">
        <f t="shared" si="36"/>
        <v>0</v>
      </c>
      <c r="R1176" s="4">
        <f t="shared" si="37"/>
        <v>0</v>
      </c>
      <c r="S1176" s="3" t="s">
        <v>23</v>
      </c>
      <c r="T1176" s="190"/>
    </row>
    <row r="1177" spans="1:20" ht="22.2" hidden="1" thickBot="1" x14ac:dyDescent="0.35">
      <c r="A1177" s="200">
        <v>12</v>
      </c>
      <c r="B1177" s="81" t="s">
        <v>20</v>
      </c>
      <c r="C1177" s="82" t="s">
        <v>267</v>
      </c>
      <c r="D1177" s="113">
        <v>6202</v>
      </c>
      <c r="E1177" s="118" t="s">
        <v>283</v>
      </c>
      <c r="F1177" s="118" t="s">
        <v>274</v>
      </c>
      <c r="G1177" s="118" t="s">
        <v>208</v>
      </c>
      <c r="H1177" s="84" t="s">
        <v>429</v>
      </c>
      <c r="I1177" s="85" t="s">
        <v>26</v>
      </c>
      <c r="J1177" s="238">
        <v>0.3</v>
      </c>
      <c r="K1177" s="85" t="s">
        <v>138</v>
      </c>
      <c r="L1177" s="114" t="s">
        <v>139</v>
      </c>
      <c r="M1177" s="85" t="s">
        <v>140</v>
      </c>
      <c r="N1177" s="238">
        <v>1</v>
      </c>
      <c r="O1177" s="238">
        <v>1</v>
      </c>
      <c r="P1177" s="308"/>
      <c r="Q1177" s="238">
        <f t="shared" si="36"/>
        <v>0</v>
      </c>
      <c r="R1177" s="254">
        <f t="shared" si="37"/>
        <v>0</v>
      </c>
      <c r="S1177" s="255" t="s">
        <v>23</v>
      </c>
      <c r="T1177" s="305"/>
    </row>
    <row r="1178" spans="1:20" ht="21.6" hidden="1" x14ac:dyDescent="0.3">
      <c r="A1178" s="182">
        <v>13</v>
      </c>
      <c r="B1178" s="42" t="s">
        <v>20</v>
      </c>
      <c r="C1178" s="43" t="s">
        <v>267</v>
      </c>
      <c r="D1178" s="50">
        <v>5431</v>
      </c>
      <c r="E1178" s="52" t="s">
        <v>210</v>
      </c>
      <c r="F1178" s="52" t="s">
        <v>211</v>
      </c>
      <c r="G1178" s="52" t="s">
        <v>31</v>
      </c>
      <c r="H1178" s="45" t="s">
        <v>429</v>
      </c>
      <c r="I1178" s="7" t="s">
        <v>22</v>
      </c>
      <c r="J1178" s="3">
        <v>0.7</v>
      </c>
      <c r="K1178" s="7" t="s">
        <v>557</v>
      </c>
      <c r="L1178" s="8" t="s">
        <v>558</v>
      </c>
      <c r="M1178" s="7" t="s">
        <v>559</v>
      </c>
      <c r="N1178" s="3">
        <v>0.95</v>
      </c>
      <c r="O1178" s="3">
        <v>0.25</v>
      </c>
      <c r="P1178" s="3"/>
      <c r="Q1178" s="3">
        <f t="shared" si="36"/>
        <v>0</v>
      </c>
      <c r="R1178" s="4">
        <f t="shared" si="37"/>
        <v>0</v>
      </c>
      <c r="S1178" s="3" t="s">
        <v>23</v>
      </c>
      <c r="T1178" s="190">
        <f>SUM(R1178:R1183)%</f>
        <v>0</v>
      </c>
    </row>
    <row r="1179" spans="1:20" ht="21.6" hidden="1" x14ac:dyDescent="0.3">
      <c r="A1179" s="182">
        <v>14</v>
      </c>
      <c r="B1179" s="42" t="s">
        <v>20</v>
      </c>
      <c r="C1179" s="43" t="s">
        <v>267</v>
      </c>
      <c r="D1179" s="50">
        <v>5431</v>
      </c>
      <c r="E1179" s="52" t="s">
        <v>210</v>
      </c>
      <c r="F1179" s="52" t="s">
        <v>211</v>
      </c>
      <c r="G1179" s="52" t="s">
        <v>31</v>
      </c>
      <c r="H1179" s="45" t="s">
        <v>429</v>
      </c>
      <c r="I1179" s="7" t="s">
        <v>22</v>
      </c>
      <c r="J1179" s="3">
        <v>0.7</v>
      </c>
      <c r="K1179" s="7" t="s">
        <v>560</v>
      </c>
      <c r="L1179" s="8" t="s">
        <v>561</v>
      </c>
      <c r="M1179" s="7" t="s">
        <v>562</v>
      </c>
      <c r="N1179" s="3">
        <v>0.95</v>
      </c>
      <c r="O1179" s="3">
        <v>0.25</v>
      </c>
      <c r="P1179" s="3"/>
      <c r="Q1179" s="3">
        <f t="shared" si="36"/>
        <v>0</v>
      </c>
      <c r="R1179" s="4">
        <f t="shared" si="37"/>
        <v>0</v>
      </c>
      <c r="S1179" s="3" t="s">
        <v>23</v>
      </c>
      <c r="T1179" s="190"/>
    </row>
    <row r="1180" spans="1:20" ht="21.6" hidden="1" x14ac:dyDescent="0.3">
      <c r="A1180" s="182">
        <v>15</v>
      </c>
      <c r="B1180" s="42" t="s">
        <v>20</v>
      </c>
      <c r="C1180" s="43" t="s">
        <v>267</v>
      </c>
      <c r="D1180" s="50">
        <v>5431</v>
      </c>
      <c r="E1180" s="52" t="s">
        <v>210</v>
      </c>
      <c r="F1180" s="52" t="s">
        <v>211</v>
      </c>
      <c r="G1180" s="52" t="s">
        <v>31</v>
      </c>
      <c r="H1180" s="45" t="s">
        <v>429</v>
      </c>
      <c r="I1180" s="7" t="s">
        <v>22</v>
      </c>
      <c r="J1180" s="3">
        <v>0.7</v>
      </c>
      <c r="K1180" s="7" t="s">
        <v>308</v>
      </c>
      <c r="L1180" s="8" t="s">
        <v>130</v>
      </c>
      <c r="M1180" s="339" t="s">
        <v>131</v>
      </c>
      <c r="N1180" s="3">
        <v>0.9</v>
      </c>
      <c r="O1180" s="3">
        <v>0.25</v>
      </c>
      <c r="P1180" s="3"/>
      <c r="Q1180" s="3">
        <f t="shared" si="36"/>
        <v>0</v>
      </c>
      <c r="R1180" s="4">
        <f t="shared" si="37"/>
        <v>0</v>
      </c>
      <c r="S1180" s="3" t="s">
        <v>23</v>
      </c>
      <c r="T1180" s="190"/>
    </row>
    <row r="1181" spans="1:20" ht="21.6" hidden="1" x14ac:dyDescent="0.3">
      <c r="A1181" s="182">
        <v>16</v>
      </c>
      <c r="B1181" s="42" t="s">
        <v>20</v>
      </c>
      <c r="C1181" s="43" t="s">
        <v>267</v>
      </c>
      <c r="D1181" s="50">
        <v>5431</v>
      </c>
      <c r="E1181" s="52" t="s">
        <v>210</v>
      </c>
      <c r="F1181" s="52" t="s">
        <v>211</v>
      </c>
      <c r="G1181" s="52" t="s">
        <v>31</v>
      </c>
      <c r="H1181" s="45" t="s">
        <v>429</v>
      </c>
      <c r="I1181" s="7" t="s">
        <v>22</v>
      </c>
      <c r="J1181" s="3">
        <v>0.7</v>
      </c>
      <c r="K1181" s="7" t="s">
        <v>309</v>
      </c>
      <c r="L1181" s="8" t="s">
        <v>207</v>
      </c>
      <c r="M1181" s="339"/>
      <c r="N1181" s="3">
        <v>1</v>
      </c>
      <c r="O1181" s="3">
        <v>0.1</v>
      </c>
      <c r="P1181" s="3"/>
      <c r="Q1181" s="3">
        <f t="shared" si="36"/>
        <v>0</v>
      </c>
      <c r="R1181" s="4">
        <f t="shared" si="37"/>
        <v>0</v>
      </c>
      <c r="S1181" s="3" t="s">
        <v>23</v>
      </c>
      <c r="T1181" s="190"/>
    </row>
    <row r="1182" spans="1:20" ht="21.6" hidden="1" x14ac:dyDescent="0.3">
      <c r="A1182" s="182">
        <v>17</v>
      </c>
      <c r="B1182" s="42" t="s">
        <v>20</v>
      </c>
      <c r="C1182" s="43" t="s">
        <v>267</v>
      </c>
      <c r="D1182" s="50">
        <v>5431</v>
      </c>
      <c r="E1182" s="52" t="s">
        <v>210</v>
      </c>
      <c r="F1182" s="52" t="s">
        <v>211</v>
      </c>
      <c r="G1182" s="52" t="s">
        <v>31</v>
      </c>
      <c r="H1182" s="45" t="s">
        <v>429</v>
      </c>
      <c r="I1182" s="7" t="s">
        <v>22</v>
      </c>
      <c r="J1182" s="3">
        <v>0.7</v>
      </c>
      <c r="K1182" s="7" t="s">
        <v>310</v>
      </c>
      <c r="L1182" s="8" t="s">
        <v>136</v>
      </c>
      <c r="M1182" s="339" t="s">
        <v>137</v>
      </c>
      <c r="N1182" s="3">
        <v>0.9</v>
      </c>
      <c r="O1182" s="3">
        <v>0.15</v>
      </c>
      <c r="P1182" s="3"/>
      <c r="Q1182" s="3">
        <f t="shared" si="36"/>
        <v>0</v>
      </c>
      <c r="R1182" s="4">
        <f t="shared" si="37"/>
        <v>0</v>
      </c>
      <c r="S1182" s="3" t="s">
        <v>23</v>
      </c>
      <c r="T1182" s="190"/>
    </row>
    <row r="1183" spans="1:20" ht="22.2" hidden="1" thickBot="1" x14ac:dyDescent="0.35">
      <c r="A1183" s="200">
        <v>18</v>
      </c>
      <c r="B1183" s="81" t="s">
        <v>20</v>
      </c>
      <c r="C1183" s="82" t="s">
        <v>267</v>
      </c>
      <c r="D1183" s="113">
        <v>5431</v>
      </c>
      <c r="E1183" s="118" t="s">
        <v>210</v>
      </c>
      <c r="F1183" s="118" t="s">
        <v>211</v>
      </c>
      <c r="G1183" s="118" t="s">
        <v>31</v>
      </c>
      <c r="H1183" s="84" t="s">
        <v>429</v>
      </c>
      <c r="I1183" s="85" t="s">
        <v>26</v>
      </c>
      <c r="J1183" s="238">
        <v>0.3</v>
      </c>
      <c r="K1183" s="85" t="s">
        <v>138</v>
      </c>
      <c r="L1183" s="114" t="s">
        <v>139</v>
      </c>
      <c r="M1183" s="85" t="s">
        <v>140</v>
      </c>
      <c r="N1183" s="238">
        <v>1</v>
      </c>
      <c r="O1183" s="238">
        <v>1</v>
      </c>
      <c r="P1183" s="308"/>
      <c r="Q1183" s="238">
        <f t="shared" si="36"/>
        <v>0</v>
      </c>
      <c r="R1183" s="254">
        <f t="shared" si="37"/>
        <v>0</v>
      </c>
      <c r="S1183" s="255" t="s">
        <v>23</v>
      </c>
      <c r="T1183" s="305"/>
    </row>
    <row r="1184" spans="1:20" ht="21.6" hidden="1" x14ac:dyDescent="0.3">
      <c r="A1184" s="182">
        <v>13</v>
      </c>
      <c r="B1184" s="42" t="s">
        <v>20</v>
      </c>
      <c r="C1184" s="43" t="s">
        <v>267</v>
      </c>
      <c r="D1184" s="50">
        <v>5500</v>
      </c>
      <c r="E1184" s="52" t="s">
        <v>285</v>
      </c>
      <c r="F1184" s="52" t="s">
        <v>284</v>
      </c>
      <c r="G1184" s="52" t="s">
        <v>31</v>
      </c>
      <c r="H1184" s="45" t="s">
        <v>429</v>
      </c>
      <c r="I1184" s="7" t="s">
        <v>22</v>
      </c>
      <c r="J1184" s="3">
        <v>0.7</v>
      </c>
      <c r="K1184" s="7" t="s">
        <v>557</v>
      </c>
      <c r="L1184" s="8" t="s">
        <v>558</v>
      </c>
      <c r="M1184" s="7" t="s">
        <v>559</v>
      </c>
      <c r="N1184" s="3">
        <v>0.95</v>
      </c>
      <c r="O1184" s="3">
        <v>0.25</v>
      </c>
      <c r="P1184" s="3"/>
      <c r="Q1184" s="3">
        <f t="shared" si="36"/>
        <v>0</v>
      </c>
      <c r="R1184" s="4">
        <f t="shared" si="37"/>
        <v>0</v>
      </c>
      <c r="S1184" s="3" t="s">
        <v>23</v>
      </c>
      <c r="T1184" s="190">
        <f>SUM(R1184:R1189)%</f>
        <v>0</v>
      </c>
    </row>
    <row r="1185" spans="1:20" ht="21.6" hidden="1" x14ac:dyDescent="0.3">
      <c r="A1185" s="182">
        <v>14</v>
      </c>
      <c r="B1185" s="42" t="s">
        <v>20</v>
      </c>
      <c r="C1185" s="43" t="s">
        <v>267</v>
      </c>
      <c r="D1185" s="50">
        <v>5500</v>
      </c>
      <c r="E1185" s="52" t="s">
        <v>285</v>
      </c>
      <c r="F1185" s="52" t="s">
        <v>284</v>
      </c>
      <c r="G1185" s="52" t="s">
        <v>31</v>
      </c>
      <c r="H1185" s="45" t="s">
        <v>429</v>
      </c>
      <c r="I1185" s="7" t="s">
        <v>22</v>
      </c>
      <c r="J1185" s="3">
        <v>0.7</v>
      </c>
      <c r="K1185" s="7" t="s">
        <v>560</v>
      </c>
      <c r="L1185" s="8" t="s">
        <v>561</v>
      </c>
      <c r="M1185" s="7" t="s">
        <v>562</v>
      </c>
      <c r="N1185" s="3">
        <v>0.95</v>
      </c>
      <c r="O1185" s="3">
        <v>0.25</v>
      </c>
      <c r="P1185" s="3"/>
      <c r="Q1185" s="3">
        <f t="shared" si="36"/>
        <v>0</v>
      </c>
      <c r="R1185" s="4">
        <f t="shared" si="37"/>
        <v>0</v>
      </c>
      <c r="S1185" s="3" t="s">
        <v>23</v>
      </c>
      <c r="T1185" s="190"/>
    </row>
    <row r="1186" spans="1:20" ht="21.6" hidden="1" x14ac:dyDescent="0.3">
      <c r="A1186" s="182">
        <v>15</v>
      </c>
      <c r="B1186" s="42" t="s">
        <v>20</v>
      </c>
      <c r="C1186" s="43" t="s">
        <v>267</v>
      </c>
      <c r="D1186" s="50">
        <v>5500</v>
      </c>
      <c r="E1186" s="52" t="s">
        <v>285</v>
      </c>
      <c r="F1186" s="52" t="s">
        <v>284</v>
      </c>
      <c r="G1186" s="52" t="s">
        <v>31</v>
      </c>
      <c r="H1186" s="45" t="s">
        <v>429</v>
      </c>
      <c r="I1186" s="7" t="s">
        <v>22</v>
      </c>
      <c r="J1186" s="3">
        <v>0.7</v>
      </c>
      <c r="K1186" s="7" t="s">
        <v>308</v>
      </c>
      <c r="L1186" s="8" t="s">
        <v>130</v>
      </c>
      <c r="M1186" s="339" t="s">
        <v>131</v>
      </c>
      <c r="N1186" s="3">
        <v>0.9</v>
      </c>
      <c r="O1186" s="3">
        <v>0.25</v>
      </c>
      <c r="P1186" s="3"/>
      <c r="Q1186" s="3">
        <f t="shared" ref="Q1186:Q1249" si="38">ROUND(IF(OR(N1186="",P1186=""),0,IF(AND(N1186=0,P1186=0),1,IF(S1186="+",P1186/N1186,N1186/P1186))),2)</f>
        <v>0</v>
      </c>
      <c r="R1186" s="4">
        <f t="shared" si="37"/>
        <v>0</v>
      </c>
      <c r="S1186" s="3" t="s">
        <v>23</v>
      </c>
      <c r="T1186" s="190"/>
    </row>
    <row r="1187" spans="1:20" ht="21.6" hidden="1" x14ac:dyDescent="0.3">
      <c r="A1187" s="182">
        <v>16</v>
      </c>
      <c r="B1187" s="42" t="s">
        <v>20</v>
      </c>
      <c r="C1187" s="43" t="s">
        <v>267</v>
      </c>
      <c r="D1187" s="50">
        <v>5500</v>
      </c>
      <c r="E1187" s="52" t="s">
        <v>285</v>
      </c>
      <c r="F1187" s="52" t="s">
        <v>284</v>
      </c>
      <c r="G1187" s="52" t="s">
        <v>31</v>
      </c>
      <c r="H1187" s="45" t="s">
        <v>429</v>
      </c>
      <c r="I1187" s="7" t="s">
        <v>22</v>
      </c>
      <c r="J1187" s="3">
        <v>0.7</v>
      </c>
      <c r="K1187" s="7" t="s">
        <v>309</v>
      </c>
      <c r="L1187" s="8" t="s">
        <v>207</v>
      </c>
      <c r="M1187" s="339"/>
      <c r="N1187" s="3">
        <v>1</v>
      </c>
      <c r="O1187" s="3">
        <v>0.1</v>
      </c>
      <c r="P1187" s="3"/>
      <c r="Q1187" s="3">
        <f t="shared" si="38"/>
        <v>0</v>
      </c>
      <c r="R1187" s="4">
        <f t="shared" si="37"/>
        <v>0</v>
      </c>
      <c r="S1187" s="3" t="s">
        <v>23</v>
      </c>
      <c r="T1187" s="190"/>
    </row>
    <row r="1188" spans="1:20" ht="21.6" hidden="1" x14ac:dyDescent="0.3">
      <c r="A1188" s="182">
        <v>17</v>
      </c>
      <c r="B1188" s="42" t="s">
        <v>20</v>
      </c>
      <c r="C1188" s="43" t="s">
        <v>267</v>
      </c>
      <c r="D1188" s="50">
        <v>5500</v>
      </c>
      <c r="E1188" s="52" t="s">
        <v>285</v>
      </c>
      <c r="F1188" s="52" t="s">
        <v>284</v>
      </c>
      <c r="G1188" s="52" t="s">
        <v>31</v>
      </c>
      <c r="H1188" s="45" t="s">
        <v>429</v>
      </c>
      <c r="I1188" s="7" t="s">
        <v>22</v>
      </c>
      <c r="J1188" s="3">
        <v>0.7</v>
      </c>
      <c r="K1188" s="7" t="s">
        <v>310</v>
      </c>
      <c r="L1188" s="8" t="s">
        <v>136</v>
      </c>
      <c r="M1188" s="339" t="s">
        <v>137</v>
      </c>
      <c r="N1188" s="3">
        <v>0.9</v>
      </c>
      <c r="O1188" s="3">
        <v>0.15</v>
      </c>
      <c r="P1188" s="3"/>
      <c r="Q1188" s="3">
        <f t="shared" si="38"/>
        <v>0</v>
      </c>
      <c r="R1188" s="4">
        <f t="shared" si="37"/>
        <v>0</v>
      </c>
      <c r="S1188" s="3" t="s">
        <v>23</v>
      </c>
      <c r="T1188" s="190"/>
    </row>
    <row r="1189" spans="1:20" ht="22.2" hidden="1" thickBot="1" x14ac:dyDescent="0.35">
      <c r="A1189" s="200">
        <v>18</v>
      </c>
      <c r="B1189" s="81" t="s">
        <v>20</v>
      </c>
      <c r="C1189" s="82" t="s">
        <v>267</v>
      </c>
      <c r="D1189" s="113">
        <v>5500</v>
      </c>
      <c r="E1189" s="118" t="s">
        <v>285</v>
      </c>
      <c r="F1189" s="118" t="s">
        <v>284</v>
      </c>
      <c r="G1189" s="118" t="s">
        <v>31</v>
      </c>
      <c r="H1189" s="84" t="s">
        <v>429</v>
      </c>
      <c r="I1189" s="85" t="s">
        <v>26</v>
      </c>
      <c r="J1189" s="238">
        <v>0.3</v>
      </c>
      <c r="K1189" s="85" t="s">
        <v>138</v>
      </c>
      <c r="L1189" s="114" t="s">
        <v>139</v>
      </c>
      <c r="M1189" s="85" t="s">
        <v>140</v>
      </c>
      <c r="N1189" s="238">
        <v>1</v>
      </c>
      <c r="O1189" s="238">
        <v>1</v>
      </c>
      <c r="P1189" s="238"/>
      <c r="Q1189" s="238">
        <f t="shared" si="38"/>
        <v>0</v>
      </c>
      <c r="R1189" s="254">
        <f t="shared" si="37"/>
        <v>0</v>
      </c>
      <c r="S1189" s="255" t="s">
        <v>23</v>
      </c>
      <c r="T1189" s="305"/>
    </row>
    <row r="1190" spans="1:20" ht="21.6" hidden="1" x14ac:dyDescent="0.3">
      <c r="A1190" s="182">
        <v>13</v>
      </c>
      <c r="B1190" s="42" t="s">
        <v>20</v>
      </c>
      <c r="C1190" s="43" t="s">
        <v>267</v>
      </c>
      <c r="D1190" s="50">
        <v>6484</v>
      </c>
      <c r="E1190" s="52" t="s">
        <v>212</v>
      </c>
      <c r="F1190" s="52" t="s">
        <v>145</v>
      </c>
      <c r="G1190" s="52" t="s">
        <v>31</v>
      </c>
      <c r="H1190" s="45" t="s">
        <v>429</v>
      </c>
      <c r="I1190" s="7" t="s">
        <v>22</v>
      </c>
      <c r="J1190" s="3">
        <v>0.7</v>
      </c>
      <c r="K1190" s="7" t="s">
        <v>215</v>
      </c>
      <c r="L1190" s="8" t="s">
        <v>205</v>
      </c>
      <c r="M1190" s="7"/>
      <c r="N1190" s="3">
        <v>0.95</v>
      </c>
      <c r="O1190" s="3">
        <v>0.2</v>
      </c>
      <c r="P1190" s="3"/>
      <c r="Q1190" s="3">
        <f t="shared" si="38"/>
        <v>0</v>
      </c>
      <c r="R1190" s="4">
        <f t="shared" si="37"/>
        <v>0</v>
      </c>
      <c r="S1190" s="3" t="s">
        <v>23</v>
      </c>
      <c r="T1190" s="190">
        <f>SUM(R1190:R1196)%</f>
        <v>0</v>
      </c>
    </row>
    <row r="1191" spans="1:20" ht="21.6" hidden="1" x14ac:dyDescent="0.3">
      <c r="A1191" s="182">
        <v>14</v>
      </c>
      <c r="B1191" s="42" t="s">
        <v>20</v>
      </c>
      <c r="C1191" s="43" t="s">
        <v>267</v>
      </c>
      <c r="D1191" s="50">
        <v>6484</v>
      </c>
      <c r="E1191" s="52" t="s">
        <v>212</v>
      </c>
      <c r="F1191" s="52" t="s">
        <v>145</v>
      </c>
      <c r="G1191" s="52" t="s">
        <v>31</v>
      </c>
      <c r="H1191" s="45" t="s">
        <v>429</v>
      </c>
      <c r="I1191" s="7" t="s">
        <v>22</v>
      </c>
      <c r="J1191" s="3">
        <v>0.7</v>
      </c>
      <c r="K1191" s="7" t="s">
        <v>307</v>
      </c>
      <c r="L1191" s="8" t="s">
        <v>206</v>
      </c>
      <c r="M1191" s="7"/>
      <c r="N1191" s="3">
        <v>0.95</v>
      </c>
      <c r="O1191" s="3">
        <v>0.2</v>
      </c>
      <c r="P1191" s="3"/>
      <c r="Q1191" s="3">
        <f t="shared" si="38"/>
        <v>0</v>
      </c>
      <c r="R1191" s="4">
        <f t="shared" si="37"/>
        <v>0</v>
      </c>
      <c r="S1191" s="3" t="s">
        <v>23</v>
      </c>
      <c r="T1191" s="190"/>
    </row>
    <row r="1192" spans="1:20" ht="21.6" hidden="1" x14ac:dyDescent="0.3">
      <c r="A1192" s="182">
        <v>15</v>
      </c>
      <c r="B1192" s="42" t="s">
        <v>20</v>
      </c>
      <c r="C1192" s="43" t="s">
        <v>267</v>
      </c>
      <c r="D1192" s="50">
        <v>6484</v>
      </c>
      <c r="E1192" s="52" t="s">
        <v>212</v>
      </c>
      <c r="F1192" s="52" t="s">
        <v>145</v>
      </c>
      <c r="G1192" s="52" t="s">
        <v>31</v>
      </c>
      <c r="H1192" s="45" t="s">
        <v>429</v>
      </c>
      <c r="I1192" s="7" t="s">
        <v>22</v>
      </c>
      <c r="J1192" s="3">
        <v>0.7</v>
      </c>
      <c r="K1192" s="7" t="s">
        <v>305</v>
      </c>
      <c r="L1192" s="8" t="s">
        <v>257</v>
      </c>
      <c r="M1192" s="339" t="s">
        <v>306</v>
      </c>
      <c r="N1192" s="3">
        <v>0.95</v>
      </c>
      <c r="O1192" s="3">
        <v>0.25</v>
      </c>
      <c r="P1192" s="3"/>
      <c r="Q1192" s="3">
        <f t="shared" si="38"/>
        <v>0</v>
      </c>
      <c r="R1192" s="4">
        <f t="shared" si="37"/>
        <v>0</v>
      </c>
      <c r="S1192" s="3" t="s">
        <v>23</v>
      </c>
      <c r="T1192" s="190"/>
    </row>
    <row r="1193" spans="1:20" ht="21.6" hidden="1" x14ac:dyDescent="0.3">
      <c r="A1193" s="182">
        <v>16</v>
      </c>
      <c r="B1193" s="42" t="s">
        <v>20</v>
      </c>
      <c r="C1193" s="43" t="s">
        <v>267</v>
      </c>
      <c r="D1193" s="50">
        <v>6484</v>
      </c>
      <c r="E1193" s="52" t="s">
        <v>212</v>
      </c>
      <c r="F1193" s="52" t="s">
        <v>145</v>
      </c>
      <c r="G1193" s="52" t="s">
        <v>31</v>
      </c>
      <c r="H1193" s="45" t="s">
        <v>429</v>
      </c>
      <c r="I1193" s="7" t="s">
        <v>22</v>
      </c>
      <c r="J1193" s="3">
        <v>0.7</v>
      </c>
      <c r="K1193" s="7" t="s">
        <v>308</v>
      </c>
      <c r="L1193" s="8" t="s">
        <v>130</v>
      </c>
      <c r="M1193" s="339" t="s">
        <v>131</v>
      </c>
      <c r="N1193" s="3">
        <v>0.9</v>
      </c>
      <c r="O1193" s="3">
        <v>0.15</v>
      </c>
      <c r="P1193" s="3"/>
      <c r="Q1193" s="3">
        <f t="shared" si="38"/>
        <v>0</v>
      </c>
      <c r="R1193" s="4">
        <f t="shared" si="37"/>
        <v>0</v>
      </c>
      <c r="S1193" s="3" t="s">
        <v>23</v>
      </c>
      <c r="T1193" s="190"/>
    </row>
    <row r="1194" spans="1:20" ht="21.6" hidden="1" x14ac:dyDescent="0.3">
      <c r="A1194" s="182">
        <v>17</v>
      </c>
      <c r="B1194" s="42" t="s">
        <v>20</v>
      </c>
      <c r="C1194" s="43" t="s">
        <v>267</v>
      </c>
      <c r="D1194" s="50">
        <v>6484</v>
      </c>
      <c r="E1194" s="52" t="s">
        <v>212</v>
      </c>
      <c r="F1194" s="52" t="s">
        <v>145</v>
      </c>
      <c r="G1194" s="52" t="s">
        <v>31</v>
      </c>
      <c r="H1194" s="45" t="s">
        <v>429</v>
      </c>
      <c r="I1194" s="7" t="s">
        <v>22</v>
      </c>
      <c r="J1194" s="3">
        <v>0.7</v>
      </c>
      <c r="K1194" s="7" t="s">
        <v>309</v>
      </c>
      <c r="L1194" s="8" t="s">
        <v>207</v>
      </c>
      <c r="M1194" s="339"/>
      <c r="N1194" s="3">
        <v>1</v>
      </c>
      <c r="O1194" s="3">
        <v>0.1</v>
      </c>
      <c r="P1194" s="3"/>
      <c r="Q1194" s="3">
        <f t="shared" si="38"/>
        <v>0</v>
      </c>
      <c r="R1194" s="4">
        <f t="shared" si="37"/>
        <v>0</v>
      </c>
      <c r="S1194" s="3" t="s">
        <v>23</v>
      </c>
      <c r="T1194" s="190"/>
    </row>
    <row r="1195" spans="1:20" ht="21.6" hidden="1" x14ac:dyDescent="0.3">
      <c r="A1195" s="182"/>
      <c r="B1195" s="42" t="s">
        <v>20</v>
      </c>
      <c r="C1195" s="43" t="s">
        <v>267</v>
      </c>
      <c r="D1195" s="50">
        <v>6484</v>
      </c>
      <c r="E1195" s="52" t="s">
        <v>212</v>
      </c>
      <c r="F1195" s="52" t="s">
        <v>145</v>
      </c>
      <c r="G1195" s="52" t="s">
        <v>31</v>
      </c>
      <c r="H1195" s="45" t="s">
        <v>429</v>
      </c>
      <c r="I1195" s="47" t="s">
        <v>22</v>
      </c>
      <c r="J1195" s="3">
        <v>0.7</v>
      </c>
      <c r="K1195" s="47" t="s">
        <v>310</v>
      </c>
      <c r="L1195" s="30" t="s">
        <v>136</v>
      </c>
      <c r="M1195" s="47" t="s">
        <v>137</v>
      </c>
      <c r="N1195" s="3">
        <v>0.9</v>
      </c>
      <c r="O1195" s="3">
        <v>0.1</v>
      </c>
      <c r="P1195" s="19"/>
      <c r="Q1195" s="3">
        <f t="shared" si="38"/>
        <v>0</v>
      </c>
      <c r="R1195" s="4">
        <f t="shared" si="37"/>
        <v>0</v>
      </c>
      <c r="S1195" s="3" t="s">
        <v>23</v>
      </c>
      <c r="T1195" s="190"/>
    </row>
    <row r="1196" spans="1:20" ht="22.2" hidden="1" thickBot="1" x14ac:dyDescent="0.35">
      <c r="A1196" s="267">
        <v>18</v>
      </c>
      <c r="B1196" s="268" t="s">
        <v>20</v>
      </c>
      <c r="C1196" s="269" t="s">
        <v>267</v>
      </c>
      <c r="D1196" s="290">
        <v>6484</v>
      </c>
      <c r="E1196" s="298" t="s">
        <v>212</v>
      </c>
      <c r="F1196" s="298" t="s">
        <v>145</v>
      </c>
      <c r="G1196" s="298" t="s">
        <v>31</v>
      </c>
      <c r="H1196" s="271" t="s">
        <v>429</v>
      </c>
      <c r="I1196" s="272" t="s">
        <v>26</v>
      </c>
      <c r="J1196" s="273">
        <v>0.3</v>
      </c>
      <c r="K1196" s="272" t="s">
        <v>138</v>
      </c>
      <c r="L1196" s="291" t="s">
        <v>139</v>
      </c>
      <c r="M1196" s="272" t="s">
        <v>140</v>
      </c>
      <c r="N1196" s="273">
        <v>1</v>
      </c>
      <c r="O1196" s="273">
        <v>1</v>
      </c>
      <c r="P1196" s="306"/>
      <c r="Q1196" s="273">
        <f t="shared" si="38"/>
        <v>0</v>
      </c>
      <c r="R1196" s="275">
        <f t="shared" si="37"/>
        <v>0</v>
      </c>
      <c r="S1196" s="276" t="s">
        <v>23</v>
      </c>
      <c r="T1196" s="307"/>
    </row>
    <row r="1197" spans="1:20" ht="21.6" hidden="1" x14ac:dyDescent="0.3">
      <c r="A1197" s="182">
        <v>13</v>
      </c>
      <c r="B1197" s="42" t="s">
        <v>20</v>
      </c>
      <c r="C1197" s="43" t="s">
        <v>267</v>
      </c>
      <c r="D1197" s="50">
        <v>6560</v>
      </c>
      <c r="E1197" s="52" t="s">
        <v>268</v>
      </c>
      <c r="F1197" s="52" t="s">
        <v>123</v>
      </c>
      <c r="G1197" s="52" t="s">
        <v>31</v>
      </c>
      <c r="H1197" s="45" t="s">
        <v>429</v>
      </c>
      <c r="I1197" s="7" t="s">
        <v>22</v>
      </c>
      <c r="J1197" s="3">
        <v>0.7</v>
      </c>
      <c r="K1197" s="7" t="s">
        <v>215</v>
      </c>
      <c r="L1197" s="8" t="s">
        <v>205</v>
      </c>
      <c r="M1197" s="7"/>
      <c r="N1197" s="3">
        <v>0.95</v>
      </c>
      <c r="O1197" s="3">
        <v>0.2</v>
      </c>
      <c r="P1197" s="3"/>
      <c r="Q1197" s="3">
        <f t="shared" si="38"/>
        <v>0</v>
      </c>
      <c r="R1197" s="4">
        <f t="shared" si="37"/>
        <v>0</v>
      </c>
      <c r="S1197" s="3" t="s">
        <v>23</v>
      </c>
      <c r="T1197" s="190">
        <f>SUM(R1197:R1203)%</f>
        <v>0</v>
      </c>
    </row>
    <row r="1198" spans="1:20" ht="21.6" hidden="1" x14ac:dyDescent="0.3">
      <c r="A1198" s="182">
        <v>14</v>
      </c>
      <c r="B1198" s="42" t="s">
        <v>20</v>
      </c>
      <c r="C1198" s="43" t="s">
        <v>267</v>
      </c>
      <c r="D1198" s="50">
        <v>6560</v>
      </c>
      <c r="E1198" s="52" t="s">
        <v>268</v>
      </c>
      <c r="F1198" s="52" t="s">
        <v>123</v>
      </c>
      <c r="G1198" s="52" t="s">
        <v>31</v>
      </c>
      <c r="H1198" s="45" t="s">
        <v>429</v>
      </c>
      <c r="I1198" s="7" t="s">
        <v>22</v>
      </c>
      <c r="J1198" s="3">
        <v>0.7</v>
      </c>
      <c r="K1198" s="7" t="s">
        <v>307</v>
      </c>
      <c r="L1198" s="8" t="s">
        <v>206</v>
      </c>
      <c r="M1198" s="7"/>
      <c r="N1198" s="3">
        <v>0.95</v>
      </c>
      <c r="O1198" s="3">
        <v>0.2</v>
      </c>
      <c r="P1198" s="3"/>
      <c r="Q1198" s="3">
        <f t="shared" si="38"/>
        <v>0</v>
      </c>
      <c r="R1198" s="4">
        <f t="shared" si="37"/>
        <v>0</v>
      </c>
      <c r="S1198" s="3" t="s">
        <v>23</v>
      </c>
      <c r="T1198" s="190"/>
    </row>
    <row r="1199" spans="1:20" ht="21.6" hidden="1" x14ac:dyDescent="0.3">
      <c r="A1199" s="182">
        <v>15</v>
      </c>
      <c r="B1199" s="42" t="s">
        <v>20</v>
      </c>
      <c r="C1199" s="43" t="s">
        <v>267</v>
      </c>
      <c r="D1199" s="50">
        <v>6560</v>
      </c>
      <c r="E1199" s="52" t="s">
        <v>268</v>
      </c>
      <c r="F1199" s="52" t="s">
        <v>123</v>
      </c>
      <c r="G1199" s="52" t="s">
        <v>31</v>
      </c>
      <c r="H1199" s="45" t="s">
        <v>429</v>
      </c>
      <c r="I1199" s="7" t="s">
        <v>22</v>
      </c>
      <c r="J1199" s="3">
        <v>0.7</v>
      </c>
      <c r="K1199" s="7" t="s">
        <v>305</v>
      </c>
      <c r="L1199" s="8" t="s">
        <v>257</v>
      </c>
      <c r="M1199" s="339" t="s">
        <v>306</v>
      </c>
      <c r="N1199" s="3">
        <v>0.95</v>
      </c>
      <c r="O1199" s="3">
        <v>0.25</v>
      </c>
      <c r="P1199" s="3"/>
      <c r="Q1199" s="3">
        <f t="shared" si="38"/>
        <v>0</v>
      </c>
      <c r="R1199" s="4">
        <f t="shared" si="37"/>
        <v>0</v>
      </c>
      <c r="S1199" s="3" t="s">
        <v>23</v>
      </c>
      <c r="T1199" s="190"/>
    </row>
    <row r="1200" spans="1:20" ht="21.6" hidden="1" x14ac:dyDescent="0.3">
      <c r="A1200" s="182">
        <v>16</v>
      </c>
      <c r="B1200" s="42" t="s">
        <v>20</v>
      </c>
      <c r="C1200" s="43" t="s">
        <v>267</v>
      </c>
      <c r="D1200" s="50">
        <v>6560</v>
      </c>
      <c r="E1200" s="52" t="s">
        <v>268</v>
      </c>
      <c r="F1200" s="52" t="s">
        <v>123</v>
      </c>
      <c r="G1200" s="52" t="s">
        <v>31</v>
      </c>
      <c r="H1200" s="45" t="s">
        <v>429</v>
      </c>
      <c r="I1200" s="7" t="s">
        <v>22</v>
      </c>
      <c r="J1200" s="3">
        <v>0.7</v>
      </c>
      <c r="K1200" s="7" t="s">
        <v>308</v>
      </c>
      <c r="L1200" s="8" t="s">
        <v>130</v>
      </c>
      <c r="M1200" s="339" t="s">
        <v>131</v>
      </c>
      <c r="N1200" s="3">
        <v>0.9</v>
      </c>
      <c r="O1200" s="3">
        <v>0.15</v>
      </c>
      <c r="P1200" s="3"/>
      <c r="Q1200" s="3">
        <f t="shared" si="38"/>
        <v>0</v>
      </c>
      <c r="R1200" s="4">
        <f t="shared" si="37"/>
        <v>0</v>
      </c>
      <c r="S1200" s="3" t="s">
        <v>23</v>
      </c>
      <c r="T1200" s="190"/>
    </row>
    <row r="1201" spans="1:20" ht="21.6" hidden="1" x14ac:dyDescent="0.3">
      <c r="A1201" s="182">
        <v>17</v>
      </c>
      <c r="B1201" s="42" t="s">
        <v>20</v>
      </c>
      <c r="C1201" s="43" t="s">
        <v>267</v>
      </c>
      <c r="D1201" s="50">
        <v>6560</v>
      </c>
      <c r="E1201" s="52" t="s">
        <v>268</v>
      </c>
      <c r="F1201" s="52" t="s">
        <v>123</v>
      </c>
      <c r="G1201" s="52" t="s">
        <v>31</v>
      </c>
      <c r="H1201" s="45" t="s">
        <v>429</v>
      </c>
      <c r="I1201" s="7" t="s">
        <v>22</v>
      </c>
      <c r="J1201" s="3">
        <v>0.7</v>
      </c>
      <c r="K1201" s="7" t="s">
        <v>309</v>
      </c>
      <c r="L1201" s="8" t="s">
        <v>207</v>
      </c>
      <c r="M1201" s="339"/>
      <c r="N1201" s="3">
        <v>1</v>
      </c>
      <c r="O1201" s="3">
        <v>0.1</v>
      </c>
      <c r="P1201" s="3"/>
      <c r="Q1201" s="3">
        <f t="shared" si="38"/>
        <v>0</v>
      </c>
      <c r="R1201" s="4">
        <f t="shared" si="37"/>
        <v>0</v>
      </c>
      <c r="S1201" s="3" t="s">
        <v>23</v>
      </c>
      <c r="T1201" s="190"/>
    </row>
    <row r="1202" spans="1:20" ht="21.6" hidden="1" x14ac:dyDescent="0.3">
      <c r="A1202" s="182"/>
      <c r="B1202" s="42" t="s">
        <v>20</v>
      </c>
      <c r="C1202" s="43" t="s">
        <v>267</v>
      </c>
      <c r="D1202" s="50">
        <v>6560</v>
      </c>
      <c r="E1202" s="52" t="s">
        <v>268</v>
      </c>
      <c r="F1202" s="52" t="s">
        <v>123</v>
      </c>
      <c r="G1202" s="52" t="s">
        <v>31</v>
      </c>
      <c r="H1202" s="45" t="s">
        <v>429</v>
      </c>
      <c r="I1202" s="47" t="s">
        <v>22</v>
      </c>
      <c r="J1202" s="3">
        <v>0.7</v>
      </c>
      <c r="K1202" s="47" t="s">
        <v>310</v>
      </c>
      <c r="L1202" s="30" t="s">
        <v>136</v>
      </c>
      <c r="M1202" s="47" t="s">
        <v>137</v>
      </c>
      <c r="N1202" s="3">
        <v>0.9</v>
      </c>
      <c r="O1202" s="3">
        <v>0.1</v>
      </c>
      <c r="P1202" s="19"/>
      <c r="Q1202" s="3">
        <f t="shared" si="38"/>
        <v>0</v>
      </c>
      <c r="R1202" s="4">
        <f t="shared" si="37"/>
        <v>0</v>
      </c>
      <c r="S1202" s="3" t="s">
        <v>23</v>
      </c>
      <c r="T1202" s="190"/>
    </row>
    <row r="1203" spans="1:20" ht="22.2" hidden="1" thickBot="1" x14ac:dyDescent="0.35">
      <c r="A1203" s="200">
        <v>18</v>
      </c>
      <c r="B1203" s="81" t="s">
        <v>20</v>
      </c>
      <c r="C1203" s="82" t="s">
        <v>267</v>
      </c>
      <c r="D1203" s="113">
        <v>6560</v>
      </c>
      <c r="E1203" s="118" t="s">
        <v>268</v>
      </c>
      <c r="F1203" s="118" t="s">
        <v>123</v>
      </c>
      <c r="G1203" s="118" t="s">
        <v>31</v>
      </c>
      <c r="H1203" s="84" t="s">
        <v>429</v>
      </c>
      <c r="I1203" s="85" t="s">
        <v>26</v>
      </c>
      <c r="J1203" s="238">
        <v>0.3</v>
      </c>
      <c r="K1203" s="85" t="s">
        <v>138</v>
      </c>
      <c r="L1203" s="114" t="s">
        <v>139</v>
      </c>
      <c r="M1203" s="85" t="s">
        <v>140</v>
      </c>
      <c r="N1203" s="238">
        <v>1</v>
      </c>
      <c r="O1203" s="238">
        <v>1</v>
      </c>
      <c r="P1203" s="308"/>
      <c r="Q1203" s="238">
        <f t="shared" si="38"/>
        <v>0</v>
      </c>
      <c r="R1203" s="254">
        <f t="shared" si="37"/>
        <v>0</v>
      </c>
      <c r="S1203" s="255" t="s">
        <v>23</v>
      </c>
      <c r="T1203" s="305"/>
    </row>
    <row r="1204" spans="1:20" ht="21.6" hidden="1" x14ac:dyDescent="0.3">
      <c r="A1204" s="182">
        <v>13</v>
      </c>
      <c r="B1204" s="42" t="s">
        <v>20</v>
      </c>
      <c r="C1204" s="43" t="s">
        <v>267</v>
      </c>
      <c r="D1204" s="50">
        <v>6562</v>
      </c>
      <c r="E1204" s="52" t="s">
        <v>269</v>
      </c>
      <c r="F1204" s="52" t="s">
        <v>264</v>
      </c>
      <c r="G1204" s="52" t="s">
        <v>31</v>
      </c>
      <c r="H1204" s="45" t="s">
        <v>429</v>
      </c>
      <c r="I1204" s="7" t="s">
        <v>22</v>
      </c>
      <c r="J1204" s="3">
        <v>0.7</v>
      </c>
      <c r="K1204" s="7" t="s">
        <v>215</v>
      </c>
      <c r="L1204" s="8" t="s">
        <v>205</v>
      </c>
      <c r="M1204" s="7"/>
      <c r="N1204" s="3">
        <v>0.95</v>
      </c>
      <c r="O1204" s="3">
        <v>0.2</v>
      </c>
      <c r="P1204" s="3"/>
      <c r="Q1204" s="3">
        <f t="shared" si="38"/>
        <v>0</v>
      </c>
      <c r="R1204" s="4">
        <f t="shared" si="37"/>
        <v>0</v>
      </c>
      <c r="S1204" s="3" t="s">
        <v>23</v>
      </c>
      <c r="T1204" s="190">
        <f>SUM(R1204:R1210)%</f>
        <v>0</v>
      </c>
    </row>
    <row r="1205" spans="1:20" ht="21.6" hidden="1" x14ac:dyDescent="0.3">
      <c r="A1205" s="182">
        <v>14</v>
      </c>
      <c r="B1205" s="42" t="s">
        <v>20</v>
      </c>
      <c r="C1205" s="43" t="s">
        <v>267</v>
      </c>
      <c r="D1205" s="50">
        <v>6562</v>
      </c>
      <c r="E1205" s="52" t="s">
        <v>269</v>
      </c>
      <c r="F1205" s="52" t="s">
        <v>264</v>
      </c>
      <c r="G1205" s="52" t="s">
        <v>31</v>
      </c>
      <c r="H1205" s="45" t="s">
        <v>429</v>
      </c>
      <c r="I1205" s="7" t="s">
        <v>22</v>
      </c>
      <c r="J1205" s="3">
        <v>0.7</v>
      </c>
      <c r="K1205" s="7" t="s">
        <v>307</v>
      </c>
      <c r="L1205" s="8" t="s">
        <v>206</v>
      </c>
      <c r="M1205" s="7"/>
      <c r="N1205" s="3">
        <v>0.95</v>
      </c>
      <c r="O1205" s="3">
        <v>0.2</v>
      </c>
      <c r="P1205" s="3"/>
      <c r="Q1205" s="3">
        <f t="shared" si="38"/>
        <v>0</v>
      </c>
      <c r="R1205" s="4">
        <f t="shared" si="37"/>
        <v>0</v>
      </c>
      <c r="S1205" s="3" t="s">
        <v>23</v>
      </c>
      <c r="T1205" s="190"/>
    </row>
    <row r="1206" spans="1:20" ht="21.6" hidden="1" x14ac:dyDescent="0.3">
      <c r="A1206" s="182">
        <v>15</v>
      </c>
      <c r="B1206" s="42" t="s">
        <v>20</v>
      </c>
      <c r="C1206" s="43" t="s">
        <v>267</v>
      </c>
      <c r="D1206" s="50">
        <v>6562</v>
      </c>
      <c r="E1206" s="52" t="s">
        <v>269</v>
      </c>
      <c r="F1206" s="52" t="s">
        <v>264</v>
      </c>
      <c r="G1206" s="52" t="s">
        <v>31</v>
      </c>
      <c r="H1206" s="45" t="s">
        <v>429</v>
      </c>
      <c r="I1206" s="7" t="s">
        <v>22</v>
      </c>
      <c r="J1206" s="3">
        <v>0.7</v>
      </c>
      <c r="K1206" s="7" t="s">
        <v>305</v>
      </c>
      <c r="L1206" s="8" t="s">
        <v>257</v>
      </c>
      <c r="M1206" s="339" t="s">
        <v>306</v>
      </c>
      <c r="N1206" s="3">
        <v>0.95</v>
      </c>
      <c r="O1206" s="3">
        <v>0.25</v>
      </c>
      <c r="P1206" s="3"/>
      <c r="Q1206" s="3">
        <f t="shared" si="38"/>
        <v>0</v>
      </c>
      <c r="R1206" s="4">
        <f t="shared" si="37"/>
        <v>0</v>
      </c>
      <c r="S1206" s="3" t="s">
        <v>23</v>
      </c>
      <c r="T1206" s="190"/>
    </row>
    <row r="1207" spans="1:20" ht="21.6" hidden="1" x14ac:dyDescent="0.3">
      <c r="A1207" s="182">
        <v>16</v>
      </c>
      <c r="B1207" s="42" t="s">
        <v>20</v>
      </c>
      <c r="C1207" s="43" t="s">
        <v>267</v>
      </c>
      <c r="D1207" s="50">
        <v>6562</v>
      </c>
      <c r="E1207" s="52" t="s">
        <v>269</v>
      </c>
      <c r="F1207" s="52" t="s">
        <v>264</v>
      </c>
      <c r="G1207" s="52" t="s">
        <v>31</v>
      </c>
      <c r="H1207" s="45" t="s">
        <v>429</v>
      </c>
      <c r="I1207" s="7" t="s">
        <v>22</v>
      </c>
      <c r="J1207" s="3">
        <v>0.7</v>
      </c>
      <c r="K1207" s="7" t="s">
        <v>308</v>
      </c>
      <c r="L1207" s="8" t="s">
        <v>130</v>
      </c>
      <c r="M1207" s="339" t="s">
        <v>131</v>
      </c>
      <c r="N1207" s="3">
        <v>0.9</v>
      </c>
      <c r="O1207" s="3">
        <v>0.15</v>
      </c>
      <c r="P1207" s="3"/>
      <c r="Q1207" s="3">
        <f t="shared" si="38"/>
        <v>0</v>
      </c>
      <c r="R1207" s="4">
        <f t="shared" si="37"/>
        <v>0</v>
      </c>
      <c r="S1207" s="3" t="s">
        <v>23</v>
      </c>
      <c r="T1207" s="190"/>
    </row>
    <row r="1208" spans="1:20" ht="21.6" hidden="1" x14ac:dyDescent="0.3">
      <c r="A1208" s="182">
        <v>17</v>
      </c>
      <c r="B1208" s="42" t="s">
        <v>20</v>
      </c>
      <c r="C1208" s="43" t="s">
        <v>267</v>
      </c>
      <c r="D1208" s="50">
        <v>6562</v>
      </c>
      <c r="E1208" s="52" t="s">
        <v>269</v>
      </c>
      <c r="F1208" s="52" t="s">
        <v>264</v>
      </c>
      <c r="G1208" s="52" t="s">
        <v>31</v>
      </c>
      <c r="H1208" s="45" t="s">
        <v>429</v>
      </c>
      <c r="I1208" s="7" t="s">
        <v>22</v>
      </c>
      <c r="J1208" s="3">
        <v>0.7</v>
      </c>
      <c r="K1208" s="7" t="s">
        <v>309</v>
      </c>
      <c r="L1208" s="8" t="s">
        <v>207</v>
      </c>
      <c r="M1208" s="339"/>
      <c r="N1208" s="3">
        <v>1</v>
      </c>
      <c r="O1208" s="3">
        <v>0.1</v>
      </c>
      <c r="P1208" s="3"/>
      <c r="Q1208" s="3">
        <f t="shared" si="38"/>
        <v>0</v>
      </c>
      <c r="R1208" s="4">
        <f t="shared" si="37"/>
        <v>0</v>
      </c>
      <c r="S1208" s="3" t="s">
        <v>23</v>
      </c>
      <c r="T1208" s="190"/>
    </row>
    <row r="1209" spans="1:20" ht="21.6" hidden="1" x14ac:dyDescent="0.3">
      <c r="A1209" s="182"/>
      <c r="B1209" s="42" t="s">
        <v>20</v>
      </c>
      <c r="C1209" s="43" t="s">
        <v>267</v>
      </c>
      <c r="D1209" s="50">
        <v>6562</v>
      </c>
      <c r="E1209" s="52" t="s">
        <v>269</v>
      </c>
      <c r="F1209" s="52" t="s">
        <v>264</v>
      </c>
      <c r="G1209" s="52" t="s">
        <v>31</v>
      </c>
      <c r="H1209" s="45" t="s">
        <v>429</v>
      </c>
      <c r="I1209" s="47" t="s">
        <v>22</v>
      </c>
      <c r="J1209" s="3">
        <v>0.7</v>
      </c>
      <c r="K1209" s="47" t="s">
        <v>310</v>
      </c>
      <c r="L1209" s="30" t="s">
        <v>136</v>
      </c>
      <c r="M1209" s="47" t="s">
        <v>137</v>
      </c>
      <c r="N1209" s="3">
        <v>0.9</v>
      </c>
      <c r="O1209" s="3">
        <v>0.1</v>
      </c>
      <c r="P1209" s="19"/>
      <c r="Q1209" s="3">
        <f t="shared" si="38"/>
        <v>0</v>
      </c>
      <c r="R1209" s="4">
        <f t="shared" si="37"/>
        <v>0</v>
      </c>
      <c r="S1209" s="3" t="s">
        <v>23</v>
      </c>
      <c r="T1209" s="190"/>
    </row>
    <row r="1210" spans="1:20" ht="22.2" hidden="1" thickBot="1" x14ac:dyDescent="0.35">
      <c r="A1210" s="267">
        <v>18</v>
      </c>
      <c r="B1210" s="268" t="s">
        <v>20</v>
      </c>
      <c r="C1210" s="269" t="s">
        <v>267</v>
      </c>
      <c r="D1210" s="290">
        <v>6562</v>
      </c>
      <c r="E1210" s="298" t="s">
        <v>269</v>
      </c>
      <c r="F1210" s="298" t="s">
        <v>264</v>
      </c>
      <c r="G1210" s="298" t="s">
        <v>31</v>
      </c>
      <c r="H1210" s="271" t="s">
        <v>429</v>
      </c>
      <c r="I1210" s="272" t="s">
        <v>26</v>
      </c>
      <c r="J1210" s="273">
        <v>0.3</v>
      </c>
      <c r="K1210" s="272" t="s">
        <v>138</v>
      </c>
      <c r="L1210" s="291" t="s">
        <v>139</v>
      </c>
      <c r="M1210" s="272" t="s">
        <v>140</v>
      </c>
      <c r="N1210" s="273">
        <v>1</v>
      </c>
      <c r="O1210" s="273">
        <v>1</v>
      </c>
      <c r="P1210" s="306"/>
      <c r="Q1210" s="273">
        <f t="shared" si="38"/>
        <v>0</v>
      </c>
      <c r="R1210" s="275">
        <f t="shared" si="37"/>
        <v>0</v>
      </c>
      <c r="S1210" s="276" t="s">
        <v>23</v>
      </c>
      <c r="T1210" s="307"/>
    </row>
    <row r="1211" spans="1:20" ht="21.6" hidden="1" x14ac:dyDescent="0.3">
      <c r="A1211" s="182">
        <v>2070</v>
      </c>
      <c r="B1211" s="42" t="s">
        <v>20</v>
      </c>
      <c r="C1211" s="43" t="s">
        <v>267</v>
      </c>
      <c r="D1211" s="50">
        <v>5021</v>
      </c>
      <c r="E1211" s="42" t="s">
        <v>213</v>
      </c>
      <c r="F1211" s="45" t="s">
        <v>123</v>
      </c>
      <c r="G1211" s="42" t="s">
        <v>50</v>
      </c>
      <c r="H1211" s="45" t="s">
        <v>214</v>
      </c>
      <c r="I1211" s="7" t="s">
        <v>22</v>
      </c>
      <c r="J1211" s="3">
        <v>0.7</v>
      </c>
      <c r="K1211" s="7" t="s">
        <v>215</v>
      </c>
      <c r="L1211" s="8" t="s">
        <v>216</v>
      </c>
      <c r="M1211" s="7" t="s">
        <v>217</v>
      </c>
      <c r="N1211" s="3">
        <v>0.95</v>
      </c>
      <c r="O1211" s="3">
        <v>0.2</v>
      </c>
      <c r="P1211" s="12"/>
      <c r="Q1211" s="3">
        <f t="shared" si="38"/>
        <v>0</v>
      </c>
      <c r="R1211" s="4">
        <f t="shared" si="37"/>
        <v>0</v>
      </c>
      <c r="S1211" s="3" t="s">
        <v>23</v>
      </c>
      <c r="T1211" s="190">
        <f>SUM(R1211:R1216)%</f>
        <v>0</v>
      </c>
    </row>
    <row r="1212" spans="1:20" ht="21.6" hidden="1" x14ac:dyDescent="0.3">
      <c r="A1212" s="182">
        <v>2071</v>
      </c>
      <c r="B1212" s="42" t="s">
        <v>20</v>
      </c>
      <c r="C1212" s="43" t="s">
        <v>267</v>
      </c>
      <c r="D1212" s="50">
        <v>5021</v>
      </c>
      <c r="E1212" s="42" t="s">
        <v>213</v>
      </c>
      <c r="F1212" s="45" t="s">
        <v>123</v>
      </c>
      <c r="G1212" s="42" t="s">
        <v>50</v>
      </c>
      <c r="H1212" s="45" t="s">
        <v>214</v>
      </c>
      <c r="I1212" s="7" t="s">
        <v>22</v>
      </c>
      <c r="J1212" s="3">
        <v>0.7</v>
      </c>
      <c r="K1212" s="7" t="s">
        <v>218</v>
      </c>
      <c r="L1212" s="8" t="s">
        <v>219</v>
      </c>
      <c r="M1212" s="7" t="s">
        <v>220</v>
      </c>
      <c r="N1212" s="3">
        <v>0.9</v>
      </c>
      <c r="O1212" s="3">
        <v>0.2</v>
      </c>
      <c r="P1212" s="6"/>
      <c r="Q1212" s="3">
        <f t="shared" si="38"/>
        <v>0</v>
      </c>
      <c r="R1212" s="4">
        <f t="shared" si="37"/>
        <v>0</v>
      </c>
      <c r="S1212" s="3" t="s">
        <v>23</v>
      </c>
      <c r="T1212" s="190"/>
    </row>
    <row r="1213" spans="1:20" ht="21.6" hidden="1" x14ac:dyDescent="0.3">
      <c r="A1213" s="182">
        <v>2072</v>
      </c>
      <c r="B1213" s="42" t="s">
        <v>20</v>
      </c>
      <c r="C1213" s="43" t="s">
        <v>267</v>
      </c>
      <c r="D1213" s="50">
        <v>5021</v>
      </c>
      <c r="E1213" s="42" t="s">
        <v>213</v>
      </c>
      <c r="F1213" s="45" t="s">
        <v>123</v>
      </c>
      <c r="G1213" s="42" t="s">
        <v>50</v>
      </c>
      <c r="H1213" s="45" t="s">
        <v>214</v>
      </c>
      <c r="I1213" s="7" t="s">
        <v>22</v>
      </c>
      <c r="J1213" s="3">
        <v>0.7</v>
      </c>
      <c r="K1213" s="7" t="s">
        <v>221</v>
      </c>
      <c r="L1213" s="8" t="s">
        <v>222</v>
      </c>
      <c r="M1213" s="7" t="s">
        <v>223</v>
      </c>
      <c r="N1213" s="3">
        <v>0.95</v>
      </c>
      <c r="O1213" s="3">
        <v>0.2</v>
      </c>
      <c r="P1213" s="172"/>
      <c r="Q1213" s="3">
        <f t="shared" si="38"/>
        <v>0</v>
      </c>
      <c r="R1213" s="4">
        <f t="shared" si="37"/>
        <v>0</v>
      </c>
      <c r="S1213" s="3" t="s">
        <v>23</v>
      </c>
      <c r="T1213" s="190"/>
    </row>
    <row r="1214" spans="1:20" ht="21.6" hidden="1" x14ac:dyDescent="0.3">
      <c r="A1214" s="182">
        <v>2073</v>
      </c>
      <c r="B1214" s="42" t="s">
        <v>20</v>
      </c>
      <c r="C1214" s="43" t="s">
        <v>267</v>
      </c>
      <c r="D1214" s="50">
        <v>5021</v>
      </c>
      <c r="E1214" s="42" t="s">
        <v>213</v>
      </c>
      <c r="F1214" s="45" t="s">
        <v>123</v>
      </c>
      <c r="G1214" s="42" t="s">
        <v>50</v>
      </c>
      <c r="H1214" s="45" t="s">
        <v>214</v>
      </c>
      <c r="I1214" s="7" t="s">
        <v>22</v>
      </c>
      <c r="J1214" s="3">
        <v>0.7</v>
      </c>
      <c r="K1214" s="7" t="s">
        <v>224</v>
      </c>
      <c r="L1214" s="8" t="s">
        <v>225</v>
      </c>
      <c r="M1214" s="7" t="s">
        <v>226</v>
      </c>
      <c r="N1214" s="3">
        <v>1</v>
      </c>
      <c r="O1214" s="3">
        <v>0.2</v>
      </c>
      <c r="P1214" s="10"/>
      <c r="Q1214" s="3">
        <f t="shared" si="38"/>
        <v>0</v>
      </c>
      <c r="R1214" s="4">
        <f t="shared" si="37"/>
        <v>0</v>
      </c>
      <c r="S1214" s="3" t="s">
        <v>23</v>
      </c>
      <c r="T1214" s="190"/>
    </row>
    <row r="1215" spans="1:20" ht="21.6" hidden="1" x14ac:dyDescent="0.3">
      <c r="A1215" s="182">
        <v>2074</v>
      </c>
      <c r="B1215" s="42" t="s">
        <v>20</v>
      </c>
      <c r="C1215" s="43" t="s">
        <v>267</v>
      </c>
      <c r="D1215" s="50">
        <v>5021</v>
      </c>
      <c r="E1215" s="42" t="s">
        <v>213</v>
      </c>
      <c r="F1215" s="45" t="s">
        <v>123</v>
      </c>
      <c r="G1215" s="42" t="s">
        <v>50</v>
      </c>
      <c r="H1215" s="45" t="s">
        <v>214</v>
      </c>
      <c r="I1215" s="7" t="s">
        <v>22</v>
      </c>
      <c r="J1215" s="3">
        <v>0.7</v>
      </c>
      <c r="K1215" s="7" t="s">
        <v>132</v>
      </c>
      <c r="L1215" s="8" t="s">
        <v>133</v>
      </c>
      <c r="M1215" s="7" t="s">
        <v>227</v>
      </c>
      <c r="N1215" s="4">
        <v>0</v>
      </c>
      <c r="O1215" s="3">
        <v>0.2</v>
      </c>
      <c r="P1215" s="3"/>
      <c r="Q1215" s="3">
        <f t="shared" si="38"/>
        <v>0</v>
      </c>
      <c r="R1215" s="4">
        <f t="shared" si="37"/>
        <v>0</v>
      </c>
      <c r="S1215" s="10" t="s">
        <v>24</v>
      </c>
      <c r="T1215" s="190"/>
    </row>
    <row r="1216" spans="1:20" ht="22.2" hidden="1" thickBot="1" x14ac:dyDescent="0.35">
      <c r="A1216" s="267">
        <v>2076</v>
      </c>
      <c r="B1216" s="268" t="s">
        <v>20</v>
      </c>
      <c r="C1216" s="269" t="s">
        <v>267</v>
      </c>
      <c r="D1216" s="290">
        <v>5021</v>
      </c>
      <c r="E1216" s="298" t="s">
        <v>213</v>
      </c>
      <c r="F1216" s="298" t="s">
        <v>123</v>
      </c>
      <c r="G1216" s="298" t="s">
        <v>50</v>
      </c>
      <c r="H1216" s="271" t="s">
        <v>214</v>
      </c>
      <c r="I1216" s="272" t="s">
        <v>26</v>
      </c>
      <c r="J1216" s="273">
        <v>0.3</v>
      </c>
      <c r="K1216" s="272" t="s">
        <v>228</v>
      </c>
      <c r="L1216" s="291" t="s">
        <v>229</v>
      </c>
      <c r="M1216" s="272" t="s">
        <v>230</v>
      </c>
      <c r="N1216" s="273">
        <v>0.9</v>
      </c>
      <c r="O1216" s="273">
        <v>1</v>
      </c>
      <c r="P1216" s="306"/>
      <c r="Q1216" s="273">
        <f t="shared" si="38"/>
        <v>0</v>
      </c>
      <c r="R1216" s="275">
        <f t="shared" si="37"/>
        <v>0</v>
      </c>
      <c r="S1216" s="276" t="s">
        <v>23</v>
      </c>
      <c r="T1216" s="307"/>
    </row>
    <row r="1217" spans="1:20" ht="21.6" hidden="1" x14ac:dyDescent="0.3">
      <c r="A1217" s="242">
        <v>2070</v>
      </c>
      <c r="B1217" s="243" t="s">
        <v>20</v>
      </c>
      <c r="C1217" s="244" t="s">
        <v>267</v>
      </c>
      <c r="D1217" s="293">
        <v>5676</v>
      </c>
      <c r="E1217" s="243" t="s">
        <v>231</v>
      </c>
      <c r="F1217" s="246" t="s">
        <v>123</v>
      </c>
      <c r="G1217" s="243" t="s">
        <v>50</v>
      </c>
      <c r="H1217" s="246" t="s">
        <v>214</v>
      </c>
      <c r="I1217" s="294" t="s">
        <v>22</v>
      </c>
      <c r="J1217" s="248">
        <v>0.7</v>
      </c>
      <c r="K1217" s="294" t="s">
        <v>215</v>
      </c>
      <c r="L1217" s="316" t="s">
        <v>216</v>
      </c>
      <c r="M1217" s="294" t="s">
        <v>217</v>
      </c>
      <c r="N1217" s="248">
        <v>0.95</v>
      </c>
      <c r="O1217" s="248">
        <v>0.2</v>
      </c>
      <c r="P1217" s="12"/>
      <c r="Q1217" s="248">
        <f t="shared" si="38"/>
        <v>0</v>
      </c>
      <c r="R1217" s="250">
        <f t="shared" si="37"/>
        <v>0</v>
      </c>
      <c r="S1217" s="248" t="s">
        <v>23</v>
      </c>
      <c r="T1217" s="251">
        <f>SUM(R1217:R1222)%</f>
        <v>0</v>
      </c>
    </row>
    <row r="1218" spans="1:20" ht="21.6" hidden="1" x14ac:dyDescent="0.3">
      <c r="A1218" s="182">
        <v>2071</v>
      </c>
      <c r="B1218" s="42" t="s">
        <v>20</v>
      </c>
      <c r="C1218" s="43" t="s">
        <v>267</v>
      </c>
      <c r="D1218" s="50">
        <v>5676</v>
      </c>
      <c r="E1218" s="42" t="s">
        <v>231</v>
      </c>
      <c r="F1218" s="45" t="s">
        <v>123</v>
      </c>
      <c r="G1218" s="42" t="s">
        <v>50</v>
      </c>
      <c r="H1218" s="45" t="s">
        <v>214</v>
      </c>
      <c r="I1218" s="7" t="s">
        <v>22</v>
      </c>
      <c r="J1218" s="3">
        <v>0.7</v>
      </c>
      <c r="K1218" s="7" t="s">
        <v>218</v>
      </c>
      <c r="L1218" s="8" t="s">
        <v>219</v>
      </c>
      <c r="M1218" s="7" t="s">
        <v>220</v>
      </c>
      <c r="N1218" s="3">
        <v>0.9</v>
      </c>
      <c r="O1218" s="3">
        <v>0.2</v>
      </c>
      <c r="P1218" s="3"/>
      <c r="Q1218" s="3">
        <f t="shared" si="38"/>
        <v>0</v>
      </c>
      <c r="R1218" s="4">
        <f t="shared" si="37"/>
        <v>0</v>
      </c>
      <c r="S1218" s="3" t="s">
        <v>23</v>
      </c>
      <c r="T1218" s="190"/>
    </row>
    <row r="1219" spans="1:20" ht="21.6" hidden="1" x14ac:dyDescent="0.3">
      <c r="A1219" s="182">
        <v>2072</v>
      </c>
      <c r="B1219" s="42" t="s">
        <v>20</v>
      </c>
      <c r="C1219" s="43" t="s">
        <v>267</v>
      </c>
      <c r="D1219" s="50">
        <v>5676</v>
      </c>
      <c r="E1219" s="42" t="s">
        <v>231</v>
      </c>
      <c r="F1219" s="45" t="s">
        <v>123</v>
      </c>
      <c r="G1219" s="42" t="s">
        <v>50</v>
      </c>
      <c r="H1219" s="45" t="s">
        <v>214</v>
      </c>
      <c r="I1219" s="7" t="s">
        <v>22</v>
      </c>
      <c r="J1219" s="3">
        <v>0.7</v>
      </c>
      <c r="K1219" s="7" t="s">
        <v>221</v>
      </c>
      <c r="L1219" s="8" t="s">
        <v>222</v>
      </c>
      <c r="M1219" s="7" t="s">
        <v>223</v>
      </c>
      <c r="N1219" s="3">
        <v>0.95</v>
      </c>
      <c r="O1219" s="3">
        <v>0.2</v>
      </c>
      <c r="P1219" s="172"/>
      <c r="Q1219" s="3">
        <f t="shared" si="38"/>
        <v>0</v>
      </c>
      <c r="R1219" s="4">
        <f t="shared" si="37"/>
        <v>0</v>
      </c>
      <c r="S1219" s="3" t="s">
        <v>23</v>
      </c>
      <c r="T1219" s="190"/>
    </row>
    <row r="1220" spans="1:20" ht="21.6" hidden="1" x14ac:dyDescent="0.3">
      <c r="A1220" s="182">
        <v>2073</v>
      </c>
      <c r="B1220" s="42" t="s">
        <v>20</v>
      </c>
      <c r="C1220" s="43" t="s">
        <v>267</v>
      </c>
      <c r="D1220" s="50">
        <v>5676</v>
      </c>
      <c r="E1220" s="42" t="s">
        <v>231</v>
      </c>
      <c r="F1220" s="45" t="s">
        <v>123</v>
      </c>
      <c r="G1220" s="42" t="s">
        <v>50</v>
      </c>
      <c r="H1220" s="45" t="s">
        <v>214</v>
      </c>
      <c r="I1220" s="7" t="s">
        <v>22</v>
      </c>
      <c r="J1220" s="3">
        <v>0.7</v>
      </c>
      <c r="K1220" s="7" t="s">
        <v>224</v>
      </c>
      <c r="L1220" s="8" t="s">
        <v>225</v>
      </c>
      <c r="M1220" s="7" t="s">
        <v>226</v>
      </c>
      <c r="N1220" s="3">
        <v>1</v>
      </c>
      <c r="O1220" s="3">
        <v>0.2</v>
      </c>
      <c r="P1220" s="10"/>
      <c r="Q1220" s="3">
        <f t="shared" si="38"/>
        <v>0</v>
      </c>
      <c r="R1220" s="4">
        <f t="shared" ref="R1220:R1258" si="39">IF(AND(Q1220&gt;=60%,Q1220&lt;100%),Q1220*((O1220*J1220)),IF(Q1220=100%,((O1220*J1220)*Q1220)*100%,IF(Q1220&gt;100%,((J1220*O1220)*100%)*100%,0)))*100</f>
        <v>0</v>
      </c>
      <c r="S1220" s="3" t="s">
        <v>23</v>
      </c>
      <c r="T1220" s="190"/>
    </row>
    <row r="1221" spans="1:20" ht="21.6" hidden="1" x14ac:dyDescent="0.3">
      <c r="A1221" s="182">
        <v>2074</v>
      </c>
      <c r="B1221" s="42" t="s">
        <v>20</v>
      </c>
      <c r="C1221" s="43" t="s">
        <v>267</v>
      </c>
      <c r="D1221" s="50">
        <v>5676</v>
      </c>
      <c r="E1221" s="42" t="s">
        <v>231</v>
      </c>
      <c r="F1221" s="45" t="s">
        <v>123</v>
      </c>
      <c r="G1221" s="42" t="s">
        <v>50</v>
      </c>
      <c r="H1221" s="45" t="s">
        <v>214</v>
      </c>
      <c r="I1221" s="7" t="s">
        <v>22</v>
      </c>
      <c r="J1221" s="3">
        <v>0.7</v>
      </c>
      <c r="K1221" s="7" t="s">
        <v>132</v>
      </c>
      <c r="L1221" s="8" t="s">
        <v>133</v>
      </c>
      <c r="M1221" s="7" t="s">
        <v>227</v>
      </c>
      <c r="N1221" s="4">
        <v>0</v>
      </c>
      <c r="O1221" s="3">
        <v>0.2</v>
      </c>
      <c r="P1221" s="3"/>
      <c r="Q1221" s="3">
        <f t="shared" si="38"/>
        <v>0</v>
      </c>
      <c r="R1221" s="4">
        <f t="shared" si="39"/>
        <v>0</v>
      </c>
      <c r="S1221" s="10" t="s">
        <v>24</v>
      </c>
      <c r="T1221" s="190"/>
    </row>
    <row r="1222" spans="1:20" ht="22.2" hidden="1" thickBot="1" x14ac:dyDescent="0.35">
      <c r="A1222" s="267">
        <v>2076</v>
      </c>
      <c r="B1222" s="268" t="s">
        <v>20</v>
      </c>
      <c r="C1222" s="269" t="s">
        <v>267</v>
      </c>
      <c r="D1222" s="290">
        <v>5676</v>
      </c>
      <c r="E1222" s="268" t="s">
        <v>231</v>
      </c>
      <c r="F1222" s="271" t="s">
        <v>123</v>
      </c>
      <c r="G1222" s="268" t="s">
        <v>50</v>
      </c>
      <c r="H1222" s="271" t="s">
        <v>214</v>
      </c>
      <c r="I1222" s="272" t="s">
        <v>26</v>
      </c>
      <c r="J1222" s="273">
        <v>0.3</v>
      </c>
      <c r="K1222" s="272" t="s">
        <v>228</v>
      </c>
      <c r="L1222" s="291" t="s">
        <v>229</v>
      </c>
      <c r="M1222" s="272" t="s">
        <v>230</v>
      </c>
      <c r="N1222" s="273">
        <v>0.9</v>
      </c>
      <c r="O1222" s="276">
        <v>1</v>
      </c>
      <c r="P1222" s="306"/>
      <c r="Q1222" s="273">
        <f t="shared" si="38"/>
        <v>0</v>
      </c>
      <c r="R1222" s="287">
        <f t="shared" si="39"/>
        <v>0</v>
      </c>
      <c r="S1222" s="276" t="s">
        <v>23</v>
      </c>
      <c r="T1222" s="277"/>
    </row>
    <row r="1223" spans="1:20" ht="21.6" hidden="1" x14ac:dyDescent="0.3">
      <c r="A1223" s="242">
        <v>2070</v>
      </c>
      <c r="B1223" s="243" t="s">
        <v>20</v>
      </c>
      <c r="C1223" s="244" t="s">
        <v>267</v>
      </c>
      <c r="D1223" s="293">
        <v>5988</v>
      </c>
      <c r="E1223" s="243" t="s">
        <v>232</v>
      </c>
      <c r="F1223" s="246" t="s">
        <v>123</v>
      </c>
      <c r="G1223" s="243" t="s">
        <v>50</v>
      </c>
      <c r="H1223" s="246" t="s">
        <v>214</v>
      </c>
      <c r="I1223" s="294" t="s">
        <v>22</v>
      </c>
      <c r="J1223" s="248">
        <v>0.7</v>
      </c>
      <c r="K1223" s="294" t="s">
        <v>215</v>
      </c>
      <c r="L1223" s="316" t="s">
        <v>216</v>
      </c>
      <c r="M1223" s="294" t="s">
        <v>217</v>
      </c>
      <c r="N1223" s="248">
        <v>0.95</v>
      </c>
      <c r="O1223" s="248">
        <v>0.2</v>
      </c>
      <c r="P1223" s="12"/>
      <c r="Q1223" s="248">
        <f t="shared" si="38"/>
        <v>0</v>
      </c>
      <c r="R1223" s="250">
        <f t="shared" si="39"/>
        <v>0</v>
      </c>
      <c r="S1223" s="248" t="s">
        <v>23</v>
      </c>
      <c r="T1223" s="251">
        <f>SUM(R1223:R1228)%</f>
        <v>0</v>
      </c>
    </row>
    <row r="1224" spans="1:20" ht="21.6" hidden="1" x14ac:dyDescent="0.3">
      <c r="A1224" s="182">
        <v>2071</v>
      </c>
      <c r="B1224" s="42" t="s">
        <v>20</v>
      </c>
      <c r="C1224" s="43" t="s">
        <v>267</v>
      </c>
      <c r="D1224" s="50">
        <v>5989</v>
      </c>
      <c r="E1224" s="42" t="s">
        <v>232</v>
      </c>
      <c r="F1224" s="45" t="s">
        <v>123</v>
      </c>
      <c r="G1224" s="42" t="s">
        <v>50</v>
      </c>
      <c r="H1224" s="45" t="s">
        <v>214</v>
      </c>
      <c r="I1224" s="7" t="s">
        <v>22</v>
      </c>
      <c r="J1224" s="3">
        <v>0.7</v>
      </c>
      <c r="K1224" s="7" t="s">
        <v>218</v>
      </c>
      <c r="L1224" s="8" t="s">
        <v>219</v>
      </c>
      <c r="M1224" s="7" t="s">
        <v>220</v>
      </c>
      <c r="N1224" s="3">
        <v>0.9</v>
      </c>
      <c r="O1224" s="3">
        <v>0.2</v>
      </c>
      <c r="P1224" s="3"/>
      <c r="Q1224" s="3">
        <f t="shared" si="38"/>
        <v>0</v>
      </c>
      <c r="R1224" s="4">
        <f t="shared" si="39"/>
        <v>0</v>
      </c>
      <c r="S1224" s="3" t="s">
        <v>23</v>
      </c>
      <c r="T1224" s="190"/>
    </row>
    <row r="1225" spans="1:20" ht="21.6" hidden="1" x14ac:dyDescent="0.3">
      <c r="A1225" s="182">
        <v>2072</v>
      </c>
      <c r="B1225" s="42" t="s">
        <v>20</v>
      </c>
      <c r="C1225" s="43" t="s">
        <v>267</v>
      </c>
      <c r="D1225" s="50">
        <v>5990</v>
      </c>
      <c r="E1225" s="42" t="s">
        <v>232</v>
      </c>
      <c r="F1225" s="45" t="s">
        <v>123</v>
      </c>
      <c r="G1225" s="42" t="s">
        <v>50</v>
      </c>
      <c r="H1225" s="45" t="s">
        <v>214</v>
      </c>
      <c r="I1225" s="7" t="s">
        <v>22</v>
      </c>
      <c r="J1225" s="3">
        <v>0.7</v>
      </c>
      <c r="K1225" s="7" t="s">
        <v>221</v>
      </c>
      <c r="L1225" s="8" t="s">
        <v>222</v>
      </c>
      <c r="M1225" s="7" t="s">
        <v>223</v>
      </c>
      <c r="N1225" s="3">
        <v>0.95</v>
      </c>
      <c r="O1225" s="3">
        <v>0.2</v>
      </c>
      <c r="P1225" s="172"/>
      <c r="Q1225" s="3">
        <f t="shared" si="38"/>
        <v>0</v>
      </c>
      <c r="R1225" s="4">
        <f t="shared" si="39"/>
        <v>0</v>
      </c>
      <c r="S1225" s="3" t="s">
        <v>23</v>
      </c>
      <c r="T1225" s="190"/>
    </row>
    <row r="1226" spans="1:20" ht="21.6" hidden="1" x14ac:dyDescent="0.3">
      <c r="A1226" s="182">
        <v>2073</v>
      </c>
      <c r="B1226" s="42" t="s">
        <v>20</v>
      </c>
      <c r="C1226" s="43" t="s">
        <v>267</v>
      </c>
      <c r="D1226" s="50">
        <v>5991</v>
      </c>
      <c r="E1226" s="42" t="s">
        <v>232</v>
      </c>
      <c r="F1226" s="45" t="s">
        <v>123</v>
      </c>
      <c r="G1226" s="42" t="s">
        <v>50</v>
      </c>
      <c r="H1226" s="45" t="s">
        <v>214</v>
      </c>
      <c r="I1226" s="7" t="s">
        <v>22</v>
      </c>
      <c r="J1226" s="3">
        <v>0.7</v>
      </c>
      <c r="K1226" s="7" t="s">
        <v>224</v>
      </c>
      <c r="L1226" s="8" t="s">
        <v>225</v>
      </c>
      <c r="M1226" s="7" t="s">
        <v>226</v>
      </c>
      <c r="N1226" s="3">
        <v>1</v>
      </c>
      <c r="O1226" s="3">
        <v>0.2</v>
      </c>
      <c r="P1226" s="10"/>
      <c r="Q1226" s="3">
        <f t="shared" si="38"/>
        <v>0</v>
      </c>
      <c r="R1226" s="4">
        <f t="shared" si="39"/>
        <v>0</v>
      </c>
      <c r="S1226" s="3" t="s">
        <v>23</v>
      </c>
      <c r="T1226" s="190"/>
    </row>
    <row r="1227" spans="1:20" ht="21.6" hidden="1" x14ac:dyDescent="0.3">
      <c r="A1227" s="182">
        <v>2074</v>
      </c>
      <c r="B1227" s="42" t="s">
        <v>20</v>
      </c>
      <c r="C1227" s="43" t="s">
        <v>267</v>
      </c>
      <c r="D1227" s="50">
        <v>5992</v>
      </c>
      <c r="E1227" s="42" t="s">
        <v>232</v>
      </c>
      <c r="F1227" s="45" t="s">
        <v>123</v>
      </c>
      <c r="G1227" s="42" t="s">
        <v>50</v>
      </c>
      <c r="H1227" s="45" t="s">
        <v>214</v>
      </c>
      <c r="I1227" s="7" t="s">
        <v>22</v>
      </c>
      <c r="J1227" s="3">
        <v>0.7</v>
      </c>
      <c r="K1227" s="7" t="s">
        <v>132</v>
      </c>
      <c r="L1227" s="8" t="s">
        <v>133</v>
      </c>
      <c r="M1227" s="7" t="s">
        <v>227</v>
      </c>
      <c r="N1227" s="4">
        <v>0</v>
      </c>
      <c r="O1227" s="3">
        <v>0.2</v>
      </c>
      <c r="P1227" s="3"/>
      <c r="Q1227" s="3">
        <f t="shared" si="38"/>
        <v>0</v>
      </c>
      <c r="R1227" s="4">
        <f t="shared" si="39"/>
        <v>0</v>
      </c>
      <c r="S1227" s="10" t="s">
        <v>24</v>
      </c>
      <c r="T1227" s="190"/>
    </row>
    <row r="1228" spans="1:20" ht="22.2" hidden="1" thickBot="1" x14ac:dyDescent="0.35">
      <c r="A1228" s="267">
        <v>2076</v>
      </c>
      <c r="B1228" s="268" t="s">
        <v>20</v>
      </c>
      <c r="C1228" s="269" t="s">
        <v>267</v>
      </c>
      <c r="D1228" s="290">
        <v>5994</v>
      </c>
      <c r="E1228" s="268" t="s">
        <v>232</v>
      </c>
      <c r="F1228" s="271" t="s">
        <v>123</v>
      </c>
      <c r="G1228" s="268" t="s">
        <v>50</v>
      </c>
      <c r="H1228" s="271" t="s">
        <v>214</v>
      </c>
      <c r="I1228" s="272" t="s">
        <v>26</v>
      </c>
      <c r="J1228" s="273">
        <v>0.3</v>
      </c>
      <c r="K1228" s="272" t="s">
        <v>228</v>
      </c>
      <c r="L1228" s="291" t="s">
        <v>229</v>
      </c>
      <c r="M1228" s="272" t="s">
        <v>230</v>
      </c>
      <c r="N1228" s="273">
        <v>0.9</v>
      </c>
      <c r="O1228" s="276">
        <v>1</v>
      </c>
      <c r="P1228" s="306"/>
      <c r="Q1228" s="273">
        <f t="shared" si="38"/>
        <v>0</v>
      </c>
      <c r="R1228" s="287">
        <f t="shared" si="39"/>
        <v>0</v>
      </c>
      <c r="S1228" s="276" t="s">
        <v>23</v>
      </c>
      <c r="T1228" s="277"/>
    </row>
    <row r="1229" spans="1:20" ht="21.6" hidden="1" x14ac:dyDescent="0.3">
      <c r="A1229" s="242">
        <v>2070</v>
      </c>
      <c r="B1229" s="243" t="s">
        <v>20</v>
      </c>
      <c r="C1229" s="244" t="s">
        <v>267</v>
      </c>
      <c r="D1229" s="293">
        <v>6174</v>
      </c>
      <c r="E1229" s="243" t="s">
        <v>233</v>
      </c>
      <c r="F1229" s="246" t="s">
        <v>123</v>
      </c>
      <c r="G1229" s="243" t="s">
        <v>50</v>
      </c>
      <c r="H1229" s="246" t="s">
        <v>214</v>
      </c>
      <c r="I1229" s="294" t="s">
        <v>22</v>
      </c>
      <c r="J1229" s="248">
        <v>0.7</v>
      </c>
      <c r="K1229" s="294" t="s">
        <v>215</v>
      </c>
      <c r="L1229" s="316" t="s">
        <v>216</v>
      </c>
      <c r="M1229" s="294" t="s">
        <v>217</v>
      </c>
      <c r="N1229" s="248">
        <v>0.95</v>
      </c>
      <c r="O1229" s="248">
        <v>0.2</v>
      </c>
      <c r="P1229" s="12"/>
      <c r="Q1229" s="248">
        <f t="shared" si="38"/>
        <v>0</v>
      </c>
      <c r="R1229" s="250">
        <f t="shared" si="39"/>
        <v>0</v>
      </c>
      <c r="S1229" s="248" t="s">
        <v>23</v>
      </c>
      <c r="T1229" s="251">
        <f>SUM(R1229:R1234)%</f>
        <v>0</v>
      </c>
    </row>
    <row r="1230" spans="1:20" ht="21.6" hidden="1" x14ac:dyDescent="0.3">
      <c r="A1230" s="182">
        <v>2071</v>
      </c>
      <c r="B1230" s="42" t="s">
        <v>20</v>
      </c>
      <c r="C1230" s="43" t="s">
        <v>267</v>
      </c>
      <c r="D1230" s="50">
        <v>6174</v>
      </c>
      <c r="E1230" s="42" t="s">
        <v>233</v>
      </c>
      <c r="F1230" s="45" t="s">
        <v>123</v>
      </c>
      <c r="G1230" s="42" t="s">
        <v>50</v>
      </c>
      <c r="H1230" s="45" t="s">
        <v>214</v>
      </c>
      <c r="I1230" s="7" t="s">
        <v>22</v>
      </c>
      <c r="J1230" s="3">
        <v>0.7</v>
      </c>
      <c r="K1230" s="7" t="s">
        <v>218</v>
      </c>
      <c r="L1230" s="8" t="s">
        <v>219</v>
      </c>
      <c r="M1230" s="7" t="s">
        <v>220</v>
      </c>
      <c r="N1230" s="3">
        <v>0.9</v>
      </c>
      <c r="O1230" s="3">
        <v>0.2</v>
      </c>
      <c r="P1230" s="3"/>
      <c r="Q1230" s="3">
        <f t="shared" si="38"/>
        <v>0</v>
      </c>
      <c r="R1230" s="4">
        <f t="shared" si="39"/>
        <v>0</v>
      </c>
      <c r="S1230" s="3" t="s">
        <v>23</v>
      </c>
      <c r="T1230" s="190"/>
    </row>
    <row r="1231" spans="1:20" ht="21.6" hidden="1" x14ac:dyDescent="0.3">
      <c r="A1231" s="182">
        <v>2072</v>
      </c>
      <c r="B1231" s="42" t="s">
        <v>20</v>
      </c>
      <c r="C1231" s="43" t="s">
        <v>267</v>
      </c>
      <c r="D1231" s="50">
        <v>6174</v>
      </c>
      <c r="E1231" s="42" t="s">
        <v>233</v>
      </c>
      <c r="F1231" s="45" t="s">
        <v>123</v>
      </c>
      <c r="G1231" s="42" t="s">
        <v>50</v>
      </c>
      <c r="H1231" s="45" t="s">
        <v>214</v>
      </c>
      <c r="I1231" s="7" t="s">
        <v>22</v>
      </c>
      <c r="J1231" s="3">
        <v>0.7</v>
      </c>
      <c r="K1231" s="7" t="s">
        <v>221</v>
      </c>
      <c r="L1231" s="8" t="s">
        <v>222</v>
      </c>
      <c r="M1231" s="7" t="s">
        <v>223</v>
      </c>
      <c r="N1231" s="3">
        <v>0.95</v>
      </c>
      <c r="O1231" s="3">
        <v>0.2</v>
      </c>
      <c r="P1231" s="172"/>
      <c r="Q1231" s="3">
        <f t="shared" si="38"/>
        <v>0</v>
      </c>
      <c r="R1231" s="4">
        <f t="shared" si="39"/>
        <v>0</v>
      </c>
      <c r="S1231" s="3" t="s">
        <v>23</v>
      </c>
      <c r="T1231" s="190"/>
    </row>
    <row r="1232" spans="1:20" ht="21.6" hidden="1" x14ac:dyDescent="0.3">
      <c r="A1232" s="182">
        <v>2073</v>
      </c>
      <c r="B1232" s="42" t="s">
        <v>20</v>
      </c>
      <c r="C1232" s="43" t="s">
        <v>267</v>
      </c>
      <c r="D1232" s="50">
        <v>6174</v>
      </c>
      <c r="E1232" s="42" t="s">
        <v>233</v>
      </c>
      <c r="F1232" s="45" t="s">
        <v>123</v>
      </c>
      <c r="G1232" s="42" t="s">
        <v>50</v>
      </c>
      <c r="H1232" s="45" t="s">
        <v>214</v>
      </c>
      <c r="I1232" s="7" t="s">
        <v>22</v>
      </c>
      <c r="J1232" s="3">
        <v>0.7</v>
      </c>
      <c r="K1232" s="7" t="s">
        <v>224</v>
      </c>
      <c r="L1232" s="8" t="s">
        <v>225</v>
      </c>
      <c r="M1232" s="7" t="s">
        <v>226</v>
      </c>
      <c r="N1232" s="3">
        <v>1</v>
      </c>
      <c r="O1232" s="3">
        <v>0.2</v>
      </c>
      <c r="P1232" s="10"/>
      <c r="Q1232" s="3">
        <f t="shared" si="38"/>
        <v>0</v>
      </c>
      <c r="R1232" s="4">
        <f t="shared" si="39"/>
        <v>0</v>
      </c>
      <c r="S1232" s="3" t="s">
        <v>23</v>
      </c>
      <c r="T1232" s="190"/>
    </row>
    <row r="1233" spans="1:20" ht="21.6" hidden="1" x14ac:dyDescent="0.3">
      <c r="A1233" s="182">
        <v>2074</v>
      </c>
      <c r="B1233" s="42" t="s">
        <v>20</v>
      </c>
      <c r="C1233" s="43" t="s">
        <v>267</v>
      </c>
      <c r="D1233" s="50">
        <v>6174</v>
      </c>
      <c r="E1233" s="42" t="s">
        <v>233</v>
      </c>
      <c r="F1233" s="45" t="s">
        <v>123</v>
      </c>
      <c r="G1233" s="42" t="s">
        <v>50</v>
      </c>
      <c r="H1233" s="45" t="s">
        <v>214</v>
      </c>
      <c r="I1233" s="7" t="s">
        <v>22</v>
      </c>
      <c r="J1233" s="3">
        <v>0.7</v>
      </c>
      <c r="K1233" s="7" t="s">
        <v>132</v>
      </c>
      <c r="L1233" s="8" t="s">
        <v>133</v>
      </c>
      <c r="M1233" s="7" t="s">
        <v>227</v>
      </c>
      <c r="N1233" s="4">
        <v>0</v>
      </c>
      <c r="O1233" s="3">
        <v>0.2</v>
      </c>
      <c r="P1233" s="3"/>
      <c r="Q1233" s="3">
        <f t="shared" si="38"/>
        <v>0</v>
      </c>
      <c r="R1233" s="4">
        <f t="shared" si="39"/>
        <v>0</v>
      </c>
      <c r="S1233" s="10" t="s">
        <v>24</v>
      </c>
      <c r="T1233" s="190"/>
    </row>
    <row r="1234" spans="1:20" ht="22.2" hidden="1" thickBot="1" x14ac:dyDescent="0.35">
      <c r="A1234" s="267">
        <v>2076</v>
      </c>
      <c r="B1234" s="268" t="s">
        <v>20</v>
      </c>
      <c r="C1234" s="269" t="s">
        <v>267</v>
      </c>
      <c r="D1234" s="290">
        <v>6174</v>
      </c>
      <c r="E1234" s="268" t="s">
        <v>233</v>
      </c>
      <c r="F1234" s="271" t="s">
        <v>123</v>
      </c>
      <c r="G1234" s="268" t="s">
        <v>50</v>
      </c>
      <c r="H1234" s="271" t="s">
        <v>214</v>
      </c>
      <c r="I1234" s="272" t="s">
        <v>26</v>
      </c>
      <c r="J1234" s="273">
        <v>0.3</v>
      </c>
      <c r="K1234" s="272" t="s">
        <v>228</v>
      </c>
      <c r="L1234" s="291" t="s">
        <v>229</v>
      </c>
      <c r="M1234" s="272" t="s">
        <v>230</v>
      </c>
      <c r="N1234" s="273">
        <v>0.9</v>
      </c>
      <c r="O1234" s="276">
        <v>1</v>
      </c>
      <c r="P1234" s="306"/>
      <c r="Q1234" s="273">
        <f t="shared" si="38"/>
        <v>0</v>
      </c>
      <c r="R1234" s="287">
        <f t="shared" si="39"/>
        <v>0</v>
      </c>
      <c r="S1234" s="276" t="s">
        <v>23</v>
      </c>
      <c r="T1234" s="277"/>
    </row>
    <row r="1235" spans="1:20" ht="21.6" hidden="1" x14ac:dyDescent="0.3">
      <c r="A1235" s="182">
        <v>2070</v>
      </c>
      <c r="B1235" s="42" t="s">
        <v>20</v>
      </c>
      <c r="C1235" s="43" t="s">
        <v>267</v>
      </c>
      <c r="D1235" s="50">
        <v>6228</v>
      </c>
      <c r="E1235" s="42" t="s">
        <v>234</v>
      </c>
      <c r="F1235" s="45" t="s">
        <v>123</v>
      </c>
      <c r="G1235" s="42" t="s">
        <v>50</v>
      </c>
      <c r="H1235" s="45" t="s">
        <v>214</v>
      </c>
      <c r="I1235" s="7" t="s">
        <v>22</v>
      </c>
      <c r="J1235" s="3">
        <v>0.7</v>
      </c>
      <c r="K1235" s="7" t="s">
        <v>215</v>
      </c>
      <c r="L1235" s="8" t="s">
        <v>216</v>
      </c>
      <c r="M1235" s="7" t="s">
        <v>217</v>
      </c>
      <c r="N1235" s="3">
        <v>0.95</v>
      </c>
      <c r="O1235" s="3">
        <v>0.2</v>
      </c>
      <c r="P1235" s="12"/>
      <c r="Q1235" s="3">
        <f t="shared" si="38"/>
        <v>0</v>
      </c>
      <c r="R1235" s="4">
        <f t="shared" si="39"/>
        <v>0</v>
      </c>
      <c r="S1235" s="3" t="s">
        <v>23</v>
      </c>
      <c r="T1235" s="190">
        <f>SUM(R1235:R1240)%</f>
        <v>0</v>
      </c>
    </row>
    <row r="1236" spans="1:20" ht="21.6" hidden="1" x14ac:dyDescent="0.3">
      <c r="A1236" s="182">
        <v>2071</v>
      </c>
      <c r="B1236" s="42" t="s">
        <v>20</v>
      </c>
      <c r="C1236" s="43" t="s">
        <v>267</v>
      </c>
      <c r="D1236" s="50">
        <v>6228</v>
      </c>
      <c r="E1236" s="42" t="s">
        <v>234</v>
      </c>
      <c r="F1236" s="45" t="s">
        <v>123</v>
      </c>
      <c r="G1236" s="42" t="s">
        <v>50</v>
      </c>
      <c r="H1236" s="45" t="s">
        <v>214</v>
      </c>
      <c r="I1236" s="7" t="s">
        <v>22</v>
      </c>
      <c r="J1236" s="3">
        <v>0.7</v>
      </c>
      <c r="K1236" s="7" t="s">
        <v>218</v>
      </c>
      <c r="L1236" s="8" t="s">
        <v>219</v>
      </c>
      <c r="M1236" s="7" t="s">
        <v>220</v>
      </c>
      <c r="N1236" s="3">
        <v>0.9</v>
      </c>
      <c r="O1236" s="3">
        <v>0.2</v>
      </c>
      <c r="P1236" s="3"/>
      <c r="Q1236" s="3">
        <f t="shared" si="38"/>
        <v>0</v>
      </c>
      <c r="R1236" s="4">
        <f t="shared" si="39"/>
        <v>0</v>
      </c>
      <c r="S1236" s="3" t="s">
        <v>23</v>
      </c>
      <c r="T1236" s="190"/>
    </row>
    <row r="1237" spans="1:20" ht="21.6" hidden="1" x14ac:dyDescent="0.3">
      <c r="A1237" s="182">
        <v>2072</v>
      </c>
      <c r="B1237" s="42" t="s">
        <v>20</v>
      </c>
      <c r="C1237" s="43" t="s">
        <v>267</v>
      </c>
      <c r="D1237" s="50">
        <v>6228</v>
      </c>
      <c r="E1237" s="42" t="s">
        <v>234</v>
      </c>
      <c r="F1237" s="45" t="s">
        <v>123</v>
      </c>
      <c r="G1237" s="42" t="s">
        <v>50</v>
      </c>
      <c r="H1237" s="45" t="s">
        <v>214</v>
      </c>
      <c r="I1237" s="7" t="s">
        <v>22</v>
      </c>
      <c r="J1237" s="3">
        <v>0.7</v>
      </c>
      <c r="K1237" s="7" t="s">
        <v>221</v>
      </c>
      <c r="L1237" s="8" t="s">
        <v>222</v>
      </c>
      <c r="M1237" s="7" t="s">
        <v>223</v>
      </c>
      <c r="N1237" s="3">
        <v>0.95</v>
      </c>
      <c r="O1237" s="3">
        <v>0.2</v>
      </c>
      <c r="P1237" s="172"/>
      <c r="Q1237" s="3">
        <f t="shared" si="38"/>
        <v>0</v>
      </c>
      <c r="R1237" s="4">
        <f t="shared" si="39"/>
        <v>0</v>
      </c>
      <c r="S1237" s="3" t="s">
        <v>23</v>
      </c>
      <c r="T1237" s="190"/>
    </row>
    <row r="1238" spans="1:20" ht="21.6" hidden="1" x14ac:dyDescent="0.3">
      <c r="A1238" s="182">
        <v>2073</v>
      </c>
      <c r="B1238" s="42" t="s">
        <v>20</v>
      </c>
      <c r="C1238" s="43" t="s">
        <v>267</v>
      </c>
      <c r="D1238" s="50">
        <v>6228</v>
      </c>
      <c r="E1238" s="42" t="s">
        <v>234</v>
      </c>
      <c r="F1238" s="45" t="s">
        <v>123</v>
      </c>
      <c r="G1238" s="42" t="s">
        <v>50</v>
      </c>
      <c r="H1238" s="45" t="s">
        <v>214</v>
      </c>
      <c r="I1238" s="7" t="s">
        <v>22</v>
      </c>
      <c r="J1238" s="3">
        <v>0.7</v>
      </c>
      <c r="K1238" s="7" t="s">
        <v>224</v>
      </c>
      <c r="L1238" s="8" t="s">
        <v>225</v>
      </c>
      <c r="M1238" s="7" t="s">
        <v>226</v>
      </c>
      <c r="N1238" s="3">
        <v>1</v>
      </c>
      <c r="O1238" s="3">
        <v>0.2</v>
      </c>
      <c r="P1238" s="10"/>
      <c r="Q1238" s="3">
        <f t="shared" si="38"/>
        <v>0</v>
      </c>
      <c r="R1238" s="4">
        <f t="shared" si="39"/>
        <v>0</v>
      </c>
      <c r="S1238" s="3" t="s">
        <v>23</v>
      </c>
      <c r="T1238" s="190"/>
    </row>
    <row r="1239" spans="1:20" ht="21.6" hidden="1" x14ac:dyDescent="0.3">
      <c r="A1239" s="182">
        <v>2074</v>
      </c>
      <c r="B1239" s="42" t="s">
        <v>20</v>
      </c>
      <c r="C1239" s="43" t="s">
        <v>267</v>
      </c>
      <c r="D1239" s="50">
        <v>6228</v>
      </c>
      <c r="E1239" s="42" t="s">
        <v>234</v>
      </c>
      <c r="F1239" s="45" t="s">
        <v>123</v>
      </c>
      <c r="G1239" s="42" t="s">
        <v>50</v>
      </c>
      <c r="H1239" s="45" t="s">
        <v>214</v>
      </c>
      <c r="I1239" s="7" t="s">
        <v>22</v>
      </c>
      <c r="J1239" s="3">
        <v>0.7</v>
      </c>
      <c r="K1239" s="7" t="s">
        <v>132</v>
      </c>
      <c r="L1239" s="8" t="s">
        <v>133</v>
      </c>
      <c r="M1239" s="7" t="s">
        <v>227</v>
      </c>
      <c r="N1239" s="4">
        <v>0</v>
      </c>
      <c r="O1239" s="3">
        <v>0.2</v>
      </c>
      <c r="P1239" s="3"/>
      <c r="Q1239" s="3">
        <f t="shared" si="38"/>
        <v>0</v>
      </c>
      <c r="R1239" s="4">
        <f t="shared" si="39"/>
        <v>0</v>
      </c>
      <c r="S1239" s="10" t="s">
        <v>24</v>
      </c>
      <c r="T1239" s="190"/>
    </row>
    <row r="1240" spans="1:20" ht="22.2" hidden="1" thickBot="1" x14ac:dyDescent="0.35">
      <c r="A1240" s="267">
        <v>2076</v>
      </c>
      <c r="B1240" s="268" t="s">
        <v>20</v>
      </c>
      <c r="C1240" s="269" t="s">
        <v>267</v>
      </c>
      <c r="D1240" s="290">
        <v>6228</v>
      </c>
      <c r="E1240" s="268" t="s">
        <v>234</v>
      </c>
      <c r="F1240" s="271" t="s">
        <v>123</v>
      </c>
      <c r="G1240" s="268" t="s">
        <v>50</v>
      </c>
      <c r="H1240" s="271" t="s">
        <v>214</v>
      </c>
      <c r="I1240" s="272" t="s">
        <v>26</v>
      </c>
      <c r="J1240" s="273">
        <v>0.3</v>
      </c>
      <c r="K1240" s="272" t="s">
        <v>228</v>
      </c>
      <c r="L1240" s="291" t="s">
        <v>229</v>
      </c>
      <c r="M1240" s="272" t="s">
        <v>230</v>
      </c>
      <c r="N1240" s="273">
        <v>0.9</v>
      </c>
      <c r="O1240" s="276">
        <v>1</v>
      </c>
      <c r="P1240" s="306"/>
      <c r="Q1240" s="273">
        <f t="shared" si="38"/>
        <v>0</v>
      </c>
      <c r="R1240" s="287">
        <f t="shared" si="39"/>
        <v>0</v>
      </c>
      <c r="S1240" s="276" t="s">
        <v>23</v>
      </c>
      <c r="T1240" s="277"/>
    </row>
    <row r="1241" spans="1:20" ht="21.6" hidden="1" x14ac:dyDescent="0.3">
      <c r="A1241" s="182">
        <v>2070</v>
      </c>
      <c r="B1241" s="42" t="s">
        <v>20</v>
      </c>
      <c r="C1241" s="43" t="s">
        <v>267</v>
      </c>
      <c r="D1241" s="50">
        <v>6366</v>
      </c>
      <c r="E1241" s="42" t="s">
        <v>235</v>
      </c>
      <c r="F1241" s="45" t="s">
        <v>123</v>
      </c>
      <c r="G1241" s="42" t="s">
        <v>50</v>
      </c>
      <c r="H1241" s="45" t="s">
        <v>214</v>
      </c>
      <c r="I1241" s="7" t="s">
        <v>22</v>
      </c>
      <c r="J1241" s="3">
        <v>0.7</v>
      </c>
      <c r="K1241" s="7" t="s">
        <v>215</v>
      </c>
      <c r="L1241" s="8" t="s">
        <v>216</v>
      </c>
      <c r="M1241" s="7" t="s">
        <v>217</v>
      </c>
      <c r="N1241" s="3">
        <v>0.95</v>
      </c>
      <c r="O1241" s="3">
        <v>0.2</v>
      </c>
      <c r="P1241" s="12"/>
      <c r="Q1241" s="3">
        <f t="shared" si="38"/>
        <v>0</v>
      </c>
      <c r="R1241" s="4">
        <f t="shared" si="39"/>
        <v>0</v>
      </c>
      <c r="S1241" s="3" t="s">
        <v>23</v>
      </c>
      <c r="T1241" s="190">
        <f>SUM(R1241:R1246)%</f>
        <v>0</v>
      </c>
    </row>
    <row r="1242" spans="1:20" ht="21.6" hidden="1" x14ac:dyDescent="0.3">
      <c r="A1242" s="182">
        <v>2071</v>
      </c>
      <c r="B1242" s="42" t="s">
        <v>20</v>
      </c>
      <c r="C1242" s="43" t="s">
        <v>267</v>
      </c>
      <c r="D1242" s="50">
        <v>6366</v>
      </c>
      <c r="E1242" s="42" t="s">
        <v>235</v>
      </c>
      <c r="F1242" s="45" t="s">
        <v>123</v>
      </c>
      <c r="G1242" s="42" t="s">
        <v>50</v>
      </c>
      <c r="H1242" s="45" t="s">
        <v>214</v>
      </c>
      <c r="I1242" s="7" t="s">
        <v>22</v>
      </c>
      <c r="J1242" s="3">
        <v>0.7</v>
      </c>
      <c r="K1242" s="7" t="s">
        <v>218</v>
      </c>
      <c r="L1242" s="8" t="s">
        <v>219</v>
      </c>
      <c r="M1242" s="7" t="s">
        <v>220</v>
      </c>
      <c r="N1242" s="3">
        <v>0.9</v>
      </c>
      <c r="O1242" s="3">
        <v>0.2</v>
      </c>
      <c r="P1242" s="3"/>
      <c r="Q1242" s="3">
        <f t="shared" si="38"/>
        <v>0</v>
      </c>
      <c r="R1242" s="4">
        <f t="shared" si="39"/>
        <v>0</v>
      </c>
      <c r="S1242" s="3" t="s">
        <v>23</v>
      </c>
      <c r="T1242" s="190"/>
    </row>
    <row r="1243" spans="1:20" ht="21.6" hidden="1" x14ac:dyDescent="0.3">
      <c r="A1243" s="182">
        <v>2072</v>
      </c>
      <c r="B1243" s="42" t="s">
        <v>20</v>
      </c>
      <c r="C1243" s="43" t="s">
        <v>267</v>
      </c>
      <c r="D1243" s="50">
        <v>6366</v>
      </c>
      <c r="E1243" s="42" t="s">
        <v>235</v>
      </c>
      <c r="F1243" s="45" t="s">
        <v>123</v>
      </c>
      <c r="G1243" s="42" t="s">
        <v>50</v>
      </c>
      <c r="H1243" s="45" t="s">
        <v>214</v>
      </c>
      <c r="I1243" s="7" t="s">
        <v>22</v>
      </c>
      <c r="J1243" s="3">
        <v>0.7</v>
      </c>
      <c r="K1243" s="7" t="s">
        <v>221</v>
      </c>
      <c r="L1243" s="8" t="s">
        <v>222</v>
      </c>
      <c r="M1243" s="7" t="s">
        <v>223</v>
      </c>
      <c r="N1243" s="3">
        <v>0.95</v>
      </c>
      <c r="O1243" s="3">
        <v>0.2</v>
      </c>
      <c r="P1243" s="6"/>
      <c r="Q1243" s="3">
        <f t="shared" si="38"/>
        <v>0</v>
      </c>
      <c r="R1243" s="4">
        <f t="shared" si="39"/>
        <v>0</v>
      </c>
      <c r="S1243" s="3" t="s">
        <v>23</v>
      </c>
      <c r="T1243" s="190"/>
    </row>
    <row r="1244" spans="1:20" ht="21.6" hidden="1" x14ac:dyDescent="0.3">
      <c r="A1244" s="182">
        <v>2073</v>
      </c>
      <c r="B1244" s="42" t="s">
        <v>20</v>
      </c>
      <c r="C1244" s="43" t="s">
        <v>267</v>
      </c>
      <c r="D1244" s="50">
        <v>6366</v>
      </c>
      <c r="E1244" s="42" t="s">
        <v>235</v>
      </c>
      <c r="F1244" s="45" t="s">
        <v>123</v>
      </c>
      <c r="G1244" s="42" t="s">
        <v>50</v>
      </c>
      <c r="H1244" s="45" t="s">
        <v>214</v>
      </c>
      <c r="I1244" s="7" t="s">
        <v>22</v>
      </c>
      <c r="J1244" s="3">
        <v>0.7</v>
      </c>
      <c r="K1244" s="7" t="s">
        <v>224</v>
      </c>
      <c r="L1244" s="8" t="s">
        <v>225</v>
      </c>
      <c r="M1244" s="7" t="s">
        <v>226</v>
      </c>
      <c r="N1244" s="3">
        <v>1</v>
      </c>
      <c r="O1244" s="3">
        <v>0.2</v>
      </c>
      <c r="P1244" s="10"/>
      <c r="Q1244" s="3">
        <f t="shared" si="38"/>
        <v>0</v>
      </c>
      <c r="R1244" s="4">
        <f t="shared" si="39"/>
        <v>0</v>
      </c>
      <c r="S1244" s="3" t="s">
        <v>23</v>
      </c>
      <c r="T1244" s="190"/>
    </row>
    <row r="1245" spans="1:20" ht="21.6" hidden="1" x14ac:dyDescent="0.3">
      <c r="A1245" s="182">
        <v>2074</v>
      </c>
      <c r="B1245" s="42" t="s">
        <v>20</v>
      </c>
      <c r="C1245" s="43" t="s">
        <v>267</v>
      </c>
      <c r="D1245" s="50">
        <v>6366</v>
      </c>
      <c r="E1245" s="42" t="s">
        <v>235</v>
      </c>
      <c r="F1245" s="45" t="s">
        <v>123</v>
      </c>
      <c r="G1245" s="42" t="s">
        <v>50</v>
      </c>
      <c r="H1245" s="45" t="s">
        <v>214</v>
      </c>
      <c r="I1245" s="7" t="s">
        <v>22</v>
      </c>
      <c r="J1245" s="3">
        <v>0.7</v>
      </c>
      <c r="K1245" s="7" t="s">
        <v>132</v>
      </c>
      <c r="L1245" s="8" t="s">
        <v>133</v>
      </c>
      <c r="M1245" s="7" t="s">
        <v>227</v>
      </c>
      <c r="N1245" s="4">
        <v>0</v>
      </c>
      <c r="O1245" s="3">
        <v>0.2</v>
      </c>
      <c r="P1245" s="3"/>
      <c r="Q1245" s="3">
        <f t="shared" si="38"/>
        <v>0</v>
      </c>
      <c r="R1245" s="4">
        <f t="shared" si="39"/>
        <v>0</v>
      </c>
      <c r="S1245" s="10" t="s">
        <v>24</v>
      </c>
      <c r="T1245" s="190"/>
    </row>
    <row r="1246" spans="1:20" ht="22.2" hidden="1" thickBot="1" x14ac:dyDescent="0.35">
      <c r="A1246" s="267">
        <v>2076</v>
      </c>
      <c r="B1246" s="268" t="s">
        <v>20</v>
      </c>
      <c r="C1246" s="269" t="s">
        <v>267</v>
      </c>
      <c r="D1246" s="290">
        <v>6366</v>
      </c>
      <c r="E1246" s="268" t="s">
        <v>235</v>
      </c>
      <c r="F1246" s="271" t="s">
        <v>123</v>
      </c>
      <c r="G1246" s="268" t="s">
        <v>50</v>
      </c>
      <c r="H1246" s="271" t="s">
        <v>214</v>
      </c>
      <c r="I1246" s="272" t="s">
        <v>26</v>
      </c>
      <c r="J1246" s="273">
        <v>0.3</v>
      </c>
      <c r="K1246" s="272" t="s">
        <v>228</v>
      </c>
      <c r="L1246" s="291" t="s">
        <v>229</v>
      </c>
      <c r="M1246" s="272" t="s">
        <v>230</v>
      </c>
      <c r="N1246" s="273">
        <v>0.9</v>
      </c>
      <c r="O1246" s="276">
        <v>1</v>
      </c>
      <c r="P1246" s="306"/>
      <c r="Q1246" s="273">
        <f t="shared" si="38"/>
        <v>0</v>
      </c>
      <c r="R1246" s="287">
        <f t="shared" si="39"/>
        <v>0</v>
      </c>
      <c r="S1246" s="276" t="s">
        <v>23</v>
      </c>
      <c r="T1246" s="277"/>
    </row>
    <row r="1247" spans="1:20" ht="21.6" hidden="1" x14ac:dyDescent="0.3">
      <c r="A1247" s="182">
        <v>2070</v>
      </c>
      <c r="B1247" s="42" t="s">
        <v>20</v>
      </c>
      <c r="C1247" s="43" t="s">
        <v>267</v>
      </c>
      <c r="D1247" s="50">
        <v>6016</v>
      </c>
      <c r="E1247" s="42" t="s">
        <v>236</v>
      </c>
      <c r="F1247" s="45" t="s">
        <v>123</v>
      </c>
      <c r="G1247" s="42" t="s">
        <v>50</v>
      </c>
      <c r="H1247" s="45" t="s">
        <v>214</v>
      </c>
      <c r="I1247" s="7" t="s">
        <v>22</v>
      </c>
      <c r="J1247" s="3">
        <v>0.7</v>
      </c>
      <c r="K1247" s="7" t="s">
        <v>215</v>
      </c>
      <c r="L1247" s="8" t="s">
        <v>216</v>
      </c>
      <c r="M1247" s="7" t="s">
        <v>217</v>
      </c>
      <c r="N1247" s="3">
        <v>0.95</v>
      </c>
      <c r="O1247" s="3">
        <v>0.2</v>
      </c>
      <c r="P1247" s="12"/>
      <c r="Q1247" s="3">
        <f t="shared" si="38"/>
        <v>0</v>
      </c>
      <c r="R1247" s="4">
        <f t="shared" si="39"/>
        <v>0</v>
      </c>
      <c r="S1247" s="3" t="s">
        <v>23</v>
      </c>
      <c r="T1247" s="190">
        <f>SUM(R1247:R1252)%</f>
        <v>0</v>
      </c>
    </row>
    <row r="1248" spans="1:20" ht="21.6" hidden="1" x14ac:dyDescent="0.3">
      <c r="A1248" s="182">
        <v>2071</v>
      </c>
      <c r="B1248" s="42" t="s">
        <v>20</v>
      </c>
      <c r="C1248" s="43" t="s">
        <v>267</v>
      </c>
      <c r="D1248" s="50">
        <v>6016</v>
      </c>
      <c r="E1248" s="42" t="s">
        <v>236</v>
      </c>
      <c r="F1248" s="45" t="s">
        <v>123</v>
      </c>
      <c r="G1248" s="42" t="s">
        <v>50</v>
      </c>
      <c r="H1248" s="45" t="s">
        <v>214</v>
      </c>
      <c r="I1248" s="7" t="s">
        <v>22</v>
      </c>
      <c r="J1248" s="3">
        <v>0.7</v>
      </c>
      <c r="K1248" s="7" t="s">
        <v>218</v>
      </c>
      <c r="L1248" s="8" t="s">
        <v>219</v>
      </c>
      <c r="M1248" s="7" t="s">
        <v>220</v>
      </c>
      <c r="N1248" s="3">
        <v>0.9</v>
      </c>
      <c r="O1248" s="3">
        <v>0.2</v>
      </c>
      <c r="P1248" s="3"/>
      <c r="Q1248" s="3">
        <f t="shared" si="38"/>
        <v>0</v>
      </c>
      <c r="R1248" s="4">
        <f t="shared" si="39"/>
        <v>0</v>
      </c>
      <c r="S1248" s="3" t="s">
        <v>23</v>
      </c>
      <c r="T1248" s="190"/>
    </row>
    <row r="1249" spans="1:20" ht="21.6" hidden="1" x14ac:dyDescent="0.3">
      <c r="A1249" s="182">
        <v>2072</v>
      </c>
      <c r="B1249" s="42" t="s">
        <v>20</v>
      </c>
      <c r="C1249" s="43" t="s">
        <v>267</v>
      </c>
      <c r="D1249" s="50">
        <v>6016</v>
      </c>
      <c r="E1249" s="42" t="s">
        <v>236</v>
      </c>
      <c r="F1249" s="45" t="s">
        <v>123</v>
      </c>
      <c r="G1249" s="42" t="s">
        <v>50</v>
      </c>
      <c r="H1249" s="45" t="s">
        <v>214</v>
      </c>
      <c r="I1249" s="7" t="s">
        <v>22</v>
      </c>
      <c r="J1249" s="3">
        <v>0.7</v>
      </c>
      <c r="K1249" s="7" t="s">
        <v>221</v>
      </c>
      <c r="L1249" s="8" t="s">
        <v>222</v>
      </c>
      <c r="M1249" s="7" t="s">
        <v>223</v>
      </c>
      <c r="N1249" s="3">
        <v>0.95</v>
      </c>
      <c r="O1249" s="3">
        <v>0.2</v>
      </c>
      <c r="P1249" s="172"/>
      <c r="Q1249" s="3">
        <f t="shared" si="38"/>
        <v>0</v>
      </c>
      <c r="R1249" s="4">
        <f t="shared" si="39"/>
        <v>0</v>
      </c>
      <c r="S1249" s="3" t="s">
        <v>23</v>
      </c>
      <c r="T1249" s="190"/>
    </row>
    <row r="1250" spans="1:20" ht="21.6" hidden="1" x14ac:dyDescent="0.3">
      <c r="A1250" s="182">
        <v>2073</v>
      </c>
      <c r="B1250" s="42" t="s">
        <v>20</v>
      </c>
      <c r="C1250" s="43" t="s">
        <v>267</v>
      </c>
      <c r="D1250" s="50">
        <v>6016</v>
      </c>
      <c r="E1250" s="42" t="s">
        <v>236</v>
      </c>
      <c r="F1250" s="45" t="s">
        <v>123</v>
      </c>
      <c r="G1250" s="42" t="s">
        <v>50</v>
      </c>
      <c r="H1250" s="45" t="s">
        <v>214</v>
      </c>
      <c r="I1250" s="7" t="s">
        <v>22</v>
      </c>
      <c r="J1250" s="3">
        <v>0.7</v>
      </c>
      <c r="K1250" s="7" t="s">
        <v>224</v>
      </c>
      <c r="L1250" s="8" t="s">
        <v>225</v>
      </c>
      <c r="M1250" s="7" t="s">
        <v>226</v>
      </c>
      <c r="N1250" s="3">
        <v>1</v>
      </c>
      <c r="O1250" s="3">
        <v>0.2</v>
      </c>
      <c r="P1250" s="10"/>
      <c r="Q1250" s="3">
        <f t="shared" ref="Q1250:Q1258" si="40">ROUND(IF(OR(N1250="",P1250=""),0,IF(AND(N1250=0,P1250=0),1,IF(S1250="+",P1250/N1250,N1250/P1250))),2)</f>
        <v>0</v>
      </c>
      <c r="R1250" s="4">
        <f t="shared" si="39"/>
        <v>0</v>
      </c>
      <c r="S1250" s="3" t="s">
        <v>23</v>
      </c>
      <c r="T1250" s="190"/>
    </row>
    <row r="1251" spans="1:20" ht="21.6" hidden="1" x14ac:dyDescent="0.3">
      <c r="A1251" s="182">
        <v>2074</v>
      </c>
      <c r="B1251" s="42" t="s">
        <v>20</v>
      </c>
      <c r="C1251" s="43" t="s">
        <v>267</v>
      </c>
      <c r="D1251" s="50">
        <v>6016</v>
      </c>
      <c r="E1251" s="42" t="s">
        <v>236</v>
      </c>
      <c r="F1251" s="45" t="s">
        <v>123</v>
      </c>
      <c r="G1251" s="42" t="s">
        <v>50</v>
      </c>
      <c r="H1251" s="45" t="s">
        <v>214</v>
      </c>
      <c r="I1251" s="7" t="s">
        <v>22</v>
      </c>
      <c r="J1251" s="3">
        <v>0.7</v>
      </c>
      <c r="K1251" s="7" t="s">
        <v>132</v>
      </c>
      <c r="L1251" s="8" t="s">
        <v>133</v>
      </c>
      <c r="M1251" s="7" t="s">
        <v>227</v>
      </c>
      <c r="N1251" s="4">
        <v>0</v>
      </c>
      <c r="O1251" s="3">
        <v>0.2</v>
      </c>
      <c r="P1251" s="3"/>
      <c r="Q1251" s="3">
        <f t="shared" si="40"/>
        <v>0</v>
      </c>
      <c r="R1251" s="4">
        <f t="shared" si="39"/>
        <v>0</v>
      </c>
      <c r="S1251" s="10" t="s">
        <v>24</v>
      </c>
      <c r="T1251" s="190"/>
    </row>
    <row r="1252" spans="1:20" ht="22.2" hidden="1" thickBot="1" x14ac:dyDescent="0.35">
      <c r="A1252" s="267">
        <v>2076</v>
      </c>
      <c r="B1252" s="268" t="s">
        <v>20</v>
      </c>
      <c r="C1252" s="269" t="s">
        <v>267</v>
      </c>
      <c r="D1252" s="290">
        <v>6016</v>
      </c>
      <c r="E1252" s="268" t="s">
        <v>236</v>
      </c>
      <c r="F1252" s="271" t="s">
        <v>123</v>
      </c>
      <c r="G1252" s="268" t="s">
        <v>50</v>
      </c>
      <c r="H1252" s="271" t="s">
        <v>214</v>
      </c>
      <c r="I1252" s="272" t="s">
        <v>26</v>
      </c>
      <c r="J1252" s="273">
        <v>0.3</v>
      </c>
      <c r="K1252" s="272" t="s">
        <v>228</v>
      </c>
      <c r="L1252" s="291" t="s">
        <v>229</v>
      </c>
      <c r="M1252" s="272" t="s">
        <v>230</v>
      </c>
      <c r="N1252" s="273">
        <v>0.9</v>
      </c>
      <c r="O1252" s="276">
        <v>1</v>
      </c>
      <c r="P1252" s="306"/>
      <c r="Q1252" s="273">
        <f t="shared" si="40"/>
        <v>0</v>
      </c>
      <c r="R1252" s="287">
        <f t="shared" si="39"/>
        <v>0</v>
      </c>
      <c r="S1252" s="276" t="s">
        <v>23</v>
      </c>
      <c r="T1252" s="277"/>
    </row>
    <row r="1253" spans="1:20" ht="21.6" hidden="1" x14ac:dyDescent="0.3">
      <c r="A1253" s="182">
        <v>2070</v>
      </c>
      <c r="B1253" s="42" t="s">
        <v>20</v>
      </c>
      <c r="C1253" s="43" t="s">
        <v>267</v>
      </c>
      <c r="D1253" s="50">
        <v>6553</v>
      </c>
      <c r="E1253" s="42" t="s">
        <v>286</v>
      </c>
      <c r="F1253" s="45" t="s">
        <v>123</v>
      </c>
      <c r="G1253" s="42" t="s">
        <v>50</v>
      </c>
      <c r="H1253" s="45" t="s">
        <v>214</v>
      </c>
      <c r="I1253" s="7" t="s">
        <v>22</v>
      </c>
      <c r="J1253" s="3">
        <v>0.7</v>
      </c>
      <c r="K1253" s="7" t="s">
        <v>215</v>
      </c>
      <c r="L1253" s="8" t="s">
        <v>216</v>
      </c>
      <c r="M1253" s="7" t="s">
        <v>217</v>
      </c>
      <c r="N1253" s="3">
        <v>0.95</v>
      </c>
      <c r="O1253" s="3">
        <v>0.2</v>
      </c>
      <c r="P1253" s="12"/>
      <c r="Q1253" s="3">
        <f t="shared" si="40"/>
        <v>0</v>
      </c>
      <c r="R1253" s="4">
        <f t="shared" si="39"/>
        <v>0</v>
      </c>
      <c r="S1253" s="3" t="s">
        <v>23</v>
      </c>
      <c r="T1253" s="190">
        <f>SUM(R1253:R1258)%</f>
        <v>0</v>
      </c>
    </row>
    <row r="1254" spans="1:20" ht="21.6" hidden="1" x14ac:dyDescent="0.3">
      <c r="A1254" s="182">
        <v>2071</v>
      </c>
      <c r="B1254" s="42" t="s">
        <v>20</v>
      </c>
      <c r="C1254" s="43" t="s">
        <v>267</v>
      </c>
      <c r="D1254" s="50">
        <v>6553</v>
      </c>
      <c r="E1254" s="42" t="s">
        <v>286</v>
      </c>
      <c r="F1254" s="45" t="s">
        <v>123</v>
      </c>
      <c r="G1254" s="42" t="s">
        <v>50</v>
      </c>
      <c r="H1254" s="45" t="s">
        <v>214</v>
      </c>
      <c r="I1254" s="7" t="s">
        <v>22</v>
      </c>
      <c r="J1254" s="3">
        <v>0.7</v>
      </c>
      <c r="K1254" s="7" t="s">
        <v>218</v>
      </c>
      <c r="L1254" s="8" t="s">
        <v>219</v>
      </c>
      <c r="M1254" s="7" t="s">
        <v>220</v>
      </c>
      <c r="N1254" s="3">
        <v>0.9</v>
      </c>
      <c r="O1254" s="3">
        <v>0.2</v>
      </c>
      <c r="P1254" s="3"/>
      <c r="Q1254" s="3">
        <f t="shared" si="40"/>
        <v>0</v>
      </c>
      <c r="R1254" s="4">
        <f t="shared" si="39"/>
        <v>0</v>
      </c>
      <c r="S1254" s="3" t="s">
        <v>23</v>
      </c>
      <c r="T1254" s="190"/>
    </row>
    <row r="1255" spans="1:20" ht="21.6" hidden="1" x14ac:dyDescent="0.3">
      <c r="A1255" s="182">
        <v>2072</v>
      </c>
      <c r="B1255" s="42" t="s">
        <v>20</v>
      </c>
      <c r="C1255" s="43" t="s">
        <v>267</v>
      </c>
      <c r="D1255" s="50">
        <v>6553</v>
      </c>
      <c r="E1255" s="42" t="s">
        <v>286</v>
      </c>
      <c r="F1255" s="45" t="s">
        <v>123</v>
      </c>
      <c r="G1255" s="42" t="s">
        <v>50</v>
      </c>
      <c r="H1255" s="45" t="s">
        <v>214</v>
      </c>
      <c r="I1255" s="7" t="s">
        <v>22</v>
      </c>
      <c r="J1255" s="3">
        <v>0.7</v>
      </c>
      <c r="K1255" s="7" t="s">
        <v>221</v>
      </c>
      <c r="L1255" s="8" t="s">
        <v>222</v>
      </c>
      <c r="M1255" s="7" t="s">
        <v>223</v>
      </c>
      <c r="N1255" s="3">
        <v>0.95</v>
      </c>
      <c r="O1255" s="3">
        <v>0.2</v>
      </c>
      <c r="P1255" s="173"/>
      <c r="Q1255" s="3">
        <f t="shared" si="40"/>
        <v>0</v>
      </c>
      <c r="R1255" s="4">
        <f t="shared" si="39"/>
        <v>0</v>
      </c>
      <c r="S1255" s="3" t="s">
        <v>23</v>
      </c>
      <c r="T1255" s="190"/>
    </row>
    <row r="1256" spans="1:20" ht="21.6" hidden="1" x14ac:dyDescent="0.3">
      <c r="A1256" s="182">
        <v>2073</v>
      </c>
      <c r="B1256" s="42" t="s">
        <v>20</v>
      </c>
      <c r="C1256" s="43" t="s">
        <v>267</v>
      </c>
      <c r="D1256" s="50">
        <v>6553</v>
      </c>
      <c r="E1256" s="42" t="s">
        <v>286</v>
      </c>
      <c r="F1256" s="45" t="s">
        <v>123</v>
      </c>
      <c r="G1256" s="42" t="s">
        <v>50</v>
      </c>
      <c r="H1256" s="45" t="s">
        <v>214</v>
      </c>
      <c r="I1256" s="7" t="s">
        <v>22</v>
      </c>
      <c r="J1256" s="3">
        <v>0.7</v>
      </c>
      <c r="K1256" s="7" t="s">
        <v>224</v>
      </c>
      <c r="L1256" s="8" t="s">
        <v>225</v>
      </c>
      <c r="M1256" s="7" t="s">
        <v>226</v>
      </c>
      <c r="N1256" s="3">
        <v>1</v>
      </c>
      <c r="O1256" s="3">
        <v>0.2</v>
      </c>
      <c r="P1256" s="10"/>
      <c r="Q1256" s="3">
        <f t="shared" si="40"/>
        <v>0</v>
      </c>
      <c r="R1256" s="4">
        <f t="shared" si="39"/>
        <v>0</v>
      </c>
      <c r="S1256" s="3" t="s">
        <v>23</v>
      </c>
      <c r="T1256" s="190"/>
    </row>
    <row r="1257" spans="1:20" ht="21.6" hidden="1" x14ac:dyDescent="0.3">
      <c r="A1257" s="182">
        <v>2074</v>
      </c>
      <c r="B1257" s="42" t="s">
        <v>20</v>
      </c>
      <c r="C1257" s="43" t="s">
        <v>267</v>
      </c>
      <c r="D1257" s="50">
        <v>6553</v>
      </c>
      <c r="E1257" s="42" t="s">
        <v>286</v>
      </c>
      <c r="F1257" s="45" t="s">
        <v>123</v>
      </c>
      <c r="G1257" s="42" t="s">
        <v>50</v>
      </c>
      <c r="H1257" s="45" t="s">
        <v>214</v>
      </c>
      <c r="I1257" s="7" t="s">
        <v>22</v>
      </c>
      <c r="J1257" s="3">
        <v>0.7</v>
      </c>
      <c r="K1257" s="7" t="s">
        <v>132</v>
      </c>
      <c r="L1257" s="8" t="s">
        <v>133</v>
      </c>
      <c r="M1257" s="7" t="s">
        <v>227</v>
      </c>
      <c r="N1257" s="4">
        <v>0</v>
      </c>
      <c r="O1257" s="3">
        <v>0.2</v>
      </c>
      <c r="P1257" s="3"/>
      <c r="Q1257" s="3">
        <f t="shared" si="40"/>
        <v>0</v>
      </c>
      <c r="R1257" s="4">
        <f t="shared" si="39"/>
        <v>0</v>
      </c>
      <c r="S1257" s="10" t="s">
        <v>24</v>
      </c>
      <c r="T1257" s="190"/>
    </row>
    <row r="1258" spans="1:20" ht="22.2" hidden="1" thickBot="1" x14ac:dyDescent="0.35">
      <c r="A1258" s="267">
        <v>2076</v>
      </c>
      <c r="B1258" s="268" t="s">
        <v>20</v>
      </c>
      <c r="C1258" s="269" t="s">
        <v>267</v>
      </c>
      <c r="D1258" s="290">
        <v>6553</v>
      </c>
      <c r="E1258" s="268" t="s">
        <v>286</v>
      </c>
      <c r="F1258" s="271" t="s">
        <v>123</v>
      </c>
      <c r="G1258" s="268" t="s">
        <v>50</v>
      </c>
      <c r="H1258" s="271" t="s">
        <v>214</v>
      </c>
      <c r="I1258" s="272" t="s">
        <v>26</v>
      </c>
      <c r="J1258" s="273">
        <v>0.3</v>
      </c>
      <c r="K1258" s="272" t="s">
        <v>228</v>
      </c>
      <c r="L1258" s="291" t="s">
        <v>229</v>
      </c>
      <c r="M1258" s="272" t="s">
        <v>230</v>
      </c>
      <c r="N1258" s="273">
        <v>0.9</v>
      </c>
      <c r="O1258" s="276">
        <v>1</v>
      </c>
      <c r="P1258" s="306"/>
      <c r="Q1258" s="273">
        <f t="shared" si="40"/>
        <v>0</v>
      </c>
      <c r="R1258" s="287">
        <f t="shared" si="39"/>
        <v>0</v>
      </c>
      <c r="S1258" s="276" t="s">
        <v>23</v>
      </c>
      <c r="T1258" s="277"/>
    </row>
  </sheetData>
  <autoFilter ref="A1:T1258" xr:uid="{3D368B38-C024-446B-B542-85A5F2C7893F}">
    <filterColumn colId="4">
      <filters>
        <filter val="رضا دیناروندی پور"/>
      </filters>
    </filterColumn>
  </autoFilter>
  <conditionalFormatting sqref="I1:I1258">
    <cfRule type="cellIs" dxfId="40" priority="1" operator="equal">
      <formula>"maintasks"</formula>
    </cfRule>
  </conditionalFormatting>
  <conditionalFormatting sqref="K32:L33">
    <cfRule type="cellIs" dxfId="39" priority="14" operator="equal">
      <formula>"maintasks"</formula>
    </cfRule>
  </conditionalFormatting>
  <conditionalFormatting sqref="K43:L44">
    <cfRule type="cellIs" dxfId="38" priority="13" operator="equal">
      <formula>"maintasks"</formula>
    </cfRule>
  </conditionalFormatting>
  <conditionalFormatting sqref="K54:L55">
    <cfRule type="cellIs" dxfId="37" priority="12" operator="equal">
      <formula>"maintasks"</formula>
    </cfRule>
  </conditionalFormatting>
  <conditionalFormatting sqref="K64:L65">
    <cfRule type="cellIs" dxfId="36" priority="11" operator="equal">
      <formula>"maintasks"</formula>
    </cfRule>
  </conditionalFormatting>
  <conditionalFormatting sqref="K75:L76">
    <cfRule type="cellIs" dxfId="35" priority="10" operator="equal">
      <formula>"maintasks"</formula>
    </cfRule>
  </conditionalFormatting>
  <conditionalFormatting sqref="K89:L90">
    <cfRule type="cellIs" dxfId="34" priority="9" operator="equal">
      <formula>"maintasks"</formula>
    </cfRule>
  </conditionalFormatting>
  <conditionalFormatting sqref="K100:L101">
    <cfRule type="cellIs" dxfId="33" priority="8" operator="equal">
      <formula>"maintasks"</formula>
    </cfRule>
  </conditionalFormatting>
  <conditionalFormatting sqref="K148:L148">
    <cfRule type="cellIs" dxfId="32" priority="101" operator="equal">
      <formula>"maintasks"</formula>
    </cfRule>
  </conditionalFormatting>
  <conditionalFormatting sqref="K164:L164">
    <cfRule type="cellIs" dxfId="31" priority="100" operator="equal">
      <formula>"maintasks"</formula>
    </cfRule>
  </conditionalFormatting>
  <conditionalFormatting sqref="K173:L173">
    <cfRule type="cellIs" dxfId="30" priority="99" operator="equal">
      <formula>"maintasks"</formula>
    </cfRule>
  </conditionalFormatting>
  <conditionalFormatting sqref="K182:L182">
    <cfRule type="cellIs" dxfId="29" priority="98" operator="equal">
      <formula>"maintasks"</formula>
    </cfRule>
  </conditionalFormatting>
  <conditionalFormatting sqref="K191:L191">
    <cfRule type="cellIs" dxfId="28" priority="97" operator="equal">
      <formula>"maintasks"</formula>
    </cfRule>
  </conditionalFormatting>
  <conditionalFormatting sqref="K200:L200">
    <cfRule type="cellIs" dxfId="27" priority="96" operator="equal">
      <formula>"maintasks"</formula>
    </cfRule>
  </conditionalFormatting>
  <conditionalFormatting sqref="K209:L209">
    <cfRule type="cellIs" dxfId="26" priority="95" operator="equal">
      <formula>"maintasks"</formula>
    </cfRule>
  </conditionalFormatting>
  <conditionalFormatting sqref="K218:L218">
    <cfRule type="cellIs" dxfId="25" priority="88" operator="equal">
      <formula>"maintasks"</formula>
    </cfRule>
  </conditionalFormatting>
  <conditionalFormatting sqref="K1:M1">
    <cfRule type="cellIs" dxfId="24" priority="2" operator="equal">
      <formula>"maintasks"</formula>
    </cfRule>
  </conditionalFormatting>
  <conditionalFormatting sqref="K3:M3 K4:L4">
    <cfRule type="cellIs" dxfId="23" priority="38" operator="equal">
      <formula>"maintasks"</formula>
    </cfRule>
  </conditionalFormatting>
  <conditionalFormatting sqref="K5:M7">
    <cfRule type="cellIs" dxfId="22" priority="34" operator="equal">
      <formula>"maintasks"</formula>
    </cfRule>
  </conditionalFormatting>
  <conditionalFormatting sqref="K18:M23 N20:N21">
    <cfRule type="cellIs" dxfId="21" priority="33" operator="equal">
      <formula>"maintasks"</formula>
    </cfRule>
  </conditionalFormatting>
  <conditionalFormatting sqref="K28:M31">
    <cfRule type="cellIs" dxfId="20" priority="7" operator="equal">
      <formula>"maintasks"</formula>
    </cfRule>
  </conditionalFormatting>
  <conditionalFormatting sqref="K77:M88">
    <cfRule type="cellIs" dxfId="19" priority="6" operator="equal">
      <formula>"maintasks"</formula>
    </cfRule>
  </conditionalFormatting>
  <conditionalFormatting sqref="K125:M129">
    <cfRule type="cellIs" dxfId="18" priority="15" operator="equal">
      <formula>"maintasks"</formula>
    </cfRule>
  </conditionalFormatting>
  <conditionalFormatting sqref="K144:M147">
    <cfRule type="cellIs" dxfId="17" priority="102" operator="equal">
      <formula>"maintasks"</formula>
    </cfRule>
  </conditionalFormatting>
  <conditionalFormatting sqref="K149:M163">
    <cfRule type="cellIs" dxfId="16" priority="89" operator="equal">
      <formula>"maintasks"</formula>
    </cfRule>
  </conditionalFormatting>
  <conditionalFormatting sqref="K165:M172">
    <cfRule type="cellIs" dxfId="15" priority="94" operator="equal">
      <formula>"maintasks"</formula>
    </cfRule>
  </conditionalFormatting>
  <conditionalFormatting sqref="K174:M181">
    <cfRule type="cellIs" dxfId="14" priority="93" operator="equal">
      <formula>"maintasks"</formula>
    </cfRule>
  </conditionalFormatting>
  <conditionalFormatting sqref="K183:M190">
    <cfRule type="cellIs" dxfId="13" priority="92" operator="equal">
      <formula>"maintasks"</formula>
    </cfRule>
  </conditionalFormatting>
  <conditionalFormatting sqref="K192:M199">
    <cfRule type="cellIs" dxfId="12" priority="91" operator="equal">
      <formula>"maintasks"</formula>
    </cfRule>
  </conditionalFormatting>
  <conditionalFormatting sqref="K201:M208">
    <cfRule type="cellIs" dxfId="11" priority="90" operator="equal">
      <formula>"maintasks"</formula>
    </cfRule>
  </conditionalFormatting>
  <conditionalFormatting sqref="K210:M217">
    <cfRule type="cellIs" dxfId="10" priority="87" operator="equal">
      <formula>"maintasks"</formula>
    </cfRule>
  </conditionalFormatting>
  <conditionalFormatting sqref="K219:M1025">
    <cfRule type="cellIs" dxfId="9" priority="16" operator="equal">
      <formula>"maintasks"</formula>
    </cfRule>
  </conditionalFormatting>
  <conditionalFormatting sqref="K1026:M1032">
    <cfRule type="cellIs" dxfId="8" priority="28" operator="equal">
      <formula>"maintasks"</formula>
    </cfRule>
  </conditionalFormatting>
  <conditionalFormatting sqref="K1033:M1258">
    <cfRule type="cellIs" dxfId="7" priority="17" operator="equal">
      <formula>"maintasks"</formula>
    </cfRule>
  </conditionalFormatting>
  <conditionalFormatting sqref="K2:N2">
    <cfRule type="cellIs" dxfId="6" priority="35" operator="equal">
      <formula>"maintasks"</formula>
    </cfRule>
  </conditionalFormatting>
  <conditionalFormatting sqref="K8:N17">
    <cfRule type="cellIs" dxfId="5" priority="103" operator="equal">
      <formula>"maintasks"</formula>
    </cfRule>
  </conditionalFormatting>
  <conditionalFormatting sqref="K24:N27">
    <cfRule type="cellIs" dxfId="4" priority="31" operator="equal">
      <formula>"maintasks"</formula>
    </cfRule>
  </conditionalFormatting>
  <conditionalFormatting sqref="L137:M137">
    <cfRule type="cellIs" dxfId="3" priority="27" operator="equal">
      <formula>"maintasks"</formula>
    </cfRule>
  </conditionalFormatting>
  <conditionalFormatting sqref="L138:M143">
    <cfRule type="cellIs" dxfId="2" priority="36" operator="equal">
      <formula>"maintasks"</formula>
    </cfRule>
  </conditionalFormatting>
  <conditionalFormatting sqref="M32:M44 K34:L42 K45:M53 M54:M55 K56:M63 M64:M65 K66:M74 M75:M76 M89:M90 K91:M99 M100:M101 K102:M124 L130:M136 K130:K143">
    <cfRule type="cellIs" dxfId="1" priority="104" operator="equal">
      <formula>"maintasks"</formula>
    </cfRule>
  </conditionalFormatting>
  <conditionalFormatting sqref="N23">
    <cfRule type="cellIs" dxfId="0" priority="30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FANI 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Pooya Payvar</cp:lastModifiedBy>
  <dcterms:created xsi:type="dcterms:W3CDTF">2015-06-05T18:17:20Z</dcterms:created>
  <dcterms:modified xsi:type="dcterms:W3CDTF">2025-11-29T18:15:25Z</dcterms:modified>
</cp:coreProperties>
</file>