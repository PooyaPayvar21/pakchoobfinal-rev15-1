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دکستاپ\KPI 1404\KPI Q3\"/>
    </mc:Choice>
  </mc:AlternateContent>
  <xr:revisionPtr revIDLastSave="0" documentId="13_ncr:1_{BA010302-6EEB-47FF-9D30-C4E7443EA84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" i="18" l="1"/>
</calcChain>
</file>

<file path=xl/sharedStrings.xml><?xml version="1.0" encoding="utf-8"?>
<sst xmlns="http://schemas.openxmlformats.org/spreadsheetml/2006/main" count="161" uniqueCount="52">
  <si>
    <t>ردیف</t>
  </si>
  <si>
    <t>نام شرکت</t>
  </si>
  <si>
    <t>فصل</t>
  </si>
  <si>
    <t>کد پرسنلی</t>
  </si>
  <si>
    <t>نام و نام خانوادگی</t>
  </si>
  <si>
    <t>عنوان شغلی</t>
  </si>
  <si>
    <t>مدیر مستقیم</t>
  </si>
  <si>
    <t>دپارتمان</t>
  </si>
  <si>
    <t>دسته بندی</t>
  </si>
  <si>
    <t>obj weight</t>
  </si>
  <si>
    <t>KPI En</t>
  </si>
  <si>
    <t>KPI Fa</t>
  </si>
  <si>
    <t>kpi INFO</t>
  </si>
  <si>
    <t>target</t>
  </si>
  <si>
    <t>KPI weight</t>
  </si>
  <si>
    <t>KPI Achievement</t>
  </si>
  <si>
    <t>Percentage Achievement</t>
  </si>
  <si>
    <t>Score Achievement</t>
  </si>
  <si>
    <t>type</t>
  </si>
  <si>
    <t>MainTasks</t>
  </si>
  <si>
    <t>+</t>
  </si>
  <si>
    <t>Projects</t>
  </si>
  <si>
    <t>علی اصغر کلانتری للری</t>
  </si>
  <si>
    <t>Q3</t>
  </si>
  <si>
    <t>حامد حاجی حسین زاده</t>
  </si>
  <si>
    <t>جمع آوری و تدوین لیست اقلام مصرفی خطوط همراه با نقطه سفارش</t>
  </si>
  <si>
    <t xml:space="preserve">تهیه لیست قطعات یدکی خاص خطوط و سفارش گذاری </t>
  </si>
  <si>
    <t>اصلاح کدینک انبار فنی</t>
  </si>
  <si>
    <t xml:space="preserve">اخذ گواهینامه برای مخازن تحت فشار، مخازن نگهداری، جرثقیل ها، لیفتراک ها، چاههای ارت، دیگ های بخار </t>
  </si>
  <si>
    <t xml:space="preserve">تدوین برنامه PM خط MDF دوره های سه ماهه، شش ماهه و یکساله. ( تکمیل شود). </t>
  </si>
  <si>
    <t>برنامه ریزی جهت کاهش برنامه PM خطوط هایگلاس و ملامینه از 48 ساعت به 36 ساعت</t>
  </si>
  <si>
    <t>کد پرسنلی مدیر  مستقیم</t>
  </si>
  <si>
    <t>Category</t>
  </si>
  <si>
    <t>Sum%</t>
  </si>
  <si>
    <t>توضیحات</t>
  </si>
  <si>
    <t>TKF</t>
  </si>
  <si>
    <t>درصد اجرای برنامه PM طبق زمان‌بندی (PM Compliance %)</t>
  </si>
  <si>
    <t>PM Compliance (%)=کل فعالیت‌های برنامه‌ریزی‌شده /تعداد فعالیت‌های نگهداری پیشگیرانه انجام‌شده در موعد مقرر​) ×100)</t>
  </si>
  <si>
    <t>هزینه تعمیرات و نگهداری به ازای هر شیت تولید</t>
  </si>
  <si>
    <t>Maintenance Cost per Sheet=کل تعداد شیت‌های تولیدشده /کل هزینه تعمیرات و نگهداری​</t>
  </si>
  <si>
    <t>درصد توقفات ناشی از خرابی تجهیزات</t>
  </si>
  <si>
    <t>Equipment Breakdown Downtime (%)=کل زمان تولید برنامه‌ریزی‌شده /زمان توقفات ناشی از خرابی تجهیزات ​×100</t>
  </si>
  <si>
    <t>درصد تحقق پروژه‌های بهبود فنی در زمان و بودجه</t>
  </si>
  <si>
    <t>Completion Rate (%)=کل پروژه‌های بهبود فنی برنامه‌ریزی‌شده /تعداد پروژه‌های بهبود فنی تکمیل‌شده در زمان و بودجه)​ ×100</t>
  </si>
  <si>
    <t>نرخ اجرای اصلاحات مهندسی (ECR Completion Rate)</t>
  </si>
  <si>
    <t>ECR Completion Rate (%)=کل اصلاحات مهندسی برنامه‌ریزی‌شده /تعداد اصلاحات مهندسی اجراشده​) ×100</t>
  </si>
  <si>
    <t>رئيس برنامه ريزي، نگهداري و تعميرات (PM)</t>
  </si>
  <si>
    <t>کارهای اصلی</t>
  </si>
  <si>
    <t>پروژه ها</t>
  </si>
  <si>
    <t>فني و مهندسي - نت</t>
  </si>
  <si>
    <t>شاخص Availability  کارخانه</t>
  </si>
  <si>
    <t>Availability Improvement (%)=(Previous Quarter Availability-Current Quarter Availability)/Previous Quarter Availability×100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</si>
</sst>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B Nazanin"/>
      <charset val="178"/>
    </font>
    <font>
      <sz val="8"/>
      <color theme="1"/>
      <name val="B Nazanin"/>
      <charset val="178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9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6" fillId="0" borderId="0" applyFont="0" applyFill="0" applyBorder="0" applyAlignment="0" applyProtection="0"/>
    <xf numFmtId="0" fontId="5" fillId="0" borderId="0"/>
    <xf numFmtId="9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5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9" fontId="2" fillId="4" borderId="1" xfId="1" applyNumberFormat="1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9" fontId="3" fillId="3" borderId="2" xfId="1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5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0" fontId="3" fillId="0" borderId="0" xfId="0" applyFont="1"/>
    <xf numFmtId="0" fontId="7" fillId="0" borderId="1" xfId="0" applyFont="1" applyBorder="1" applyAlignment="1">
      <alignment horizontal="center" vertical="center" wrapText="1"/>
    </xf>
    <xf numFmtId="164" fontId="3" fillId="6" borderId="1" xfId="1" applyNumberFormat="1" applyFont="1" applyFill="1" applyBorder="1" applyAlignment="1">
      <alignment horizontal="center" vertical="center"/>
    </xf>
  </cellXfs>
  <cellStyles count="11">
    <cellStyle name="Comma 2 2" xfId="7" xr:uid="{1DA3FDFF-D37B-4E00-AD26-FA730772D660}"/>
    <cellStyle name="Normal" xfId="0" builtinId="0"/>
    <cellStyle name="Normal 10 2" xfId="5" xr:uid="{8D2F7DA1-7F4A-44E8-8572-A2DC2526BAF9}"/>
    <cellStyle name="Normal 2" xfId="3" xr:uid="{8036487E-A423-4C02-A76D-92326B4ECEF6}"/>
    <cellStyle name="Normal 3" xfId="10" xr:uid="{9547A45F-476A-458A-8926-EDCC0BDBC360}"/>
    <cellStyle name="Normal 4" xfId="9" xr:uid="{5ACFC4F1-8FDB-465B-86B5-76D320ABD784}"/>
    <cellStyle name="Percent" xfId="1" builtinId="5"/>
    <cellStyle name="Percent 2" xfId="2" xr:uid="{E13D339D-88B6-497E-8C3D-3EE6F96641DA}"/>
    <cellStyle name="Percent 2 2" xfId="8" xr:uid="{BBB04FE9-D2A7-4729-A3A9-C4D1DFC3E5E2}"/>
    <cellStyle name="Percent 3" xfId="6" xr:uid="{57B7ADCC-8A5C-4602-80CB-08FE2512BDF2}"/>
    <cellStyle name="Percent 5" xfId="4" xr:uid="{85D163F8-C5DC-4B62-AFFC-E45C63D9A6C2}"/>
  </cellStyles>
  <dxfs count="4"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0F77F-56BC-4A9B-9810-C842D43B9894}">
  <dimension ref="A1:W13"/>
  <sheetViews>
    <sheetView tabSelected="1" zoomScaleNormal="100" workbookViewId="0">
      <pane ySplit="1" topLeftCell="A2" activePane="bottomLeft" state="frozen"/>
      <selection activeCell="E1" sqref="E1"/>
      <selection pane="bottomLeft" activeCell="O11" sqref="O11"/>
    </sheetView>
  </sheetViews>
  <sheetFormatPr defaultColWidth="8.77734375" defaultRowHeight="12.6" x14ac:dyDescent="0.4"/>
  <cols>
    <col min="1" max="4" width="8.77734375" style="22"/>
    <col min="5" max="5" width="13.109375" style="22" customWidth="1"/>
    <col min="6" max="6" width="22.5546875" style="22" customWidth="1"/>
    <col min="7" max="7" width="8.77734375" style="22"/>
    <col min="8" max="8" width="11.77734375" style="22" customWidth="1"/>
    <col min="9" max="9" width="10.5546875" style="22" customWidth="1"/>
    <col min="10" max="13" width="8.77734375" style="22"/>
    <col min="14" max="14" width="21" style="22" customWidth="1"/>
    <col min="15" max="15" width="46" style="22" customWidth="1"/>
    <col min="16" max="16384" width="8.77734375" style="22"/>
  </cols>
  <sheetData>
    <row r="1" spans="1:23" ht="27.45" customHeight="1" x14ac:dyDescent="0.4">
      <c r="A1" s="7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31</v>
      </c>
      <c r="H1" s="8" t="s">
        <v>6</v>
      </c>
      <c r="I1" s="8" t="s">
        <v>7</v>
      </c>
      <c r="J1" s="8" t="s">
        <v>32</v>
      </c>
      <c r="K1" s="8" t="s">
        <v>8</v>
      </c>
      <c r="L1" s="10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10" t="s">
        <v>14</v>
      </c>
      <c r="R1" s="8" t="s">
        <v>15</v>
      </c>
      <c r="S1" s="10" t="s">
        <v>16</v>
      </c>
      <c r="T1" s="9" t="s">
        <v>17</v>
      </c>
      <c r="U1" s="8" t="s">
        <v>18</v>
      </c>
      <c r="V1" s="10" t="s">
        <v>33</v>
      </c>
      <c r="W1" s="10" t="s">
        <v>34</v>
      </c>
    </row>
    <row r="2" spans="1:23" ht="24" customHeight="1" x14ac:dyDescent="0.4">
      <c r="A2" s="17">
        <v>1</v>
      </c>
      <c r="B2" s="4" t="s">
        <v>35</v>
      </c>
      <c r="C2" s="4" t="s">
        <v>23</v>
      </c>
      <c r="D2" s="13">
        <v>5546</v>
      </c>
      <c r="E2" s="4" t="s">
        <v>22</v>
      </c>
      <c r="F2" s="4" t="s">
        <v>46</v>
      </c>
      <c r="G2" s="5">
        <v>6592</v>
      </c>
      <c r="H2" s="16" t="s">
        <v>24</v>
      </c>
      <c r="I2" s="5" t="s">
        <v>49</v>
      </c>
      <c r="J2" s="2" t="s">
        <v>19</v>
      </c>
      <c r="K2" s="1" t="s">
        <v>47</v>
      </c>
      <c r="L2" s="11">
        <v>0.5</v>
      </c>
      <c r="M2" s="2" t="s">
        <v>19</v>
      </c>
      <c r="N2" s="15" t="s">
        <v>36</v>
      </c>
      <c r="O2" s="3" t="s">
        <v>37</v>
      </c>
      <c r="P2" s="12">
        <v>1</v>
      </c>
      <c r="Q2" s="12">
        <v>0.25</v>
      </c>
      <c r="R2" s="4"/>
      <c r="S2" s="4"/>
      <c r="T2" s="4"/>
      <c r="U2" s="4" t="s">
        <v>20</v>
      </c>
      <c r="V2" s="6">
        <f>SUM(T2:T13)%</f>
        <v>0</v>
      </c>
      <c r="W2" s="4"/>
    </row>
    <row r="3" spans="1:23" ht="24" customHeight="1" x14ac:dyDescent="0.4">
      <c r="A3" s="17">
        <v>2</v>
      </c>
      <c r="B3" s="18" t="s">
        <v>35</v>
      </c>
      <c r="C3" s="18" t="s">
        <v>23</v>
      </c>
      <c r="D3" s="18">
        <v>5546</v>
      </c>
      <c r="E3" s="18" t="s">
        <v>22</v>
      </c>
      <c r="F3" s="18" t="s">
        <v>46</v>
      </c>
      <c r="G3" s="18">
        <v>6592</v>
      </c>
      <c r="H3" s="18" t="s">
        <v>24</v>
      </c>
      <c r="I3" s="18" t="s">
        <v>49</v>
      </c>
      <c r="J3" s="2" t="s">
        <v>19</v>
      </c>
      <c r="K3" s="1" t="s">
        <v>47</v>
      </c>
      <c r="L3" s="11">
        <v>0.5</v>
      </c>
      <c r="M3" s="2" t="s">
        <v>19</v>
      </c>
      <c r="N3" s="3" t="s">
        <v>50</v>
      </c>
      <c r="O3" s="23" t="s">
        <v>51</v>
      </c>
      <c r="P3" s="24">
        <v>5.0000000000000001E-3</v>
      </c>
      <c r="Q3" s="12">
        <v>0.25</v>
      </c>
      <c r="R3" s="18"/>
      <c r="S3" s="18"/>
      <c r="T3" s="18"/>
      <c r="U3" s="18" t="s">
        <v>20</v>
      </c>
      <c r="V3" s="18"/>
      <c r="W3" s="18"/>
    </row>
    <row r="4" spans="1:23" ht="24" customHeight="1" x14ac:dyDescent="0.4">
      <c r="A4" s="17">
        <v>4</v>
      </c>
      <c r="B4" s="18" t="s">
        <v>35</v>
      </c>
      <c r="C4" s="18" t="s">
        <v>23</v>
      </c>
      <c r="D4" s="18">
        <v>5546</v>
      </c>
      <c r="E4" s="18" t="s">
        <v>22</v>
      </c>
      <c r="F4" s="18" t="s">
        <v>46</v>
      </c>
      <c r="G4" s="18">
        <v>6592</v>
      </c>
      <c r="H4" s="18" t="s">
        <v>24</v>
      </c>
      <c r="I4" s="18" t="s">
        <v>49</v>
      </c>
      <c r="J4" s="2" t="s">
        <v>19</v>
      </c>
      <c r="K4" s="1" t="s">
        <v>47</v>
      </c>
      <c r="L4" s="12">
        <v>0.5</v>
      </c>
      <c r="M4" s="2" t="s">
        <v>19</v>
      </c>
      <c r="N4" s="15" t="s">
        <v>38</v>
      </c>
      <c r="O4" s="3" t="s">
        <v>39</v>
      </c>
      <c r="P4" s="12">
        <v>0.95</v>
      </c>
      <c r="Q4" s="12">
        <v>0.1</v>
      </c>
      <c r="R4" s="18"/>
      <c r="S4" s="18"/>
      <c r="T4" s="18"/>
      <c r="U4" s="18" t="s">
        <v>20</v>
      </c>
      <c r="V4" s="18"/>
      <c r="W4" s="18"/>
    </row>
    <row r="5" spans="1:23" ht="24" customHeight="1" x14ac:dyDescent="0.4">
      <c r="A5" s="17">
        <v>5</v>
      </c>
      <c r="B5" s="18" t="s">
        <v>35</v>
      </c>
      <c r="C5" s="18" t="s">
        <v>23</v>
      </c>
      <c r="D5" s="18">
        <v>5546</v>
      </c>
      <c r="E5" s="18" t="s">
        <v>22</v>
      </c>
      <c r="F5" s="18" t="s">
        <v>46</v>
      </c>
      <c r="G5" s="18">
        <v>6592</v>
      </c>
      <c r="H5" s="18" t="s">
        <v>24</v>
      </c>
      <c r="I5" s="18" t="s">
        <v>49</v>
      </c>
      <c r="J5" s="2" t="s">
        <v>19</v>
      </c>
      <c r="K5" s="1" t="s">
        <v>47</v>
      </c>
      <c r="L5" s="12">
        <v>0.5</v>
      </c>
      <c r="M5" s="2" t="s">
        <v>19</v>
      </c>
      <c r="N5" s="15" t="s">
        <v>40</v>
      </c>
      <c r="O5" s="3" t="s">
        <v>41</v>
      </c>
      <c r="P5" s="12">
        <v>0.03</v>
      </c>
      <c r="Q5" s="12">
        <v>0.2</v>
      </c>
      <c r="R5" s="18"/>
      <c r="S5" s="18"/>
      <c r="T5" s="18"/>
      <c r="U5" s="18" t="s">
        <v>20</v>
      </c>
      <c r="V5" s="18"/>
      <c r="W5" s="18"/>
    </row>
    <row r="6" spans="1:23" ht="24" customHeight="1" x14ac:dyDescent="0.4">
      <c r="A6" s="17">
        <v>6</v>
      </c>
      <c r="B6" s="18" t="s">
        <v>35</v>
      </c>
      <c r="C6" s="18" t="s">
        <v>23</v>
      </c>
      <c r="D6" s="18">
        <v>5546</v>
      </c>
      <c r="E6" s="18" t="s">
        <v>22</v>
      </c>
      <c r="F6" s="18" t="s">
        <v>46</v>
      </c>
      <c r="G6" s="18">
        <v>6592</v>
      </c>
      <c r="H6" s="18" t="s">
        <v>24</v>
      </c>
      <c r="I6" s="18" t="s">
        <v>49</v>
      </c>
      <c r="J6" s="2" t="s">
        <v>19</v>
      </c>
      <c r="K6" s="1" t="s">
        <v>47</v>
      </c>
      <c r="L6" s="12">
        <v>0.5</v>
      </c>
      <c r="M6" s="2" t="s">
        <v>19</v>
      </c>
      <c r="N6" s="15" t="s">
        <v>42</v>
      </c>
      <c r="O6" s="3" t="s">
        <v>43</v>
      </c>
      <c r="P6" s="12">
        <v>1</v>
      </c>
      <c r="Q6" s="12">
        <v>0.1</v>
      </c>
      <c r="R6" s="18"/>
      <c r="S6" s="18"/>
      <c r="T6" s="18"/>
      <c r="U6" s="18" t="s">
        <v>20</v>
      </c>
      <c r="V6" s="18"/>
      <c r="W6" s="18"/>
    </row>
    <row r="7" spans="1:23" ht="24" customHeight="1" x14ac:dyDescent="0.4">
      <c r="A7" s="17">
        <v>7</v>
      </c>
      <c r="B7" s="18" t="s">
        <v>35</v>
      </c>
      <c r="C7" s="18" t="s">
        <v>23</v>
      </c>
      <c r="D7" s="18">
        <v>5546</v>
      </c>
      <c r="E7" s="18" t="s">
        <v>22</v>
      </c>
      <c r="F7" s="18" t="s">
        <v>46</v>
      </c>
      <c r="G7" s="18">
        <v>6592</v>
      </c>
      <c r="H7" s="18" t="s">
        <v>24</v>
      </c>
      <c r="I7" s="18" t="s">
        <v>49</v>
      </c>
      <c r="J7" s="2" t="s">
        <v>19</v>
      </c>
      <c r="K7" s="1" t="s">
        <v>47</v>
      </c>
      <c r="L7" s="12">
        <v>0.5</v>
      </c>
      <c r="M7" s="2" t="s">
        <v>19</v>
      </c>
      <c r="N7" s="15" t="s">
        <v>44</v>
      </c>
      <c r="O7" s="3" t="s">
        <v>45</v>
      </c>
      <c r="P7" s="12">
        <v>1</v>
      </c>
      <c r="Q7" s="12">
        <v>0.1</v>
      </c>
      <c r="R7" s="18"/>
      <c r="S7" s="18"/>
      <c r="T7" s="18"/>
      <c r="U7" s="18" t="s">
        <v>20</v>
      </c>
      <c r="V7" s="18"/>
      <c r="W7" s="18"/>
    </row>
    <row r="8" spans="1:23" ht="24" customHeight="1" x14ac:dyDescent="0.4">
      <c r="A8" s="17">
        <v>8</v>
      </c>
      <c r="B8" s="18" t="s">
        <v>35</v>
      </c>
      <c r="C8" s="18" t="s">
        <v>23</v>
      </c>
      <c r="D8" s="18">
        <v>5546</v>
      </c>
      <c r="E8" s="18" t="s">
        <v>22</v>
      </c>
      <c r="F8" s="18" t="s">
        <v>46</v>
      </c>
      <c r="G8" s="18">
        <v>6592</v>
      </c>
      <c r="H8" s="18" t="s">
        <v>24</v>
      </c>
      <c r="I8" s="18" t="s">
        <v>49</v>
      </c>
      <c r="J8" s="18" t="s">
        <v>21</v>
      </c>
      <c r="K8" s="18" t="s">
        <v>48</v>
      </c>
      <c r="L8" s="21">
        <v>0.5</v>
      </c>
      <c r="M8" s="20" t="s">
        <v>21</v>
      </c>
      <c r="N8" s="14" t="s">
        <v>25</v>
      </c>
      <c r="O8" s="18"/>
      <c r="P8" s="21">
        <v>1</v>
      </c>
      <c r="Q8" s="19">
        <v>0.2</v>
      </c>
      <c r="R8" s="18"/>
      <c r="S8" s="18"/>
      <c r="T8" s="18"/>
      <c r="U8" s="18" t="s">
        <v>20</v>
      </c>
      <c r="V8" s="18"/>
      <c r="W8" s="18"/>
    </row>
    <row r="9" spans="1:23" ht="24" customHeight="1" x14ac:dyDescent="0.4">
      <c r="A9" s="17">
        <v>9</v>
      </c>
      <c r="B9" s="18" t="s">
        <v>35</v>
      </c>
      <c r="C9" s="18" t="s">
        <v>23</v>
      </c>
      <c r="D9" s="18">
        <v>5546</v>
      </c>
      <c r="E9" s="18" t="s">
        <v>22</v>
      </c>
      <c r="F9" s="18" t="s">
        <v>46</v>
      </c>
      <c r="G9" s="18">
        <v>6592</v>
      </c>
      <c r="H9" s="18" t="s">
        <v>24</v>
      </c>
      <c r="I9" s="18" t="s">
        <v>49</v>
      </c>
      <c r="J9" s="18" t="s">
        <v>21</v>
      </c>
      <c r="K9" s="18" t="s">
        <v>48</v>
      </c>
      <c r="L9" s="21">
        <v>0.5</v>
      </c>
      <c r="M9" s="20" t="s">
        <v>21</v>
      </c>
      <c r="N9" s="14" t="s">
        <v>26</v>
      </c>
      <c r="O9" s="18"/>
      <c r="P9" s="21">
        <v>1</v>
      </c>
      <c r="Q9" s="19">
        <v>0.2</v>
      </c>
      <c r="R9" s="18"/>
      <c r="S9" s="18"/>
      <c r="T9" s="18"/>
      <c r="U9" s="18" t="s">
        <v>20</v>
      </c>
      <c r="V9" s="18"/>
      <c r="W9" s="18"/>
    </row>
    <row r="10" spans="1:23" ht="24" customHeight="1" x14ac:dyDescent="0.4">
      <c r="A10" s="17">
        <v>10</v>
      </c>
      <c r="B10" s="18" t="s">
        <v>35</v>
      </c>
      <c r="C10" s="18" t="s">
        <v>23</v>
      </c>
      <c r="D10" s="18">
        <v>5546</v>
      </c>
      <c r="E10" s="18" t="s">
        <v>22</v>
      </c>
      <c r="F10" s="18" t="s">
        <v>46</v>
      </c>
      <c r="G10" s="18">
        <v>6592</v>
      </c>
      <c r="H10" s="18" t="s">
        <v>24</v>
      </c>
      <c r="I10" s="18" t="s">
        <v>49</v>
      </c>
      <c r="J10" s="18" t="s">
        <v>21</v>
      </c>
      <c r="K10" s="18" t="s">
        <v>48</v>
      </c>
      <c r="L10" s="21">
        <v>0.5</v>
      </c>
      <c r="M10" s="20" t="s">
        <v>21</v>
      </c>
      <c r="N10" s="14" t="s">
        <v>27</v>
      </c>
      <c r="O10" s="18"/>
      <c r="P10" s="21">
        <v>1</v>
      </c>
      <c r="Q10" s="19">
        <v>0.1</v>
      </c>
      <c r="R10" s="18"/>
      <c r="S10" s="18"/>
      <c r="T10" s="18"/>
      <c r="U10" s="18" t="s">
        <v>20</v>
      </c>
      <c r="V10" s="18"/>
      <c r="W10" s="18"/>
    </row>
    <row r="11" spans="1:23" ht="24" customHeight="1" x14ac:dyDescent="0.4">
      <c r="A11" s="17">
        <v>11</v>
      </c>
      <c r="B11" s="18" t="s">
        <v>35</v>
      </c>
      <c r="C11" s="18" t="s">
        <v>23</v>
      </c>
      <c r="D11" s="18">
        <v>5546</v>
      </c>
      <c r="E11" s="18" t="s">
        <v>22</v>
      </c>
      <c r="F11" s="18" t="s">
        <v>46</v>
      </c>
      <c r="G11" s="18">
        <v>6592</v>
      </c>
      <c r="H11" s="18" t="s">
        <v>24</v>
      </c>
      <c r="I11" s="18" t="s">
        <v>49</v>
      </c>
      <c r="J11" s="18" t="s">
        <v>21</v>
      </c>
      <c r="K11" s="18" t="s">
        <v>48</v>
      </c>
      <c r="L11" s="21">
        <v>0.5</v>
      </c>
      <c r="M11" s="20" t="s">
        <v>21</v>
      </c>
      <c r="N11" s="14" t="s">
        <v>28</v>
      </c>
      <c r="O11" s="18"/>
      <c r="P11" s="21">
        <v>1</v>
      </c>
      <c r="Q11" s="19">
        <v>0.1</v>
      </c>
      <c r="R11" s="18"/>
      <c r="S11" s="18"/>
      <c r="T11" s="18"/>
      <c r="U11" s="18" t="s">
        <v>20</v>
      </c>
      <c r="V11" s="18"/>
      <c r="W11" s="18"/>
    </row>
    <row r="12" spans="1:23" ht="24" customHeight="1" x14ac:dyDescent="0.4">
      <c r="A12" s="17">
        <v>12</v>
      </c>
      <c r="B12" s="18" t="s">
        <v>35</v>
      </c>
      <c r="C12" s="18" t="s">
        <v>23</v>
      </c>
      <c r="D12" s="18">
        <v>5546</v>
      </c>
      <c r="E12" s="18" t="s">
        <v>22</v>
      </c>
      <c r="F12" s="18" t="s">
        <v>46</v>
      </c>
      <c r="G12" s="18">
        <v>6592</v>
      </c>
      <c r="H12" s="18" t="s">
        <v>24</v>
      </c>
      <c r="I12" s="18" t="s">
        <v>49</v>
      </c>
      <c r="J12" s="18" t="s">
        <v>21</v>
      </c>
      <c r="K12" s="18" t="s">
        <v>48</v>
      </c>
      <c r="L12" s="21">
        <v>0.5</v>
      </c>
      <c r="M12" s="20" t="s">
        <v>21</v>
      </c>
      <c r="N12" s="14" t="s">
        <v>29</v>
      </c>
      <c r="O12" s="18"/>
      <c r="P12" s="21">
        <v>1</v>
      </c>
      <c r="Q12" s="19">
        <v>0.2</v>
      </c>
      <c r="R12" s="18"/>
      <c r="S12" s="18"/>
      <c r="T12" s="18"/>
      <c r="U12" s="18" t="s">
        <v>20</v>
      </c>
      <c r="V12" s="18"/>
      <c r="W12" s="18"/>
    </row>
    <row r="13" spans="1:23" ht="24" customHeight="1" x14ac:dyDescent="0.4">
      <c r="A13" s="17">
        <v>13</v>
      </c>
      <c r="B13" s="18" t="s">
        <v>35</v>
      </c>
      <c r="C13" s="18" t="s">
        <v>23</v>
      </c>
      <c r="D13" s="18">
        <v>5546</v>
      </c>
      <c r="E13" s="18" t="s">
        <v>22</v>
      </c>
      <c r="F13" s="18" t="s">
        <v>46</v>
      </c>
      <c r="G13" s="18">
        <v>6592</v>
      </c>
      <c r="H13" s="18" t="s">
        <v>24</v>
      </c>
      <c r="I13" s="18" t="s">
        <v>49</v>
      </c>
      <c r="J13" s="18" t="s">
        <v>21</v>
      </c>
      <c r="K13" s="18" t="s">
        <v>48</v>
      </c>
      <c r="L13" s="21">
        <v>0.5</v>
      </c>
      <c r="M13" s="20" t="s">
        <v>21</v>
      </c>
      <c r="N13" s="14" t="s">
        <v>30</v>
      </c>
      <c r="O13" s="18"/>
      <c r="P13" s="21">
        <v>1</v>
      </c>
      <c r="Q13" s="19">
        <v>0.2</v>
      </c>
      <c r="R13" s="18"/>
      <c r="S13" s="18"/>
      <c r="T13" s="18"/>
      <c r="U13" s="18" t="s">
        <v>20</v>
      </c>
      <c r="V13" s="18"/>
      <c r="W13" s="18"/>
    </row>
  </sheetData>
  <phoneticPr fontId="4" type="noConversion"/>
  <conditionalFormatting sqref="A2 A5 A7 A9 A11 A1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{F9307DBE-7326-488B-A9EB-69DF6DCE39FD}</x14:id>
        </ext>
      </extLst>
    </cfRule>
  </conditionalFormatting>
  <conditionalFormatting sqref="A3:A4 A6 A8 A10 A1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{85B4890E-4869-4946-BE17-4FF665BEF671}</x14:id>
        </ext>
      </extLst>
    </cfRule>
  </conditionalFormatting>
  <conditionalFormatting sqref="J1">
    <cfRule type="containsText" dxfId="3" priority="11" operator="containsText" text="MainTasks">
      <formula>NOT(ISERROR(SEARCH("MainTasks",J1)))</formula>
    </cfRule>
  </conditionalFormatting>
  <conditionalFormatting sqref="J2:J7 M2:M13">
    <cfRule type="cellIs" dxfId="2" priority="1" operator="equal">
      <formula>"maintasks"</formula>
    </cfRule>
  </conditionalFormatting>
  <conditionalFormatting sqref="M1:O1 N2:P2 N3 P3 N4:P7 Q2:Q13">
    <cfRule type="cellIs" dxfId="1" priority="12" operator="equal">
      <formula>"maintasks"</formula>
    </cfRule>
  </conditionalFormatting>
  <conditionalFormatting sqref="N8:N13">
    <cfRule type="cellIs" dxfId="0" priority="4" operator="equal">
      <formula>"maintasks"</formula>
    </cfRule>
  </conditionalFormatting>
  <conditionalFormatting sqref="A2:A13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{9839864D-C216-414A-AC6C-70DEA35DF1F1}</x14:id>
        </ext>
      </extLst>
    </cfRule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{69DDCD61-4B94-44C4-BB05-3C029253F37E}</x14:id>
        </ext>
      </extLst>
    </cfRule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{67982C88-678C-40BA-AE37-557571672A03}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307DBE-7326-488B-A9EB-69DF6DCE39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 A5 A7 A9 A11 A13</xm:sqref>
        </x14:conditionalFormatting>
        <x14:conditionalFormatting xmlns:xm="http://schemas.microsoft.com/office/excel/2006/main">
          <x14:cfRule type="dataBar" id="{85B4890E-4869-4946-BE17-4FF665BEF6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A3:A4 A6 A8 A10 A12</xm:sqref>
        </x14:conditionalFormatting>
        <x14:conditionalFormatting xmlns:xm="http://schemas.microsoft.com/office/excel/2006/main">
          <x14:cfRule type="dataBar" id="{9839864D-C216-414A-AC6C-70DEA35DF1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9DDCD61-4B94-44C4-BB05-3C029253F3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7982C88-678C-40BA-AE37-557571672A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A2:A13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Kalantari, Ali Asghar</dc:creator>
  <cp:lastModifiedBy>Kalantari, Ali Asghar</cp:lastModifiedBy>
  <dcterms:created xsi:type="dcterms:W3CDTF">2015-06-05T18:17:20Z</dcterms:created>
  <dcterms:modified xsi:type="dcterms:W3CDTF">2025-10-26T11:21:33Z</dcterms:modified>
</cp:coreProperties>
</file>