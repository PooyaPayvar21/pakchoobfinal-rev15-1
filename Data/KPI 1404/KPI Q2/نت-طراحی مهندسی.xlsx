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دکستاپ\KPI 1404\KPI Q2\"/>
    </mc:Choice>
  </mc:AlternateContent>
  <xr:revisionPtr revIDLastSave="0" documentId="8_{C9AF6C07-B69C-4CD7-B463-0D5EFBEB80A0}" xr6:coauthVersionLast="47" xr6:coauthVersionMax="47" xr10:uidLastSave="{00000000-0000-0000-0000-000000000000}"/>
  <bookViews>
    <workbookView xWindow="-28920" yWindow="-120" windowWidth="29040" windowHeight="15840" xr2:uid="{18B597A7-01DE-44EC-A015-26001B83D3BD}"/>
  </bookViews>
  <sheets>
    <sheet name="نت-طراحی مهندس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8" i="1" l="1"/>
  <c r="Q38" i="1"/>
  <c r="Q37" i="1"/>
  <c r="R37" i="1" s="1"/>
  <c r="Q36" i="1"/>
  <c r="R36" i="1" s="1"/>
  <c r="R35" i="1"/>
  <c r="Q35" i="1"/>
  <c r="R34" i="1"/>
  <c r="Q34" i="1"/>
  <c r="Q33" i="1"/>
  <c r="R33" i="1" s="1"/>
  <c r="T33" i="1" s="1"/>
  <c r="Q32" i="1"/>
  <c r="R32" i="1" s="1"/>
  <c r="Q31" i="1"/>
  <c r="R31" i="1" s="1"/>
  <c r="R30" i="1"/>
  <c r="Q30" i="1"/>
  <c r="Q29" i="1"/>
  <c r="R29" i="1" s="1"/>
  <c r="Q28" i="1"/>
  <c r="R28" i="1" s="1"/>
  <c r="Q27" i="1"/>
  <c r="R27" i="1" s="1"/>
  <c r="R26" i="1"/>
  <c r="Q26" i="1"/>
  <c r="Q25" i="1"/>
  <c r="R25" i="1" s="1"/>
  <c r="Q24" i="1"/>
  <c r="R24" i="1" s="1"/>
  <c r="Q23" i="1"/>
  <c r="R23" i="1" s="1"/>
  <c r="R22" i="1"/>
  <c r="Q22" i="1"/>
  <c r="Q21" i="1"/>
  <c r="R21" i="1" s="1"/>
  <c r="R20" i="1"/>
  <c r="Q20" i="1"/>
  <c r="R19" i="1"/>
  <c r="Q19" i="1"/>
  <c r="Q18" i="1"/>
  <c r="R18" i="1" s="1"/>
  <c r="Q17" i="1"/>
  <c r="R17" i="1" s="1"/>
  <c r="R16" i="1"/>
  <c r="Q16" i="1"/>
  <c r="R15" i="1"/>
  <c r="Q15" i="1"/>
  <c r="Q14" i="1"/>
  <c r="R14" i="1" s="1"/>
  <c r="Q13" i="1"/>
  <c r="R13" i="1" s="1"/>
  <c r="Q12" i="1"/>
  <c r="R12" i="1" s="1"/>
  <c r="R11" i="1"/>
  <c r="Q11" i="1"/>
  <c r="Q10" i="1"/>
  <c r="R10" i="1" s="1"/>
  <c r="Q9" i="1"/>
  <c r="R9" i="1" s="1"/>
  <c r="Q8" i="1"/>
  <c r="R8" i="1" s="1"/>
  <c r="R7" i="1"/>
  <c r="Q7" i="1"/>
  <c r="Q6" i="1"/>
  <c r="R6" i="1" s="1"/>
  <c r="Q5" i="1"/>
  <c r="R5" i="1" s="1"/>
  <c r="Q4" i="1"/>
  <c r="R4" i="1" s="1"/>
  <c r="R3" i="1"/>
  <c r="Q3" i="1"/>
  <c r="Q2" i="1"/>
  <c r="R2" i="1" s="1"/>
  <c r="T21" i="1" l="1"/>
  <c r="T12" i="1"/>
  <c r="T2" i="1"/>
</calcChain>
</file>

<file path=xl/sharedStrings.xml><?xml version="1.0" encoding="utf-8"?>
<sst xmlns="http://schemas.openxmlformats.org/spreadsheetml/2006/main" count="389" uniqueCount="119">
  <si>
    <t>ردیف</t>
  </si>
  <si>
    <t>نام شرکت</t>
  </si>
  <si>
    <t>فصل</t>
  </si>
  <si>
    <t>کد پرسنلی</t>
  </si>
  <si>
    <t>نام و نام خانوادگی</t>
  </si>
  <si>
    <t>عنوان شغلی</t>
  </si>
  <si>
    <t>مدیر مستقیم</t>
  </si>
  <si>
    <t>دپارتمان</t>
  </si>
  <si>
    <t>دسته بندی</t>
  </si>
  <si>
    <t>obj weight</t>
  </si>
  <si>
    <t>KPI En</t>
  </si>
  <si>
    <t>KPI Fa</t>
  </si>
  <si>
    <t>kpi INFO</t>
  </si>
  <si>
    <t>target</t>
  </si>
  <si>
    <t>KPI weight</t>
  </si>
  <si>
    <t>KPI Achievement</t>
  </si>
  <si>
    <t>Percentage Achievement</t>
  </si>
  <si>
    <t>Score Achievement</t>
  </si>
  <si>
    <t>type</t>
  </si>
  <si>
    <t>Sum</t>
  </si>
  <si>
    <t>تخته فشرده</t>
  </si>
  <si>
    <t>Q2</t>
  </si>
  <si>
    <t>رئیس</t>
  </si>
  <si>
    <t>اسماعیل کریمی</t>
  </si>
  <si>
    <t>فنی و مهندسی-نت</t>
  </si>
  <si>
    <t>MainTasks</t>
  </si>
  <si>
    <t>Maintenance Needs Prediction Accuracy</t>
  </si>
  <si>
    <t>دقت در پیش‌بینی نیازهای نگهداری و تعمیرات</t>
  </si>
  <si>
    <t>ارزیابی دقت پیش‌بینی نیازهای نگهداری و تعمیرات برای ماشین‌آلات.</t>
  </si>
  <si>
    <t>+</t>
  </si>
  <si>
    <t>Reduction of Program Delays</t>
  </si>
  <si>
    <t>کاهش تاخیر در اجرای برنامه‌ها</t>
  </si>
  <si>
    <t>درصد کاهش تاخیر در اجرای برنامه‌های نگهداری و تعمیرات.</t>
  </si>
  <si>
    <t>-</t>
  </si>
  <si>
    <t>Budget vs Actual Repair Costs</t>
  </si>
  <si>
    <t>مقایسه بودجه تعمیرات با هزینه واقعی</t>
  </si>
  <si>
    <t>مقایسه هزینه واقعی تعمیرات با بودجه تعیین شده.</t>
  </si>
  <si>
    <t>Quality of Reporting and Internal Communication</t>
  </si>
  <si>
    <t>کیفیت گزارش‌دهی و ارتباطات داخلی</t>
  </si>
  <si>
    <t>ارزیابی دقت و کیفیت گزارش‌های داخلی و ارتباطات.</t>
  </si>
  <si>
    <t>Compliance with Safety Standards in Planning</t>
  </si>
  <si>
    <t>رعایت استانداردهای ایمنی در برنامه‌ریزی تعمیرات</t>
  </si>
  <si>
    <t>ارزیابی میزان رعایت استانداردهای ایمنی در هنگام برنامه‌ریزی تعمیرات.</t>
  </si>
  <si>
    <t>Projects</t>
  </si>
  <si>
    <t>Completion Rate of Procedures</t>
  </si>
  <si>
    <t>نرخ تکمیل دستورالعمل‌ها</t>
  </si>
  <si>
    <t>درصد تکمیل دستورالعمل‌های نگهداری و تعمیرات.</t>
  </si>
  <si>
    <t>Technical Documentation Archiving</t>
  </si>
  <si>
    <t>آرشیو مستندات فنی</t>
  </si>
  <si>
    <t>ارزیابی وضعیت بایگانی مستندات فنی.</t>
  </si>
  <si>
    <t xml:space="preserve">Implementation of Coding </t>
  </si>
  <si>
    <t xml:space="preserve">اجرای کدینگ </t>
  </si>
  <si>
    <t>Implementation of SAP Software According to the SAP Team's Planning</t>
  </si>
  <si>
    <t>اجرای نرم افزار SAP مطابق برنامه ریزی تیم SAP</t>
  </si>
  <si>
    <t>Implementation of ISO 9001 Based on Consultant Recommendations</t>
  </si>
  <si>
    <t>اجرای ISO9001  مطابق نظر مشاور</t>
  </si>
  <si>
    <t>کارشناس</t>
  </si>
  <si>
    <t xml:space="preserve">علی اصغر کلانتری </t>
  </si>
  <si>
    <t>Maintenance Schedule Adherence</t>
  </si>
  <si>
    <t>درصد تحقق برنامه زمان‌بندی‌شده تعمیرات</t>
  </si>
  <si>
    <t>درصد انجام تعمیرات طبق برنامه زمان‌بندی‌شده</t>
  </si>
  <si>
    <t>Preventive Maintenance Execution Rate</t>
  </si>
  <si>
    <t>درصد اجرای PM</t>
  </si>
  <si>
    <t>میزان اجرای برنامه‌های PM نسبت به برنامه‌های تعریف‌شده</t>
  </si>
  <si>
    <t>Timeliness of Report Submission</t>
  </si>
  <si>
    <t>موقعیت زمانی ارسال گزارشات</t>
  </si>
  <si>
    <t>(Number of Reports Submitted on Time / Total Reports) * 100</t>
  </si>
  <si>
    <t>Root Cause Analysis &amp; Planning</t>
  </si>
  <si>
    <t>تحلیل ریشه‌ای مشکلات و برنامه‌ریزی</t>
  </si>
  <si>
    <t>استخراج مشکلات پرتکرار از گزارشات و برنامه‌ریزی برای حذف یا پیشگیری آن‌ها</t>
  </si>
  <si>
    <t>Participation &amp; Suggestions</t>
  </si>
  <si>
    <t>مشارکت در جلسات و پیشنهادات</t>
  </si>
  <si>
    <t>مشارکت در جلسات کاری و ارائه پیشنهاد برای بهبود فرآیندها</t>
  </si>
  <si>
    <t>Asset Data Update Rate</t>
  </si>
  <si>
    <t>درصد به‌روزرسانی اطلاعات تجهیزات</t>
  </si>
  <si>
    <t>نسبت به‌روزرسانی اطلاعات تجهیزات نسبت به تعداد کل تجهیزات تحت نظارت</t>
  </si>
  <si>
    <t>Asset Coding &amp; Documentation Coverage</t>
  </si>
  <si>
    <t>پوشش کدگذاری و مستندسازی تجهیزات</t>
  </si>
  <si>
    <t>درصد تجهیزاتی که دارای کد، مشخصات، و مستندات کامل هستند</t>
  </si>
  <si>
    <t>SOP Completion Rate</t>
  </si>
  <si>
    <t>تعداد دستورالعمل‌های تدوین‌شده نسبت به تعداد برنامه‌ریزی‌شده</t>
  </si>
  <si>
    <t>Project Completion Rate</t>
  </si>
  <si>
    <t>نرخ تکمیل پروژه‌ها</t>
  </si>
  <si>
    <t>میزان پیشرفت و اتمام پروژه‌های تعریف‌شده در بازه زمانی مشخص</t>
  </si>
  <si>
    <t>جواد فرج اللهی</t>
  </si>
  <si>
    <t>فنی و مهندسی-طراحی مهندسی</t>
  </si>
  <si>
    <t>Drawing Completion Rate</t>
  </si>
  <si>
    <t>نرخ تکمیل نقشه‌ها در زمان مقرر</t>
  </si>
  <si>
    <t>درصد نقشه‌های طراحی یا اصلاح‌شده که در موعد مقرر تحویل داده شده‌اند</t>
  </si>
  <si>
    <t>Drawing Accuracy Rate</t>
  </si>
  <si>
    <t>درصد صحت نقشه‌ها</t>
  </si>
  <si>
    <t>درصد نقشه‌هایی که بدون نیاز به اصلاح توسط تولید یا نگهداری تأیید شده‌اند</t>
  </si>
  <si>
    <t>Design Change Response Time</t>
  </si>
  <si>
    <t>میانگین زمان پاسخ به درخواست تغییرات طراحی</t>
  </si>
  <si>
    <t>میانگین زمان پاسخ‌گویی به تغییرات ارسالی از واحدهای دیگر</t>
  </si>
  <si>
    <t>BOM Accuracy</t>
  </si>
  <si>
    <t>دقت در تهیه لیست اقلام (BOM)</t>
  </si>
  <si>
    <t>درصد BOMهایی که بدون خطا تحویل داده شده‌اند</t>
  </si>
  <si>
    <t>Technical Documentation Update Rate</t>
  </si>
  <si>
    <t>نرخ به‌روزرسانی مستندات فنی</t>
  </si>
  <si>
    <t>درصد به‌روزرسانی‌هایی که طبق برنامه زمان‌بندی‌شده انجام شده‌اند</t>
  </si>
  <si>
    <t>Protection Board Cutting Machine</t>
  </si>
  <si>
    <t>دستگاه برش تخته محافظ</t>
  </si>
  <si>
    <t>Bark - wood segregation machine</t>
  </si>
  <si>
    <t>دستگاه جداسازی پوست و چوب</t>
  </si>
  <si>
    <t>Dryer structure vibration solution</t>
  </si>
  <si>
    <t>راه حل لرزش ساختار درایر</t>
  </si>
  <si>
    <t>Central Compressor</t>
  </si>
  <si>
    <t>کمپرسور مرکزی</t>
  </si>
  <si>
    <t>Other Projects-Installation of a cleaner chamber</t>
  </si>
  <si>
    <t>پروژه های دیگر - نصب محفظه تمیز کننده</t>
  </si>
  <si>
    <t>Other Projects-Installation of fixed chipper hook</t>
  </si>
  <si>
    <t>پروژه های دیگر - نصب قلاب ثابت چیپر</t>
  </si>
  <si>
    <t>Other Projects-Air conditioning of production halls</t>
  </si>
  <si>
    <t>پروژه های دیگر - تهویه مطبوع سالن های تولید</t>
  </si>
  <si>
    <t>رضا آیتی نیا</t>
  </si>
  <si>
    <t>3651</t>
  </si>
  <si>
    <t>نرخ تکمیل پروژه‌های مهندسی</t>
  </si>
  <si>
    <t>درصد پروژه‌هایی که طبق برنامه تحویل شده‌اند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</si>
</sst>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B Titr"/>
      <charset val="178"/>
    </font>
    <font>
      <b/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B Nazanin"/>
      <charset val="178"/>
    </font>
    <font>
      <sz val="8"/>
      <name val="Calibri"/>
      <family val="2"/>
      <scheme val="minor"/>
    </font>
    <font>
      <sz val="14"/>
      <name val="B Nazanin"/>
      <charset val="178"/>
    </font>
    <font>
      <sz val="8"/>
      <name val="Times New Roman"/>
      <family val="1"/>
    </font>
    <font>
      <sz val="10"/>
      <color rgb="FF000000"/>
      <name val="Calibri"/>
      <family val="2"/>
      <scheme val="minor"/>
    </font>
    <font>
      <sz val="8"/>
      <color rgb="FF000000"/>
      <name val="B Nazanin"/>
      <charset val="178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B Nazanin"/>
      <charset val="178"/>
    </font>
    <font>
      <sz val="10"/>
      <name val="B Nazanin"/>
      <charset val="178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D9E7FD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</cellStyleXfs>
  <cellXfs count="105">
    <xf numFmtId="0" fontId="0" fillId="0" borderId="0" xfId="0"/>
    <xf numFmtId="1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9" fontId="3" fillId="2" borderId="2" xfId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9" fontId="3" fillId="3" borderId="2" xfId="1" applyFont="1" applyFill="1" applyBorder="1" applyAlignment="1">
      <alignment horizontal="center" vertical="center" wrapText="1"/>
    </xf>
    <xf numFmtId="1" fontId="3" fillId="3" borderId="2" xfId="1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9" fontId="3" fillId="2" borderId="3" xfId="1" applyFont="1" applyFill="1" applyBorder="1" applyAlignment="1">
      <alignment horizontal="center" vertical="center"/>
    </xf>
    <xf numFmtId="1" fontId="4" fillId="4" borderId="4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49" fontId="6" fillId="4" borderId="5" xfId="0" applyNumberFormat="1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 shrinkToFit="1"/>
    </xf>
    <xf numFmtId="0" fontId="8" fillId="4" borderId="5" xfId="0" applyFont="1" applyFill="1" applyBorder="1" applyAlignment="1">
      <alignment horizontal="center" vertical="center"/>
    </xf>
    <xf numFmtId="9" fontId="8" fillId="4" borderId="5" xfId="1" applyFont="1" applyFill="1" applyBorder="1" applyAlignment="1">
      <alignment horizontal="center" vertical="center"/>
    </xf>
    <xf numFmtId="49" fontId="5" fillId="4" borderId="5" xfId="2" applyNumberFormat="1" applyFont="1" applyFill="1" applyBorder="1" applyAlignment="1">
      <alignment horizontal="center" vertical="center" wrapText="1"/>
    </xf>
    <xf numFmtId="0" fontId="10" fillId="4" borderId="5" xfId="2" applyFont="1" applyFill="1" applyBorder="1" applyAlignment="1">
      <alignment horizontal="center" vertical="center" wrapText="1"/>
    </xf>
    <xf numFmtId="9" fontId="11" fillId="4" borderId="5" xfId="3" applyFont="1" applyFill="1" applyBorder="1" applyAlignment="1">
      <alignment horizontal="center" vertical="center"/>
    </xf>
    <xf numFmtId="1" fontId="8" fillId="4" borderId="5" xfId="1" applyNumberFormat="1" applyFont="1" applyFill="1" applyBorder="1" applyAlignment="1">
      <alignment horizontal="center" vertical="center"/>
    </xf>
    <xf numFmtId="9" fontId="8" fillId="5" borderId="6" xfId="1" applyFont="1" applyFill="1" applyBorder="1" applyAlignment="1">
      <alignment horizontal="center" vertical="center"/>
    </xf>
    <xf numFmtId="1" fontId="4" fillId="4" borderId="7" xfId="0" applyNumberFormat="1" applyFont="1" applyFill="1" applyBorder="1" applyAlignment="1">
      <alignment horizontal="center" vertical="center"/>
    </xf>
    <xf numFmtId="49" fontId="5" fillId="4" borderId="8" xfId="0" applyNumberFormat="1" applyFont="1" applyFill="1" applyBorder="1" applyAlignment="1">
      <alignment horizontal="center" vertical="center"/>
    </xf>
    <xf numFmtId="49" fontId="4" fillId="4" borderId="8" xfId="0" applyNumberFormat="1" applyFont="1" applyFill="1" applyBorder="1" applyAlignment="1">
      <alignment horizontal="center" vertical="center"/>
    </xf>
    <xf numFmtId="49" fontId="6" fillId="4" borderId="8" xfId="0" applyNumberFormat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shrinkToFit="1"/>
    </xf>
    <xf numFmtId="0" fontId="8" fillId="4" borderId="8" xfId="0" applyFont="1" applyFill="1" applyBorder="1" applyAlignment="1">
      <alignment horizontal="center" vertical="center"/>
    </xf>
    <xf numFmtId="9" fontId="8" fillId="4" borderId="8" xfId="1" applyFont="1" applyFill="1" applyBorder="1" applyAlignment="1">
      <alignment horizontal="center" vertical="center"/>
    </xf>
    <xf numFmtId="49" fontId="5" fillId="4" borderId="8" xfId="2" applyNumberFormat="1" applyFont="1" applyFill="1" applyBorder="1" applyAlignment="1">
      <alignment horizontal="center" vertical="center" wrapText="1"/>
    </xf>
    <xf numFmtId="0" fontId="10" fillId="4" borderId="8" xfId="2" applyFont="1" applyFill="1" applyBorder="1" applyAlignment="1">
      <alignment horizontal="center" vertical="center" wrapText="1"/>
    </xf>
    <xf numFmtId="9" fontId="11" fillId="4" borderId="8" xfId="3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9" fontId="12" fillId="0" borderId="9" xfId="1" applyFont="1" applyFill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shrinkToFit="1"/>
    </xf>
    <xf numFmtId="0" fontId="8" fillId="0" borderId="8" xfId="0" applyFont="1" applyBorder="1" applyAlignment="1">
      <alignment horizontal="center" vertical="center"/>
    </xf>
    <xf numFmtId="9" fontId="8" fillId="0" borderId="8" xfId="1" applyFont="1" applyFill="1" applyBorder="1" applyAlignment="1">
      <alignment horizontal="center" vertical="center"/>
    </xf>
    <xf numFmtId="49" fontId="5" fillId="0" borderId="8" xfId="2" applyNumberFormat="1" applyFont="1" applyBorder="1" applyAlignment="1">
      <alignment horizontal="center" vertical="center" wrapText="1"/>
    </xf>
    <xf numFmtId="0" fontId="10" fillId="0" borderId="8" xfId="2" applyFont="1" applyBorder="1" applyAlignment="1">
      <alignment horizontal="center" vertical="center" wrapText="1"/>
    </xf>
    <xf numFmtId="9" fontId="11" fillId="0" borderId="8" xfId="3" applyFont="1" applyFill="1" applyBorder="1" applyAlignment="1">
      <alignment horizontal="center" vertical="center"/>
    </xf>
    <xf numFmtId="1" fontId="8" fillId="0" borderId="8" xfId="1" applyNumberFormat="1" applyFont="1" applyFill="1" applyBorder="1" applyAlignment="1">
      <alignment horizontal="center" vertical="center"/>
    </xf>
    <xf numFmtId="9" fontId="12" fillId="0" borderId="8" xfId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/>
    </xf>
    <xf numFmtId="9" fontId="8" fillId="0" borderId="11" xfId="1" applyFont="1" applyFill="1" applyBorder="1" applyAlignment="1">
      <alignment horizontal="center" vertical="center"/>
    </xf>
    <xf numFmtId="49" fontId="5" fillId="0" borderId="11" xfId="2" applyNumberFormat="1" applyFont="1" applyBorder="1" applyAlignment="1">
      <alignment horizontal="center" vertical="center" wrapText="1"/>
    </xf>
    <xf numFmtId="0" fontId="10" fillId="0" borderId="11" xfId="2" applyFont="1" applyBorder="1" applyAlignment="1">
      <alignment horizontal="center" vertical="center" wrapText="1"/>
    </xf>
    <xf numFmtId="9" fontId="11" fillId="0" borderId="11" xfId="3" applyFont="1" applyFill="1" applyBorder="1" applyAlignment="1">
      <alignment horizontal="center" vertical="center"/>
    </xf>
    <xf numFmtId="1" fontId="8" fillId="0" borderId="11" xfId="1" applyNumberFormat="1" applyFont="1" applyFill="1" applyBorder="1" applyAlignment="1">
      <alignment horizontal="center" vertical="center"/>
    </xf>
    <xf numFmtId="9" fontId="12" fillId="0" borderId="11" xfId="1" applyFont="1" applyFill="1" applyBorder="1" applyAlignment="1">
      <alignment horizontal="center" vertical="center"/>
    </xf>
    <xf numFmtId="9" fontId="12" fillId="0" borderId="12" xfId="1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9" fontId="8" fillId="4" borderId="8" xfId="0" applyNumberFormat="1" applyFont="1" applyFill="1" applyBorder="1" applyAlignment="1">
      <alignment horizontal="center" vertical="center"/>
    </xf>
    <xf numFmtId="9" fontId="8" fillId="0" borderId="9" xfId="1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9" fontId="12" fillId="4" borderId="8" xfId="1" applyFont="1" applyFill="1" applyBorder="1" applyAlignment="1">
      <alignment horizontal="center" vertical="center"/>
    </xf>
    <xf numFmtId="1" fontId="12" fillId="4" borderId="8" xfId="1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/>
    </xf>
    <xf numFmtId="1" fontId="12" fillId="0" borderId="8" xfId="1" applyNumberFormat="1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1" fontId="12" fillId="0" borderId="11" xfId="1" applyNumberFormat="1" applyFont="1" applyFill="1" applyBorder="1" applyAlignment="1">
      <alignment horizontal="center" vertical="center"/>
    </xf>
    <xf numFmtId="1" fontId="4" fillId="4" borderId="13" xfId="0" applyNumberFormat="1" applyFont="1" applyFill="1" applyBorder="1" applyAlignment="1">
      <alignment horizontal="center" vertical="center"/>
    </xf>
    <xf numFmtId="49" fontId="5" fillId="4" borderId="14" xfId="0" applyNumberFormat="1" applyFont="1" applyFill="1" applyBorder="1" applyAlignment="1">
      <alignment horizontal="center" vertical="center"/>
    </xf>
    <xf numFmtId="49" fontId="4" fillId="4" borderId="14" xfId="0" applyNumberFormat="1" applyFont="1" applyFill="1" applyBorder="1" applyAlignment="1">
      <alignment horizontal="center" vertical="center"/>
    </xf>
    <xf numFmtId="1" fontId="6" fillId="4" borderId="14" xfId="0" applyNumberFormat="1" applyFont="1" applyFill="1" applyBorder="1" applyAlignment="1">
      <alignment horizontal="center" vertical="center"/>
    </xf>
    <xf numFmtId="49" fontId="14" fillId="4" borderId="14" xfId="0" applyNumberFormat="1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shrinkToFit="1"/>
    </xf>
    <xf numFmtId="0" fontId="12" fillId="4" borderId="14" xfId="0" applyFont="1" applyFill="1" applyBorder="1" applyAlignment="1">
      <alignment horizontal="center" vertical="center" wrapText="1"/>
    </xf>
    <xf numFmtId="9" fontId="8" fillId="4" borderId="14" xfId="1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 wrapText="1"/>
    </xf>
    <xf numFmtId="9" fontId="8" fillId="4" borderId="14" xfId="1" applyFont="1" applyFill="1" applyBorder="1" applyAlignment="1">
      <alignment horizontal="center" vertical="center" wrapText="1"/>
    </xf>
    <xf numFmtId="1" fontId="8" fillId="4" borderId="14" xfId="1" applyNumberFormat="1" applyFont="1" applyFill="1" applyBorder="1" applyAlignment="1">
      <alignment horizontal="center" vertical="center"/>
    </xf>
    <xf numFmtId="9" fontId="8" fillId="5" borderId="15" xfId="1" applyFont="1" applyFill="1" applyBorder="1" applyAlignment="1">
      <alignment horizontal="center" vertical="center"/>
    </xf>
    <xf numFmtId="1" fontId="6" fillId="4" borderId="8" xfId="0" applyNumberFormat="1" applyFont="1" applyFill="1" applyBorder="1" applyAlignment="1">
      <alignment horizontal="center" vertical="center"/>
    </xf>
    <xf numFmtId="49" fontId="14" fillId="4" borderId="8" xfId="0" applyNumberFormat="1" applyFont="1" applyFill="1" applyBorder="1" applyAlignment="1">
      <alignment horizontal="center" vertical="center"/>
    </xf>
    <xf numFmtId="9" fontId="8" fillId="4" borderId="8" xfId="1" applyFont="1" applyFill="1" applyBorder="1" applyAlignment="1">
      <alignment horizontal="center" vertical="center" wrapText="1"/>
    </xf>
    <xf numFmtId="9" fontId="12" fillId="4" borderId="8" xfId="1" applyFont="1" applyFill="1" applyBorder="1" applyAlignment="1">
      <alignment horizontal="center" vertical="center" wrapText="1"/>
    </xf>
    <xf numFmtId="1" fontId="4" fillId="0" borderId="16" xfId="0" applyNumberFormat="1" applyFont="1" applyBorder="1" applyAlignment="1">
      <alignment horizontal="center" vertical="center"/>
    </xf>
    <xf numFmtId="49" fontId="5" fillId="0" borderId="17" xfId="2" applyNumberFormat="1" applyFont="1" applyBorder="1" applyAlignment="1">
      <alignment horizontal="center" vertical="center" wrapText="1"/>
    </xf>
    <xf numFmtId="0" fontId="10" fillId="0" borderId="17" xfId="2" applyFont="1" applyBorder="1" applyAlignment="1">
      <alignment horizontal="center" vertical="center" wrapText="1"/>
    </xf>
    <xf numFmtId="9" fontId="11" fillId="0" borderId="17" xfId="3" applyFont="1" applyFill="1" applyBorder="1" applyAlignment="1">
      <alignment horizontal="center" vertical="center"/>
    </xf>
    <xf numFmtId="9" fontId="8" fillId="0" borderId="17" xfId="1" applyFont="1" applyFill="1" applyBorder="1" applyAlignment="1">
      <alignment horizontal="center" vertical="center"/>
    </xf>
    <xf numFmtId="9" fontId="12" fillId="0" borderId="18" xfId="1" applyFont="1" applyFill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/>
    </xf>
    <xf numFmtId="49" fontId="14" fillId="0" borderId="11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9" fontId="8" fillId="0" borderId="12" xfId="1" applyFont="1" applyFill="1" applyBorder="1" applyAlignment="1">
      <alignment horizontal="center" vertical="center"/>
    </xf>
  </cellXfs>
  <cellStyles count="4">
    <cellStyle name="Normal" xfId="0" builtinId="0"/>
    <cellStyle name="Normal 2" xfId="2" xr:uid="{AD754604-37ED-489B-9BB1-4BAE128E9BF1}"/>
    <cellStyle name="Percent" xfId="1" builtinId="5"/>
    <cellStyle name="Percent 2" xfId="3" xr:uid="{054BECA5-C729-44D4-A5D6-A53A88C414BF}"/>
  </cellStyles>
  <dxfs count="13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0EE53-E180-4AD2-A1C8-6D92F170A5CD}">
  <dimension ref="A1:T38"/>
  <sheetViews>
    <sheetView tabSelected="1" topLeftCell="A31" workbookViewId="0">
      <selection activeCell="M32" sqref="M32"/>
    </sheetView>
  </sheetViews>
  <sheetFormatPr defaultRowHeight="14.4" x14ac:dyDescent="0.3"/>
  <cols>
    <col min="5" max="5" width="24.44140625" customWidth="1"/>
  </cols>
  <sheetData>
    <row r="1" spans="1:20" ht="21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4" t="s">
        <v>14</v>
      </c>
      <c r="P1" s="5" t="s">
        <v>15</v>
      </c>
      <c r="Q1" s="7" t="s">
        <v>16</v>
      </c>
      <c r="R1" s="8" t="s">
        <v>17</v>
      </c>
      <c r="S1" s="9" t="s">
        <v>18</v>
      </c>
      <c r="T1" s="10" t="s">
        <v>19</v>
      </c>
    </row>
    <row r="2" spans="1:20" ht="63" x14ac:dyDescent="0.3">
      <c r="A2" s="11"/>
      <c r="B2" s="12" t="s">
        <v>20</v>
      </c>
      <c r="C2" s="13" t="s">
        <v>21</v>
      </c>
      <c r="D2" s="14"/>
      <c r="E2" s="12"/>
      <c r="F2" s="15" t="s">
        <v>22</v>
      </c>
      <c r="G2" s="12" t="s">
        <v>23</v>
      </c>
      <c r="H2" s="15" t="s">
        <v>24</v>
      </c>
      <c r="I2" s="16" t="s">
        <v>25</v>
      </c>
      <c r="J2" s="17">
        <v>0.7</v>
      </c>
      <c r="K2" s="18" t="s">
        <v>26</v>
      </c>
      <c r="L2" s="19" t="s">
        <v>27</v>
      </c>
      <c r="M2" s="19" t="s">
        <v>28</v>
      </c>
      <c r="N2" s="20">
        <v>0.95</v>
      </c>
      <c r="O2" s="20">
        <v>0.2</v>
      </c>
      <c r="P2" s="17"/>
      <c r="Q2" s="17">
        <f t="shared" ref="Q2:Q38" si="0">ROUND(IF(OR(N2="",P2=""),0,IF(AND(N2=0,P2=0),1,IF(S2="+",P2/N2,N2/P2))),2)</f>
        <v>0</v>
      </c>
      <c r="R2" s="21">
        <f t="shared" ref="R2:R38" si="1">IF(AND(Q2&gt;=60%,Q2&lt;100%),Q2*((O2*J2)),IF(Q2=100%,((O2*J2)*Q2)*100%,IF(Q2&gt;100%,((J2*O2)*100%)*100%,0)))*100</f>
        <v>0</v>
      </c>
      <c r="S2" s="17" t="s">
        <v>29</v>
      </c>
      <c r="T2" s="22">
        <f>SUM(R2:R11)%</f>
        <v>0</v>
      </c>
    </row>
    <row r="3" spans="1:20" ht="63" x14ac:dyDescent="0.3">
      <c r="A3" s="23"/>
      <c r="B3" s="24" t="s">
        <v>20</v>
      </c>
      <c r="C3" s="25" t="s">
        <v>21</v>
      </c>
      <c r="D3" s="26"/>
      <c r="E3" s="24"/>
      <c r="F3" s="27" t="s">
        <v>22</v>
      </c>
      <c r="G3" s="24" t="s">
        <v>23</v>
      </c>
      <c r="H3" s="27" t="s">
        <v>24</v>
      </c>
      <c r="I3" s="28" t="s">
        <v>25</v>
      </c>
      <c r="J3" s="29">
        <v>0.7</v>
      </c>
      <c r="K3" s="30" t="s">
        <v>30</v>
      </c>
      <c r="L3" s="31" t="s">
        <v>31</v>
      </c>
      <c r="M3" s="31" t="s">
        <v>32</v>
      </c>
      <c r="N3" s="32">
        <v>0.1</v>
      </c>
      <c r="O3" s="32">
        <v>0.2</v>
      </c>
      <c r="P3" s="29"/>
      <c r="Q3" s="29">
        <f t="shared" si="0"/>
        <v>0</v>
      </c>
      <c r="R3" s="33">
        <f t="shared" si="1"/>
        <v>0</v>
      </c>
      <c r="S3" s="29" t="s">
        <v>33</v>
      </c>
      <c r="T3" s="34"/>
    </row>
    <row r="4" spans="1:20" ht="50.4" x14ac:dyDescent="0.3">
      <c r="A4" s="23"/>
      <c r="B4" s="24" t="s">
        <v>20</v>
      </c>
      <c r="C4" s="25" t="s">
        <v>21</v>
      </c>
      <c r="D4" s="26"/>
      <c r="E4" s="24"/>
      <c r="F4" s="27" t="s">
        <v>22</v>
      </c>
      <c r="G4" s="24" t="s">
        <v>23</v>
      </c>
      <c r="H4" s="27" t="s">
        <v>24</v>
      </c>
      <c r="I4" s="28" t="s">
        <v>25</v>
      </c>
      <c r="J4" s="29">
        <v>0.7</v>
      </c>
      <c r="K4" s="30" t="s">
        <v>34</v>
      </c>
      <c r="L4" s="31" t="s">
        <v>35</v>
      </c>
      <c r="M4" s="31" t="s">
        <v>36</v>
      </c>
      <c r="N4" s="32">
        <v>0.95</v>
      </c>
      <c r="O4" s="32">
        <v>0.2</v>
      </c>
      <c r="P4" s="29"/>
      <c r="Q4" s="29">
        <f t="shared" si="0"/>
        <v>0</v>
      </c>
      <c r="R4" s="33">
        <f t="shared" si="1"/>
        <v>0</v>
      </c>
      <c r="S4" s="29" t="s">
        <v>29</v>
      </c>
      <c r="T4" s="34"/>
    </row>
    <row r="5" spans="1:20" ht="75.599999999999994" x14ac:dyDescent="0.3">
      <c r="A5" s="23"/>
      <c r="B5" s="24" t="s">
        <v>20</v>
      </c>
      <c r="C5" s="25" t="s">
        <v>21</v>
      </c>
      <c r="D5" s="26"/>
      <c r="E5" s="24"/>
      <c r="F5" s="27" t="s">
        <v>22</v>
      </c>
      <c r="G5" s="24" t="s">
        <v>23</v>
      </c>
      <c r="H5" s="27" t="s">
        <v>24</v>
      </c>
      <c r="I5" s="28" t="s">
        <v>25</v>
      </c>
      <c r="J5" s="29">
        <v>0.7</v>
      </c>
      <c r="K5" s="30" t="s">
        <v>37</v>
      </c>
      <c r="L5" s="31" t="s">
        <v>38</v>
      </c>
      <c r="M5" s="31" t="s">
        <v>39</v>
      </c>
      <c r="N5" s="32">
        <v>0.95</v>
      </c>
      <c r="O5" s="32">
        <v>0.2</v>
      </c>
      <c r="P5" s="29"/>
      <c r="Q5" s="29">
        <f t="shared" si="0"/>
        <v>0</v>
      </c>
      <c r="R5" s="33">
        <f t="shared" si="1"/>
        <v>0</v>
      </c>
      <c r="S5" s="29" t="s">
        <v>29</v>
      </c>
      <c r="T5" s="34"/>
    </row>
    <row r="6" spans="1:20" ht="75.599999999999994" x14ac:dyDescent="0.3">
      <c r="A6" s="23"/>
      <c r="B6" s="24" t="s">
        <v>20</v>
      </c>
      <c r="C6" s="25" t="s">
        <v>21</v>
      </c>
      <c r="D6" s="26"/>
      <c r="E6" s="24"/>
      <c r="F6" s="27" t="s">
        <v>22</v>
      </c>
      <c r="G6" s="24" t="s">
        <v>23</v>
      </c>
      <c r="H6" s="27" t="s">
        <v>24</v>
      </c>
      <c r="I6" s="28" t="s">
        <v>25</v>
      </c>
      <c r="J6" s="29">
        <v>0.7</v>
      </c>
      <c r="K6" s="30" t="s">
        <v>40</v>
      </c>
      <c r="L6" s="31" t="s">
        <v>41</v>
      </c>
      <c r="M6" s="31" t="s">
        <v>42</v>
      </c>
      <c r="N6" s="32">
        <v>0.95</v>
      </c>
      <c r="O6" s="32">
        <v>0.11</v>
      </c>
      <c r="P6" s="29"/>
      <c r="Q6" s="29">
        <f t="shared" si="0"/>
        <v>0</v>
      </c>
      <c r="R6" s="33">
        <f t="shared" si="1"/>
        <v>0</v>
      </c>
      <c r="S6" s="29" t="s">
        <v>29</v>
      </c>
      <c r="T6" s="34"/>
    </row>
    <row r="7" spans="1:20" ht="50.4" x14ac:dyDescent="0.3">
      <c r="A7" s="35"/>
      <c r="B7" s="36" t="s">
        <v>20</v>
      </c>
      <c r="C7" s="37" t="s">
        <v>21</v>
      </c>
      <c r="D7" s="38"/>
      <c r="E7" s="36"/>
      <c r="F7" s="39" t="s">
        <v>22</v>
      </c>
      <c r="G7" s="36" t="s">
        <v>23</v>
      </c>
      <c r="H7" s="39" t="s">
        <v>24</v>
      </c>
      <c r="I7" s="40" t="s">
        <v>43</v>
      </c>
      <c r="J7" s="41">
        <v>0.3</v>
      </c>
      <c r="K7" s="42" t="s">
        <v>44</v>
      </c>
      <c r="L7" s="43" t="s">
        <v>45</v>
      </c>
      <c r="M7" s="43" t="s">
        <v>46</v>
      </c>
      <c r="N7" s="44">
        <v>0.8</v>
      </c>
      <c r="O7" s="44">
        <v>0.2</v>
      </c>
      <c r="P7" s="41"/>
      <c r="Q7" s="41">
        <f t="shared" si="0"/>
        <v>0</v>
      </c>
      <c r="R7" s="45">
        <f t="shared" si="1"/>
        <v>0</v>
      </c>
      <c r="S7" s="46" t="s">
        <v>29</v>
      </c>
      <c r="T7" s="34"/>
    </row>
    <row r="8" spans="1:20" ht="50.4" x14ac:dyDescent="0.3">
      <c r="A8" s="35"/>
      <c r="B8" s="36" t="s">
        <v>20</v>
      </c>
      <c r="C8" s="37" t="s">
        <v>21</v>
      </c>
      <c r="D8" s="38"/>
      <c r="E8" s="36"/>
      <c r="F8" s="39" t="s">
        <v>22</v>
      </c>
      <c r="G8" s="36" t="s">
        <v>23</v>
      </c>
      <c r="H8" s="39" t="s">
        <v>24</v>
      </c>
      <c r="I8" s="40" t="s">
        <v>43</v>
      </c>
      <c r="J8" s="41">
        <v>0.3</v>
      </c>
      <c r="K8" s="42" t="s">
        <v>47</v>
      </c>
      <c r="L8" s="43" t="s">
        <v>48</v>
      </c>
      <c r="M8" s="43" t="s">
        <v>49</v>
      </c>
      <c r="N8" s="44">
        <v>0.85</v>
      </c>
      <c r="O8" s="44">
        <v>0.2</v>
      </c>
      <c r="P8" s="41"/>
      <c r="Q8" s="41">
        <f t="shared" si="0"/>
        <v>0</v>
      </c>
      <c r="R8" s="45">
        <f t="shared" si="1"/>
        <v>0</v>
      </c>
      <c r="S8" s="46" t="s">
        <v>29</v>
      </c>
      <c r="T8" s="34"/>
    </row>
    <row r="9" spans="1:20" ht="37.799999999999997" x14ac:dyDescent="0.3">
      <c r="A9" s="35"/>
      <c r="B9" s="36" t="s">
        <v>20</v>
      </c>
      <c r="C9" s="37" t="s">
        <v>21</v>
      </c>
      <c r="D9" s="38"/>
      <c r="E9" s="36"/>
      <c r="F9" s="39" t="s">
        <v>22</v>
      </c>
      <c r="G9" s="36" t="s">
        <v>23</v>
      </c>
      <c r="H9" s="39" t="s">
        <v>24</v>
      </c>
      <c r="I9" s="40" t="s">
        <v>43</v>
      </c>
      <c r="J9" s="41">
        <v>0.3</v>
      </c>
      <c r="K9" s="42" t="s">
        <v>50</v>
      </c>
      <c r="L9" s="43" t="s">
        <v>51</v>
      </c>
      <c r="M9" s="43"/>
      <c r="N9" s="44">
        <v>1</v>
      </c>
      <c r="O9" s="44">
        <v>0.3</v>
      </c>
      <c r="P9" s="41"/>
      <c r="Q9" s="41">
        <f t="shared" si="0"/>
        <v>0</v>
      </c>
      <c r="R9" s="45">
        <f t="shared" si="1"/>
        <v>0</v>
      </c>
      <c r="S9" s="46" t="s">
        <v>29</v>
      </c>
      <c r="T9" s="34"/>
    </row>
    <row r="10" spans="1:20" ht="88.2" x14ac:dyDescent="0.3">
      <c r="A10" s="35"/>
      <c r="B10" s="36" t="s">
        <v>20</v>
      </c>
      <c r="C10" s="37" t="s">
        <v>21</v>
      </c>
      <c r="D10" s="38"/>
      <c r="E10" s="36"/>
      <c r="F10" s="39" t="s">
        <v>22</v>
      </c>
      <c r="G10" s="36" t="s">
        <v>23</v>
      </c>
      <c r="H10" s="39" t="s">
        <v>24</v>
      </c>
      <c r="I10" s="40" t="s">
        <v>43</v>
      </c>
      <c r="J10" s="41">
        <v>0.3</v>
      </c>
      <c r="K10" s="42" t="s">
        <v>52</v>
      </c>
      <c r="L10" s="43" t="s">
        <v>53</v>
      </c>
      <c r="M10" s="43"/>
      <c r="N10" s="44">
        <v>1</v>
      </c>
      <c r="O10" s="44">
        <v>0.15</v>
      </c>
      <c r="P10" s="41"/>
      <c r="Q10" s="41">
        <f t="shared" si="0"/>
        <v>0</v>
      </c>
      <c r="R10" s="45">
        <f t="shared" si="1"/>
        <v>0</v>
      </c>
      <c r="S10" s="46" t="s">
        <v>29</v>
      </c>
      <c r="T10" s="34"/>
    </row>
    <row r="11" spans="1:20" ht="88.8" thickBot="1" x14ac:dyDescent="0.35">
      <c r="A11" s="47"/>
      <c r="B11" s="48" t="s">
        <v>20</v>
      </c>
      <c r="C11" s="49" t="s">
        <v>21</v>
      </c>
      <c r="D11" s="50"/>
      <c r="E11" s="48"/>
      <c r="F11" s="51" t="s">
        <v>22</v>
      </c>
      <c r="G11" s="48" t="s">
        <v>23</v>
      </c>
      <c r="H11" s="51" t="s">
        <v>24</v>
      </c>
      <c r="I11" s="52" t="s">
        <v>43</v>
      </c>
      <c r="J11" s="53">
        <v>0.3</v>
      </c>
      <c r="K11" s="54" t="s">
        <v>54</v>
      </c>
      <c r="L11" s="55" t="s">
        <v>55</v>
      </c>
      <c r="M11" s="55"/>
      <c r="N11" s="56">
        <v>1</v>
      </c>
      <c r="O11" s="56">
        <v>0.15</v>
      </c>
      <c r="P11" s="53"/>
      <c r="Q11" s="53">
        <f t="shared" si="0"/>
        <v>0</v>
      </c>
      <c r="R11" s="57">
        <f t="shared" si="1"/>
        <v>0</v>
      </c>
      <c r="S11" s="58" t="s">
        <v>29</v>
      </c>
      <c r="T11" s="59"/>
    </row>
    <row r="12" spans="1:20" ht="50.4" x14ac:dyDescent="0.3">
      <c r="A12" s="11">
        <v>1</v>
      </c>
      <c r="B12" s="12" t="s">
        <v>20</v>
      </c>
      <c r="C12" s="13" t="s">
        <v>21</v>
      </c>
      <c r="D12" s="14"/>
      <c r="E12" s="12"/>
      <c r="F12" s="15" t="s">
        <v>56</v>
      </c>
      <c r="G12" s="12" t="s">
        <v>57</v>
      </c>
      <c r="H12" s="15" t="s">
        <v>24</v>
      </c>
      <c r="I12" s="60" t="s">
        <v>25</v>
      </c>
      <c r="J12" s="17">
        <v>0.7</v>
      </c>
      <c r="K12" s="61" t="s">
        <v>58</v>
      </c>
      <c r="L12" s="62" t="s">
        <v>59</v>
      </c>
      <c r="M12" s="61" t="s">
        <v>60</v>
      </c>
      <c r="N12" s="17">
        <v>0.95</v>
      </c>
      <c r="O12" s="17">
        <v>0.2</v>
      </c>
      <c r="P12" s="17"/>
      <c r="Q12" s="17">
        <f t="shared" si="0"/>
        <v>0</v>
      </c>
      <c r="R12" s="21">
        <f t="shared" si="1"/>
        <v>0</v>
      </c>
      <c r="S12" s="17" t="s">
        <v>29</v>
      </c>
      <c r="T12" s="22">
        <f>SUM(R12:R20)%</f>
        <v>0</v>
      </c>
    </row>
    <row r="13" spans="1:20" ht="51" x14ac:dyDescent="0.3">
      <c r="A13" s="23">
        <v>2</v>
      </c>
      <c r="B13" s="24" t="s">
        <v>20</v>
      </c>
      <c r="C13" s="25" t="s">
        <v>21</v>
      </c>
      <c r="D13" s="26"/>
      <c r="E13" s="24"/>
      <c r="F13" s="27" t="s">
        <v>56</v>
      </c>
      <c r="G13" s="24" t="s">
        <v>57</v>
      </c>
      <c r="H13" s="27" t="s">
        <v>24</v>
      </c>
      <c r="I13" s="63" t="s">
        <v>25</v>
      </c>
      <c r="J13" s="29">
        <v>0.7</v>
      </c>
      <c r="K13" s="64" t="s">
        <v>61</v>
      </c>
      <c r="L13" s="65" t="s">
        <v>62</v>
      </c>
      <c r="M13" s="64" t="s">
        <v>63</v>
      </c>
      <c r="N13" s="29">
        <v>0.95</v>
      </c>
      <c r="O13" s="29">
        <v>0.2</v>
      </c>
      <c r="P13" s="66"/>
      <c r="Q13" s="29">
        <f t="shared" si="0"/>
        <v>0</v>
      </c>
      <c r="R13" s="33">
        <f t="shared" si="1"/>
        <v>0</v>
      </c>
      <c r="S13" s="29" t="s">
        <v>29</v>
      </c>
      <c r="T13" s="67"/>
    </row>
    <row r="14" spans="1:20" ht="71.400000000000006" x14ac:dyDescent="0.3">
      <c r="A14" s="23">
        <v>3</v>
      </c>
      <c r="B14" s="24" t="s">
        <v>20</v>
      </c>
      <c r="C14" s="25" t="s">
        <v>21</v>
      </c>
      <c r="D14" s="26"/>
      <c r="E14" s="24"/>
      <c r="F14" s="27" t="s">
        <v>56</v>
      </c>
      <c r="G14" s="24" t="s">
        <v>57</v>
      </c>
      <c r="H14" s="27" t="s">
        <v>24</v>
      </c>
      <c r="I14" s="63" t="s">
        <v>25</v>
      </c>
      <c r="J14" s="29">
        <v>0.7</v>
      </c>
      <c r="K14" s="63" t="s">
        <v>64</v>
      </c>
      <c r="L14" s="68" t="s">
        <v>65</v>
      </c>
      <c r="M14" s="64" t="s">
        <v>66</v>
      </c>
      <c r="N14" s="69">
        <v>1</v>
      </c>
      <c r="O14" s="29">
        <v>0.2</v>
      </c>
      <c r="P14" s="66"/>
      <c r="Q14" s="29">
        <f t="shared" si="0"/>
        <v>0</v>
      </c>
      <c r="R14" s="33">
        <f t="shared" si="1"/>
        <v>0</v>
      </c>
      <c r="S14" s="29" t="s">
        <v>29</v>
      </c>
      <c r="T14" s="67"/>
    </row>
    <row r="15" spans="1:20" ht="71.400000000000006" x14ac:dyDescent="0.3">
      <c r="A15" s="23">
        <v>4</v>
      </c>
      <c r="B15" s="24" t="s">
        <v>20</v>
      </c>
      <c r="C15" s="25" t="s">
        <v>21</v>
      </c>
      <c r="D15" s="26"/>
      <c r="E15" s="24"/>
      <c r="F15" s="27" t="s">
        <v>56</v>
      </c>
      <c r="G15" s="24" t="s">
        <v>57</v>
      </c>
      <c r="H15" s="27" t="s">
        <v>24</v>
      </c>
      <c r="I15" s="28" t="s">
        <v>25</v>
      </c>
      <c r="J15" s="29">
        <v>0.7</v>
      </c>
      <c r="K15" s="64" t="s">
        <v>67</v>
      </c>
      <c r="L15" s="65" t="s">
        <v>68</v>
      </c>
      <c r="M15" s="64" t="s">
        <v>69</v>
      </c>
      <c r="N15" s="69">
        <v>0.9</v>
      </c>
      <c r="O15" s="29">
        <v>0.25</v>
      </c>
      <c r="P15" s="66"/>
      <c r="Q15" s="29">
        <f t="shared" si="0"/>
        <v>0</v>
      </c>
      <c r="R15" s="70">
        <f t="shared" si="1"/>
        <v>0</v>
      </c>
      <c r="S15" s="69" t="s">
        <v>29</v>
      </c>
      <c r="T15" s="34"/>
    </row>
    <row r="16" spans="1:20" ht="51" x14ac:dyDescent="0.3">
      <c r="A16" s="23">
        <v>5</v>
      </c>
      <c r="B16" s="24" t="s">
        <v>20</v>
      </c>
      <c r="C16" s="25" t="s">
        <v>21</v>
      </c>
      <c r="D16" s="26"/>
      <c r="E16" s="24"/>
      <c r="F16" s="27" t="s">
        <v>56</v>
      </c>
      <c r="G16" s="24" t="s">
        <v>57</v>
      </c>
      <c r="H16" s="27" t="s">
        <v>24</v>
      </c>
      <c r="I16" s="28" t="s">
        <v>25</v>
      </c>
      <c r="J16" s="29">
        <v>0.7</v>
      </c>
      <c r="K16" s="64" t="s">
        <v>70</v>
      </c>
      <c r="L16" s="65" t="s">
        <v>71</v>
      </c>
      <c r="M16" s="64" t="s">
        <v>72</v>
      </c>
      <c r="N16" s="29">
        <v>1</v>
      </c>
      <c r="O16" s="29">
        <v>0.15</v>
      </c>
      <c r="P16" s="66"/>
      <c r="Q16" s="29">
        <f t="shared" si="0"/>
        <v>0</v>
      </c>
      <c r="R16" s="70">
        <f t="shared" si="1"/>
        <v>0</v>
      </c>
      <c r="S16" s="69" t="s">
        <v>29</v>
      </c>
      <c r="T16" s="34"/>
    </row>
    <row r="17" spans="1:20" ht="71.400000000000006" x14ac:dyDescent="0.3">
      <c r="A17" s="35">
        <v>6</v>
      </c>
      <c r="B17" s="36" t="s">
        <v>20</v>
      </c>
      <c r="C17" s="37" t="s">
        <v>21</v>
      </c>
      <c r="D17" s="38"/>
      <c r="E17" s="36"/>
      <c r="F17" s="39" t="s">
        <v>56</v>
      </c>
      <c r="G17" s="36" t="s">
        <v>57</v>
      </c>
      <c r="H17" s="39" t="s">
        <v>24</v>
      </c>
      <c r="I17" s="40" t="s">
        <v>43</v>
      </c>
      <c r="J17" s="41">
        <v>0.3</v>
      </c>
      <c r="K17" s="71" t="s">
        <v>73</v>
      </c>
      <c r="L17" s="72" t="s">
        <v>74</v>
      </c>
      <c r="M17" s="71" t="s">
        <v>75</v>
      </c>
      <c r="N17" s="46">
        <v>1</v>
      </c>
      <c r="O17" s="41">
        <v>0.2</v>
      </c>
      <c r="P17" s="73"/>
      <c r="Q17" s="41">
        <f t="shared" si="0"/>
        <v>0</v>
      </c>
      <c r="R17" s="74">
        <f t="shared" si="1"/>
        <v>0</v>
      </c>
      <c r="S17" s="46" t="s">
        <v>29</v>
      </c>
      <c r="T17" s="34"/>
    </row>
    <row r="18" spans="1:20" ht="51" x14ac:dyDescent="0.3">
      <c r="A18" s="35">
        <v>7</v>
      </c>
      <c r="B18" s="36" t="s">
        <v>20</v>
      </c>
      <c r="C18" s="37" t="s">
        <v>21</v>
      </c>
      <c r="D18" s="38"/>
      <c r="E18" s="36"/>
      <c r="F18" s="39" t="s">
        <v>56</v>
      </c>
      <c r="G18" s="36" t="s">
        <v>57</v>
      </c>
      <c r="H18" s="39" t="s">
        <v>24</v>
      </c>
      <c r="I18" s="40" t="s">
        <v>43</v>
      </c>
      <c r="J18" s="41">
        <v>0.3</v>
      </c>
      <c r="K18" s="71" t="s">
        <v>76</v>
      </c>
      <c r="L18" s="72" t="s">
        <v>77</v>
      </c>
      <c r="M18" s="71" t="s">
        <v>78</v>
      </c>
      <c r="N18" s="46">
        <v>0.95</v>
      </c>
      <c r="O18" s="41">
        <v>0.2</v>
      </c>
      <c r="P18" s="73"/>
      <c r="Q18" s="41">
        <f t="shared" si="0"/>
        <v>0</v>
      </c>
      <c r="R18" s="74">
        <f t="shared" si="1"/>
        <v>0</v>
      </c>
      <c r="S18" s="46" t="s">
        <v>29</v>
      </c>
      <c r="T18" s="34"/>
    </row>
    <row r="19" spans="1:20" ht="51" x14ac:dyDescent="0.3">
      <c r="A19" s="35">
        <v>8</v>
      </c>
      <c r="B19" s="36" t="s">
        <v>20</v>
      </c>
      <c r="C19" s="37" t="s">
        <v>21</v>
      </c>
      <c r="D19" s="38"/>
      <c r="E19" s="36"/>
      <c r="F19" s="39" t="s">
        <v>56</v>
      </c>
      <c r="G19" s="36" t="s">
        <v>57</v>
      </c>
      <c r="H19" s="39" t="s">
        <v>24</v>
      </c>
      <c r="I19" s="40" t="s">
        <v>43</v>
      </c>
      <c r="J19" s="41">
        <v>0.3</v>
      </c>
      <c r="K19" s="71" t="s">
        <v>79</v>
      </c>
      <c r="L19" s="72" t="s">
        <v>45</v>
      </c>
      <c r="M19" s="71" t="s">
        <v>80</v>
      </c>
      <c r="N19" s="46">
        <v>1</v>
      </c>
      <c r="O19" s="41">
        <v>0.4</v>
      </c>
      <c r="P19" s="73"/>
      <c r="Q19" s="41">
        <f t="shared" si="0"/>
        <v>0</v>
      </c>
      <c r="R19" s="74">
        <f t="shared" si="1"/>
        <v>0</v>
      </c>
      <c r="S19" s="46" t="s">
        <v>29</v>
      </c>
      <c r="T19" s="34"/>
    </row>
    <row r="20" spans="1:20" ht="51.6" thickBot="1" x14ac:dyDescent="0.35">
      <c r="A20" s="47">
        <v>9</v>
      </c>
      <c r="B20" s="48" t="s">
        <v>20</v>
      </c>
      <c r="C20" s="49" t="s">
        <v>21</v>
      </c>
      <c r="D20" s="50"/>
      <c r="E20" s="48"/>
      <c r="F20" s="51" t="s">
        <v>56</v>
      </c>
      <c r="G20" s="48" t="s">
        <v>57</v>
      </c>
      <c r="H20" s="51" t="s">
        <v>24</v>
      </c>
      <c r="I20" s="52" t="s">
        <v>43</v>
      </c>
      <c r="J20" s="53">
        <v>0.3</v>
      </c>
      <c r="K20" s="75" t="s">
        <v>81</v>
      </c>
      <c r="L20" s="76" t="s">
        <v>82</v>
      </c>
      <c r="M20" s="75" t="s">
        <v>83</v>
      </c>
      <c r="N20" s="58">
        <v>1</v>
      </c>
      <c r="O20" s="53">
        <v>0.2</v>
      </c>
      <c r="P20" s="53"/>
      <c r="Q20" s="53">
        <f t="shared" si="0"/>
        <v>0</v>
      </c>
      <c r="R20" s="77">
        <f t="shared" si="1"/>
        <v>0</v>
      </c>
      <c r="S20" s="58" t="s">
        <v>29</v>
      </c>
      <c r="T20" s="59"/>
    </row>
    <row r="21" spans="1:20" ht="63" x14ac:dyDescent="0.3">
      <c r="A21" s="78">
        <v>1</v>
      </c>
      <c r="B21" s="79" t="s">
        <v>20</v>
      </c>
      <c r="C21" s="80" t="s">
        <v>21</v>
      </c>
      <c r="D21" s="81"/>
      <c r="E21" s="82"/>
      <c r="F21" s="82" t="s">
        <v>56</v>
      </c>
      <c r="G21" s="82" t="s">
        <v>84</v>
      </c>
      <c r="H21" s="83" t="s">
        <v>85</v>
      </c>
      <c r="I21" s="84" t="s">
        <v>25</v>
      </c>
      <c r="J21" s="85">
        <v>0.7</v>
      </c>
      <c r="K21" s="86" t="s">
        <v>86</v>
      </c>
      <c r="L21" s="86" t="s">
        <v>87</v>
      </c>
      <c r="M21" s="86" t="s">
        <v>88</v>
      </c>
      <c r="N21" s="87">
        <v>0.95</v>
      </c>
      <c r="O21" s="87">
        <v>0.2</v>
      </c>
      <c r="P21" s="85"/>
      <c r="Q21" s="85">
        <f t="shared" si="0"/>
        <v>0</v>
      </c>
      <c r="R21" s="88">
        <f t="shared" si="1"/>
        <v>0</v>
      </c>
      <c r="S21" s="85" t="s">
        <v>29</v>
      </c>
      <c r="T21" s="89">
        <f>SUM(R21:R32)%</f>
        <v>0</v>
      </c>
    </row>
    <row r="22" spans="1:20" ht="63" x14ac:dyDescent="0.3">
      <c r="A22" s="23">
        <v>2</v>
      </c>
      <c r="B22" s="24" t="s">
        <v>20</v>
      </c>
      <c r="C22" s="25" t="s">
        <v>21</v>
      </c>
      <c r="D22" s="90"/>
      <c r="E22" s="91"/>
      <c r="F22" s="91" t="s">
        <v>56</v>
      </c>
      <c r="G22" s="91" t="s">
        <v>84</v>
      </c>
      <c r="H22" s="27" t="s">
        <v>85</v>
      </c>
      <c r="I22" s="64" t="s">
        <v>25</v>
      </c>
      <c r="J22" s="29">
        <v>0.7</v>
      </c>
      <c r="K22" s="65" t="s">
        <v>89</v>
      </c>
      <c r="L22" s="65" t="s">
        <v>90</v>
      </c>
      <c r="M22" s="65" t="s">
        <v>91</v>
      </c>
      <c r="N22" s="92">
        <v>0.95</v>
      </c>
      <c r="O22" s="92">
        <v>0.2</v>
      </c>
      <c r="P22" s="29"/>
      <c r="Q22" s="29">
        <f t="shared" si="0"/>
        <v>0</v>
      </c>
      <c r="R22" s="33">
        <f t="shared" si="1"/>
        <v>0</v>
      </c>
      <c r="S22" s="29" t="s">
        <v>29</v>
      </c>
      <c r="T22" s="67"/>
    </row>
    <row r="23" spans="1:20" ht="50.4" x14ac:dyDescent="0.3">
      <c r="A23" s="23">
        <v>3</v>
      </c>
      <c r="B23" s="24" t="s">
        <v>20</v>
      </c>
      <c r="C23" s="25" t="s">
        <v>21</v>
      </c>
      <c r="D23" s="90"/>
      <c r="E23" s="91"/>
      <c r="F23" s="91" t="s">
        <v>56</v>
      </c>
      <c r="G23" s="91" t="s">
        <v>84</v>
      </c>
      <c r="H23" s="27" t="s">
        <v>85</v>
      </c>
      <c r="I23" s="64" t="s">
        <v>25</v>
      </c>
      <c r="J23" s="29">
        <v>0.7</v>
      </c>
      <c r="K23" s="65" t="s">
        <v>92</v>
      </c>
      <c r="L23" s="65" t="s">
        <v>93</v>
      </c>
      <c r="M23" s="65" t="s">
        <v>94</v>
      </c>
      <c r="N23" s="92">
        <v>1</v>
      </c>
      <c r="O23" s="92">
        <v>0.2</v>
      </c>
      <c r="P23" s="29"/>
      <c r="Q23" s="29">
        <f t="shared" si="0"/>
        <v>0</v>
      </c>
      <c r="R23" s="33">
        <f t="shared" si="1"/>
        <v>0</v>
      </c>
      <c r="S23" s="29" t="s">
        <v>29</v>
      </c>
      <c r="T23" s="67"/>
    </row>
    <row r="24" spans="1:20" ht="50.4" x14ac:dyDescent="0.3">
      <c r="A24" s="23">
        <v>4</v>
      </c>
      <c r="B24" s="24" t="s">
        <v>20</v>
      </c>
      <c r="C24" s="25" t="s">
        <v>21</v>
      </c>
      <c r="D24" s="90"/>
      <c r="E24" s="91"/>
      <c r="F24" s="91" t="s">
        <v>56</v>
      </c>
      <c r="G24" s="91" t="s">
        <v>84</v>
      </c>
      <c r="H24" s="27" t="s">
        <v>85</v>
      </c>
      <c r="I24" s="64" t="s">
        <v>25</v>
      </c>
      <c r="J24" s="29">
        <v>0.7</v>
      </c>
      <c r="K24" s="65" t="s">
        <v>95</v>
      </c>
      <c r="L24" s="65" t="s">
        <v>96</v>
      </c>
      <c r="M24" s="65" t="s">
        <v>97</v>
      </c>
      <c r="N24" s="92">
        <v>0.98</v>
      </c>
      <c r="O24" s="92">
        <v>0.2</v>
      </c>
      <c r="P24" s="29"/>
      <c r="Q24" s="29">
        <f t="shared" si="0"/>
        <v>0</v>
      </c>
      <c r="R24" s="33">
        <f t="shared" si="1"/>
        <v>0</v>
      </c>
      <c r="S24" s="29" t="s">
        <v>29</v>
      </c>
      <c r="T24" s="67"/>
    </row>
    <row r="25" spans="1:20" ht="63" x14ac:dyDescent="0.3">
      <c r="A25" s="23">
        <v>5</v>
      </c>
      <c r="B25" s="24" t="s">
        <v>20</v>
      </c>
      <c r="C25" s="25" t="s">
        <v>21</v>
      </c>
      <c r="D25" s="90"/>
      <c r="E25" s="91"/>
      <c r="F25" s="91" t="s">
        <v>56</v>
      </c>
      <c r="G25" s="91" t="s">
        <v>84</v>
      </c>
      <c r="H25" s="27" t="s">
        <v>85</v>
      </c>
      <c r="I25" s="64" t="s">
        <v>25</v>
      </c>
      <c r="J25" s="29">
        <v>0.7</v>
      </c>
      <c r="K25" s="65" t="s">
        <v>98</v>
      </c>
      <c r="L25" s="65" t="s">
        <v>99</v>
      </c>
      <c r="M25" s="65" t="s">
        <v>100</v>
      </c>
      <c r="N25" s="93">
        <v>0.9</v>
      </c>
      <c r="O25" s="92">
        <v>0.2</v>
      </c>
      <c r="P25" s="29"/>
      <c r="Q25" s="29">
        <f t="shared" si="0"/>
        <v>0</v>
      </c>
      <c r="R25" s="33">
        <f t="shared" si="1"/>
        <v>0</v>
      </c>
      <c r="S25" s="29" t="s">
        <v>29</v>
      </c>
      <c r="T25" s="67"/>
    </row>
    <row r="26" spans="1:20" ht="50.4" x14ac:dyDescent="0.3">
      <c r="A26" s="35"/>
      <c r="B26" s="36" t="s">
        <v>20</v>
      </c>
      <c r="C26" s="37" t="s">
        <v>21</v>
      </c>
      <c r="D26" s="38"/>
      <c r="E26" s="36"/>
      <c r="F26" s="39" t="s">
        <v>22</v>
      </c>
      <c r="G26" s="36" t="s">
        <v>23</v>
      </c>
      <c r="H26" s="39" t="s">
        <v>85</v>
      </c>
      <c r="I26" s="40" t="s">
        <v>43</v>
      </c>
      <c r="J26" s="41">
        <v>0.3</v>
      </c>
      <c r="K26" s="42" t="s">
        <v>101</v>
      </c>
      <c r="L26" s="43" t="s">
        <v>102</v>
      </c>
      <c r="M26" s="43"/>
      <c r="N26" s="44">
        <v>1</v>
      </c>
      <c r="O26" s="44">
        <v>0.1</v>
      </c>
      <c r="P26" s="41"/>
      <c r="Q26" s="41">
        <f t="shared" si="0"/>
        <v>0</v>
      </c>
      <c r="R26" s="45">
        <f t="shared" si="1"/>
        <v>0</v>
      </c>
      <c r="S26" s="46" t="s">
        <v>29</v>
      </c>
      <c r="T26" s="34"/>
    </row>
    <row r="27" spans="1:20" ht="37.799999999999997" x14ac:dyDescent="0.3">
      <c r="A27" s="35"/>
      <c r="B27" s="36" t="s">
        <v>20</v>
      </c>
      <c r="C27" s="37" t="s">
        <v>21</v>
      </c>
      <c r="D27" s="38"/>
      <c r="E27" s="36"/>
      <c r="F27" s="39" t="s">
        <v>22</v>
      </c>
      <c r="G27" s="36" t="s">
        <v>23</v>
      </c>
      <c r="H27" s="39" t="s">
        <v>85</v>
      </c>
      <c r="I27" s="40" t="s">
        <v>43</v>
      </c>
      <c r="J27" s="41">
        <v>0.3</v>
      </c>
      <c r="K27" s="42" t="s">
        <v>103</v>
      </c>
      <c r="L27" s="43" t="s">
        <v>104</v>
      </c>
      <c r="M27" s="43"/>
      <c r="N27" s="44">
        <v>1</v>
      </c>
      <c r="O27" s="44">
        <v>0.1</v>
      </c>
      <c r="P27" s="41"/>
      <c r="Q27" s="41">
        <f t="shared" si="0"/>
        <v>0</v>
      </c>
      <c r="R27" s="45">
        <f t="shared" si="1"/>
        <v>0</v>
      </c>
      <c r="S27" s="46" t="s">
        <v>29</v>
      </c>
      <c r="T27" s="34"/>
    </row>
    <row r="28" spans="1:20" ht="50.4" x14ac:dyDescent="0.3">
      <c r="A28" s="94"/>
      <c r="B28" s="36" t="s">
        <v>20</v>
      </c>
      <c r="C28" s="37" t="s">
        <v>21</v>
      </c>
      <c r="D28" s="38"/>
      <c r="E28" s="36"/>
      <c r="F28" s="39" t="s">
        <v>22</v>
      </c>
      <c r="G28" s="36" t="s">
        <v>23</v>
      </c>
      <c r="H28" s="39" t="s">
        <v>85</v>
      </c>
      <c r="I28" s="40" t="s">
        <v>43</v>
      </c>
      <c r="J28" s="41">
        <v>0.3</v>
      </c>
      <c r="K28" s="95" t="s">
        <v>105</v>
      </c>
      <c r="L28" s="96" t="s">
        <v>106</v>
      </c>
      <c r="M28" s="96"/>
      <c r="N28" s="97">
        <v>1</v>
      </c>
      <c r="O28" s="97">
        <v>0.2</v>
      </c>
      <c r="P28" s="98"/>
      <c r="Q28" s="41">
        <f t="shared" si="0"/>
        <v>0</v>
      </c>
      <c r="R28" s="45">
        <f t="shared" si="1"/>
        <v>0</v>
      </c>
      <c r="S28" s="46" t="s">
        <v>29</v>
      </c>
      <c r="T28" s="99"/>
    </row>
    <row r="29" spans="1:20" ht="25.2" x14ac:dyDescent="0.3">
      <c r="A29" s="94"/>
      <c r="B29" s="36" t="s">
        <v>20</v>
      </c>
      <c r="C29" s="37" t="s">
        <v>21</v>
      </c>
      <c r="D29" s="38"/>
      <c r="E29" s="36"/>
      <c r="F29" s="39" t="s">
        <v>22</v>
      </c>
      <c r="G29" s="36" t="s">
        <v>23</v>
      </c>
      <c r="H29" s="39" t="s">
        <v>85</v>
      </c>
      <c r="I29" s="40" t="s">
        <v>43</v>
      </c>
      <c r="J29" s="41">
        <v>0.3</v>
      </c>
      <c r="K29" s="95" t="s">
        <v>107</v>
      </c>
      <c r="L29" s="96" t="s">
        <v>108</v>
      </c>
      <c r="M29" s="96"/>
      <c r="N29" s="97">
        <v>1</v>
      </c>
      <c r="O29" s="97">
        <v>0.15</v>
      </c>
      <c r="P29" s="98"/>
      <c r="Q29" s="41">
        <f t="shared" si="0"/>
        <v>0</v>
      </c>
      <c r="R29" s="45">
        <f t="shared" si="1"/>
        <v>0</v>
      </c>
      <c r="S29" s="46" t="s">
        <v>29</v>
      </c>
      <c r="T29" s="99"/>
    </row>
    <row r="30" spans="1:20" ht="75.599999999999994" x14ac:dyDescent="0.3">
      <c r="A30" s="94"/>
      <c r="B30" s="36" t="s">
        <v>20</v>
      </c>
      <c r="C30" s="37" t="s">
        <v>21</v>
      </c>
      <c r="D30" s="38"/>
      <c r="E30" s="36"/>
      <c r="F30" s="39" t="s">
        <v>22</v>
      </c>
      <c r="G30" s="36" t="s">
        <v>23</v>
      </c>
      <c r="H30" s="39" t="s">
        <v>85</v>
      </c>
      <c r="I30" s="40" t="s">
        <v>43</v>
      </c>
      <c r="J30" s="41">
        <v>0.3</v>
      </c>
      <c r="K30" s="95" t="s">
        <v>109</v>
      </c>
      <c r="L30" s="96" t="s">
        <v>110</v>
      </c>
      <c r="M30" s="96"/>
      <c r="N30" s="97">
        <v>1</v>
      </c>
      <c r="O30" s="97">
        <v>0.1</v>
      </c>
      <c r="P30" s="98"/>
      <c r="Q30" s="41">
        <f t="shared" si="0"/>
        <v>0</v>
      </c>
      <c r="R30" s="45">
        <f t="shared" si="1"/>
        <v>0</v>
      </c>
      <c r="S30" s="46" t="s">
        <v>29</v>
      </c>
      <c r="T30" s="99"/>
    </row>
    <row r="31" spans="1:20" ht="75.599999999999994" x14ac:dyDescent="0.3">
      <c r="A31" s="94"/>
      <c r="B31" s="36" t="s">
        <v>20</v>
      </c>
      <c r="C31" s="37" t="s">
        <v>21</v>
      </c>
      <c r="D31" s="38"/>
      <c r="E31" s="36"/>
      <c r="F31" s="39" t="s">
        <v>22</v>
      </c>
      <c r="G31" s="36" t="s">
        <v>23</v>
      </c>
      <c r="H31" s="39" t="s">
        <v>85</v>
      </c>
      <c r="I31" s="40" t="s">
        <v>43</v>
      </c>
      <c r="J31" s="41">
        <v>0.3</v>
      </c>
      <c r="K31" s="95" t="s">
        <v>111</v>
      </c>
      <c r="L31" s="96" t="s">
        <v>112</v>
      </c>
      <c r="M31" s="96"/>
      <c r="N31" s="97">
        <v>1</v>
      </c>
      <c r="O31" s="97">
        <v>0.1</v>
      </c>
      <c r="P31" s="98"/>
      <c r="Q31" s="41">
        <f t="shared" si="0"/>
        <v>0</v>
      </c>
      <c r="R31" s="45">
        <f t="shared" si="1"/>
        <v>0</v>
      </c>
      <c r="S31" s="46" t="s">
        <v>29</v>
      </c>
      <c r="T31" s="99"/>
    </row>
    <row r="32" spans="1:20" ht="88.8" thickBot="1" x14ac:dyDescent="0.35">
      <c r="A32" s="47"/>
      <c r="B32" s="48" t="s">
        <v>20</v>
      </c>
      <c r="C32" s="49" t="s">
        <v>21</v>
      </c>
      <c r="D32" s="50"/>
      <c r="E32" s="48"/>
      <c r="F32" s="51" t="s">
        <v>22</v>
      </c>
      <c r="G32" s="48" t="s">
        <v>23</v>
      </c>
      <c r="H32" s="51" t="s">
        <v>85</v>
      </c>
      <c r="I32" s="52" t="s">
        <v>43</v>
      </c>
      <c r="J32" s="53">
        <v>0.3</v>
      </c>
      <c r="K32" s="54" t="s">
        <v>113</v>
      </c>
      <c r="L32" s="55" t="s">
        <v>114</v>
      </c>
      <c r="M32" s="55"/>
      <c r="N32" s="56">
        <v>1</v>
      </c>
      <c r="O32" s="56">
        <v>0.25</v>
      </c>
      <c r="P32" s="53"/>
      <c r="Q32" s="53">
        <f t="shared" si="0"/>
        <v>0</v>
      </c>
      <c r="R32" s="57">
        <f t="shared" si="1"/>
        <v>0</v>
      </c>
      <c r="S32" s="58" t="s">
        <v>29</v>
      </c>
      <c r="T32" s="59"/>
    </row>
    <row r="33" spans="1:20" ht="63" x14ac:dyDescent="0.3">
      <c r="A33" s="78">
        <v>1</v>
      </c>
      <c r="B33" s="79" t="s">
        <v>20</v>
      </c>
      <c r="C33" s="80" t="s">
        <v>21</v>
      </c>
      <c r="D33" s="81">
        <v>3651</v>
      </c>
      <c r="E33" s="82" t="s">
        <v>115</v>
      </c>
      <c r="F33" s="82" t="s">
        <v>56</v>
      </c>
      <c r="G33" s="82" t="s">
        <v>84</v>
      </c>
      <c r="H33" s="83" t="s">
        <v>85</v>
      </c>
      <c r="I33" s="84" t="s">
        <v>25</v>
      </c>
      <c r="J33" s="85">
        <v>0.7</v>
      </c>
      <c r="K33" s="86" t="s">
        <v>86</v>
      </c>
      <c r="L33" s="86" t="s">
        <v>87</v>
      </c>
      <c r="M33" s="86" t="s">
        <v>88</v>
      </c>
      <c r="N33" s="87">
        <v>0.95</v>
      </c>
      <c r="O33" s="87">
        <v>0.2</v>
      </c>
      <c r="P33" s="85"/>
      <c r="Q33" s="85">
        <f t="shared" si="0"/>
        <v>0</v>
      </c>
      <c r="R33" s="88">
        <f t="shared" si="1"/>
        <v>0</v>
      </c>
      <c r="S33" s="85" t="s">
        <v>29</v>
      </c>
      <c r="T33" s="89">
        <f>SUM(R33:R38)%</f>
        <v>0</v>
      </c>
    </row>
    <row r="34" spans="1:20" ht="63" x14ac:dyDescent="0.3">
      <c r="A34" s="23">
        <v>2</v>
      </c>
      <c r="B34" s="24" t="s">
        <v>20</v>
      </c>
      <c r="C34" s="25" t="s">
        <v>21</v>
      </c>
      <c r="D34" s="90" t="s">
        <v>116</v>
      </c>
      <c r="E34" s="91" t="s">
        <v>115</v>
      </c>
      <c r="F34" s="91" t="s">
        <v>56</v>
      </c>
      <c r="G34" s="91" t="s">
        <v>84</v>
      </c>
      <c r="H34" s="27" t="s">
        <v>85</v>
      </c>
      <c r="I34" s="64" t="s">
        <v>25</v>
      </c>
      <c r="J34" s="29">
        <v>0.7</v>
      </c>
      <c r="K34" s="65" t="s">
        <v>89</v>
      </c>
      <c r="L34" s="65" t="s">
        <v>90</v>
      </c>
      <c r="M34" s="65" t="s">
        <v>91</v>
      </c>
      <c r="N34" s="92">
        <v>0.95</v>
      </c>
      <c r="O34" s="92">
        <v>0.2</v>
      </c>
      <c r="P34" s="29"/>
      <c r="Q34" s="29">
        <f t="shared" si="0"/>
        <v>0</v>
      </c>
      <c r="R34" s="33">
        <f t="shared" si="1"/>
        <v>0</v>
      </c>
      <c r="S34" s="29" t="s">
        <v>29</v>
      </c>
      <c r="T34" s="67"/>
    </row>
    <row r="35" spans="1:20" ht="50.4" x14ac:dyDescent="0.3">
      <c r="A35" s="23">
        <v>3</v>
      </c>
      <c r="B35" s="24" t="s">
        <v>20</v>
      </c>
      <c r="C35" s="25" t="s">
        <v>21</v>
      </c>
      <c r="D35" s="90">
        <v>3651</v>
      </c>
      <c r="E35" s="91" t="s">
        <v>115</v>
      </c>
      <c r="F35" s="91" t="s">
        <v>56</v>
      </c>
      <c r="G35" s="91" t="s">
        <v>84</v>
      </c>
      <c r="H35" s="27" t="s">
        <v>85</v>
      </c>
      <c r="I35" s="64" t="s">
        <v>25</v>
      </c>
      <c r="J35" s="29">
        <v>0.7</v>
      </c>
      <c r="K35" s="65" t="s">
        <v>92</v>
      </c>
      <c r="L35" s="65" t="s">
        <v>93</v>
      </c>
      <c r="M35" s="65" t="s">
        <v>94</v>
      </c>
      <c r="N35" s="92">
        <v>1</v>
      </c>
      <c r="O35" s="92">
        <v>0.2</v>
      </c>
      <c r="P35" s="29"/>
      <c r="Q35" s="29">
        <f t="shared" si="0"/>
        <v>0</v>
      </c>
      <c r="R35" s="33">
        <f t="shared" si="1"/>
        <v>0</v>
      </c>
      <c r="S35" s="29" t="s">
        <v>29</v>
      </c>
      <c r="T35" s="67"/>
    </row>
    <row r="36" spans="1:20" ht="50.4" x14ac:dyDescent="0.3">
      <c r="A36" s="23">
        <v>4</v>
      </c>
      <c r="B36" s="24" t="s">
        <v>20</v>
      </c>
      <c r="C36" s="25" t="s">
        <v>21</v>
      </c>
      <c r="D36" s="90" t="s">
        <v>116</v>
      </c>
      <c r="E36" s="91" t="s">
        <v>115</v>
      </c>
      <c r="F36" s="91" t="s">
        <v>56</v>
      </c>
      <c r="G36" s="91" t="s">
        <v>84</v>
      </c>
      <c r="H36" s="27" t="s">
        <v>85</v>
      </c>
      <c r="I36" s="64" t="s">
        <v>25</v>
      </c>
      <c r="J36" s="29">
        <v>0.7</v>
      </c>
      <c r="K36" s="65" t="s">
        <v>95</v>
      </c>
      <c r="L36" s="65" t="s">
        <v>96</v>
      </c>
      <c r="M36" s="65" t="s">
        <v>97</v>
      </c>
      <c r="N36" s="92">
        <v>0.98</v>
      </c>
      <c r="O36" s="92">
        <v>0.2</v>
      </c>
      <c r="P36" s="29"/>
      <c r="Q36" s="29">
        <f t="shared" si="0"/>
        <v>0</v>
      </c>
      <c r="R36" s="33">
        <f t="shared" si="1"/>
        <v>0</v>
      </c>
      <c r="S36" s="29" t="s">
        <v>29</v>
      </c>
      <c r="T36" s="67"/>
    </row>
    <row r="37" spans="1:20" ht="63" x14ac:dyDescent="0.3">
      <c r="A37" s="23">
        <v>5</v>
      </c>
      <c r="B37" s="24" t="s">
        <v>20</v>
      </c>
      <c r="C37" s="25" t="s">
        <v>21</v>
      </c>
      <c r="D37" s="90">
        <v>3651</v>
      </c>
      <c r="E37" s="91" t="s">
        <v>115</v>
      </c>
      <c r="F37" s="91" t="s">
        <v>56</v>
      </c>
      <c r="G37" s="91" t="s">
        <v>84</v>
      </c>
      <c r="H37" s="27" t="s">
        <v>85</v>
      </c>
      <c r="I37" s="64" t="s">
        <v>25</v>
      </c>
      <c r="J37" s="29">
        <v>0.7</v>
      </c>
      <c r="K37" s="65" t="s">
        <v>98</v>
      </c>
      <c r="L37" s="65" t="s">
        <v>99</v>
      </c>
      <c r="M37" s="65" t="s">
        <v>100</v>
      </c>
      <c r="N37" s="93">
        <v>0.9</v>
      </c>
      <c r="O37" s="92">
        <v>0.2</v>
      </c>
      <c r="P37" s="29"/>
      <c r="Q37" s="29">
        <f t="shared" si="0"/>
        <v>0</v>
      </c>
      <c r="R37" s="33">
        <f t="shared" si="1"/>
        <v>0</v>
      </c>
      <c r="S37" s="29" t="s">
        <v>29</v>
      </c>
      <c r="T37" s="67"/>
    </row>
    <row r="38" spans="1:20" ht="41.4" thickBot="1" x14ac:dyDescent="0.35">
      <c r="A38" s="47">
        <v>6</v>
      </c>
      <c r="B38" s="48" t="s">
        <v>20</v>
      </c>
      <c r="C38" s="49" t="s">
        <v>21</v>
      </c>
      <c r="D38" s="100" t="s">
        <v>116</v>
      </c>
      <c r="E38" s="101" t="s">
        <v>115</v>
      </c>
      <c r="F38" s="101" t="s">
        <v>56</v>
      </c>
      <c r="G38" s="101" t="s">
        <v>84</v>
      </c>
      <c r="H38" s="51" t="s">
        <v>85</v>
      </c>
      <c r="I38" s="102" t="s">
        <v>43</v>
      </c>
      <c r="J38" s="53">
        <v>0.3</v>
      </c>
      <c r="K38" s="102" t="s">
        <v>81</v>
      </c>
      <c r="L38" s="103" t="s">
        <v>117</v>
      </c>
      <c r="M38" s="75" t="s">
        <v>118</v>
      </c>
      <c r="N38" s="53">
        <v>1</v>
      </c>
      <c r="O38" s="53">
        <v>1</v>
      </c>
      <c r="P38" s="53"/>
      <c r="Q38" s="53">
        <f t="shared" si="0"/>
        <v>0</v>
      </c>
      <c r="R38" s="57">
        <f t="shared" si="1"/>
        <v>0</v>
      </c>
      <c r="S38" s="58" t="s">
        <v>29</v>
      </c>
      <c r="T38" s="104"/>
    </row>
  </sheetData>
  <conditionalFormatting sqref="I1 K1:M1">
    <cfRule type="cellIs" dxfId="12" priority="13" operator="equal">
      <formula>"maintasks"</formula>
    </cfRule>
  </conditionalFormatting>
  <conditionalFormatting sqref="I2:I11">
    <cfRule type="cellIs" dxfId="11" priority="11" operator="equal">
      <formula>"maintasks"</formula>
    </cfRule>
  </conditionalFormatting>
  <conditionalFormatting sqref="K2:M11">
    <cfRule type="cellIs" dxfId="10" priority="12" operator="equal">
      <formula>"maintasks"</formula>
    </cfRule>
  </conditionalFormatting>
  <conditionalFormatting sqref="K17:M20 I17:I20 K12:M14 I12:I14">
    <cfRule type="cellIs" dxfId="9" priority="10" operator="equal">
      <formula>"maintasks"</formula>
    </cfRule>
  </conditionalFormatting>
  <conditionalFormatting sqref="K15:M15 I15:I16">
    <cfRule type="cellIs" dxfId="8" priority="9" operator="equal">
      <formula>"maintasks"</formula>
    </cfRule>
  </conditionalFormatting>
  <conditionalFormatting sqref="K16:L16">
    <cfRule type="cellIs" dxfId="7" priority="8" operator="equal">
      <formula>"maintasks"</formula>
    </cfRule>
  </conditionalFormatting>
  <conditionalFormatting sqref="I21:I25">
    <cfRule type="cellIs" dxfId="6" priority="6" operator="equal">
      <formula>"maintasks"</formula>
    </cfRule>
  </conditionalFormatting>
  <conditionalFormatting sqref="K21:M25">
    <cfRule type="cellIs" dxfId="5" priority="7" operator="equal">
      <formula>"maintasks"</formula>
    </cfRule>
  </conditionalFormatting>
  <conditionalFormatting sqref="I26:I32">
    <cfRule type="cellIs" dxfId="4" priority="4" operator="equal">
      <formula>"maintasks"</formula>
    </cfRule>
  </conditionalFormatting>
  <conditionalFormatting sqref="K26:M32">
    <cfRule type="cellIs" dxfId="3" priority="5" operator="equal">
      <formula>"maintasks"</formula>
    </cfRule>
  </conditionalFormatting>
  <conditionalFormatting sqref="K38:M38 I38">
    <cfRule type="cellIs" dxfId="2" priority="3" operator="equal">
      <formula>"maintasks"</formula>
    </cfRule>
  </conditionalFormatting>
  <conditionalFormatting sqref="I33:I37">
    <cfRule type="cellIs" dxfId="1" priority="1" operator="equal">
      <formula>"maintasks"</formula>
    </cfRule>
  </conditionalFormatting>
  <conditionalFormatting sqref="K33:M37">
    <cfRule type="cellIs" dxfId="0" priority="2" operator="equal">
      <formula>"maintasks"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نت-طراحی مهندسی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Kalantari, Ali Asghar</dc:creator>
  <cp:lastModifiedBy>Kalantari, Ali Asghar</cp:lastModifiedBy>
  <dcterms:created xsi:type="dcterms:W3CDTF">2025-07-27T04:18:47Z</dcterms:created>
  <dcterms:modified xsi:type="dcterms:W3CDTF">2025-07-27T04:19:03Z</dcterms:modified>
</cp:coreProperties>
</file>