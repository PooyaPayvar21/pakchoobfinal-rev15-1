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دکستاپ\KPI 1404\KPI Q2\"/>
    </mc:Choice>
  </mc:AlternateContent>
  <xr:revisionPtr revIDLastSave="0" documentId="13_ncr:1_{C1F7A3E3-2C97-4076-B916-775EA084F84B}" xr6:coauthVersionLast="47" xr6:coauthVersionMax="47" xr10:uidLastSave="{00000000-0000-0000-0000-000000000000}"/>
  <bookViews>
    <workbookView xWindow="-108" yWindow="-108" windowWidth="23256" windowHeight="12576" xr2:uid="{96D23354-B493-4EBE-8EB0-89F6C938E08E}"/>
  </bookViews>
  <sheets>
    <sheet name="KEMAL" sheetId="1" r:id="rId1"/>
  </sheets>
  <definedNames>
    <definedName name="_xlnm._FilterDatabase" localSheetId="0" hidden="1">KEMAL!$A$1:$T$14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1" l="1"/>
  <c r="Q2" i="1"/>
  <c r="R2" i="1"/>
  <c r="Q3" i="1"/>
  <c r="R3" i="1"/>
  <c r="Q4" i="1"/>
  <c r="R4" i="1" s="1"/>
  <c r="Q5" i="1"/>
  <c r="R5" i="1"/>
  <c r="Q6" i="1"/>
  <c r="R6" i="1" s="1"/>
  <c r="Q7" i="1"/>
  <c r="R7" i="1"/>
  <c r="Q8" i="1"/>
  <c r="R8" i="1" s="1"/>
  <c r="Q9" i="1"/>
  <c r="R9" i="1"/>
  <c r="Q10" i="1"/>
  <c r="R10" i="1" s="1"/>
  <c r="Q11" i="1"/>
  <c r="R11" i="1"/>
  <c r="Q12" i="1"/>
  <c r="R12" i="1" s="1"/>
  <c r="Q13" i="1"/>
  <c r="R13" i="1"/>
  <c r="Q14" i="1"/>
  <c r="R14" i="1" s="1"/>
</calcChain>
</file>

<file path=xl/sharedStrings.xml><?xml version="1.0" encoding="utf-8"?>
<sst xmlns="http://schemas.openxmlformats.org/spreadsheetml/2006/main" count="156" uniqueCount="63">
  <si>
    <t>+</t>
  </si>
  <si>
    <t>پروژه های دیگر - تهویه مطبوع سالن های تولید</t>
  </si>
  <si>
    <t>Other Projects-Air conditioning of production halls</t>
  </si>
  <si>
    <t>Projects</t>
  </si>
  <si>
    <t>فنی و مهندسی-برق و ابزاردقیق فاز 2</t>
  </si>
  <si>
    <t>اسماعیل کریمی</t>
  </si>
  <si>
    <t>Director</t>
  </si>
  <si>
    <t>KEMAL</t>
  </si>
  <si>
    <t>Q2</t>
  </si>
  <si>
    <t>تخته فشرده</t>
  </si>
  <si>
    <t>سیستم پنوماتیک (انتقال ضایعات)، فیلتر کیسه ای دست دوم</t>
  </si>
  <si>
    <t>Pneumatic System (Transfer Reject), second hand bag filter</t>
  </si>
  <si>
    <t>فیلتر کیسه ای چیپر</t>
  </si>
  <si>
    <t>Chipper Bag Filter</t>
  </si>
  <si>
    <t>اصلاح / ترازوی تسمه ای جدید</t>
  </si>
  <si>
    <t>Modify / New Belt Scale</t>
  </si>
  <si>
    <t>راه حل لرزش ساختار درایر</t>
  </si>
  <si>
    <t>Dryer structure vibration solution</t>
  </si>
  <si>
    <t>دستگاه جداسازی پوست و چوب</t>
  </si>
  <si>
    <t>Bark - wood segregation machine</t>
  </si>
  <si>
    <t>راهرو درایر ایرگریدر</t>
  </si>
  <si>
    <t>Walkway Dryer - Air Grader</t>
  </si>
  <si>
    <t>-</t>
  </si>
  <si>
    <t>Rework Rate=(Number of Repeat Repairs)/(Total Repairs)*100</t>
  </si>
  <si>
    <t>تعداد خرابی‌های تکرارشونده کمتر از ۵% کل زمان از کار افتادگی</t>
  </si>
  <si>
    <t>Number of recurring downtime &lt; 5 % of total down time</t>
  </si>
  <si>
    <t>MainTasks</t>
  </si>
  <si>
    <t>فنی و مهندسی</t>
  </si>
  <si>
    <t>Spare Parts Utilization (%) = (Number of Used Spare Parts from Inventory) / (Total Purchased Spare Parts) × 100</t>
  </si>
  <si>
    <t>بهینه‌سازی مصرف قطعات یدکی</t>
  </si>
  <si>
    <t>Spare Parts Utilization Optimization</t>
  </si>
  <si>
    <t>Accident Sick Leave Rate (%) = ((Number of Employees on Safety-related Sick Leave / Total Employees) × 100)-100</t>
  </si>
  <si>
    <t>ایمنی - نرخ خدمات حوادث، هدف، از دست دادن صفر نفر-ساعت (Zero Manhour Loss)</t>
  </si>
  <si>
    <t>Safety - Accident service rate, Target Zero Manhour Loss</t>
  </si>
  <si>
    <t>Maintenance Cost Reduction=((Previous Month Maintenance Cost-Current Month Maintenance Cost))/(Previous Month Maintenance Cost)*100</t>
  </si>
  <si>
    <t>هزینه نگهداری و تعمیرات مطابق با بودجه یا در محدوده میانگین هزینه سال تا به امروز (YTD) شامل ماه جاری</t>
  </si>
  <si>
    <t>Maintenance Cost as per budget or within YTD Average cost including current month</t>
  </si>
  <si>
    <t>(Total number of completed activities in maintenance / Total number of activities required in maintenance)*100</t>
  </si>
  <si>
    <t>نرخ تکمیل شدن کارهای تعمیرات و نگهداری کارخانه</t>
  </si>
  <si>
    <t>Completion Rate of Plant Maintenance Job</t>
  </si>
  <si>
    <t>OEE=A*P*Q</t>
  </si>
  <si>
    <t>شاخص  OEE خط تولید MDF</t>
  </si>
  <si>
    <t>OEE index of MDF production line</t>
  </si>
  <si>
    <t>Sum</t>
  </si>
  <si>
    <t>type</t>
  </si>
  <si>
    <t>Score Achievement</t>
  </si>
  <si>
    <t>Percentage Achievement</t>
  </si>
  <si>
    <t>KPI Achievement</t>
  </si>
  <si>
    <t>KPI weight</t>
  </si>
  <si>
    <t>target</t>
  </si>
  <si>
    <t>kpi INFO</t>
  </si>
  <si>
    <t>KPI Fa</t>
  </si>
  <si>
    <t>KPI En</t>
  </si>
  <si>
    <t>obj weight</t>
  </si>
  <si>
    <t>دسته بندی</t>
  </si>
  <si>
    <t>دپارتمان</t>
  </si>
  <si>
    <t>مدیر مستقیم</t>
  </si>
  <si>
    <t>عنوان شغلی</t>
  </si>
  <si>
    <t>نام و نام خانوادگی</t>
  </si>
  <si>
    <t>کد پرسنلی</t>
  </si>
  <si>
    <t>فصل</t>
  </si>
  <si>
    <t>نام شرکت</t>
  </si>
  <si>
    <t>ردیف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</si>
</sst>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name val="Times New Roman"/>
      <family val="1"/>
    </font>
    <font>
      <sz val="10"/>
      <color rgb="FF000000"/>
      <name val="Calibri"/>
      <family val="2"/>
      <scheme val="minor"/>
    </font>
    <font>
      <sz val="8"/>
      <color rgb="FF000000"/>
      <name val="Times New Roman"/>
      <family val="1"/>
    </font>
    <font>
      <sz val="8"/>
      <color rgb="FF000000"/>
      <name val="B Nazanin"/>
      <charset val="178"/>
    </font>
    <font>
      <sz val="8"/>
      <name val="B Nazanin"/>
      <charset val="178"/>
    </font>
    <font>
      <sz val="14"/>
      <name val="B Nazanin"/>
      <charset val="178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Times New Roman"/>
      <family val="1"/>
    </font>
    <font>
      <b/>
      <sz val="8"/>
      <color theme="0"/>
      <name val="B Titr"/>
      <charset val="178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D9E7FD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68">
    <xf numFmtId="0" fontId="0" fillId="0" borderId="0" xfId="0"/>
    <xf numFmtId="9" fontId="2" fillId="0" borderId="1" xfId="1" applyFont="1" applyFill="1" applyBorder="1" applyAlignment="1">
      <alignment horizontal="center" vertical="center"/>
    </xf>
    <xf numFmtId="9" fontId="2" fillId="0" borderId="2" xfId="1" applyFont="1" applyFill="1" applyBorder="1" applyAlignment="1">
      <alignment horizontal="center" vertical="center"/>
    </xf>
    <xf numFmtId="1" fontId="3" fillId="0" borderId="2" xfId="1" applyNumberFormat="1" applyFont="1" applyFill="1" applyBorder="1" applyAlignment="1">
      <alignment horizontal="center" vertical="center"/>
    </xf>
    <xf numFmtId="9" fontId="3" fillId="0" borderId="2" xfId="1" applyFont="1" applyFill="1" applyBorder="1" applyAlignment="1">
      <alignment horizontal="center" vertical="center"/>
    </xf>
    <xf numFmtId="9" fontId="5" fillId="0" borderId="2" xfId="2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 wrapText="1"/>
    </xf>
    <xf numFmtId="49" fontId="7" fillId="0" borderId="2" xfId="3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shrinkToFit="1"/>
    </xf>
    <xf numFmtId="49" fontId="7" fillId="0" borderId="2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9" fontId="2" fillId="0" borderId="4" xfId="1" applyFont="1" applyFill="1" applyBorder="1" applyAlignment="1">
      <alignment horizontal="center" vertical="center"/>
    </xf>
    <xf numFmtId="9" fontId="2" fillId="0" borderId="5" xfId="1" applyFont="1" applyFill="1" applyBorder="1" applyAlignment="1">
      <alignment horizontal="center" vertical="center"/>
    </xf>
    <xf numFmtId="1" fontId="3" fillId="0" borderId="5" xfId="1" applyNumberFormat="1" applyFont="1" applyFill="1" applyBorder="1" applyAlignment="1">
      <alignment horizontal="center" vertical="center"/>
    </xf>
    <xf numFmtId="9" fontId="3" fillId="0" borderId="5" xfId="1" applyFont="1" applyFill="1" applyBorder="1" applyAlignment="1">
      <alignment horizontal="center" vertical="center"/>
    </xf>
    <xf numFmtId="9" fontId="5" fillId="0" borderId="5" xfId="2" applyFont="1" applyFill="1" applyBorder="1" applyAlignment="1">
      <alignment horizontal="center" vertical="center"/>
    </xf>
    <xf numFmtId="0" fontId="6" fillId="0" borderId="5" xfId="3" applyFont="1" applyBorder="1" applyAlignment="1">
      <alignment horizontal="center" vertical="center" wrapText="1"/>
    </xf>
    <xf numFmtId="49" fontId="7" fillId="0" borderId="5" xfId="3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shrinkToFit="1"/>
    </xf>
    <xf numFmtId="49" fontId="7" fillId="0" borderId="5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9" fontId="2" fillId="2" borderId="5" xfId="1" applyFont="1" applyFill="1" applyBorder="1" applyAlignment="1">
      <alignment horizontal="center" vertical="center"/>
    </xf>
    <xf numFmtId="1" fontId="2" fillId="2" borderId="5" xfId="1" applyNumberFormat="1" applyFont="1" applyFill="1" applyBorder="1" applyAlignment="1">
      <alignment horizontal="center" vertical="center"/>
    </xf>
    <xf numFmtId="9" fontId="3" fillId="2" borderId="5" xfId="1" applyFont="1" applyFill="1" applyBorder="1" applyAlignment="1">
      <alignment horizontal="center" vertical="center"/>
    </xf>
    <xf numFmtId="9" fontId="3" fillId="2" borderId="5" xfId="0" applyNumberFormat="1" applyFont="1" applyFill="1" applyBorder="1" applyAlignment="1">
      <alignment horizontal="center" vertical="center"/>
    </xf>
    <xf numFmtId="9" fontId="5" fillId="2" borderId="5" xfId="2" applyFont="1" applyFill="1" applyBorder="1" applyAlignment="1">
      <alignment horizontal="center" vertical="center"/>
    </xf>
    <xf numFmtId="0" fontId="6" fillId="2" borderId="5" xfId="3" applyFont="1" applyFill="1" applyBorder="1" applyAlignment="1">
      <alignment horizontal="center" vertical="center" wrapText="1"/>
    </xf>
    <xf numFmtId="49" fontId="7" fillId="2" borderId="5" xfId="3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shrinkToFit="1"/>
    </xf>
    <xf numFmtId="49" fontId="7" fillId="2" borderId="5" xfId="0" applyNumberFormat="1" applyFont="1" applyFill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1" fontId="10" fillId="2" borderId="6" xfId="0" applyNumberFormat="1" applyFont="1" applyFill="1" applyBorder="1" applyAlignment="1">
      <alignment horizontal="center" vertical="center"/>
    </xf>
    <xf numFmtId="0" fontId="6" fillId="2" borderId="5" xfId="3" applyFont="1" applyFill="1" applyBorder="1" applyAlignment="1">
      <alignment horizontal="center" vertical="center"/>
    </xf>
    <xf numFmtId="9" fontId="3" fillId="0" borderId="4" xfId="1" applyFont="1" applyFill="1" applyBorder="1" applyAlignment="1">
      <alignment horizontal="center" vertical="center"/>
    </xf>
    <xf numFmtId="1" fontId="3" fillId="2" borderId="5" xfId="1" applyNumberFormat="1" applyFont="1" applyFill="1" applyBorder="1" applyAlignment="1">
      <alignment horizontal="center" vertical="center"/>
    </xf>
    <xf numFmtId="9" fontId="6" fillId="2" borderId="5" xfId="2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9" fontId="3" fillId="3" borderId="7" xfId="1" applyFont="1" applyFill="1" applyBorder="1" applyAlignment="1">
      <alignment horizontal="center" vertical="center"/>
    </xf>
    <xf numFmtId="9" fontId="3" fillId="2" borderId="8" xfId="1" applyFont="1" applyFill="1" applyBorder="1" applyAlignment="1">
      <alignment horizontal="center" vertical="center"/>
    </xf>
    <xf numFmtId="1" fontId="3" fillId="2" borderId="8" xfId="1" applyNumberFormat="1" applyFont="1" applyFill="1" applyBorder="1" applyAlignment="1">
      <alignment horizontal="center" vertical="center"/>
    </xf>
    <xf numFmtId="9" fontId="5" fillId="2" borderId="8" xfId="2" applyFont="1" applyFill="1" applyBorder="1" applyAlignment="1">
      <alignment horizontal="center" vertical="center"/>
    </xf>
    <xf numFmtId="9" fontId="5" fillId="2" borderId="8" xfId="1" applyFont="1" applyFill="1" applyBorder="1" applyAlignment="1">
      <alignment horizontal="center" vertical="center"/>
    </xf>
    <xf numFmtId="49" fontId="7" fillId="2" borderId="8" xfId="3" applyNumberFormat="1" applyFont="1" applyFill="1" applyBorder="1" applyAlignment="1">
      <alignment horizontal="center" vertical="center" wrapText="1"/>
    </xf>
    <xf numFmtId="0" fontId="6" fillId="2" borderId="8" xfId="3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shrinkToFit="1"/>
    </xf>
    <xf numFmtId="49" fontId="7" fillId="2" borderId="8" xfId="0" applyNumberFormat="1" applyFont="1" applyFill="1" applyBorder="1" applyAlignment="1">
      <alignment horizontal="center" vertical="center"/>
    </xf>
    <xf numFmtId="49" fontId="9" fillId="2" borderId="8" xfId="0" applyNumberFormat="1" applyFont="1" applyFill="1" applyBorder="1" applyAlignment="1">
      <alignment horizontal="center" vertical="center"/>
    </xf>
    <xf numFmtId="49" fontId="10" fillId="2" borderId="8" xfId="0" applyNumberFormat="1" applyFont="1" applyFill="1" applyBorder="1" applyAlignment="1">
      <alignment horizontal="center" vertical="center"/>
    </xf>
    <xf numFmtId="1" fontId="10" fillId="2" borderId="9" xfId="0" applyNumberFormat="1" applyFont="1" applyFill="1" applyBorder="1" applyAlignment="1">
      <alignment horizontal="center" vertical="center"/>
    </xf>
    <xf numFmtId="9" fontId="11" fillId="4" borderId="10" xfId="1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 wrapText="1"/>
    </xf>
    <xf numFmtId="1" fontId="11" fillId="5" borderId="11" xfId="1" applyNumberFormat="1" applyFont="1" applyFill="1" applyBorder="1" applyAlignment="1">
      <alignment horizontal="center" vertical="center" wrapText="1"/>
    </xf>
    <xf numFmtId="9" fontId="11" fillId="5" borderId="11" xfId="1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9" fontId="11" fillId="4" borderId="11" xfId="1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1" fontId="12" fillId="4" borderId="11" xfId="0" applyNumberFormat="1" applyFont="1" applyFill="1" applyBorder="1" applyAlignment="1">
      <alignment horizontal="center" vertical="center"/>
    </xf>
    <xf numFmtId="1" fontId="12" fillId="4" borderId="12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 xr:uid="{B7DCBD41-18CD-4D89-8218-1B0D8524582A}"/>
    <cellStyle name="Percent" xfId="1" builtinId="5"/>
    <cellStyle name="Percent 2" xfId="2" xr:uid="{7041FC3C-2331-4444-B86E-C506B1A786F4}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Nazanin"/>
        <charset val="178"/>
        <scheme val="none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Nazanin"/>
        <charset val="178"/>
        <scheme val="none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Nazanin"/>
        <charset val="178"/>
        <scheme val="none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354390-3CAB-4018-9D8E-44E41C4200E6}" name="Table24" displayName="Table24" ref="A1:T14" totalsRowShown="0" tableBorderDxfId="43">
  <autoFilter ref="A1:T14" xr:uid="{C2C0C2E6-FE9D-4088-AF0A-91F2AADEB586}"/>
  <tableColumns count="20">
    <tableColumn id="1" xr3:uid="{55E7F913-5CF8-493E-AE9E-B00554EDF583}" name="ردیف" dataDxfId="42"/>
    <tableColumn id="2" xr3:uid="{42C8EAA7-430F-4DB1-BE93-CD95A1256845}" name="نام شرکت" dataDxfId="41"/>
    <tableColumn id="3" xr3:uid="{5A5F3574-38A2-4F9D-8B3F-42E7F4E822E0}" name="فصل" dataDxfId="40"/>
    <tableColumn id="4" xr3:uid="{E7F62A67-C896-4ACF-B57D-57A18010A294}" name="کد پرسنلی" dataDxfId="39"/>
    <tableColumn id="5" xr3:uid="{C68E449F-57BA-473B-87BC-858283A4FA5C}" name="نام و نام خانوادگی" dataDxfId="38"/>
    <tableColumn id="6" xr3:uid="{D6A9C4A7-7452-4D6A-9DEF-15225AA5EDA2}" name="عنوان شغلی" dataDxfId="37"/>
    <tableColumn id="7" xr3:uid="{EF8692D8-25E0-4252-9D74-6B08E2DB2524}" name="مدیر مستقیم" dataDxfId="36"/>
    <tableColumn id="8" xr3:uid="{18EAA2FB-BE7A-4EC0-AF13-AECA71A594A8}" name="دپارتمان" dataDxfId="35"/>
    <tableColumn id="9" xr3:uid="{9890C006-7ADC-4193-BA38-95455A0A43D0}" name="دسته بندی" dataDxfId="34"/>
    <tableColumn id="10" xr3:uid="{C1C60CEC-313D-409C-8EE6-422FC84B414D}" name="obj weight" dataDxfId="33" dataCellStyle="Percent"/>
    <tableColumn id="11" xr3:uid="{C75FD823-6C4F-4695-910C-CEAF2BB2A4C9}" name="KPI En" dataDxfId="32"/>
    <tableColumn id="12" xr3:uid="{4C2A370B-EE11-43A1-9239-7804F4F8B68B}" name="KPI Fa" dataDxfId="31"/>
    <tableColumn id="13" xr3:uid="{C83A2618-C2A7-469B-9428-C871336C4E5D}" name="kpi INFO" dataDxfId="30"/>
    <tableColumn id="14" xr3:uid="{0554C26A-87B5-4EF7-A827-83E2B16553F3}" name="target" dataDxfId="29" dataCellStyle="Percent"/>
    <tableColumn id="15" xr3:uid="{99919183-E71A-4468-A4C9-99C0180DD555}" name="KPI weight" dataDxfId="28" dataCellStyle="Percent"/>
    <tableColumn id="16" xr3:uid="{03B87604-CFE7-4CBC-B66D-28823A0AB6E9}" name="KPI Achievement"/>
    <tableColumn id="17" xr3:uid="{B4E618DE-76A1-4CA6-B2D0-382ED7323B5A}" name="Percentage Achievement" dataDxfId="27" dataCellStyle="Percent">
      <calculatedColumnFormula>ROUND(IF(OR(N2="",P2=""),0,IF(AND(N2=0,P2=0),1,IF(S2="+",P2/N2,N2/P2))),2)</calculatedColumnFormula>
    </tableColumn>
    <tableColumn id="18" xr3:uid="{F06A2F95-5674-43D3-AC8C-F740D309A1C6}" name="Score Achievement" dataDxfId="26" dataCellStyle="Percent">
      <calculatedColumnFormula>IF(AND(Q2&gt;=60%,Q2&lt;100%),Q2*((O2*J2)),IF(Q2=100%,((O2*J2)*Q2)*100%,IF(Q2&gt;100%,((J2*O2)*100%)*100%,0)))*100</calculatedColumnFormula>
    </tableColumn>
    <tableColumn id="19" xr3:uid="{CC17E742-4A4B-4E13-9DCA-E842D22158A4}" name="type" dataDxfId="25" dataCellStyle="Percent"/>
    <tableColumn id="20" xr3:uid="{B5CFCEE4-F759-40C5-8748-A84119D2A981}" name="Sum" dataDxfId="0" dataCellStyle="Percent">
      <calculatedColumnFormula>SUM(R2:R14)%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3936-4C72-439E-97AA-23BA65447469}">
  <dimension ref="A1:T14"/>
  <sheetViews>
    <sheetView tabSelected="1" workbookViewId="0">
      <selection activeCell="P12" sqref="P12"/>
    </sheetView>
  </sheetViews>
  <sheetFormatPr defaultRowHeight="14.4" x14ac:dyDescent="0.3"/>
  <cols>
    <col min="5" max="5" width="14.21875" customWidth="1"/>
    <col min="6" max="6" width="18.5546875" customWidth="1"/>
    <col min="7" max="7" width="9.33203125" customWidth="1"/>
    <col min="8" max="8" width="18.88671875" customWidth="1"/>
    <col min="10" max="10" width="10.44140625" customWidth="1"/>
    <col min="11" max="11" width="23.88671875" customWidth="1"/>
    <col min="12" max="12" width="27.5546875" customWidth="1"/>
    <col min="13" max="13" width="41.44140625" customWidth="1"/>
    <col min="15" max="15" width="10.88671875" customWidth="1"/>
    <col min="16" max="16" width="15.44140625" customWidth="1"/>
    <col min="17" max="17" width="20.88671875" customWidth="1"/>
    <col min="18" max="18" width="16.77734375" customWidth="1"/>
  </cols>
  <sheetData>
    <row r="1" spans="1:20" ht="16.8" thickBot="1" x14ac:dyDescent="0.35">
      <c r="A1" s="67" t="s">
        <v>62</v>
      </c>
      <c r="B1" s="65" t="s">
        <v>61</v>
      </c>
      <c r="C1" s="65" t="s">
        <v>60</v>
      </c>
      <c r="D1" s="66" t="s">
        <v>59</v>
      </c>
      <c r="E1" s="65" t="s">
        <v>58</v>
      </c>
      <c r="F1" s="65" t="s">
        <v>57</v>
      </c>
      <c r="G1" s="65" t="s">
        <v>56</v>
      </c>
      <c r="H1" s="65" t="s">
        <v>55</v>
      </c>
      <c r="I1" s="65" t="s">
        <v>54</v>
      </c>
      <c r="J1" s="63" t="s">
        <v>53</v>
      </c>
      <c r="K1" s="62" t="s">
        <v>52</v>
      </c>
      <c r="L1" s="62" t="s">
        <v>51</v>
      </c>
      <c r="M1" s="62" t="s">
        <v>50</v>
      </c>
      <c r="N1" s="64" t="s">
        <v>49</v>
      </c>
      <c r="O1" s="63" t="s">
        <v>48</v>
      </c>
      <c r="P1" s="62" t="s">
        <v>47</v>
      </c>
      <c r="Q1" s="61" t="s">
        <v>46</v>
      </c>
      <c r="R1" s="60" t="s">
        <v>45</v>
      </c>
      <c r="S1" s="59" t="s">
        <v>44</v>
      </c>
      <c r="T1" s="58" t="s">
        <v>43</v>
      </c>
    </row>
    <row r="2" spans="1:20" ht="21.6" x14ac:dyDescent="0.3">
      <c r="A2" s="57">
        <v>1</v>
      </c>
      <c r="B2" s="54" t="s">
        <v>9</v>
      </c>
      <c r="C2" s="56" t="s">
        <v>8</v>
      </c>
      <c r="D2" s="55"/>
      <c r="E2" s="36" t="s">
        <v>7</v>
      </c>
      <c r="F2" s="53" t="s">
        <v>6</v>
      </c>
      <c r="G2" s="54" t="s">
        <v>5</v>
      </c>
      <c r="H2" s="53" t="s">
        <v>27</v>
      </c>
      <c r="I2" s="52" t="s">
        <v>26</v>
      </c>
      <c r="J2" s="46">
        <v>0.7</v>
      </c>
      <c r="K2" s="50" t="s">
        <v>42</v>
      </c>
      <c r="L2" s="51" t="s">
        <v>41</v>
      </c>
      <c r="M2" s="50" t="s">
        <v>40</v>
      </c>
      <c r="N2" s="49">
        <v>0.85</v>
      </c>
      <c r="O2" s="48">
        <v>0.25</v>
      </c>
      <c r="P2" s="46"/>
      <c r="Q2" s="46">
        <f>ROUND(IF(OR(N2="",P2=""),0,IF(AND(N2=0,P2=0),1,IF(S2="+",P2/N2,N2/P2))),2)</f>
        <v>0</v>
      </c>
      <c r="R2" s="47">
        <f>IF(AND(Q2&gt;=60%,Q2&lt;100%),Q2*((O2*J2)),IF(Q2=100%,((O2*J2)*Q2)*100%,IF(Q2&gt;100%,((J2*O2)*100%)*100%,0)))*100</f>
        <v>0</v>
      </c>
      <c r="S2" s="46" t="s">
        <v>0</v>
      </c>
      <c r="T2" s="45">
        <f t="shared" ref="T2:T14" si="0">SUM(R2:R14)%</f>
        <v>0</v>
      </c>
    </row>
    <row r="3" spans="1:20" ht="25.2" x14ac:dyDescent="0.3">
      <c r="A3" s="39">
        <v>2</v>
      </c>
      <c r="B3" s="36" t="s">
        <v>9</v>
      </c>
      <c r="C3" s="38" t="s">
        <v>8</v>
      </c>
      <c r="D3" s="37"/>
      <c r="E3" s="36" t="s">
        <v>7</v>
      </c>
      <c r="F3" s="35" t="s">
        <v>6</v>
      </c>
      <c r="G3" s="36" t="s">
        <v>5</v>
      </c>
      <c r="H3" s="35" t="s">
        <v>27</v>
      </c>
      <c r="I3" s="44" t="s">
        <v>26</v>
      </c>
      <c r="J3" s="29">
        <v>0.7</v>
      </c>
      <c r="K3" s="33" t="s">
        <v>39</v>
      </c>
      <c r="L3" s="32" t="s">
        <v>38</v>
      </c>
      <c r="M3" s="32" t="s">
        <v>37</v>
      </c>
      <c r="N3" s="31">
        <v>0.95</v>
      </c>
      <c r="O3" s="31">
        <v>0.25</v>
      </c>
      <c r="P3" s="30"/>
      <c r="Q3" s="29">
        <f>ROUND(IF(OR(N3="",P3=""),0,IF(AND(N3=0,P3=0),1,IF(S3="+",P3/N3,N3/P3))),2)</f>
        <v>0</v>
      </c>
      <c r="R3" s="42">
        <f>IF(AND(Q3&gt;=60%,Q3&lt;100%),Q3*((O3*J3)),IF(Q3=100%,((O3*J3)*Q3)*100%,IF(Q3&gt;100%,((J3*O3)*100%)*100%,0)))*100</f>
        <v>0</v>
      </c>
      <c r="S3" s="29" t="s">
        <v>0</v>
      </c>
      <c r="T3" s="41"/>
    </row>
    <row r="4" spans="1:20" ht="37.799999999999997" x14ac:dyDescent="0.3">
      <c r="A4" s="39">
        <v>3</v>
      </c>
      <c r="B4" s="36" t="s">
        <v>9</v>
      </c>
      <c r="C4" s="38" t="s">
        <v>8</v>
      </c>
      <c r="D4" s="37"/>
      <c r="E4" s="36" t="s">
        <v>7</v>
      </c>
      <c r="F4" s="35" t="s">
        <v>6</v>
      </c>
      <c r="G4" s="36" t="s">
        <v>5</v>
      </c>
      <c r="H4" s="35" t="s">
        <v>27</v>
      </c>
      <c r="I4" s="44" t="s">
        <v>26</v>
      </c>
      <c r="J4" s="29">
        <v>0.7</v>
      </c>
      <c r="K4" s="33" t="s">
        <v>36</v>
      </c>
      <c r="L4" s="32" t="s">
        <v>35</v>
      </c>
      <c r="M4" s="43" t="s">
        <v>34</v>
      </c>
      <c r="N4" s="31">
        <v>0.05</v>
      </c>
      <c r="O4" s="31">
        <v>0.125</v>
      </c>
      <c r="P4" s="30"/>
      <c r="Q4" s="29">
        <f>ROUND(IF(OR(N4="",P4=""),0,IF(AND(N4=0,P4=0),1,IF(S4="+",P4/N4,N4/P4))),2)</f>
        <v>0</v>
      </c>
      <c r="R4" s="42">
        <f>IF(AND(Q4&gt;=60%,Q4&lt;100%),Q4*((O4*J4)),IF(Q4=100%,((O4*J4)*Q4)*100%,IF(Q4&gt;100%,((J4*O4)*100%)*100%,0)))*100</f>
        <v>0</v>
      </c>
      <c r="S4" s="29" t="s">
        <v>0</v>
      </c>
      <c r="T4" s="41"/>
    </row>
    <row r="5" spans="1:20" ht="25.2" x14ac:dyDescent="0.3">
      <c r="A5" s="39">
        <v>4</v>
      </c>
      <c r="B5" s="36" t="s">
        <v>9</v>
      </c>
      <c r="C5" s="38" t="s">
        <v>8</v>
      </c>
      <c r="D5" s="37"/>
      <c r="E5" s="36" t="s">
        <v>7</v>
      </c>
      <c r="F5" s="35" t="s">
        <v>6</v>
      </c>
      <c r="G5" s="36" t="s">
        <v>5</v>
      </c>
      <c r="H5" s="35" t="s">
        <v>27</v>
      </c>
      <c r="I5" s="34" t="s">
        <v>26</v>
      </c>
      <c r="J5" s="29">
        <v>0.7</v>
      </c>
      <c r="K5" s="33" t="s">
        <v>33</v>
      </c>
      <c r="L5" s="32" t="s">
        <v>32</v>
      </c>
      <c r="M5" s="32" t="s">
        <v>31</v>
      </c>
      <c r="N5" s="31">
        <v>1</v>
      </c>
      <c r="O5" s="31">
        <v>0.125</v>
      </c>
      <c r="P5" s="30"/>
      <c r="Q5" s="29">
        <f>ROUND(IF(OR(N5="",P5=""),0,IF(AND(N5=0,P5=0),1,IF(S5="+",P5/N5,N5/P5))),2)</f>
        <v>0</v>
      </c>
      <c r="R5" s="28">
        <f>IF(AND(Q5&gt;=60%,Q5&lt;100%),Q5*((O5*J5)),IF(Q5=100%,((O5*J5)*Q5)*100%,IF(Q5&gt;100%,((J5*O5)*100%)*100%,0)))*100</f>
        <v>0</v>
      </c>
      <c r="S5" s="27" t="s">
        <v>0</v>
      </c>
      <c r="T5" s="14"/>
    </row>
    <row r="6" spans="1:20" ht="25.2" x14ac:dyDescent="0.3">
      <c r="A6" s="39">
        <v>5</v>
      </c>
      <c r="B6" s="36" t="s">
        <v>9</v>
      </c>
      <c r="C6" s="38" t="s">
        <v>8</v>
      </c>
      <c r="D6" s="37"/>
      <c r="E6" s="36" t="s">
        <v>7</v>
      </c>
      <c r="F6" s="35" t="s">
        <v>6</v>
      </c>
      <c r="G6" s="36" t="s">
        <v>5</v>
      </c>
      <c r="H6" s="35" t="s">
        <v>27</v>
      </c>
      <c r="I6" s="34" t="s">
        <v>26</v>
      </c>
      <c r="J6" s="29">
        <v>0.7</v>
      </c>
      <c r="K6" s="33" t="s">
        <v>30</v>
      </c>
      <c r="L6" s="40" t="s">
        <v>29</v>
      </c>
      <c r="M6" s="32" t="s">
        <v>28</v>
      </c>
      <c r="N6" s="31">
        <v>0.7</v>
      </c>
      <c r="O6" s="31">
        <v>0.125</v>
      </c>
      <c r="P6" s="30"/>
      <c r="Q6" s="29">
        <f>ROUND(IF(OR(N6="",P6=""),0,IF(AND(N6=0,P6=0),1,IF(S6="+",P6/N6,N6/P6))),2)</f>
        <v>0</v>
      </c>
      <c r="R6" s="28">
        <f>IF(AND(Q6&gt;=60%,Q6&lt;100%),Q6*((O6*J6)),IF(Q6=100%,((O6*J6)*Q6)*100%,IF(Q6&gt;100%,((J6*O6)*100%)*100%,0)))*100</f>
        <v>0</v>
      </c>
      <c r="S6" s="27" t="s">
        <v>0</v>
      </c>
      <c r="T6" s="14"/>
    </row>
    <row r="7" spans="1:20" ht="25.2" x14ac:dyDescent="0.3">
      <c r="A7" s="39">
        <v>6</v>
      </c>
      <c r="B7" s="36" t="s">
        <v>9</v>
      </c>
      <c r="C7" s="38" t="s">
        <v>8</v>
      </c>
      <c r="D7" s="37"/>
      <c r="E7" s="36" t="s">
        <v>7</v>
      </c>
      <c r="F7" s="35" t="s">
        <v>6</v>
      </c>
      <c r="G7" s="36" t="s">
        <v>5</v>
      </c>
      <c r="H7" s="35" t="s">
        <v>27</v>
      </c>
      <c r="I7" s="34" t="s">
        <v>26</v>
      </c>
      <c r="J7" s="29">
        <v>0.7</v>
      </c>
      <c r="K7" s="33" t="s">
        <v>25</v>
      </c>
      <c r="L7" s="32" t="s">
        <v>24</v>
      </c>
      <c r="M7" s="32" t="s">
        <v>23</v>
      </c>
      <c r="N7" s="31">
        <v>0.05</v>
      </c>
      <c r="O7" s="31">
        <v>0.125</v>
      </c>
      <c r="P7" s="30"/>
      <c r="Q7" s="29">
        <f>ROUND(IF(OR(N7="",P7=""),0,IF(AND(N7=0,P7=0),1,IF(S7="+",P7/N7,N7/P7))),2)</f>
        <v>0</v>
      </c>
      <c r="R7" s="28">
        <f>IF(AND(Q7&gt;=60%,Q7&lt;100%),Q7*((O7*J7)),IF(Q7=100%,((O7*J7)*Q7)*100%,IF(Q7&gt;100%,((J7*O7)*100%)*100%,0)))*100</f>
        <v>0</v>
      </c>
      <c r="S7" s="27" t="s">
        <v>22</v>
      </c>
      <c r="T7" s="14"/>
    </row>
    <row r="8" spans="1:20" ht="21.6" x14ac:dyDescent="0.3">
      <c r="A8" s="26">
        <v>7</v>
      </c>
      <c r="B8" s="23" t="s">
        <v>9</v>
      </c>
      <c r="C8" s="25" t="s">
        <v>8</v>
      </c>
      <c r="D8" s="24"/>
      <c r="E8" s="23" t="s">
        <v>7</v>
      </c>
      <c r="F8" s="22" t="s">
        <v>6</v>
      </c>
      <c r="G8" s="23" t="s">
        <v>5</v>
      </c>
      <c r="H8" s="22" t="s">
        <v>4</v>
      </c>
      <c r="I8" s="21" t="s">
        <v>3</v>
      </c>
      <c r="J8" s="17">
        <v>0.3</v>
      </c>
      <c r="K8" s="20" t="s">
        <v>21</v>
      </c>
      <c r="L8" s="19" t="s">
        <v>20</v>
      </c>
      <c r="M8" s="19"/>
      <c r="N8" s="18">
        <v>1</v>
      </c>
      <c r="O8" s="18">
        <v>0.05</v>
      </c>
      <c r="P8" s="17"/>
      <c r="Q8" s="17">
        <f>ROUND(IF(OR(N8="",P8=""),0,IF(AND(N8=0,P8=0),1,IF(S8="+",P8/N8,N8/P8))),2)</f>
        <v>0</v>
      </c>
      <c r="R8" s="16">
        <f>IF(AND(Q8&gt;=60%,Q8&lt;100%),Q8*((O8*J8)),IF(Q8=100%,((O8*J8)*Q8)*100%,IF(Q8&gt;100%,((J8*O8)*100%)*100%,0)))*100</f>
        <v>0</v>
      </c>
      <c r="S8" s="15" t="s">
        <v>0</v>
      </c>
      <c r="T8" s="14"/>
    </row>
    <row r="9" spans="1:20" ht="21.6" x14ac:dyDescent="0.3">
      <c r="A9" s="26">
        <v>8</v>
      </c>
      <c r="B9" s="23" t="s">
        <v>9</v>
      </c>
      <c r="C9" s="25" t="s">
        <v>8</v>
      </c>
      <c r="D9" s="24"/>
      <c r="E9" s="23" t="s">
        <v>7</v>
      </c>
      <c r="F9" s="22" t="s">
        <v>6</v>
      </c>
      <c r="G9" s="23" t="s">
        <v>5</v>
      </c>
      <c r="H9" s="22" t="s">
        <v>4</v>
      </c>
      <c r="I9" s="21" t="s">
        <v>3</v>
      </c>
      <c r="J9" s="17">
        <v>0.3</v>
      </c>
      <c r="K9" s="20" t="s">
        <v>19</v>
      </c>
      <c r="L9" s="19" t="s">
        <v>18</v>
      </c>
      <c r="M9" s="19"/>
      <c r="N9" s="18">
        <v>0.8</v>
      </c>
      <c r="O9" s="18">
        <v>0.1</v>
      </c>
      <c r="P9" s="17"/>
      <c r="Q9" s="17">
        <f>ROUND(IF(OR(N9="",P9=""),0,IF(AND(N9=0,P9=0),1,IF(S9="+",P9/N9,N9/P9))),2)</f>
        <v>0</v>
      </c>
      <c r="R9" s="16">
        <f>IF(AND(Q9&gt;=60%,Q9&lt;100%),Q9*((O9*J9)),IF(Q9=100%,((O9*J9)*Q9)*100%,IF(Q9&gt;100%,((J9*O9)*100%)*100%,0)))*100</f>
        <v>0</v>
      </c>
      <c r="S9" s="15" t="s">
        <v>0</v>
      </c>
      <c r="T9" s="14"/>
    </row>
    <row r="10" spans="1:20" ht="25.2" x14ac:dyDescent="0.3">
      <c r="A10" s="26">
        <v>9</v>
      </c>
      <c r="B10" s="23" t="s">
        <v>9</v>
      </c>
      <c r="C10" s="25" t="s">
        <v>8</v>
      </c>
      <c r="D10" s="24"/>
      <c r="E10" s="23" t="s">
        <v>7</v>
      </c>
      <c r="F10" s="22" t="s">
        <v>6</v>
      </c>
      <c r="G10" s="23" t="s">
        <v>5</v>
      </c>
      <c r="H10" s="22" t="s">
        <v>4</v>
      </c>
      <c r="I10" s="21" t="s">
        <v>3</v>
      </c>
      <c r="J10" s="17">
        <v>0.3</v>
      </c>
      <c r="K10" s="20" t="s">
        <v>17</v>
      </c>
      <c r="L10" s="19" t="s">
        <v>16</v>
      </c>
      <c r="M10" s="19"/>
      <c r="N10" s="18">
        <v>0.8</v>
      </c>
      <c r="O10" s="18">
        <v>0.15</v>
      </c>
      <c r="P10" s="17"/>
      <c r="Q10" s="17">
        <f>ROUND(IF(OR(N10="",P10=""),0,IF(AND(N10=0,P10=0),1,IF(S10="+",P10/N10,N10/P10))),2)</f>
        <v>0</v>
      </c>
      <c r="R10" s="16">
        <f>IF(AND(Q10&gt;=60%,Q10&lt;100%),Q10*((O10*J10)),IF(Q10=100%,((O10*J10)*Q10)*100%,IF(Q10&gt;100%,((J10*O10)*100%)*100%,0)))*100</f>
        <v>0</v>
      </c>
      <c r="S10" s="15" t="s">
        <v>0</v>
      </c>
      <c r="T10" s="14"/>
    </row>
    <row r="11" spans="1:20" ht="21.6" x14ac:dyDescent="0.3">
      <c r="A11" s="26">
        <v>10</v>
      </c>
      <c r="B11" s="23" t="s">
        <v>9</v>
      </c>
      <c r="C11" s="25" t="s">
        <v>8</v>
      </c>
      <c r="D11" s="24"/>
      <c r="E11" s="23" t="s">
        <v>7</v>
      </c>
      <c r="F11" s="22" t="s">
        <v>6</v>
      </c>
      <c r="G11" s="23" t="s">
        <v>5</v>
      </c>
      <c r="H11" s="22" t="s">
        <v>4</v>
      </c>
      <c r="I11" s="21" t="s">
        <v>3</v>
      </c>
      <c r="J11" s="17">
        <v>0.3</v>
      </c>
      <c r="K11" s="20" t="s">
        <v>15</v>
      </c>
      <c r="L11" s="19" t="s">
        <v>14</v>
      </c>
      <c r="M11" s="19"/>
      <c r="N11" s="18">
        <v>0.8</v>
      </c>
      <c r="O11" s="18">
        <v>0.2</v>
      </c>
      <c r="P11" s="17"/>
      <c r="Q11" s="17">
        <f>ROUND(IF(OR(N11="",P11=""),0,IF(AND(N11=0,P11=0),1,IF(S11="+",P11/N11,N11/P11))),2)</f>
        <v>0</v>
      </c>
      <c r="R11" s="16">
        <f>IF(AND(Q11&gt;=60%,Q11&lt;100%),Q11*((O11*J11)),IF(Q11=100%,((O11*J11)*Q11)*100%,IF(Q11&gt;100%,((J11*O11)*100%)*100%,0)))*100</f>
        <v>0</v>
      </c>
      <c r="S11" s="15" t="s">
        <v>0</v>
      </c>
      <c r="T11" s="14"/>
    </row>
    <row r="12" spans="1:20" ht="21.6" x14ac:dyDescent="0.3">
      <c r="A12" s="26">
        <v>11</v>
      </c>
      <c r="B12" s="23" t="s">
        <v>9</v>
      </c>
      <c r="C12" s="25" t="s">
        <v>8</v>
      </c>
      <c r="D12" s="24"/>
      <c r="E12" s="23" t="s">
        <v>7</v>
      </c>
      <c r="F12" s="22" t="s">
        <v>6</v>
      </c>
      <c r="G12" s="23" t="s">
        <v>5</v>
      </c>
      <c r="H12" s="22" t="s">
        <v>4</v>
      </c>
      <c r="I12" s="21" t="s">
        <v>3</v>
      </c>
      <c r="J12" s="17">
        <v>0.3</v>
      </c>
      <c r="K12" s="20" t="s">
        <v>13</v>
      </c>
      <c r="L12" s="19" t="s">
        <v>12</v>
      </c>
      <c r="M12" s="19"/>
      <c r="N12" s="18">
        <v>1</v>
      </c>
      <c r="O12" s="18">
        <v>0.1</v>
      </c>
      <c r="P12" s="17"/>
      <c r="Q12" s="17">
        <f>ROUND(IF(OR(N12="",P12=""),0,IF(AND(N12=0,P12=0),1,IF(S12="+",P12/N12,N12/P12))),2)</f>
        <v>0</v>
      </c>
      <c r="R12" s="16">
        <f>IF(AND(Q12&gt;=60%,Q12&lt;100%),Q12*((O12*J12)),IF(Q12=100%,((O12*J12)*Q12)*100%,IF(Q12&gt;100%,((J12*O12)*100%)*100%,0)))*100</f>
        <v>0</v>
      </c>
      <c r="S12" s="15" t="s">
        <v>0</v>
      </c>
      <c r="T12" s="14"/>
    </row>
    <row r="13" spans="1:20" ht="25.2" x14ac:dyDescent="0.3">
      <c r="A13" s="26">
        <v>12</v>
      </c>
      <c r="B13" s="23" t="s">
        <v>9</v>
      </c>
      <c r="C13" s="25" t="s">
        <v>8</v>
      </c>
      <c r="D13" s="24"/>
      <c r="E13" s="23" t="s">
        <v>7</v>
      </c>
      <c r="F13" s="22" t="s">
        <v>6</v>
      </c>
      <c r="G13" s="23" t="s">
        <v>5</v>
      </c>
      <c r="H13" s="22" t="s">
        <v>4</v>
      </c>
      <c r="I13" s="21" t="s">
        <v>3</v>
      </c>
      <c r="J13" s="17">
        <v>0.3</v>
      </c>
      <c r="K13" s="20" t="s">
        <v>11</v>
      </c>
      <c r="L13" s="19" t="s">
        <v>10</v>
      </c>
      <c r="M13" s="19"/>
      <c r="N13" s="18">
        <v>0.8</v>
      </c>
      <c r="O13" s="18">
        <v>0.2</v>
      </c>
      <c r="P13" s="17"/>
      <c r="Q13" s="17">
        <f>ROUND(IF(OR(N13="",P13=""),0,IF(AND(N13=0,P13=0),1,IF(S13="+",P13/N13,N13/P13))),2)</f>
        <v>0</v>
      </c>
      <c r="R13" s="16">
        <f>IF(AND(Q13&gt;=60%,Q13&lt;100%),Q13*((O13*J13)),IF(Q13=100%,((O13*J13)*Q13)*100%,IF(Q13&gt;100%,((J13*O13)*100%)*100%,0)))*100</f>
        <v>0</v>
      </c>
      <c r="S13" s="15" t="s">
        <v>0</v>
      </c>
      <c r="T13" s="14"/>
    </row>
    <row r="14" spans="1:20" ht="38.4" thickBot="1" x14ac:dyDescent="0.35">
      <c r="A14" s="13">
        <v>13</v>
      </c>
      <c r="B14" s="10" t="s">
        <v>9</v>
      </c>
      <c r="C14" s="12" t="s">
        <v>8</v>
      </c>
      <c r="D14" s="11"/>
      <c r="E14" s="10" t="s">
        <v>7</v>
      </c>
      <c r="F14" s="9" t="s">
        <v>6</v>
      </c>
      <c r="G14" s="10" t="s">
        <v>5</v>
      </c>
      <c r="H14" s="9" t="s">
        <v>4</v>
      </c>
      <c r="I14" s="8" t="s">
        <v>3</v>
      </c>
      <c r="J14" s="4">
        <v>0.3</v>
      </c>
      <c r="K14" s="7" t="s">
        <v>2</v>
      </c>
      <c r="L14" s="6" t="s">
        <v>1</v>
      </c>
      <c r="M14" s="6"/>
      <c r="N14" s="5">
        <v>0.8</v>
      </c>
      <c r="O14" s="5">
        <v>0.2</v>
      </c>
      <c r="P14" s="4"/>
      <c r="Q14" s="4">
        <f>ROUND(IF(OR(N14="",P14=""),0,IF(AND(N14=0,P14=0),1,IF(S14="+",P14/N14,N14/P14))),2)</f>
        <v>0</v>
      </c>
      <c r="R14" s="3">
        <f>IF(AND(Q14&gt;=60%,Q14&lt;100%),Q14*((O14*J14)),IF(Q14=100%,((O14*J14)*Q14)*100%,IF(Q14&gt;100%,((J14*O14)*100%)*100%,0)))*100</f>
        <v>0</v>
      </c>
      <c r="S14" s="2" t="s">
        <v>0</v>
      </c>
      <c r="T14" s="1"/>
    </row>
  </sheetData>
  <conditionalFormatting sqref="I1 K1:M1">
    <cfRule type="cellIs" dxfId="24" priority="24" operator="equal">
      <formula>"maintasks"</formula>
    </cfRule>
  </conditionalFormatting>
  <conditionalFormatting sqref="I2:I4">
    <cfRule type="cellIs" dxfId="23" priority="23" operator="equal">
      <formula>"maintasks"</formula>
    </cfRule>
  </conditionalFormatting>
  <conditionalFormatting sqref="I5:I7">
    <cfRule type="cellIs" dxfId="22" priority="22" operator="equal">
      <formula>"maintasks"</formula>
    </cfRule>
  </conditionalFormatting>
  <conditionalFormatting sqref="K3:M3 K2:L2 K5:M5 K4:L4 K7:M7">
    <cfRule type="cellIs" dxfId="21" priority="21" operator="equal">
      <formula>"maintasks"</formula>
    </cfRule>
  </conditionalFormatting>
  <conditionalFormatting sqref="M2:N2">
    <cfRule type="cellIs" dxfId="20" priority="20" operator="equal">
      <formula>"maintasks"</formula>
    </cfRule>
  </conditionalFormatting>
  <conditionalFormatting sqref="K6:M6">
    <cfRule type="cellIs" dxfId="19" priority="19" operator="equal">
      <formula>"maintasks"</formula>
    </cfRule>
  </conditionalFormatting>
  <conditionalFormatting sqref="I10:I11">
    <cfRule type="cellIs" dxfId="18" priority="15" operator="equal">
      <formula>"maintasks"</formula>
    </cfRule>
  </conditionalFormatting>
  <conditionalFormatting sqref="I9">
    <cfRule type="cellIs" dxfId="17" priority="18" operator="equal">
      <formula>"maintasks"</formula>
    </cfRule>
  </conditionalFormatting>
  <conditionalFormatting sqref="I14">
    <cfRule type="cellIs" dxfId="16" priority="12" operator="equal">
      <formula>"maintasks"</formula>
    </cfRule>
  </conditionalFormatting>
  <conditionalFormatting sqref="L14">
    <cfRule type="cellIs" dxfId="15" priority="10" operator="equal">
      <formula>"maintasks"</formula>
    </cfRule>
  </conditionalFormatting>
  <conditionalFormatting sqref="L10:L11">
    <cfRule type="cellIs" dxfId="14" priority="13" operator="equal">
      <formula>"maintasks"</formula>
    </cfRule>
  </conditionalFormatting>
  <conditionalFormatting sqref="K10:K11 M10:M11">
    <cfRule type="cellIs" dxfId="13" priority="14" operator="equal">
      <formula>"maintasks"</formula>
    </cfRule>
  </conditionalFormatting>
  <conditionalFormatting sqref="L9">
    <cfRule type="cellIs" dxfId="12" priority="16" operator="equal">
      <formula>"maintasks"</formula>
    </cfRule>
  </conditionalFormatting>
  <conditionalFormatting sqref="K9 M9">
    <cfRule type="cellIs" dxfId="11" priority="17" operator="equal">
      <formula>"maintasks"</formula>
    </cfRule>
  </conditionalFormatting>
  <conditionalFormatting sqref="L13">
    <cfRule type="cellIs" dxfId="10" priority="4" operator="equal">
      <formula>"maintasks"</formula>
    </cfRule>
  </conditionalFormatting>
  <conditionalFormatting sqref="K14 M14">
    <cfRule type="cellIs" dxfId="9" priority="11" operator="equal">
      <formula>"maintasks"</formula>
    </cfRule>
  </conditionalFormatting>
  <conditionalFormatting sqref="I12">
    <cfRule type="cellIs" dxfId="8" priority="9" operator="equal">
      <formula>"maintasks"</formula>
    </cfRule>
  </conditionalFormatting>
  <conditionalFormatting sqref="I13">
    <cfRule type="cellIs" dxfId="7" priority="6" operator="equal">
      <formula>"maintasks"</formula>
    </cfRule>
  </conditionalFormatting>
  <conditionalFormatting sqref="L12">
    <cfRule type="cellIs" dxfId="6" priority="7" operator="equal">
      <formula>"maintasks"</formula>
    </cfRule>
  </conditionalFormatting>
  <conditionalFormatting sqref="K12 M12">
    <cfRule type="cellIs" dxfId="5" priority="8" operator="equal">
      <formula>"maintasks"</formula>
    </cfRule>
  </conditionalFormatting>
  <conditionalFormatting sqref="K13 M13">
    <cfRule type="cellIs" dxfId="4" priority="5" operator="equal">
      <formula>"maintasks"</formula>
    </cfRule>
  </conditionalFormatting>
  <conditionalFormatting sqref="L8">
    <cfRule type="cellIs" dxfId="3" priority="1" operator="equal">
      <formula>"maintasks"</formula>
    </cfRule>
  </conditionalFormatting>
  <conditionalFormatting sqref="I8">
    <cfRule type="cellIs" dxfId="2" priority="3" operator="equal">
      <formula>"maintasks"</formula>
    </cfRule>
  </conditionalFormatting>
  <conditionalFormatting sqref="K8 M8">
    <cfRule type="cellIs" dxfId="1" priority="2" operator="equal">
      <formula>"maintasks"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Kalantari, Ali Asghar</dc:creator>
  <cp:lastModifiedBy>Kalantari, Ali Asghar</cp:lastModifiedBy>
  <dcterms:created xsi:type="dcterms:W3CDTF">2025-08-20T08:34:41Z</dcterms:created>
  <dcterms:modified xsi:type="dcterms:W3CDTF">2025-08-20T08:35:22Z</dcterms:modified>
</cp:coreProperties>
</file>